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60" tabRatio="782"/>
  </bookViews>
  <sheets>
    <sheet name="Main" sheetId="8" r:id="rId1"/>
    <sheet name="Cost" sheetId="38" r:id="rId2"/>
    <sheet name="Performance" sheetId="39" r:id="rId3"/>
    <sheet name="Finance" sheetId="15" r:id="rId4"/>
    <sheet name="Market Projections" sheetId="37" r:id="rId5"/>
    <sheet name="Policies" sheetId="36" r:id="rId6"/>
    <sheet name="Net Metering" sheetId="41" r:id="rId7"/>
    <sheet name="Customer Behavior" sheetId="40" r:id="rId8"/>
  </sheets>
  <externalReferences>
    <externalReference r:id="rId9"/>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_net_metering">Policies!$B$17:$B$67,Policies!$AD$17:$AF$67</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<sst xmlns="http://schemas.openxmlformats.org/spreadsheetml/2006/main" count="1102" uniqueCount="350">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</sst>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4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s>
  <cellStyleXfs count="8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44">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108" xfId="5" applyFont="1" applyFill="1" applyBorder="1"/>
    <xf numFmtId="0" fontId="20" fillId="5" borderId="110" xfId="5"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7" xfId="3" applyFont="1" applyFill="1" applyBorder="1"/>
    <xf numFmtId="0" fontId="14" fillId="3" borderId="108" xfId="5" applyFont="1" applyFill="1" applyBorder="1" applyAlignment="1">
      <alignment horizontal="center"/>
    </xf>
    <xf numFmtId="0" fontId="31" fillId="4" borderId="113" xfId="5" applyFont="1" applyFill="1" applyBorder="1" applyAlignment="1">
      <alignment horizontal="center" wrapText="1"/>
    </xf>
    <xf numFmtId="0" fontId="14" fillId="11" borderId="114" xfId="5" applyFont="1" applyFill="1" applyBorder="1" applyAlignment="1">
      <alignment horizontal="center" wrapText="1"/>
    </xf>
    <xf numFmtId="0" fontId="19" fillId="3" borderId="113" xfId="5" applyFont="1" applyFill="1" applyBorder="1" applyAlignment="1">
      <alignment horizontal="center" wrapText="1"/>
    </xf>
    <xf numFmtId="3" fontId="2" fillId="0" borderId="109" xfId="5" applyNumberFormat="1" applyFont="1" applyFill="1" applyBorder="1" applyAlignment="1">
      <alignment horizontal="center"/>
    </xf>
    <xf numFmtId="9" fontId="2" fillId="0" borderId="111" xfId="5" applyNumberFormat="1" applyFont="1" applyBorder="1" applyAlignment="1">
      <alignment horizontal="center" wrapText="1"/>
    </xf>
    <xf numFmtId="3" fontId="2" fillId="0" borderId="111" xfId="5" applyNumberFormat="1" applyFont="1" applyFill="1" applyBorder="1" applyAlignment="1">
      <alignment horizontal="center"/>
    </xf>
    <xf numFmtId="1" fontId="2" fillId="0" borderId="111" xfId="5" applyNumberFormat="1" applyFont="1" applyFill="1" applyBorder="1" applyAlignment="1">
      <alignment horizontal="center"/>
    </xf>
    <xf numFmtId="9" fontId="2" fillId="0" borderId="111" xfId="5" applyNumberFormat="1" applyFont="1" applyFill="1" applyBorder="1" applyAlignment="1">
      <alignment horizontal="center"/>
    </xf>
    <xf numFmtId="3" fontId="2" fillId="0" borderId="112" xfId="5" applyNumberFormat="1" applyFont="1" applyFill="1" applyBorder="1" applyAlignment="1">
      <alignment horizontal="center"/>
    </xf>
    <xf numFmtId="0" fontId="20" fillId="10" borderId="118" xfId="5" applyFont="1" applyFill="1" applyBorder="1"/>
    <xf numFmtId="0" fontId="20" fillId="10" borderId="121" xfId="5" applyFont="1" applyFill="1" applyBorder="1"/>
    <xf numFmtId="0" fontId="19" fillId="10" borderId="124" xfId="0" applyNumberFormat="1" applyFont="1" applyFill="1" applyBorder="1" applyAlignment="1" applyProtection="1">
      <alignment horizontal="left" wrapText="1"/>
    </xf>
    <xf numFmtId="2" fontId="10" fillId="3" borderId="119" xfId="3" applyNumberFormat="1" applyFont="1" applyFill="1" applyBorder="1" applyAlignment="1">
      <alignment horizontal="center"/>
    </xf>
    <xf numFmtId="2" fontId="10" fillId="3" borderId="120" xfId="3" applyNumberFormat="1" applyFont="1" applyFill="1" applyBorder="1" applyAlignment="1">
      <alignment horizontal="center"/>
    </xf>
    <xf numFmtId="2" fontId="10" fillId="3" borderId="122" xfId="3" applyNumberFormat="1" applyFont="1" applyFill="1" applyBorder="1" applyAlignment="1">
      <alignment horizontal="center"/>
    </xf>
    <xf numFmtId="2" fontId="10" fillId="3" borderId="123" xfId="3" applyNumberFormat="1" applyFont="1" applyFill="1" applyBorder="1" applyAlignment="1">
      <alignment horizontal="center"/>
    </xf>
    <xf numFmtId="0" fontId="82" fillId="3" borderId="0" xfId="3" applyFont="1" applyFill="1" applyAlignment="1"/>
    <xf numFmtId="0" fontId="20" fillId="10" borderId="115" xfId="5" applyFont="1" applyFill="1" applyBorder="1"/>
    <xf numFmtId="2" fontId="10" fillId="3" borderId="116" xfId="3" applyNumberFormat="1" applyFont="1" applyFill="1" applyBorder="1" applyAlignment="1">
      <alignment horizontal="center"/>
    </xf>
    <xf numFmtId="2" fontId="10" fillId="3" borderId="117"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5" xfId="0" applyFill="1" applyBorder="1"/>
    <xf numFmtId="0" fontId="0" fillId="10" borderId="127" xfId="0" applyFill="1" applyBorder="1"/>
    <xf numFmtId="0" fontId="0" fillId="10" borderId="129" xfId="0" applyFill="1" applyBorder="1"/>
    <xf numFmtId="0" fontId="0" fillId="10" borderId="126" xfId="0" applyFill="1" applyBorder="1"/>
    <xf numFmtId="0" fontId="0" fillId="10" borderId="128" xfId="0" applyFill="1" applyBorder="1"/>
    <xf numFmtId="0" fontId="0" fillId="10" borderId="130"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3"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4" fillId="10" borderId="0" xfId="0" applyFont="1" applyFill="1" applyProtection="1">
      <protection locked="0"/>
    </xf>
    <xf numFmtId="0" fontId="84" fillId="10" borderId="0" xfId="0" applyFont="1" applyFill="1" applyAlignment="1" applyProtection="1">
      <alignment horizontal="left"/>
      <protection locked="0"/>
    </xf>
    <xf numFmtId="0" fontId="84" fillId="10" borderId="0" xfId="0" applyFont="1" applyFill="1" applyAlignment="1" applyProtection="1">
      <alignment horizontal="left" vertical="center"/>
      <protection locked="0"/>
    </xf>
    <xf numFmtId="0" fontId="85" fillId="0" borderId="0" xfId="0" applyFont="1" applyProtection="1">
      <protection locked="0"/>
    </xf>
    <xf numFmtId="0" fontId="31" fillId="17" borderId="131" xfId="0" applyFont="1" applyFill="1" applyBorder="1" applyAlignment="1" applyProtection="1">
      <alignment horizontal="center" vertical="center" wrapText="1"/>
      <protection locked="0"/>
    </xf>
    <xf numFmtId="0" fontId="31" fillId="17" borderId="96" xfId="0" applyFont="1" applyFill="1" applyBorder="1" applyAlignment="1" applyProtection="1">
      <alignment horizontal="center" vertical="center" wrapText="1"/>
      <protection locked="0"/>
    </xf>
    <xf numFmtId="0" fontId="31" fillId="17" borderId="132" xfId="0" applyFont="1" applyFill="1" applyBorder="1" applyAlignment="1" applyProtection="1">
      <alignment horizontal="center" vertical="center" wrapText="1"/>
      <protection locked="0"/>
    </xf>
    <xf numFmtId="0" fontId="0" fillId="18" borderId="133"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35"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37"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39" xfId="0" applyFont="1" applyFill="1" applyBorder="1" applyAlignment="1" applyProtection="1">
      <alignment horizontal="center"/>
    </xf>
    <xf numFmtId="0" fontId="0" fillId="18" borderId="64" xfId="0" applyFont="1" applyFill="1" applyBorder="1" applyAlignment="1" applyProtection="1">
      <alignment horizontal="center"/>
    </xf>
    <xf numFmtId="0" fontId="0" fillId="18" borderId="140"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33" xfId="0" applyFill="1" applyBorder="1" applyAlignment="1" applyProtection="1">
      <alignment horizontal="center"/>
    </xf>
    <xf numFmtId="0" fontId="0" fillId="18" borderId="50" xfId="0" applyFill="1" applyBorder="1" applyAlignment="1" applyProtection="1">
      <alignment horizontal="center"/>
    </xf>
    <xf numFmtId="0" fontId="0" fillId="18" borderId="135" xfId="0" applyFill="1" applyBorder="1" applyAlignment="1" applyProtection="1">
      <alignment horizontal="center"/>
    </xf>
    <xf numFmtId="0" fontId="0" fillId="18" borderId="38" xfId="0" applyFill="1" applyBorder="1" applyAlignment="1" applyProtection="1">
      <alignment horizontal="center"/>
    </xf>
    <xf numFmtId="0" fontId="0" fillId="18" borderId="137" xfId="0" applyFill="1" applyBorder="1" applyAlignment="1" applyProtection="1">
      <alignment horizontal="center"/>
    </xf>
    <xf numFmtId="0" fontId="0" fillId="18" borderId="42" xfId="0" applyFill="1" applyBorder="1" applyAlignment="1" applyProtection="1">
      <alignment horizontal="center"/>
    </xf>
    <xf numFmtId="0" fontId="0" fillId="19" borderId="102" xfId="0" applyFont="1" applyFill="1" applyBorder="1" applyAlignment="1" applyProtection="1">
      <alignment horizontal="center"/>
    </xf>
    <xf numFmtId="0" fontId="0" fillId="19" borderId="65" xfId="0" applyFont="1" applyFill="1" applyBorder="1" applyAlignment="1" applyProtection="1">
      <alignment horizontal="center"/>
    </xf>
    <xf numFmtId="0" fontId="0" fillId="19" borderId="134" xfId="0" applyFont="1" applyFill="1" applyBorder="1" applyAlignment="1" applyProtection="1">
      <alignment horizontal="center"/>
    </xf>
    <xf numFmtId="0" fontId="0" fillId="19" borderId="136" xfId="0" applyFont="1" applyFill="1" applyBorder="1" applyAlignment="1" applyProtection="1">
      <alignment horizontal="center"/>
    </xf>
    <xf numFmtId="0" fontId="0" fillId="19" borderId="103" xfId="0" applyFont="1" applyFill="1" applyBorder="1" applyAlignment="1" applyProtection="1">
      <alignment horizontal="center"/>
    </xf>
    <xf numFmtId="0" fontId="0" fillId="19" borderId="138" xfId="0" applyFont="1" applyFill="1" applyBorder="1" applyAlignment="1" applyProtection="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60"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61"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4550328"/>
        <c:axId val="2134411288"/>
      </c:scatterChart>
      <c:valAx>
        <c:axId val="213455032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4411288"/>
        <c:crosses val="autoZero"/>
        <c:crossBetween val="midCat"/>
      </c:valAx>
      <c:valAx>
        <c:axId val="21344112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45503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4820760"/>
        <c:axId val="-2093340824"/>
      </c:scatterChart>
      <c:valAx>
        <c:axId val="213482076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3340824"/>
        <c:crosses val="autoZero"/>
        <c:crossBetween val="midCat"/>
      </c:valAx>
      <c:valAx>
        <c:axId val="-2093340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48207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17" sqref="D17"/>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309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309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309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309</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310</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311</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515"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516"/>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516"/>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517"/>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515"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516"/>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516"/>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517"/>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515"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516"/>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516"/>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517"/>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515"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516"/>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516"/>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517"/>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515"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516"/>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516"/>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517"/>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515"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516"/>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516"/>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517"/>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7" t="s">
        <v>53</v>
      </c>
      <c r="D9" s="528"/>
      <c r="E9" s="253" t="s">
        <v>149</v>
      </c>
      <c r="F9" s="186" t="s">
        <v>150</v>
      </c>
      <c r="G9" s="135"/>
      <c r="H9" s="233"/>
      <c r="I9" s="233"/>
      <c r="J9" s="518" t="s">
        <v>135</v>
      </c>
      <c r="K9" s="519"/>
      <c r="L9" s="520"/>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29" t="s">
        <v>54</v>
      </c>
      <c r="D17" s="530"/>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1" t="s">
        <v>136</v>
      </c>
      <c r="D26" s="532"/>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1" t="s">
        <v>120</v>
      </c>
      <c r="E35" s="522"/>
      <c r="F35" s="523" t="s">
        <v>121</v>
      </c>
      <c r="G35" s="524"/>
      <c r="H35" s="525" t="s">
        <v>122</v>
      </c>
      <c r="I35" s="52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533" t="s">
        <v>306</v>
      </c>
      <c r="D32" s="533"/>
      <c r="E32" s="533"/>
      <c r="F32" s="534"/>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312</v>
      </c>
      <c r="D86" s="449"/>
      <c r="E86" s="449"/>
      <c r="F86" s="449"/>
      <c r="G86" s="35"/>
      <c r="H86" s="35"/>
      <c r="I86" s="35"/>
      <c r="J86" s="31" t="s">
        <v>326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53" t="s">
        <v>308</v>
      </c>
      <c r="D87" s="454" t="s">
        <v>313</v>
      </c>
      <c r="E87" s="454" t="s">
        <v>314</v>
      </c>
      <c r="F87" s="454" t="s">
        <v>315</v>
      </c>
      <c r="G87" s="35"/>
      <c r="H87" s="35"/>
      <c r="I87" s="250"/>
      <c r="J87" s="468"/>
      <c r="K87" s="469" t="s">
        <v>120</v>
      </c>
      <c r="L87" s="470" t="s">
        <v>324</v>
      </c>
      <c r="M87" s="467"/>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44"/>
      <c r="C88" s="450" t="s">
        <v>177</v>
      </c>
      <c r="D88" s="451">
        <v>0.18</v>
      </c>
      <c r="E88" s="451">
        <v>0.15</v>
      </c>
      <c r="F88" s="452">
        <v>0.17</v>
      </c>
      <c r="G88" s="35"/>
      <c r="H88" s="35"/>
      <c r="I88" s="250"/>
      <c r="J88" s="466" t="s">
        <v>316</v>
      </c>
      <c r="K88" s="457">
        <v>0.2</v>
      </c>
      <c r="L88" s="460">
        <v>0.05</v>
      </c>
      <c r="M88" s="463"/>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44"/>
      <c r="C89" s="442" t="s">
        <v>176</v>
      </c>
      <c r="D89" s="445">
        <v>0.11</v>
      </c>
      <c r="E89" s="445">
        <v>0.11</v>
      </c>
      <c r="F89" s="446">
        <v>0.06</v>
      </c>
      <c r="G89" s="35"/>
      <c r="H89" s="35"/>
      <c r="I89" s="250"/>
      <c r="J89" s="455" t="s">
        <v>317</v>
      </c>
      <c r="K89" s="458">
        <v>0</v>
      </c>
      <c r="L89" s="461">
        <v>0.2</v>
      </c>
      <c r="M89" s="463"/>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44"/>
      <c r="C90" s="442" t="s">
        <v>179</v>
      </c>
      <c r="D90" s="445">
        <v>0.09</v>
      </c>
      <c r="E90" s="445">
        <v>0.08</v>
      </c>
      <c r="F90" s="446">
        <v>0.06</v>
      </c>
      <c r="G90" s="35"/>
      <c r="H90" s="35"/>
      <c r="I90" s="250"/>
      <c r="J90" s="455" t="s">
        <v>318</v>
      </c>
      <c r="K90" s="458">
        <v>0.2</v>
      </c>
      <c r="L90" s="461">
        <v>0.05</v>
      </c>
      <c r="M90" s="463"/>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44"/>
      <c r="C91" s="442" t="s">
        <v>178</v>
      </c>
      <c r="D91" s="445">
        <v>0.11</v>
      </c>
      <c r="E91" s="445">
        <v>0.1</v>
      </c>
      <c r="F91" s="446">
        <v>7.0000000000000007E-2</v>
      </c>
      <c r="G91" s="35"/>
      <c r="H91" s="35"/>
      <c r="I91" s="250"/>
      <c r="J91" s="455" t="s">
        <v>319</v>
      </c>
      <c r="K91" s="458">
        <v>0.2</v>
      </c>
      <c r="L91" s="461">
        <v>0.05</v>
      </c>
      <c r="M91" s="463"/>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44"/>
      <c r="C92" s="442" t="s">
        <v>180</v>
      </c>
      <c r="D92" s="445">
        <v>0.15</v>
      </c>
      <c r="E92" s="445">
        <v>0.13</v>
      </c>
      <c r="F92" s="446">
        <v>0.1</v>
      </c>
      <c r="G92" s="35"/>
      <c r="H92" s="35"/>
      <c r="I92" s="250"/>
      <c r="J92" s="455" t="s">
        <v>320</v>
      </c>
      <c r="K92" s="458">
        <v>0.15</v>
      </c>
      <c r="L92" s="461">
        <v>0.1</v>
      </c>
      <c r="M92" s="463"/>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44"/>
      <c r="C93" s="442" t="s">
        <v>181</v>
      </c>
      <c r="D93" s="445">
        <v>0.11</v>
      </c>
      <c r="E93" s="445">
        <v>0.09</v>
      </c>
      <c r="F93" s="446">
        <v>7.0000000000000007E-2</v>
      </c>
      <c r="G93" s="35"/>
      <c r="H93" s="35"/>
      <c r="I93" s="250"/>
      <c r="J93" s="455" t="s">
        <v>321</v>
      </c>
      <c r="K93" s="458">
        <v>0</v>
      </c>
      <c r="L93" s="461">
        <v>0.3</v>
      </c>
      <c r="M93" s="463"/>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44"/>
      <c r="C94" s="442" t="s">
        <v>182</v>
      </c>
      <c r="D94" s="445">
        <v>0.17</v>
      </c>
      <c r="E94" s="445">
        <v>0.15</v>
      </c>
      <c r="F94" s="446">
        <v>0.13</v>
      </c>
      <c r="G94" s="35"/>
      <c r="H94" s="35"/>
      <c r="I94" s="250"/>
      <c r="J94" s="455" t="s">
        <v>322</v>
      </c>
      <c r="K94" s="458">
        <v>0.2</v>
      </c>
      <c r="L94" s="461">
        <v>0.05</v>
      </c>
      <c r="M94" s="463"/>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44"/>
      <c r="C95" s="442" t="s">
        <v>11</v>
      </c>
      <c r="D95" s="445">
        <v>0.12</v>
      </c>
      <c r="E95" s="445">
        <v>0.12</v>
      </c>
      <c r="F95" s="446">
        <v>0.05</v>
      </c>
      <c r="G95" s="35"/>
      <c r="H95" s="35"/>
      <c r="I95" s="250"/>
      <c r="J95" s="455" t="s">
        <v>323</v>
      </c>
      <c r="K95" s="458">
        <v>0</v>
      </c>
      <c r="L95" s="461">
        <v>0.15</v>
      </c>
      <c r="M95" s="463"/>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44"/>
      <c r="C96" s="442" t="s">
        <v>183</v>
      </c>
      <c r="D96" s="445">
        <v>0.14000000000000001</v>
      </c>
      <c r="E96" s="445">
        <v>0.1</v>
      </c>
      <c r="F96" s="446">
        <v>0.08</v>
      </c>
      <c r="G96" s="35"/>
      <c r="H96" s="35"/>
      <c r="I96" s="250"/>
      <c r="J96" s="456" t="s">
        <v>327</v>
      </c>
      <c r="K96" s="459">
        <v>0.05</v>
      </c>
      <c r="L96" s="46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44"/>
      <c r="C97" s="442" t="s">
        <v>184</v>
      </c>
      <c r="D97" s="445">
        <v>0.11</v>
      </c>
      <c r="E97" s="445">
        <v>0.1</v>
      </c>
      <c r="F97" s="446">
        <v>0.08</v>
      </c>
      <c r="G97" s="35"/>
      <c r="H97" s="35"/>
      <c r="I97" s="250"/>
      <c r="J97" s="465" t="s">
        <v>325</v>
      </c>
      <c r="K97" s="464">
        <f>SUM(K88:K96)</f>
        <v>1.0000000000000002</v>
      </c>
      <c r="L97" s="464">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44"/>
      <c r="C98" s="442" t="s">
        <v>185</v>
      </c>
      <c r="D98" s="445">
        <v>0.11</v>
      </c>
      <c r="E98" s="445">
        <v>0.1</v>
      </c>
      <c r="F98" s="446">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44"/>
      <c r="C99" s="442" t="s">
        <v>186</v>
      </c>
      <c r="D99" s="445">
        <v>0.37</v>
      </c>
      <c r="E99" s="445">
        <v>0.35</v>
      </c>
      <c r="F99" s="446">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44"/>
      <c r="C100" s="442" t="s">
        <v>190</v>
      </c>
      <c r="D100" s="445">
        <v>0.11</v>
      </c>
      <c r="E100" s="445">
        <v>0.08</v>
      </c>
      <c r="F100" s="446">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44"/>
      <c r="C101" s="442" t="s">
        <v>187</v>
      </c>
      <c r="D101" s="445">
        <v>0.09</v>
      </c>
      <c r="E101" s="445">
        <v>7.0000000000000007E-2</v>
      </c>
      <c r="F101" s="446">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44"/>
      <c r="C102" s="442" t="s">
        <v>188</v>
      </c>
      <c r="D102" s="445">
        <v>0.11</v>
      </c>
      <c r="E102" s="445">
        <v>0.08</v>
      </c>
      <c r="F102" s="446">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44"/>
      <c r="C103" s="442" t="s">
        <v>189</v>
      </c>
      <c r="D103" s="445">
        <v>0.11</v>
      </c>
      <c r="E103" s="445">
        <v>0.09</v>
      </c>
      <c r="F103" s="446">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44"/>
      <c r="C104" s="442" t="s">
        <v>191</v>
      </c>
      <c r="D104" s="445">
        <v>0.11</v>
      </c>
      <c r="E104" s="445">
        <v>0.09</v>
      </c>
      <c r="F104" s="446">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44"/>
      <c r="C105" s="442" t="s">
        <v>192</v>
      </c>
      <c r="D105" s="445">
        <v>0.09</v>
      </c>
      <c r="E105" s="445">
        <v>0.09</v>
      </c>
      <c r="F105" s="446">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44"/>
      <c r="C106" s="442" t="s">
        <v>193</v>
      </c>
      <c r="D106" s="445">
        <v>0.08</v>
      </c>
      <c r="E106" s="445">
        <v>0.08</v>
      </c>
      <c r="F106" s="446">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44"/>
      <c r="C107" s="442" t="s">
        <v>196</v>
      </c>
      <c r="D107" s="445">
        <v>0.15</v>
      </c>
      <c r="E107" s="445">
        <v>0.14000000000000001</v>
      </c>
      <c r="F107" s="446">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44"/>
      <c r="C108" s="442" t="s">
        <v>195</v>
      </c>
      <c r="D108" s="445">
        <v>0.13</v>
      </c>
      <c r="E108" s="445">
        <v>0.1</v>
      </c>
      <c r="F108" s="446">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44"/>
      <c r="C109" s="442" t="s">
        <v>194</v>
      </c>
      <c r="D109" s="445">
        <v>0.15</v>
      </c>
      <c r="E109" s="445">
        <v>0.12</v>
      </c>
      <c r="F109" s="446">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44"/>
      <c r="C110" s="442" t="s">
        <v>197</v>
      </c>
      <c r="D110" s="445">
        <v>0.14000000000000001</v>
      </c>
      <c r="E110" s="445">
        <v>0.11</v>
      </c>
      <c r="F110" s="446">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44"/>
      <c r="C111" s="442" t="s">
        <v>198</v>
      </c>
      <c r="D111" s="445">
        <v>0.11</v>
      </c>
      <c r="E111" s="445">
        <v>0.09</v>
      </c>
      <c r="F111" s="446">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44"/>
      <c r="C112" s="442" t="s">
        <v>200</v>
      </c>
      <c r="D112" s="445">
        <v>0.1</v>
      </c>
      <c r="E112" s="445">
        <v>0.08</v>
      </c>
      <c r="F112" s="446">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44"/>
      <c r="C113" s="442" t="s">
        <v>199</v>
      </c>
      <c r="D113" s="445">
        <v>0.1</v>
      </c>
      <c r="E113" s="445">
        <v>0.09</v>
      </c>
      <c r="F113" s="446">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44"/>
      <c r="C114" s="442" t="s">
        <v>201</v>
      </c>
      <c r="D114" s="445">
        <v>0.1</v>
      </c>
      <c r="E114" s="445">
        <v>0.09</v>
      </c>
      <c r="F114" s="446">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44"/>
      <c r="C115" s="442" t="s">
        <v>208</v>
      </c>
      <c r="D115" s="445">
        <v>0.11</v>
      </c>
      <c r="E115" s="445">
        <v>0.09</v>
      </c>
      <c r="F115" s="446">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44"/>
      <c r="C116" s="442" t="s">
        <v>209</v>
      </c>
      <c r="D116" s="445">
        <v>0.09</v>
      </c>
      <c r="E116" s="445">
        <v>0.08</v>
      </c>
      <c r="F116" s="446">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44"/>
      <c r="C117" s="442" t="s">
        <v>202</v>
      </c>
      <c r="D117" s="445">
        <v>0.1</v>
      </c>
      <c r="E117" s="445">
        <v>0.08</v>
      </c>
      <c r="F117" s="446">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44"/>
      <c r="C118" s="442" t="s">
        <v>204</v>
      </c>
      <c r="D118" s="445">
        <v>0.16</v>
      </c>
      <c r="E118" s="445">
        <v>0.13</v>
      </c>
      <c r="F118" s="446">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44"/>
      <c r="C119" s="442" t="s">
        <v>205</v>
      </c>
      <c r="D119" s="445">
        <v>0.16</v>
      </c>
      <c r="E119" s="445">
        <v>0.13</v>
      </c>
      <c r="F119" s="446">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44"/>
      <c r="C120" s="442" t="s">
        <v>206</v>
      </c>
      <c r="D120" s="445">
        <v>0.11</v>
      </c>
      <c r="E120" s="445">
        <v>0.09</v>
      </c>
      <c r="F120" s="446">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44"/>
      <c r="C121" s="442" t="s">
        <v>203</v>
      </c>
      <c r="D121" s="445">
        <v>0.12</v>
      </c>
      <c r="E121" s="445">
        <v>0.09</v>
      </c>
      <c r="F121" s="446">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44"/>
      <c r="C122" s="442" t="s">
        <v>207</v>
      </c>
      <c r="D122" s="445">
        <v>0.18</v>
      </c>
      <c r="E122" s="445">
        <v>0.15</v>
      </c>
      <c r="F122" s="446">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44"/>
      <c r="C123" s="442" t="s">
        <v>210</v>
      </c>
      <c r="D123" s="445">
        <v>0.12</v>
      </c>
      <c r="E123" s="445">
        <v>0.09</v>
      </c>
      <c r="F123" s="446">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44"/>
      <c r="C124" s="442" t="s">
        <v>211</v>
      </c>
      <c r="D124" s="445">
        <v>0.1</v>
      </c>
      <c r="E124" s="445">
        <v>7.0000000000000007E-2</v>
      </c>
      <c r="F124" s="446">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44"/>
      <c r="C125" s="442" t="s">
        <v>212</v>
      </c>
      <c r="D125" s="445">
        <v>0.1</v>
      </c>
      <c r="E125" s="445">
        <v>0.08</v>
      </c>
      <c r="F125" s="446">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44"/>
      <c r="C126" s="442" t="s">
        <v>213</v>
      </c>
      <c r="D126" s="445">
        <v>0.13</v>
      </c>
      <c r="E126" s="445">
        <v>0.09</v>
      </c>
      <c r="F126" s="446">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44"/>
      <c r="C127" s="442" t="s">
        <v>214</v>
      </c>
      <c r="D127" s="445">
        <v>0.14000000000000001</v>
      </c>
      <c r="E127" s="445">
        <v>0.12</v>
      </c>
      <c r="F127" s="446">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44"/>
      <c r="C128" s="442" t="s">
        <v>215</v>
      </c>
      <c r="D128" s="445">
        <v>0.12</v>
      </c>
      <c r="E128" s="445">
        <v>0.1</v>
      </c>
      <c r="F128" s="446">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44"/>
      <c r="C129" s="442" t="s">
        <v>216</v>
      </c>
      <c r="D129" s="445">
        <v>0.1</v>
      </c>
      <c r="E129" s="445">
        <v>0.08</v>
      </c>
      <c r="F129" s="446">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44"/>
      <c r="C130" s="442" t="s">
        <v>217</v>
      </c>
      <c r="D130" s="445">
        <v>0.1</v>
      </c>
      <c r="E130" s="445">
        <v>0.1</v>
      </c>
      <c r="F130" s="446">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44"/>
      <c r="C131" s="442" t="s">
        <v>218</v>
      </c>
      <c r="D131" s="445">
        <v>0.11</v>
      </c>
      <c r="E131" s="445">
        <v>0.08</v>
      </c>
      <c r="F131" s="446">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44"/>
      <c r="C132" s="442" t="s">
        <v>219</v>
      </c>
      <c r="D132" s="445">
        <v>0.1</v>
      </c>
      <c r="E132" s="445">
        <v>0.08</v>
      </c>
      <c r="F132" s="446">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44"/>
      <c r="C133" s="442" t="s">
        <v>221</v>
      </c>
      <c r="D133" s="445">
        <v>0.11</v>
      </c>
      <c r="E133" s="445">
        <v>0.08</v>
      </c>
      <c r="F133" s="446">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44"/>
      <c r="C134" s="442" t="s">
        <v>220</v>
      </c>
      <c r="D134" s="445">
        <v>0.17</v>
      </c>
      <c r="E134" s="445">
        <v>0.14000000000000001</v>
      </c>
      <c r="F134" s="446">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44"/>
      <c r="C135" s="442" t="s">
        <v>222</v>
      </c>
      <c r="D135" s="445">
        <v>0.09</v>
      </c>
      <c r="E135" s="445">
        <v>0.08</v>
      </c>
      <c r="F135" s="446">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44"/>
      <c r="C136" s="442" t="s">
        <v>224</v>
      </c>
      <c r="D136" s="445">
        <v>0.13</v>
      </c>
      <c r="E136" s="445">
        <v>0.11</v>
      </c>
      <c r="F136" s="446">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44"/>
      <c r="C137" s="442" t="s">
        <v>223</v>
      </c>
      <c r="D137" s="445">
        <v>0.1</v>
      </c>
      <c r="E137" s="445">
        <v>0.08</v>
      </c>
      <c r="F137" s="446">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44"/>
      <c r="C138" s="443" t="s">
        <v>225</v>
      </c>
      <c r="D138" s="447">
        <v>0.1</v>
      </c>
      <c r="E138" s="447">
        <v>0.08</v>
      </c>
      <c r="F138" s="448">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7" zoomScale="70" zoomScaleNormal="70" zoomScalePageLayoutView="70" workbookViewId="0">
      <selection activeCell="I71" sqref="I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28"/>
      <c r="C14" s="429" t="s">
        <v>118</v>
      </c>
      <c r="D14" s="430"/>
      <c r="E14" s="430"/>
      <c r="F14" s="430"/>
      <c r="G14" s="430"/>
      <c r="H14" s="430"/>
      <c r="I14" s="430"/>
      <c r="J14" s="430"/>
      <c r="K14" s="430"/>
      <c r="L14" s="429" t="s">
        <v>123</v>
      </c>
      <c r="M14" s="430"/>
      <c r="N14" s="430"/>
      <c r="O14" s="430"/>
      <c r="P14" s="430"/>
      <c r="Q14" s="430"/>
      <c r="R14" s="430"/>
      <c r="S14" s="430"/>
      <c r="T14" s="430"/>
      <c r="U14" s="429" t="s">
        <v>119</v>
      </c>
      <c r="V14" s="430"/>
      <c r="W14" s="430"/>
      <c r="X14" s="430"/>
      <c r="Y14" s="430"/>
      <c r="Z14" s="430"/>
      <c r="AA14" s="430"/>
      <c r="AB14" s="430"/>
      <c r="AC14" s="430"/>
      <c r="AD14" s="429" t="s">
        <v>228</v>
      </c>
      <c r="AE14" s="430"/>
      <c r="AF14" s="431"/>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32"/>
      <c r="C15" s="536" t="s">
        <v>120</v>
      </c>
      <c r="D15" s="535"/>
      <c r="E15" s="535"/>
      <c r="F15" s="535" t="s">
        <v>121</v>
      </c>
      <c r="G15" s="535"/>
      <c r="H15" s="535"/>
      <c r="I15" s="535" t="s">
        <v>122</v>
      </c>
      <c r="J15" s="537"/>
      <c r="K15" s="537"/>
      <c r="L15" s="536" t="s">
        <v>120</v>
      </c>
      <c r="M15" s="535"/>
      <c r="N15" s="535"/>
      <c r="O15" s="535" t="s">
        <v>121</v>
      </c>
      <c r="P15" s="535"/>
      <c r="Q15" s="535"/>
      <c r="R15" s="535" t="s">
        <v>122</v>
      </c>
      <c r="S15" s="537"/>
      <c r="T15" s="537"/>
      <c r="U15" s="536" t="s">
        <v>120</v>
      </c>
      <c r="V15" s="535"/>
      <c r="W15" s="535"/>
      <c r="X15" s="535" t="s">
        <v>121</v>
      </c>
      <c r="Y15" s="535"/>
      <c r="Z15" s="535"/>
      <c r="AA15" s="535" t="s">
        <v>122</v>
      </c>
      <c r="AB15" s="535"/>
      <c r="AC15" s="535"/>
      <c r="AD15" s="235" t="s">
        <v>120</v>
      </c>
      <c r="AE15" s="236" t="s">
        <v>121</v>
      </c>
      <c r="AF15" s="433"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34"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35"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26"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36">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26"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36">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26"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36">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26"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36">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26"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36">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26"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36">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26"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36">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26"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36">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26"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36">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26"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36">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26"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36">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26"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36">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26"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36">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26"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36">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26"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36">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26"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36">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26"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36">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26"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36">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26"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36">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26"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36">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26"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36">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26"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36">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26"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36">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26"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36">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26"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36">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26"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36">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26"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36">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26"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36">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26"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36">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26"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36">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26"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36">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26"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36">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26"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36">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26"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36">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26"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36">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26"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36">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26"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36">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26"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36">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26"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36">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26"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36">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26"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36">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26"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36">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26"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36">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26"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36">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26"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36">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26"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36">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26"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36">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26"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36">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26"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36">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26"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36">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27" t="s">
        <v>225</v>
      </c>
      <c r="C67" s="437"/>
      <c r="D67" s="438"/>
      <c r="E67" s="439"/>
      <c r="F67" s="440"/>
      <c r="G67" s="438"/>
      <c r="H67" s="439"/>
      <c r="I67" s="440"/>
      <c r="J67" s="438"/>
      <c r="K67" s="438"/>
      <c r="L67" s="438"/>
      <c r="M67" s="438"/>
      <c r="N67" s="438"/>
      <c r="O67" s="438"/>
      <c r="P67" s="438"/>
      <c r="Q67" s="438"/>
      <c r="R67" s="438"/>
      <c r="S67" s="438"/>
      <c r="T67" s="438"/>
      <c r="U67" s="438"/>
      <c r="V67" s="438"/>
      <c r="W67" s="438"/>
      <c r="X67" s="438"/>
      <c r="Y67" s="438"/>
      <c r="Z67" s="438"/>
      <c r="AA67" s="438"/>
      <c r="AB67" s="438"/>
      <c r="AC67" s="438"/>
      <c r="AD67" s="438">
        <v>4000</v>
      </c>
      <c r="AE67" s="438">
        <v>4000</v>
      </c>
      <c r="AF67" s="441">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09"/>
      <c r="B71" s="250"/>
      <c r="C71" s="250"/>
      <c r="D71" s="250"/>
      <c r="E71" s="250"/>
      <c r="F71" s="250"/>
      <c r="G71" s="250"/>
      <c r="H71" s="250"/>
      <c r="I71" s="250"/>
      <c r="J71" s="250"/>
      <c r="K71" s="250"/>
      <c r="L71" s="250"/>
      <c r="M71" s="250"/>
      <c r="N71" s="250"/>
      <c r="O71" s="250"/>
      <c r="P71" s="250"/>
      <c r="Q71" s="250"/>
      <c r="R71" s="250"/>
      <c r="S71" s="250"/>
      <c r="T71" s="250"/>
      <c r="U71" s="250"/>
      <c r="V71" s="250"/>
      <c r="W71" s="250"/>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250"/>
      <c r="C72" s="250"/>
      <c r="D72" s="250"/>
      <c r="E72" s="250"/>
      <c r="F72" s="250"/>
      <c r="G72" s="250"/>
      <c r="H72" s="250"/>
      <c r="I72" s="250"/>
      <c r="J72" s="250"/>
      <c r="K72" s="250"/>
      <c r="L72" s="250"/>
      <c r="M72" s="250"/>
      <c r="N72" s="250"/>
      <c r="O72" s="250"/>
      <c r="P72" s="250"/>
      <c r="Q72" s="250"/>
      <c r="R72" s="250"/>
      <c r="S72" s="250"/>
      <c r="T72" s="250"/>
      <c r="U72" s="250"/>
      <c r="V72" s="250"/>
      <c r="W72" s="250"/>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250"/>
      <c r="C73" s="250"/>
      <c r="D73" s="250"/>
      <c r="E73" s="250"/>
      <c r="F73" s="250"/>
      <c r="G73" s="250"/>
      <c r="H73" s="250"/>
      <c r="I73" s="250"/>
      <c r="J73" s="250"/>
      <c r="K73" s="250"/>
      <c r="L73" s="250"/>
      <c r="M73" s="250"/>
      <c r="N73" s="250"/>
      <c r="O73" s="250"/>
      <c r="P73" s="250"/>
      <c r="Q73" s="250"/>
      <c r="R73" s="250"/>
      <c r="S73" s="250"/>
      <c r="T73" s="250"/>
      <c r="U73" s="250"/>
      <c r="V73" s="250"/>
      <c r="W73" s="250"/>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250"/>
      <c r="C74" s="250"/>
      <c r="D74" s="250"/>
      <c r="E74" s="250"/>
      <c r="F74" s="250"/>
      <c r="G74" s="250"/>
      <c r="H74" s="250"/>
      <c r="I74" s="250"/>
      <c r="J74" s="250"/>
      <c r="K74" s="250"/>
      <c r="L74" s="250"/>
      <c r="M74" s="250"/>
      <c r="N74" s="250"/>
      <c r="O74" s="250"/>
      <c r="P74" s="250"/>
      <c r="Q74" s="250"/>
      <c r="R74" s="250"/>
      <c r="S74" s="250"/>
      <c r="T74" s="250"/>
      <c r="U74" s="250"/>
      <c r="V74" s="250"/>
      <c r="W74" s="250"/>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250"/>
      <c r="C75" s="250"/>
      <c r="D75" s="250"/>
      <c r="E75" s="250"/>
      <c r="F75" s="250"/>
      <c r="G75" s="250"/>
      <c r="H75" s="250"/>
      <c r="I75" s="250"/>
      <c r="J75" s="250"/>
      <c r="K75" s="250"/>
      <c r="L75" s="250"/>
      <c r="M75" s="250"/>
      <c r="N75" s="250"/>
      <c r="O75" s="250"/>
      <c r="P75" s="250"/>
      <c r="Q75" s="250"/>
      <c r="R75" s="250"/>
      <c r="S75" s="250"/>
      <c r="T75" s="250"/>
      <c r="U75" s="250"/>
      <c r="V75" s="250"/>
      <c r="W75" s="250"/>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250"/>
      <c r="C76" s="250"/>
      <c r="D76" s="250"/>
      <c r="E76" s="250"/>
      <c r="F76" s="250"/>
      <c r="G76" s="250"/>
      <c r="H76" s="250"/>
      <c r="I76" s="250"/>
      <c r="J76" s="250"/>
      <c r="K76" s="250"/>
      <c r="L76" s="250"/>
      <c r="M76" s="250"/>
      <c r="N76" s="250"/>
      <c r="O76" s="250"/>
      <c r="P76" s="250"/>
      <c r="Q76" s="250"/>
      <c r="R76" s="250"/>
      <c r="S76" s="250"/>
      <c r="T76" s="250"/>
      <c r="U76" s="250"/>
      <c r="V76" s="250"/>
      <c r="W76" s="250"/>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250"/>
      <c r="C77" s="250"/>
      <c r="D77" s="250"/>
      <c r="E77" s="250"/>
      <c r="F77" s="250"/>
      <c r="G77" s="250"/>
      <c r="H77" s="250"/>
      <c r="I77" s="250"/>
      <c r="J77" s="250"/>
      <c r="K77" s="250"/>
      <c r="L77" s="250"/>
      <c r="M77" s="250"/>
      <c r="N77" s="250"/>
      <c r="O77" s="250"/>
      <c r="P77" s="250"/>
      <c r="Q77" s="250"/>
      <c r="R77" s="250"/>
      <c r="S77" s="250"/>
      <c r="T77" s="250"/>
      <c r="U77" s="250"/>
      <c r="V77" s="250"/>
      <c r="W77" s="250"/>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250"/>
      <c r="C78" s="250"/>
      <c r="D78" s="250"/>
      <c r="E78" s="250"/>
      <c r="F78" s="250"/>
      <c r="G78" s="250"/>
      <c r="H78" s="250"/>
      <c r="I78" s="250"/>
      <c r="J78" s="250"/>
      <c r="K78" s="250"/>
      <c r="L78" s="250"/>
      <c r="M78" s="250"/>
      <c r="N78" s="250"/>
      <c r="O78" s="250"/>
      <c r="P78" s="250"/>
      <c r="Q78" s="250"/>
      <c r="R78" s="250"/>
      <c r="S78" s="250"/>
      <c r="T78" s="250"/>
      <c r="U78" s="250"/>
      <c r="V78" s="250"/>
      <c r="W78" s="250"/>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250"/>
      <c r="C79" s="250"/>
      <c r="D79" s="250"/>
      <c r="E79" s="250"/>
      <c r="F79" s="250"/>
      <c r="G79" s="250"/>
      <c r="H79" s="250"/>
      <c r="I79" s="250"/>
      <c r="J79" s="250"/>
      <c r="K79" s="250"/>
      <c r="L79" s="250"/>
      <c r="M79" s="250"/>
      <c r="N79" s="250"/>
      <c r="O79" s="250"/>
      <c r="P79" s="250"/>
      <c r="Q79" s="250"/>
      <c r="R79" s="250"/>
      <c r="S79" s="250"/>
      <c r="T79" s="250"/>
      <c r="U79" s="250"/>
      <c r="V79" s="250"/>
      <c r="W79" s="250"/>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250"/>
      <c r="C80" s="250"/>
      <c r="D80" s="250"/>
      <c r="E80" s="250"/>
      <c r="F80" s="250"/>
      <c r="G80" s="250"/>
      <c r="H80" s="250"/>
      <c r="I80" s="250"/>
      <c r="J80" s="250"/>
      <c r="K80" s="250"/>
      <c r="L80" s="250"/>
      <c r="M80" s="250"/>
      <c r="N80" s="250"/>
      <c r="O80" s="250"/>
      <c r="P80" s="250"/>
      <c r="Q80" s="250"/>
      <c r="R80" s="250"/>
      <c r="S80" s="250"/>
      <c r="T80" s="250"/>
      <c r="U80" s="250"/>
      <c r="V80" s="250"/>
      <c r="W80" s="250"/>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250"/>
      <c r="C81" s="250"/>
      <c r="D81" s="250"/>
      <c r="E81" s="250"/>
      <c r="F81" s="250"/>
      <c r="G81" s="250"/>
      <c r="H81" s="250"/>
      <c r="I81" s="250"/>
      <c r="J81" s="250"/>
      <c r="K81" s="250"/>
      <c r="L81" s="250"/>
      <c r="M81" s="250"/>
      <c r="N81" s="250"/>
      <c r="O81" s="250"/>
      <c r="P81" s="250"/>
      <c r="Q81" s="250"/>
      <c r="R81" s="250"/>
      <c r="S81" s="250"/>
      <c r="T81" s="250"/>
      <c r="U81" s="250"/>
      <c r="V81" s="250"/>
      <c r="W81" s="250"/>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250"/>
      <c r="C82" s="250"/>
      <c r="D82" s="250"/>
      <c r="E82" s="250"/>
      <c r="F82" s="250"/>
      <c r="G82" s="250"/>
      <c r="H82" s="250"/>
      <c r="I82" s="250"/>
      <c r="J82" s="250"/>
      <c r="K82" s="250"/>
      <c r="L82" s="250"/>
      <c r="M82" s="250"/>
      <c r="N82" s="250"/>
      <c r="O82" s="250"/>
      <c r="P82" s="250"/>
      <c r="Q82" s="250"/>
      <c r="R82" s="250"/>
      <c r="S82" s="250"/>
      <c r="T82" s="250"/>
      <c r="U82" s="250"/>
      <c r="V82" s="250"/>
      <c r="W82" s="250"/>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250"/>
      <c r="C83" s="250"/>
      <c r="D83" s="250"/>
      <c r="E83" s="250"/>
      <c r="F83" s="250"/>
      <c r="G83" s="250"/>
      <c r="H83" s="250"/>
      <c r="I83" s="250"/>
      <c r="J83" s="250"/>
      <c r="K83" s="250"/>
      <c r="L83" s="250"/>
      <c r="M83" s="250"/>
      <c r="N83" s="250"/>
      <c r="O83" s="250"/>
      <c r="P83" s="250"/>
      <c r="Q83" s="250"/>
      <c r="R83" s="250"/>
      <c r="S83" s="250"/>
      <c r="T83" s="250"/>
      <c r="U83" s="250"/>
      <c r="V83" s="250"/>
      <c r="W83" s="250"/>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250"/>
      <c r="C84" s="250"/>
      <c r="D84" s="250"/>
      <c r="E84" s="250"/>
      <c r="F84" s="250"/>
      <c r="G84" s="250"/>
      <c r="H84" s="250"/>
      <c r="I84" s="250"/>
      <c r="J84" s="250"/>
      <c r="K84" s="250"/>
      <c r="L84" s="250"/>
      <c r="M84" s="250"/>
      <c r="N84" s="250"/>
      <c r="O84" s="250"/>
      <c r="P84" s="250"/>
      <c r="Q84" s="250"/>
      <c r="R84" s="250"/>
      <c r="S84" s="250"/>
      <c r="T84" s="250"/>
      <c r="U84" s="250"/>
      <c r="V84" s="250"/>
      <c r="W84" s="250"/>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250"/>
      <c r="C85" s="250"/>
      <c r="D85" s="250"/>
      <c r="E85" s="250"/>
      <c r="F85" s="250"/>
      <c r="G85" s="250"/>
      <c r="H85" s="250"/>
      <c r="I85" s="250"/>
      <c r="J85" s="250"/>
      <c r="K85" s="250"/>
      <c r="L85" s="250"/>
      <c r="M85" s="250"/>
      <c r="N85" s="250"/>
      <c r="O85" s="250"/>
      <c r="P85" s="250"/>
      <c r="Q85" s="250"/>
      <c r="R85" s="250"/>
      <c r="S85" s="250"/>
      <c r="T85" s="250"/>
      <c r="U85" s="250"/>
      <c r="V85" s="250"/>
      <c r="W85" s="250"/>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250"/>
      <c r="C86" s="250"/>
      <c r="D86" s="250"/>
      <c r="E86" s="250"/>
      <c r="F86" s="250"/>
      <c r="G86" s="250"/>
      <c r="H86" s="250"/>
      <c r="I86" s="250"/>
      <c r="J86" s="250"/>
      <c r="K86" s="250"/>
      <c r="L86" s="250"/>
      <c r="M86" s="250"/>
      <c r="N86" s="250"/>
      <c r="O86" s="250"/>
      <c r="P86" s="250"/>
      <c r="Q86" s="250"/>
      <c r="R86" s="250"/>
      <c r="S86" s="250"/>
      <c r="T86" s="250"/>
      <c r="U86" s="250"/>
      <c r="V86" s="250"/>
      <c r="W86" s="250"/>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250"/>
      <c r="C87" s="250"/>
      <c r="D87" s="250"/>
      <c r="E87" s="250"/>
      <c r="F87" s="250"/>
      <c r="G87" s="250"/>
      <c r="H87" s="250"/>
      <c r="I87" s="250"/>
      <c r="J87" s="250"/>
      <c r="K87" s="250"/>
      <c r="L87" s="250"/>
      <c r="M87" s="250"/>
      <c r="N87" s="250"/>
      <c r="O87" s="250"/>
      <c r="P87" s="250"/>
      <c r="Q87" s="250"/>
      <c r="R87" s="250"/>
      <c r="S87" s="250"/>
      <c r="T87" s="250"/>
      <c r="U87" s="250"/>
      <c r="V87" s="250"/>
      <c r="W87" s="250"/>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250"/>
      <c r="C88" s="250"/>
      <c r="D88" s="250"/>
      <c r="E88" s="250"/>
      <c r="F88" s="250"/>
      <c r="G88" s="250"/>
      <c r="H88" s="250"/>
      <c r="I88" s="250"/>
      <c r="J88" s="250"/>
      <c r="K88" s="250"/>
      <c r="L88" s="250"/>
      <c r="M88" s="250"/>
      <c r="N88" s="250"/>
      <c r="O88" s="250"/>
      <c r="P88" s="250"/>
      <c r="Q88" s="250"/>
      <c r="R88" s="250"/>
      <c r="S88" s="250"/>
      <c r="T88" s="250"/>
      <c r="U88" s="250"/>
      <c r="V88" s="250"/>
      <c r="W88" s="250"/>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250"/>
      <c r="C89" s="250"/>
      <c r="D89" s="250"/>
      <c r="E89" s="250"/>
      <c r="F89" s="250"/>
      <c r="G89" s="250"/>
      <c r="H89" s="250"/>
      <c r="I89" s="250"/>
      <c r="J89" s="250"/>
      <c r="K89" s="250"/>
      <c r="L89" s="250"/>
      <c r="M89" s="250"/>
      <c r="N89" s="250"/>
      <c r="O89" s="250"/>
      <c r="P89" s="250"/>
      <c r="Q89" s="250"/>
      <c r="R89" s="250"/>
      <c r="S89" s="250"/>
      <c r="T89" s="250"/>
      <c r="U89" s="250"/>
      <c r="V89" s="250"/>
      <c r="W89" s="250"/>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250"/>
      <c r="C90" s="250"/>
      <c r="D90" s="250"/>
      <c r="E90" s="250"/>
      <c r="F90" s="250"/>
      <c r="G90" s="250"/>
      <c r="H90" s="250"/>
      <c r="I90" s="250"/>
      <c r="J90" s="250"/>
      <c r="K90" s="250"/>
      <c r="L90" s="250"/>
      <c r="M90" s="250"/>
      <c r="N90" s="250"/>
      <c r="O90" s="250"/>
      <c r="P90" s="250"/>
      <c r="Q90" s="250"/>
      <c r="R90" s="250"/>
      <c r="S90" s="250"/>
      <c r="T90" s="250"/>
      <c r="U90" s="250"/>
      <c r="V90" s="250"/>
      <c r="W90" s="250"/>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250"/>
      <c r="C91" s="250"/>
      <c r="D91" s="250"/>
      <c r="E91" s="250"/>
      <c r="F91" s="250"/>
      <c r="G91" s="250"/>
      <c r="H91" s="250"/>
      <c r="I91" s="250"/>
      <c r="J91" s="250"/>
      <c r="K91" s="250"/>
      <c r="L91" s="250"/>
      <c r="M91" s="250"/>
      <c r="N91" s="250"/>
      <c r="O91" s="250"/>
      <c r="P91" s="250"/>
      <c r="Q91" s="250"/>
      <c r="R91" s="250"/>
      <c r="S91" s="250"/>
      <c r="T91" s="250"/>
      <c r="U91" s="250"/>
      <c r="V91" s="250"/>
      <c r="W91" s="250"/>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250"/>
      <c r="C92" s="250"/>
      <c r="D92" s="250"/>
      <c r="E92" s="250"/>
      <c r="F92" s="250"/>
      <c r="G92" s="250"/>
      <c r="H92" s="250"/>
      <c r="I92" s="250"/>
      <c r="J92" s="250"/>
      <c r="K92" s="250"/>
      <c r="L92" s="250"/>
      <c r="M92" s="250"/>
      <c r="N92" s="250"/>
      <c r="O92" s="250"/>
      <c r="P92" s="250"/>
      <c r="Q92" s="250"/>
      <c r="R92" s="250"/>
      <c r="S92" s="250"/>
      <c r="T92" s="250"/>
      <c r="U92" s="250"/>
      <c r="V92" s="250"/>
      <c r="W92" s="250"/>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250"/>
      <c r="C93" s="250"/>
      <c r="D93" s="250"/>
      <c r="E93" s="250"/>
      <c r="F93" s="250"/>
      <c r="G93" s="250"/>
      <c r="H93" s="250"/>
      <c r="I93" s="250"/>
      <c r="J93" s="250"/>
      <c r="K93" s="250"/>
      <c r="L93" s="250"/>
      <c r="M93" s="250"/>
      <c r="N93" s="250"/>
      <c r="O93" s="250"/>
      <c r="P93" s="250"/>
      <c r="Q93" s="250"/>
      <c r="R93" s="250"/>
      <c r="S93" s="250"/>
      <c r="T93" s="250"/>
      <c r="U93" s="250"/>
      <c r="V93" s="250"/>
      <c r="W93" s="250"/>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250"/>
      <c r="C94" s="250"/>
      <c r="D94" s="250"/>
      <c r="E94" s="250"/>
      <c r="F94" s="250"/>
      <c r="G94" s="250"/>
      <c r="H94" s="250"/>
      <c r="I94" s="250"/>
      <c r="J94" s="250"/>
      <c r="K94" s="250"/>
      <c r="L94" s="250"/>
      <c r="M94" s="250"/>
      <c r="N94" s="250"/>
      <c r="O94" s="250"/>
      <c r="P94" s="250"/>
      <c r="Q94" s="250"/>
      <c r="R94" s="250"/>
      <c r="S94" s="250"/>
      <c r="T94" s="250"/>
      <c r="U94" s="250"/>
      <c r="V94" s="250"/>
      <c r="W94" s="250"/>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250"/>
      <c r="C95" s="250"/>
      <c r="D95" s="250"/>
      <c r="E95" s="250"/>
      <c r="F95" s="250"/>
      <c r="G95" s="250"/>
      <c r="H95" s="250"/>
      <c r="I95" s="250"/>
      <c r="J95" s="250"/>
      <c r="K95" s="250"/>
      <c r="L95" s="250"/>
      <c r="M95" s="250"/>
      <c r="N95" s="250"/>
      <c r="O95" s="250"/>
      <c r="P95" s="250"/>
      <c r="Q95" s="250"/>
      <c r="R95" s="250"/>
      <c r="S95" s="250"/>
      <c r="T95" s="250"/>
      <c r="U95" s="250"/>
      <c r="V95" s="250"/>
      <c r="W95" s="250"/>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250"/>
      <c r="C96" s="250"/>
      <c r="D96" s="250"/>
      <c r="E96" s="250"/>
      <c r="F96" s="250"/>
      <c r="G96" s="250"/>
      <c r="H96" s="250"/>
      <c r="I96" s="250"/>
      <c r="J96" s="250"/>
      <c r="K96" s="250"/>
      <c r="L96" s="250"/>
      <c r="M96" s="250"/>
      <c r="N96" s="250"/>
      <c r="O96" s="250"/>
      <c r="P96" s="250"/>
      <c r="Q96" s="250"/>
      <c r="R96" s="250"/>
      <c r="S96" s="250"/>
      <c r="T96" s="250"/>
      <c r="U96" s="250"/>
      <c r="V96" s="250"/>
      <c r="W96" s="250"/>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250"/>
      <c r="C97" s="250"/>
      <c r="D97" s="250"/>
      <c r="E97" s="250"/>
      <c r="F97" s="250"/>
      <c r="G97" s="250"/>
      <c r="H97" s="250"/>
      <c r="I97" s="250"/>
      <c r="J97" s="250"/>
      <c r="K97" s="250"/>
      <c r="L97" s="250"/>
      <c r="M97" s="250"/>
      <c r="N97" s="250"/>
      <c r="O97" s="250"/>
      <c r="P97" s="250"/>
      <c r="Q97" s="250"/>
      <c r="R97" s="250"/>
      <c r="S97" s="250"/>
      <c r="T97" s="250"/>
      <c r="U97" s="250"/>
      <c r="V97" s="250"/>
      <c r="W97" s="250"/>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250"/>
      <c r="C98" s="250"/>
      <c r="D98" s="250"/>
      <c r="E98" s="250"/>
      <c r="F98" s="250"/>
      <c r="G98" s="250"/>
      <c r="H98" s="250"/>
      <c r="I98" s="250"/>
      <c r="J98" s="250"/>
      <c r="K98" s="250"/>
      <c r="L98" s="250"/>
      <c r="M98" s="250"/>
      <c r="N98" s="250"/>
      <c r="O98" s="250"/>
      <c r="P98" s="250"/>
      <c r="Q98" s="250"/>
      <c r="R98" s="250"/>
      <c r="S98" s="250"/>
      <c r="T98" s="250"/>
      <c r="U98" s="250"/>
      <c r="V98" s="250"/>
      <c r="W98" s="250"/>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250"/>
      <c r="C99" s="250"/>
      <c r="D99" s="250"/>
      <c r="E99" s="250"/>
      <c r="F99" s="250"/>
      <c r="G99" s="250"/>
      <c r="H99" s="250"/>
      <c r="I99" s="250"/>
      <c r="J99" s="250"/>
      <c r="K99" s="250"/>
      <c r="L99" s="250"/>
      <c r="M99" s="250"/>
      <c r="N99" s="250"/>
      <c r="O99" s="250"/>
      <c r="P99" s="250"/>
      <c r="Q99" s="250"/>
      <c r="R99" s="250"/>
      <c r="S99" s="250"/>
      <c r="T99" s="250"/>
      <c r="U99" s="250"/>
      <c r="V99" s="250"/>
      <c r="W99" s="250"/>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250"/>
      <c r="C100" s="250"/>
      <c r="D100" s="250"/>
      <c r="E100" s="250"/>
      <c r="F100" s="250"/>
      <c r="G100" s="250"/>
      <c r="H100" s="250"/>
      <c r="I100" s="250"/>
      <c r="J100" s="250"/>
      <c r="K100" s="250"/>
      <c r="L100" s="250"/>
      <c r="M100" s="250"/>
      <c r="N100" s="250"/>
      <c r="O100" s="250"/>
      <c r="P100" s="250"/>
      <c r="Q100" s="250"/>
      <c r="R100" s="250"/>
      <c r="S100" s="250"/>
      <c r="T100" s="250"/>
      <c r="U100" s="250"/>
      <c r="V100" s="250"/>
      <c r="W100" s="250"/>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250"/>
      <c r="C102" s="250"/>
      <c r="D102" s="250"/>
      <c r="E102" s="250"/>
      <c r="F102" s="250"/>
      <c r="G102" s="250"/>
      <c r="H102" s="250"/>
      <c r="I102" s="250"/>
      <c r="J102" s="250"/>
      <c r="K102" s="250"/>
      <c r="L102" s="250"/>
      <c r="M102" s="250"/>
      <c r="N102" s="250"/>
      <c r="O102" s="250"/>
      <c r="P102" s="250"/>
      <c r="Q102" s="250"/>
      <c r="R102" s="250"/>
      <c r="S102" s="250"/>
      <c r="T102" s="250"/>
      <c r="U102" s="250"/>
      <c r="V102" s="250"/>
      <c r="W102" s="250"/>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250"/>
      <c r="C103" s="250"/>
      <c r="D103" s="250"/>
      <c r="E103" s="250"/>
      <c r="F103" s="250"/>
      <c r="G103" s="250"/>
      <c r="H103" s="250"/>
      <c r="I103" s="250"/>
      <c r="J103" s="250"/>
      <c r="K103" s="250"/>
      <c r="L103" s="250"/>
      <c r="M103" s="250"/>
      <c r="N103" s="250"/>
      <c r="O103" s="250"/>
      <c r="P103" s="250"/>
      <c r="Q103" s="250"/>
      <c r="R103" s="250"/>
      <c r="S103" s="250"/>
      <c r="T103" s="250"/>
      <c r="U103" s="250"/>
      <c r="V103" s="250"/>
      <c r="W103" s="250"/>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250"/>
      <c r="C104" s="250"/>
      <c r="D104" s="250"/>
      <c r="E104" s="250"/>
      <c r="F104" s="250"/>
      <c r="G104" s="250"/>
      <c r="H104" s="250"/>
      <c r="I104" s="250"/>
      <c r="J104" s="250"/>
      <c r="K104" s="250"/>
      <c r="L104" s="250"/>
      <c r="M104" s="250"/>
      <c r="N104" s="250"/>
      <c r="O104" s="250"/>
      <c r="P104" s="250"/>
      <c r="Q104" s="250"/>
      <c r="R104" s="250"/>
      <c r="S104" s="250"/>
      <c r="T104" s="250"/>
      <c r="U104" s="250"/>
      <c r="V104" s="250"/>
      <c r="W104" s="250"/>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250"/>
      <c r="C105" s="250"/>
      <c r="D105" s="250"/>
      <c r="E105" s="250"/>
      <c r="F105" s="250"/>
      <c r="G105" s="250"/>
      <c r="H105" s="250"/>
      <c r="I105" s="250"/>
      <c r="J105" s="250"/>
      <c r="K105" s="250"/>
      <c r="L105" s="250"/>
      <c r="M105" s="250"/>
      <c r="N105" s="250"/>
      <c r="O105" s="250"/>
      <c r="P105" s="250"/>
      <c r="Q105" s="250"/>
      <c r="R105" s="250"/>
      <c r="S105" s="250"/>
      <c r="T105" s="250"/>
      <c r="U105" s="250"/>
      <c r="V105" s="250"/>
      <c r="W105" s="250"/>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250"/>
      <c r="C107" s="250"/>
      <c r="D107" s="250"/>
      <c r="E107" s="250"/>
      <c r="F107" s="250"/>
      <c r="G107" s="250"/>
      <c r="H107" s="250"/>
      <c r="I107" s="250"/>
      <c r="J107" s="250"/>
      <c r="K107" s="250"/>
      <c r="L107" s="250"/>
      <c r="M107" s="250"/>
      <c r="N107" s="250"/>
      <c r="O107" s="250"/>
      <c r="P107" s="250"/>
      <c r="Q107" s="250"/>
      <c r="R107" s="250"/>
      <c r="S107" s="250"/>
      <c r="T107" s="250"/>
      <c r="U107" s="250"/>
      <c r="V107" s="250"/>
      <c r="W107" s="250"/>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250"/>
      <c r="C108" s="250"/>
      <c r="D108" s="250"/>
      <c r="E108" s="250"/>
      <c r="F108" s="250"/>
      <c r="G108" s="250"/>
      <c r="H108" s="250"/>
      <c r="I108" s="250"/>
      <c r="J108" s="250"/>
      <c r="K108" s="250"/>
      <c r="L108" s="250"/>
      <c r="M108" s="250"/>
      <c r="N108" s="250"/>
      <c r="O108" s="250"/>
      <c r="P108" s="250"/>
      <c r="Q108" s="250"/>
      <c r="R108" s="250"/>
      <c r="S108" s="250"/>
      <c r="T108" s="250"/>
      <c r="U108" s="250"/>
      <c r="V108" s="250"/>
      <c r="W108" s="250"/>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250"/>
      <c r="C109" s="250"/>
      <c r="D109" s="250"/>
      <c r="E109" s="250"/>
      <c r="F109" s="250"/>
      <c r="G109" s="250"/>
      <c r="H109" s="250"/>
      <c r="I109" s="250"/>
      <c r="J109" s="250"/>
      <c r="K109" s="250"/>
      <c r="L109" s="250"/>
      <c r="M109" s="250"/>
      <c r="N109" s="250"/>
      <c r="O109" s="250"/>
      <c r="P109" s="250"/>
      <c r="Q109" s="250"/>
      <c r="R109" s="250"/>
      <c r="S109" s="250"/>
      <c r="T109" s="250"/>
      <c r="U109" s="250"/>
      <c r="V109" s="250"/>
      <c r="W109" s="250"/>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250"/>
      <c r="C110" s="250"/>
      <c r="D110" s="250"/>
      <c r="E110" s="250"/>
      <c r="F110" s="250"/>
      <c r="G110" s="250"/>
      <c r="H110" s="250"/>
      <c r="I110" s="250"/>
      <c r="J110" s="250"/>
      <c r="K110" s="250"/>
      <c r="L110" s="250"/>
      <c r="M110" s="250"/>
      <c r="N110" s="250"/>
      <c r="O110" s="250"/>
      <c r="P110" s="250"/>
      <c r="Q110" s="250"/>
      <c r="R110" s="250"/>
      <c r="S110" s="250"/>
      <c r="T110" s="250"/>
      <c r="U110" s="250"/>
      <c r="V110" s="250"/>
      <c r="W110" s="250"/>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250"/>
      <c r="C113" s="250"/>
      <c r="D113" s="250"/>
      <c r="E113" s="250"/>
      <c r="F113" s="250"/>
      <c r="G113" s="250"/>
      <c r="H113" s="250"/>
      <c r="I113" s="250"/>
      <c r="J113" s="250"/>
      <c r="K113" s="250"/>
      <c r="L113" s="250"/>
      <c r="M113" s="250"/>
      <c r="N113" s="250"/>
      <c r="O113" s="250"/>
      <c r="P113" s="250"/>
      <c r="Q113" s="250"/>
      <c r="R113" s="250"/>
      <c r="S113" s="250"/>
      <c r="T113" s="250"/>
      <c r="U113" s="250"/>
      <c r="V113" s="250"/>
      <c r="W113" s="250"/>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250"/>
      <c r="C114" s="250"/>
      <c r="D114" s="250"/>
      <c r="E114" s="250"/>
      <c r="F114" s="250"/>
      <c r="G114" s="250"/>
      <c r="H114" s="250"/>
      <c r="I114" s="250"/>
      <c r="J114" s="250"/>
      <c r="K114" s="250"/>
      <c r="L114" s="250"/>
      <c r="M114" s="250"/>
      <c r="N114" s="250"/>
      <c r="O114" s="250"/>
      <c r="P114" s="250"/>
      <c r="Q114" s="250"/>
      <c r="R114" s="250"/>
      <c r="S114" s="250"/>
      <c r="T114" s="250"/>
      <c r="U114" s="250"/>
      <c r="V114" s="250"/>
      <c r="W114" s="250"/>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250"/>
      <c r="C115" s="250"/>
      <c r="D115" s="250"/>
      <c r="E115" s="250"/>
      <c r="F115" s="250"/>
      <c r="G115" s="250"/>
      <c r="H115" s="250"/>
      <c r="I115" s="250"/>
      <c r="J115" s="250"/>
      <c r="K115" s="250"/>
      <c r="L115" s="250"/>
      <c r="M115" s="250"/>
      <c r="N115" s="250"/>
      <c r="O115" s="250"/>
      <c r="P115" s="250"/>
      <c r="Q115" s="250"/>
      <c r="R115" s="250"/>
      <c r="S115" s="250"/>
      <c r="T115" s="250"/>
      <c r="U115" s="250"/>
      <c r="V115" s="250"/>
      <c r="W115" s="250"/>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250"/>
      <c r="C116" s="250"/>
      <c r="D116" s="250"/>
      <c r="E116" s="250"/>
      <c r="F116" s="250"/>
      <c r="G116" s="250"/>
      <c r="H116" s="250"/>
      <c r="I116" s="250"/>
      <c r="J116" s="250"/>
      <c r="K116" s="250"/>
      <c r="L116" s="250"/>
      <c r="M116" s="250"/>
      <c r="N116" s="250"/>
      <c r="O116" s="250"/>
      <c r="P116" s="250"/>
      <c r="Q116" s="250"/>
      <c r="R116" s="250"/>
      <c r="S116" s="250"/>
      <c r="T116" s="250"/>
      <c r="U116" s="250"/>
      <c r="V116" s="250"/>
      <c r="W116" s="250"/>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250"/>
      <c r="C117" s="250"/>
      <c r="D117" s="250"/>
      <c r="E117" s="250"/>
      <c r="F117" s="250"/>
      <c r="G117" s="250"/>
      <c r="H117" s="250"/>
      <c r="I117" s="250"/>
      <c r="J117" s="250"/>
      <c r="K117" s="250"/>
      <c r="L117" s="250"/>
      <c r="M117" s="250"/>
      <c r="N117" s="250"/>
      <c r="O117" s="250"/>
      <c r="P117" s="250"/>
      <c r="Q117" s="250"/>
      <c r="R117" s="250"/>
      <c r="S117" s="250"/>
      <c r="T117" s="250"/>
      <c r="U117" s="250"/>
      <c r="V117" s="250"/>
      <c r="W117" s="250"/>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250"/>
      <c r="C118" s="250"/>
      <c r="D118" s="250"/>
      <c r="E118" s="250"/>
      <c r="F118" s="250"/>
      <c r="G118" s="250"/>
      <c r="H118" s="250"/>
      <c r="I118" s="250"/>
      <c r="J118" s="250"/>
      <c r="K118" s="250"/>
      <c r="L118" s="250"/>
      <c r="M118" s="250"/>
      <c r="N118" s="250"/>
      <c r="O118" s="250"/>
      <c r="P118" s="250"/>
      <c r="Q118" s="250"/>
      <c r="R118" s="250"/>
      <c r="S118" s="250"/>
      <c r="T118" s="250"/>
      <c r="U118" s="250"/>
      <c r="V118" s="250"/>
      <c r="W118" s="250"/>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250"/>
      <c r="C119" s="250"/>
      <c r="D119" s="250"/>
      <c r="E119" s="250"/>
      <c r="F119" s="250"/>
      <c r="G119" s="250"/>
      <c r="H119" s="250"/>
      <c r="I119" s="250"/>
      <c r="J119" s="250"/>
      <c r="K119" s="250"/>
      <c r="L119" s="250"/>
      <c r="M119" s="250"/>
      <c r="N119" s="250"/>
      <c r="O119" s="250"/>
      <c r="P119" s="250"/>
      <c r="Q119" s="250"/>
      <c r="R119" s="250"/>
      <c r="S119" s="250"/>
      <c r="T119" s="250"/>
      <c r="U119" s="250"/>
      <c r="V119" s="250"/>
      <c r="W119" s="250"/>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250"/>
      <c r="C120" s="250"/>
      <c r="D120" s="250"/>
      <c r="E120" s="250"/>
      <c r="F120" s="250"/>
      <c r="G120" s="250"/>
      <c r="H120" s="250"/>
      <c r="I120" s="250"/>
      <c r="J120" s="250"/>
      <c r="K120" s="250"/>
      <c r="L120" s="250"/>
      <c r="M120" s="250"/>
      <c r="N120" s="250"/>
      <c r="O120" s="250"/>
      <c r="P120" s="250"/>
      <c r="Q120" s="250"/>
      <c r="R120" s="250"/>
      <c r="S120" s="250"/>
      <c r="T120" s="250"/>
      <c r="U120" s="250"/>
      <c r="V120" s="250"/>
      <c r="W120" s="250"/>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250"/>
      <c r="C121" s="250"/>
      <c r="D121" s="250"/>
      <c r="E121" s="250"/>
      <c r="F121" s="250"/>
      <c r="G121" s="250"/>
      <c r="H121" s="250"/>
      <c r="I121" s="250"/>
      <c r="J121" s="250"/>
      <c r="K121" s="250"/>
      <c r="L121" s="250"/>
      <c r="M121" s="250"/>
      <c r="N121" s="250"/>
      <c r="O121" s="250"/>
      <c r="P121" s="250"/>
      <c r="Q121" s="250"/>
      <c r="R121" s="250"/>
      <c r="S121" s="250"/>
      <c r="T121" s="250"/>
      <c r="U121" s="250"/>
      <c r="V121" s="250"/>
      <c r="W121" s="250"/>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250"/>
      <c r="C122" s="250"/>
      <c r="D122" s="250"/>
      <c r="E122" s="250"/>
      <c r="F122" s="250"/>
      <c r="G122" s="250"/>
      <c r="H122" s="250"/>
      <c r="I122" s="250"/>
      <c r="J122" s="250"/>
      <c r="K122" s="250"/>
      <c r="L122" s="250"/>
      <c r="M122" s="250"/>
      <c r="N122" s="250"/>
      <c r="O122" s="250"/>
      <c r="P122" s="250"/>
      <c r="Q122" s="250"/>
      <c r="R122" s="250"/>
      <c r="S122" s="250"/>
      <c r="T122" s="250"/>
      <c r="U122" s="250"/>
      <c r="V122" s="250"/>
      <c r="W122" s="250"/>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09"/>
      <c r="B123" s="250"/>
      <c r="C123" s="250"/>
      <c r="D123" s="250"/>
      <c r="E123" s="250"/>
      <c r="F123" s="250"/>
      <c r="G123" s="250"/>
      <c r="H123" s="250"/>
      <c r="I123" s="250"/>
      <c r="J123" s="250"/>
      <c r="K123" s="250"/>
      <c r="L123" s="250"/>
      <c r="M123" s="250"/>
      <c r="N123" s="250"/>
      <c r="O123" s="250"/>
      <c r="P123" s="250"/>
      <c r="Q123" s="250"/>
      <c r="R123" s="250"/>
      <c r="S123" s="250"/>
      <c r="T123" s="250"/>
      <c r="U123" s="250"/>
      <c r="V123" s="250"/>
      <c r="W123" s="250"/>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RowHeight="12" x14ac:dyDescent="0"/>
  <cols>
    <col min="1" max="1" width="10.83203125" style="472"/>
    <col min="2" max="2" width="15.1640625" style="472" customWidth="1"/>
    <col min="3" max="3" width="32.5" style="472" customWidth="1"/>
    <col min="4" max="4" width="10.83203125" style="472"/>
    <col min="5" max="5" width="6.1640625" style="472" bestFit="1" customWidth="1"/>
    <col min="6" max="9" width="15.5" style="472" customWidth="1"/>
    <col min="10" max="10" width="14.6640625" style="472" customWidth="1"/>
    <col min="11" max="17" width="15.5" style="472" customWidth="1"/>
    <col min="18" max="18" width="15" style="472" customWidth="1"/>
    <col min="19" max="19" width="15.33203125" style="472" customWidth="1"/>
    <col min="20" max="20" width="7.1640625" style="472" customWidth="1"/>
    <col min="21" max="21" width="47.33203125" style="472" customWidth="1"/>
    <col min="22" max="23" width="20.33203125" style="472" customWidth="1"/>
    <col min="24" max="16384" width="10.83203125" style="472"/>
  </cols>
  <sheetData>
    <row r="2" spans="2:19" ht="32">
      <c r="B2" s="471" t="s">
        <v>328</v>
      </c>
    </row>
    <row r="5" spans="2:19" ht="18" customHeight="1">
      <c r="B5" s="473" t="s">
        <v>338</v>
      </c>
      <c r="C5" s="479" t="s">
        <v>335</v>
      </c>
      <c r="H5" s="495"/>
    </row>
    <row r="6" spans="2:19" ht="18">
      <c r="E6" s="473" t="str">
        <f>C5 &amp; " Scenario"</f>
        <v>Full Everywhere Scenario</v>
      </c>
    </row>
    <row r="7" spans="2:19" ht="27" thickBot="1">
      <c r="B7" s="473" t="s">
        <v>332</v>
      </c>
      <c r="C7" s="270"/>
      <c r="F7" s="538" t="s">
        <v>120</v>
      </c>
      <c r="G7" s="539"/>
      <c r="H7" s="539"/>
      <c r="I7" s="540"/>
      <c r="J7" s="538" t="s">
        <v>121</v>
      </c>
      <c r="K7" s="539"/>
      <c r="L7" s="539"/>
      <c r="M7" s="540"/>
      <c r="N7" s="538" t="s">
        <v>122</v>
      </c>
      <c r="O7" s="539"/>
      <c r="P7" s="539"/>
      <c r="Q7" s="540"/>
    </row>
    <row r="8" spans="2:19" ht="50" customHeight="1" thickTop="1" thickBot="1">
      <c r="B8" s="474" t="s">
        <v>124</v>
      </c>
      <c r="C8" s="475" t="s">
        <v>348</v>
      </c>
      <c r="E8" s="480" t="s">
        <v>308</v>
      </c>
      <c r="F8" s="480" t="s">
        <v>329</v>
      </c>
      <c r="G8" s="481" t="s">
        <v>346</v>
      </c>
      <c r="H8" s="481" t="s">
        <v>330</v>
      </c>
      <c r="I8" s="482" t="s">
        <v>331</v>
      </c>
      <c r="J8" s="480" t="s">
        <v>329</v>
      </c>
      <c r="K8" s="481" t="s">
        <v>346</v>
      </c>
      <c r="L8" s="481" t="s">
        <v>330</v>
      </c>
      <c r="M8" s="482" t="s">
        <v>331</v>
      </c>
      <c r="N8" s="480" t="s">
        <v>329</v>
      </c>
      <c r="O8" s="481" t="s">
        <v>346</v>
      </c>
      <c r="P8" s="481" t="s">
        <v>330</v>
      </c>
      <c r="Q8" s="482" t="s">
        <v>331</v>
      </c>
      <c r="R8" s="480" t="s">
        <v>340</v>
      </c>
      <c r="S8" s="482" t="s">
        <v>339</v>
      </c>
    </row>
    <row r="9" spans="2:19" ht="18">
      <c r="B9" s="497" t="s">
        <v>125</v>
      </c>
      <c r="C9" s="498" t="b">
        <v>1</v>
      </c>
      <c r="E9" s="489" t="s">
        <v>177</v>
      </c>
      <c r="F9" s="492" t="s">
        <v>342</v>
      </c>
      <c r="G9" s="484" t="s">
        <v>342</v>
      </c>
      <c r="H9" s="484">
        <v>0</v>
      </c>
      <c r="I9" s="509">
        <v>0</v>
      </c>
      <c r="J9" s="492" t="s">
        <v>342</v>
      </c>
      <c r="K9" s="484" t="s">
        <v>342</v>
      </c>
      <c r="L9" s="484">
        <v>0</v>
      </c>
      <c r="M9" s="511">
        <v>0</v>
      </c>
      <c r="N9" s="483" t="s">
        <v>342</v>
      </c>
      <c r="O9" s="484" t="s">
        <v>342</v>
      </c>
      <c r="P9" s="484">
        <v>0</v>
      </c>
      <c r="Q9" s="511">
        <v>0</v>
      </c>
      <c r="R9" s="503">
        <v>2014</v>
      </c>
      <c r="S9" s="504">
        <v>2050</v>
      </c>
    </row>
    <row r="10" spans="2:19" ht="18">
      <c r="B10" s="499" t="s">
        <v>126</v>
      </c>
      <c r="C10" s="500" t="b">
        <v>1</v>
      </c>
      <c r="E10" s="490" t="s">
        <v>176</v>
      </c>
      <c r="F10" s="493" t="s">
        <v>342</v>
      </c>
      <c r="G10" s="486" t="s">
        <v>342</v>
      </c>
      <c r="H10" s="486">
        <v>0</v>
      </c>
      <c r="I10" s="510">
        <v>0</v>
      </c>
      <c r="J10" s="493" t="s">
        <v>342</v>
      </c>
      <c r="K10" s="486" t="s">
        <v>342</v>
      </c>
      <c r="L10" s="486">
        <v>0</v>
      </c>
      <c r="M10" s="512">
        <v>0</v>
      </c>
      <c r="N10" s="485" t="s">
        <v>342</v>
      </c>
      <c r="O10" s="486" t="s">
        <v>342</v>
      </c>
      <c r="P10" s="486">
        <v>0</v>
      </c>
      <c r="Q10" s="512">
        <v>0</v>
      </c>
      <c r="R10" s="505">
        <v>2014</v>
      </c>
      <c r="S10" s="506">
        <v>2050</v>
      </c>
    </row>
    <row r="11" spans="2:19" ht="18">
      <c r="B11" s="499" t="s">
        <v>138</v>
      </c>
      <c r="C11" s="500" t="b">
        <v>1</v>
      </c>
      <c r="E11" s="490" t="s">
        <v>179</v>
      </c>
      <c r="F11" s="493" t="s">
        <v>342</v>
      </c>
      <c r="G11" s="486" t="s">
        <v>342</v>
      </c>
      <c r="H11" s="486">
        <v>0</v>
      </c>
      <c r="I11" s="510">
        <v>0</v>
      </c>
      <c r="J11" s="493" t="s">
        <v>342</v>
      </c>
      <c r="K11" s="486" t="s">
        <v>342</v>
      </c>
      <c r="L11" s="486">
        <v>0</v>
      </c>
      <c r="M11" s="512">
        <v>0</v>
      </c>
      <c r="N11" s="485" t="s">
        <v>342</v>
      </c>
      <c r="O11" s="486" t="s">
        <v>342</v>
      </c>
      <c r="P11" s="486">
        <v>0</v>
      </c>
      <c r="Q11" s="512">
        <v>0</v>
      </c>
      <c r="R11" s="505">
        <v>2014</v>
      </c>
      <c r="S11" s="506">
        <v>2050</v>
      </c>
    </row>
    <row r="12" spans="2:19" ht="19" thickBot="1">
      <c r="B12" s="501" t="s">
        <v>139</v>
      </c>
      <c r="C12" s="502" t="b">
        <v>1</v>
      </c>
      <c r="E12" s="490" t="s">
        <v>178</v>
      </c>
      <c r="F12" s="493" t="s">
        <v>342</v>
      </c>
      <c r="G12" s="486" t="s">
        <v>342</v>
      </c>
      <c r="H12" s="486">
        <v>0</v>
      </c>
      <c r="I12" s="510">
        <v>0</v>
      </c>
      <c r="J12" s="493" t="s">
        <v>342</v>
      </c>
      <c r="K12" s="486" t="s">
        <v>342</v>
      </c>
      <c r="L12" s="486">
        <v>0</v>
      </c>
      <c r="M12" s="512">
        <v>0</v>
      </c>
      <c r="N12" s="485" t="s">
        <v>342</v>
      </c>
      <c r="O12" s="486" t="s">
        <v>342</v>
      </c>
      <c r="P12" s="486">
        <v>0</v>
      </c>
      <c r="Q12" s="512">
        <v>0</v>
      </c>
      <c r="R12" s="505">
        <v>2014</v>
      </c>
      <c r="S12" s="506">
        <v>2050</v>
      </c>
    </row>
    <row r="13" spans="2:19" ht="13" thickTop="1">
      <c r="E13" s="490" t="s">
        <v>180</v>
      </c>
      <c r="F13" s="493" t="s">
        <v>342</v>
      </c>
      <c r="G13" s="486" t="s">
        <v>342</v>
      </c>
      <c r="H13" s="486">
        <v>0</v>
      </c>
      <c r="I13" s="510">
        <v>0</v>
      </c>
      <c r="J13" s="493" t="s">
        <v>342</v>
      </c>
      <c r="K13" s="486" t="s">
        <v>342</v>
      </c>
      <c r="L13" s="486">
        <v>0</v>
      </c>
      <c r="M13" s="512">
        <v>0</v>
      </c>
      <c r="N13" s="485" t="s">
        <v>342</v>
      </c>
      <c r="O13" s="486" t="s">
        <v>342</v>
      </c>
      <c r="P13" s="486">
        <v>0</v>
      </c>
      <c r="Q13" s="512">
        <v>0</v>
      </c>
      <c r="R13" s="505">
        <v>2014</v>
      </c>
      <c r="S13" s="506">
        <v>2050</v>
      </c>
    </row>
    <row r="14" spans="2:19" ht="12" customHeight="1">
      <c r="B14" s="543" t="s">
        <v>349</v>
      </c>
      <c r="C14" s="543"/>
      <c r="E14" s="490" t="s">
        <v>181</v>
      </c>
      <c r="F14" s="493" t="s">
        <v>342</v>
      </c>
      <c r="G14" s="486" t="s">
        <v>342</v>
      </c>
      <c r="H14" s="486">
        <v>0</v>
      </c>
      <c r="I14" s="510">
        <v>0</v>
      </c>
      <c r="J14" s="493" t="s">
        <v>342</v>
      </c>
      <c r="K14" s="486" t="s">
        <v>342</v>
      </c>
      <c r="L14" s="486">
        <v>0</v>
      </c>
      <c r="M14" s="512">
        <v>0</v>
      </c>
      <c r="N14" s="485" t="s">
        <v>342</v>
      </c>
      <c r="O14" s="486" t="s">
        <v>342</v>
      </c>
      <c r="P14" s="486">
        <v>0</v>
      </c>
      <c r="Q14" s="512">
        <v>0</v>
      </c>
      <c r="R14" s="505">
        <v>2014</v>
      </c>
      <c r="S14" s="506">
        <v>2050</v>
      </c>
    </row>
    <row r="15" spans="2:19" ht="12" customHeight="1">
      <c r="B15" s="543"/>
      <c r="C15" s="543"/>
      <c r="E15" s="490" t="s">
        <v>182</v>
      </c>
      <c r="F15" s="493" t="s">
        <v>342</v>
      </c>
      <c r="G15" s="486" t="s">
        <v>342</v>
      </c>
      <c r="H15" s="486">
        <v>0</v>
      </c>
      <c r="I15" s="510">
        <v>0</v>
      </c>
      <c r="J15" s="493" t="s">
        <v>342</v>
      </c>
      <c r="K15" s="486" t="s">
        <v>342</v>
      </c>
      <c r="L15" s="486">
        <v>0</v>
      </c>
      <c r="M15" s="512">
        <v>0</v>
      </c>
      <c r="N15" s="485" t="s">
        <v>342</v>
      </c>
      <c r="O15" s="486" t="s">
        <v>342</v>
      </c>
      <c r="P15" s="486">
        <v>0</v>
      </c>
      <c r="Q15" s="512">
        <v>0</v>
      </c>
      <c r="R15" s="505">
        <v>2014</v>
      </c>
      <c r="S15" s="506">
        <v>2050</v>
      </c>
    </row>
    <row r="16" spans="2:19" ht="12" customHeight="1">
      <c r="B16" s="543"/>
      <c r="C16" s="543"/>
      <c r="E16" s="490" t="s">
        <v>11</v>
      </c>
      <c r="F16" s="493" t="s">
        <v>342</v>
      </c>
      <c r="G16" s="486" t="s">
        <v>342</v>
      </c>
      <c r="H16" s="486">
        <v>0</v>
      </c>
      <c r="I16" s="510">
        <v>0</v>
      </c>
      <c r="J16" s="493" t="s">
        <v>342</v>
      </c>
      <c r="K16" s="486" t="s">
        <v>342</v>
      </c>
      <c r="L16" s="486">
        <v>0</v>
      </c>
      <c r="M16" s="512">
        <v>0</v>
      </c>
      <c r="N16" s="485" t="s">
        <v>342</v>
      </c>
      <c r="O16" s="486" t="s">
        <v>342</v>
      </c>
      <c r="P16" s="486">
        <v>0</v>
      </c>
      <c r="Q16" s="512">
        <v>0</v>
      </c>
      <c r="R16" s="505">
        <v>2014</v>
      </c>
      <c r="S16" s="506">
        <v>2050</v>
      </c>
    </row>
    <row r="17" spans="2:19" ht="12" customHeight="1">
      <c r="B17" s="543"/>
      <c r="C17" s="543"/>
      <c r="E17" s="490" t="s">
        <v>183</v>
      </c>
      <c r="F17" s="493" t="s">
        <v>342</v>
      </c>
      <c r="G17" s="486" t="s">
        <v>342</v>
      </c>
      <c r="H17" s="486">
        <v>0</v>
      </c>
      <c r="I17" s="510">
        <v>0</v>
      </c>
      <c r="J17" s="493" t="s">
        <v>342</v>
      </c>
      <c r="K17" s="486" t="s">
        <v>342</v>
      </c>
      <c r="L17" s="486">
        <v>0</v>
      </c>
      <c r="M17" s="512">
        <v>0</v>
      </c>
      <c r="N17" s="485" t="s">
        <v>342</v>
      </c>
      <c r="O17" s="486" t="s">
        <v>342</v>
      </c>
      <c r="P17" s="486">
        <v>0</v>
      </c>
      <c r="Q17" s="512">
        <v>0</v>
      </c>
      <c r="R17" s="505">
        <v>2014</v>
      </c>
      <c r="S17" s="506">
        <v>2050</v>
      </c>
    </row>
    <row r="18" spans="2:19" ht="13" customHeight="1">
      <c r="B18" s="543"/>
      <c r="C18" s="543"/>
      <c r="E18" s="490" t="s">
        <v>184</v>
      </c>
      <c r="F18" s="493" t="s">
        <v>342</v>
      </c>
      <c r="G18" s="486" t="s">
        <v>342</v>
      </c>
      <c r="H18" s="486">
        <v>0</v>
      </c>
      <c r="I18" s="510">
        <v>0</v>
      </c>
      <c r="J18" s="493" t="s">
        <v>342</v>
      </c>
      <c r="K18" s="486" t="s">
        <v>342</v>
      </c>
      <c r="L18" s="486">
        <v>0</v>
      </c>
      <c r="M18" s="512">
        <v>0</v>
      </c>
      <c r="N18" s="485" t="s">
        <v>342</v>
      </c>
      <c r="O18" s="486" t="s">
        <v>342</v>
      </c>
      <c r="P18" s="486">
        <v>0</v>
      </c>
      <c r="Q18" s="512">
        <v>0</v>
      </c>
      <c r="R18" s="505">
        <v>2014</v>
      </c>
      <c r="S18" s="506">
        <v>2050</v>
      </c>
    </row>
    <row r="19" spans="2:19" ht="12" customHeight="1">
      <c r="B19" s="543"/>
      <c r="C19" s="543"/>
      <c r="E19" s="490" t="s">
        <v>185</v>
      </c>
      <c r="F19" s="493" t="s">
        <v>342</v>
      </c>
      <c r="G19" s="486" t="s">
        <v>342</v>
      </c>
      <c r="H19" s="486">
        <v>0</v>
      </c>
      <c r="I19" s="510">
        <v>0</v>
      </c>
      <c r="J19" s="493" t="s">
        <v>342</v>
      </c>
      <c r="K19" s="486" t="s">
        <v>342</v>
      </c>
      <c r="L19" s="486">
        <v>0</v>
      </c>
      <c r="M19" s="512">
        <v>0</v>
      </c>
      <c r="N19" s="485" t="s">
        <v>342</v>
      </c>
      <c r="O19" s="486" t="s">
        <v>342</v>
      </c>
      <c r="P19" s="486">
        <v>0</v>
      </c>
      <c r="Q19" s="512">
        <v>0</v>
      </c>
      <c r="R19" s="505">
        <v>2014</v>
      </c>
      <c r="S19" s="506">
        <v>2050</v>
      </c>
    </row>
    <row r="20" spans="2:19" ht="12" customHeight="1">
      <c r="B20" s="543"/>
      <c r="C20" s="543"/>
      <c r="E20" s="490" t="s">
        <v>186</v>
      </c>
      <c r="F20" s="493" t="s">
        <v>342</v>
      </c>
      <c r="G20" s="486" t="s">
        <v>342</v>
      </c>
      <c r="H20" s="486">
        <v>0</v>
      </c>
      <c r="I20" s="510">
        <v>0</v>
      </c>
      <c r="J20" s="493" t="s">
        <v>342</v>
      </c>
      <c r="K20" s="486" t="s">
        <v>342</v>
      </c>
      <c r="L20" s="486">
        <v>0</v>
      </c>
      <c r="M20" s="512">
        <v>0</v>
      </c>
      <c r="N20" s="485" t="s">
        <v>342</v>
      </c>
      <c r="O20" s="486" t="s">
        <v>342</v>
      </c>
      <c r="P20" s="486">
        <v>0</v>
      </c>
      <c r="Q20" s="512">
        <v>0</v>
      </c>
      <c r="R20" s="505">
        <v>2014</v>
      </c>
      <c r="S20" s="506">
        <v>2050</v>
      </c>
    </row>
    <row r="21" spans="2:19" ht="12" customHeight="1">
      <c r="B21" s="543"/>
      <c r="C21" s="543"/>
      <c r="E21" s="490" t="s">
        <v>190</v>
      </c>
      <c r="F21" s="493" t="s">
        <v>342</v>
      </c>
      <c r="G21" s="486" t="s">
        <v>342</v>
      </c>
      <c r="H21" s="486">
        <v>0</v>
      </c>
      <c r="I21" s="510">
        <v>0</v>
      </c>
      <c r="J21" s="493" t="s">
        <v>342</v>
      </c>
      <c r="K21" s="486" t="s">
        <v>342</v>
      </c>
      <c r="L21" s="486">
        <v>0</v>
      </c>
      <c r="M21" s="512">
        <v>0</v>
      </c>
      <c r="N21" s="485" t="s">
        <v>342</v>
      </c>
      <c r="O21" s="486" t="s">
        <v>342</v>
      </c>
      <c r="P21" s="486">
        <v>0</v>
      </c>
      <c r="Q21" s="512">
        <v>0</v>
      </c>
      <c r="R21" s="505">
        <v>2014</v>
      </c>
      <c r="S21" s="506">
        <v>2050</v>
      </c>
    </row>
    <row r="22" spans="2:19" ht="12" customHeight="1">
      <c r="B22" s="543"/>
      <c r="C22" s="543"/>
      <c r="E22" s="490" t="s">
        <v>187</v>
      </c>
      <c r="F22" s="493" t="s">
        <v>342</v>
      </c>
      <c r="G22" s="486" t="s">
        <v>342</v>
      </c>
      <c r="H22" s="486">
        <v>0</v>
      </c>
      <c r="I22" s="510">
        <v>0</v>
      </c>
      <c r="J22" s="493" t="s">
        <v>342</v>
      </c>
      <c r="K22" s="486" t="s">
        <v>342</v>
      </c>
      <c r="L22" s="486">
        <v>0</v>
      </c>
      <c r="M22" s="512">
        <v>0</v>
      </c>
      <c r="N22" s="485" t="s">
        <v>342</v>
      </c>
      <c r="O22" s="486" t="s">
        <v>342</v>
      </c>
      <c r="P22" s="486">
        <v>0</v>
      </c>
      <c r="Q22" s="512">
        <v>0</v>
      </c>
      <c r="R22" s="505">
        <v>2014</v>
      </c>
      <c r="S22" s="506">
        <v>2050</v>
      </c>
    </row>
    <row r="23" spans="2:19" ht="12" customHeight="1">
      <c r="B23" s="543"/>
      <c r="C23" s="543"/>
      <c r="E23" s="490" t="s">
        <v>188</v>
      </c>
      <c r="F23" s="493" t="s">
        <v>342</v>
      </c>
      <c r="G23" s="486" t="s">
        <v>342</v>
      </c>
      <c r="H23" s="486">
        <v>0</v>
      </c>
      <c r="I23" s="510">
        <v>0</v>
      </c>
      <c r="J23" s="493" t="s">
        <v>342</v>
      </c>
      <c r="K23" s="486" t="s">
        <v>342</v>
      </c>
      <c r="L23" s="486">
        <v>0</v>
      </c>
      <c r="M23" s="512">
        <v>0</v>
      </c>
      <c r="N23" s="485" t="s">
        <v>342</v>
      </c>
      <c r="O23" s="486" t="s">
        <v>342</v>
      </c>
      <c r="P23" s="486">
        <v>0</v>
      </c>
      <c r="Q23" s="512">
        <v>0</v>
      </c>
      <c r="R23" s="505">
        <v>2014</v>
      </c>
      <c r="S23" s="506">
        <v>2050</v>
      </c>
    </row>
    <row r="24" spans="2:19" ht="12" customHeight="1">
      <c r="B24" s="543"/>
      <c r="C24" s="543"/>
      <c r="E24" s="490" t="s">
        <v>189</v>
      </c>
      <c r="F24" s="493" t="s">
        <v>342</v>
      </c>
      <c r="G24" s="486" t="s">
        <v>342</v>
      </c>
      <c r="H24" s="486">
        <v>0</v>
      </c>
      <c r="I24" s="510">
        <v>0</v>
      </c>
      <c r="J24" s="493" t="s">
        <v>342</v>
      </c>
      <c r="K24" s="486" t="s">
        <v>342</v>
      </c>
      <c r="L24" s="486">
        <v>0</v>
      </c>
      <c r="M24" s="512">
        <v>0</v>
      </c>
      <c r="N24" s="485" t="s">
        <v>342</v>
      </c>
      <c r="O24" s="486" t="s">
        <v>342</v>
      </c>
      <c r="P24" s="486">
        <v>0</v>
      </c>
      <c r="Q24" s="512">
        <v>0</v>
      </c>
      <c r="R24" s="505">
        <v>2014</v>
      </c>
      <c r="S24" s="506">
        <v>2050</v>
      </c>
    </row>
    <row r="25" spans="2:19" ht="12" customHeight="1">
      <c r="B25" s="543"/>
      <c r="C25" s="543"/>
      <c r="E25" s="490" t="s">
        <v>191</v>
      </c>
      <c r="F25" s="493" t="s">
        <v>342</v>
      </c>
      <c r="G25" s="486" t="s">
        <v>342</v>
      </c>
      <c r="H25" s="486">
        <v>0</v>
      </c>
      <c r="I25" s="510">
        <v>0</v>
      </c>
      <c r="J25" s="493" t="s">
        <v>342</v>
      </c>
      <c r="K25" s="486" t="s">
        <v>342</v>
      </c>
      <c r="L25" s="486">
        <v>0</v>
      </c>
      <c r="M25" s="512">
        <v>0</v>
      </c>
      <c r="N25" s="485" t="s">
        <v>342</v>
      </c>
      <c r="O25" s="486" t="s">
        <v>342</v>
      </c>
      <c r="P25" s="486">
        <v>0</v>
      </c>
      <c r="Q25" s="512">
        <v>0</v>
      </c>
      <c r="R25" s="505">
        <v>2014</v>
      </c>
      <c r="S25" s="506">
        <v>2050</v>
      </c>
    </row>
    <row r="26" spans="2:19" ht="12" customHeight="1">
      <c r="B26" s="543"/>
      <c r="C26" s="543"/>
      <c r="E26" s="490" t="s">
        <v>192</v>
      </c>
      <c r="F26" s="493" t="s">
        <v>342</v>
      </c>
      <c r="G26" s="486" t="s">
        <v>342</v>
      </c>
      <c r="H26" s="486">
        <v>0</v>
      </c>
      <c r="I26" s="510">
        <v>0</v>
      </c>
      <c r="J26" s="493" t="s">
        <v>342</v>
      </c>
      <c r="K26" s="486" t="s">
        <v>342</v>
      </c>
      <c r="L26" s="486">
        <v>0</v>
      </c>
      <c r="M26" s="512">
        <v>0</v>
      </c>
      <c r="N26" s="485" t="s">
        <v>342</v>
      </c>
      <c r="O26" s="486" t="s">
        <v>342</v>
      </c>
      <c r="P26" s="486">
        <v>0</v>
      </c>
      <c r="Q26" s="512">
        <v>0</v>
      </c>
      <c r="R26" s="505">
        <v>2014</v>
      </c>
      <c r="S26" s="506">
        <v>2050</v>
      </c>
    </row>
    <row r="27" spans="2:19" ht="12" customHeight="1">
      <c r="B27" s="543"/>
      <c r="C27" s="543"/>
      <c r="E27" s="490" t="s">
        <v>193</v>
      </c>
      <c r="F27" s="493" t="s">
        <v>342</v>
      </c>
      <c r="G27" s="486" t="s">
        <v>342</v>
      </c>
      <c r="H27" s="486">
        <v>0</v>
      </c>
      <c r="I27" s="510">
        <v>0</v>
      </c>
      <c r="J27" s="493" t="s">
        <v>342</v>
      </c>
      <c r="K27" s="486" t="s">
        <v>342</v>
      </c>
      <c r="L27" s="486">
        <v>0</v>
      </c>
      <c r="M27" s="512">
        <v>0</v>
      </c>
      <c r="N27" s="485" t="s">
        <v>342</v>
      </c>
      <c r="O27" s="486" t="s">
        <v>342</v>
      </c>
      <c r="P27" s="486">
        <v>0</v>
      </c>
      <c r="Q27" s="512">
        <v>0</v>
      </c>
      <c r="R27" s="505">
        <v>2014</v>
      </c>
      <c r="S27" s="506">
        <v>2050</v>
      </c>
    </row>
    <row r="28" spans="2:19" ht="12" customHeight="1">
      <c r="B28" s="543"/>
      <c r="C28" s="543"/>
      <c r="E28" s="490" t="s">
        <v>196</v>
      </c>
      <c r="F28" s="493" t="s">
        <v>342</v>
      </c>
      <c r="G28" s="486" t="s">
        <v>342</v>
      </c>
      <c r="H28" s="486">
        <v>0</v>
      </c>
      <c r="I28" s="510">
        <v>0</v>
      </c>
      <c r="J28" s="493" t="s">
        <v>342</v>
      </c>
      <c r="K28" s="486" t="s">
        <v>342</v>
      </c>
      <c r="L28" s="486">
        <v>0</v>
      </c>
      <c r="M28" s="512">
        <v>0</v>
      </c>
      <c r="N28" s="485" t="s">
        <v>342</v>
      </c>
      <c r="O28" s="486" t="s">
        <v>342</v>
      </c>
      <c r="P28" s="486">
        <v>0</v>
      </c>
      <c r="Q28" s="512">
        <v>0</v>
      </c>
      <c r="R28" s="505">
        <v>2014</v>
      </c>
      <c r="S28" s="506">
        <v>2050</v>
      </c>
    </row>
    <row r="29" spans="2:19" ht="12" customHeight="1">
      <c r="B29" s="543"/>
      <c r="C29" s="543"/>
      <c r="E29" s="490" t="s">
        <v>195</v>
      </c>
      <c r="F29" s="493" t="s">
        <v>342</v>
      </c>
      <c r="G29" s="486" t="s">
        <v>342</v>
      </c>
      <c r="H29" s="486">
        <v>0</v>
      </c>
      <c r="I29" s="510">
        <v>0</v>
      </c>
      <c r="J29" s="493" t="s">
        <v>342</v>
      </c>
      <c r="K29" s="486" t="s">
        <v>342</v>
      </c>
      <c r="L29" s="486">
        <v>0</v>
      </c>
      <c r="M29" s="512">
        <v>0</v>
      </c>
      <c r="N29" s="485" t="s">
        <v>342</v>
      </c>
      <c r="O29" s="486" t="s">
        <v>342</v>
      </c>
      <c r="P29" s="486">
        <v>0</v>
      </c>
      <c r="Q29" s="512">
        <v>0</v>
      </c>
      <c r="R29" s="505">
        <v>2014</v>
      </c>
      <c r="S29" s="506">
        <v>2050</v>
      </c>
    </row>
    <row r="30" spans="2:19" ht="12" customHeight="1">
      <c r="B30" s="543"/>
      <c r="C30" s="543"/>
      <c r="E30" s="490" t="s">
        <v>194</v>
      </c>
      <c r="F30" s="493" t="s">
        <v>342</v>
      </c>
      <c r="G30" s="486" t="s">
        <v>342</v>
      </c>
      <c r="H30" s="486">
        <v>0</v>
      </c>
      <c r="I30" s="510">
        <v>0</v>
      </c>
      <c r="J30" s="493" t="s">
        <v>342</v>
      </c>
      <c r="K30" s="486" t="s">
        <v>342</v>
      </c>
      <c r="L30" s="486">
        <v>0</v>
      </c>
      <c r="M30" s="512">
        <v>0</v>
      </c>
      <c r="N30" s="485" t="s">
        <v>342</v>
      </c>
      <c r="O30" s="486" t="s">
        <v>342</v>
      </c>
      <c r="P30" s="486">
        <v>0</v>
      </c>
      <c r="Q30" s="512">
        <v>0</v>
      </c>
      <c r="R30" s="505">
        <v>2014</v>
      </c>
      <c r="S30" s="506">
        <v>2050</v>
      </c>
    </row>
    <row r="31" spans="2:19" ht="12" customHeight="1">
      <c r="B31" s="543"/>
      <c r="C31" s="543"/>
      <c r="E31" s="490" t="s">
        <v>197</v>
      </c>
      <c r="F31" s="493" t="s">
        <v>342</v>
      </c>
      <c r="G31" s="486" t="s">
        <v>342</v>
      </c>
      <c r="H31" s="486">
        <v>0</v>
      </c>
      <c r="I31" s="510">
        <v>0</v>
      </c>
      <c r="J31" s="493" t="s">
        <v>342</v>
      </c>
      <c r="K31" s="486" t="s">
        <v>342</v>
      </c>
      <c r="L31" s="486">
        <v>0</v>
      </c>
      <c r="M31" s="512">
        <v>0</v>
      </c>
      <c r="N31" s="485" t="s">
        <v>342</v>
      </c>
      <c r="O31" s="486" t="s">
        <v>342</v>
      </c>
      <c r="P31" s="486">
        <v>0</v>
      </c>
      <c r="Q31" s="512">
        <v>0</v>
      </c>
      <c r="R31" s="505">
        <v>2014</v>
      </c>
      <c r="S31" s="506">
        <v>2050</v>
      </c>
    </row>
    <row r="32" spans="2:19" ht="12" customHeight="1">
      <c r="B32" s="543"/>
      <c r="C32" s="543"/>
      <c r="E32" s="490" t="s">
        <v>198</v>
      </c>
      <c r="F32" s="493" t="s">
        <v>342</v>
      </c>
      <c r="G32" s="486" t="s">
        <v>342</v>
      </c>
      <c r="H32" s="486">
        <v>0</v>
      </c>
      <c r="I32" s="510">
        <v>0</v>
      </c>
      <c r="J32" s="493" t="s">
        <v>342</v>
      </c>
      <c r="K32" s="486" t="s">
        <v>342</v>
      </c>
      <c r="L32" s="486">
        <v>0</v>
      </c>
      <c r="M32" s="512">
        <v>0</v>
      </c>
      <c r="N32" s="485" t="s">
        <v>342</v>
      </c>
      <c r="O32" s="486" t="s">
        <v>342</v>
      </c>
      <c r="P32" s="486">
        <v>0</v>
      </c>
      <c r="Q32" s="512">
        <v>0</v>
      </c>
      <c r="R32" s="505">
        <v>2014</v>
      </c>
      <c r="S32" s="506">
        <v>2050</v>
      </c>
    </row>
    <row r="33" spans="2:19" ht="12" customHeight="1">
      <c r="B33" s="543"/>
      <c r="C33" s="543"/>
      <c r="E33" s="490" t="s">
        <v>200</v>
      </c>
      <c r="F33" s="493" t="s">
        <v>342</v>
      </c>
      <c r="G33" s="486" t="s">
        <v>342</v>
      </c>
      <c r="H33" s="486">
        <v>0</v>
      </c>
      <c r="I33" s="510">
        <v>0</v>
      </c>
      <c r="J33" s="493" t="s">
        <v>342</v>
      </c>
      <c r="K33" s="486" t="s">
        <v>342</v>
      </c>
      <c r="L33" s="486">
        <v>0</v>
      </c>
      <c r="M33" s="512">
        <v>0</v>
      </c>
      <c r="N33" s="485" t="s">
        <v>342</v>
      </c>
      <c r="O33" s="486" t="s">
        <v>342</v>
      </c>
      <c r="P33" s="486">
        <v>0</v>
      </c>
      <c r="Q33" s="512">
        <v>0</v>
      </c>
      <c r="R33" s="505">
        <v>2014</v>
      </c>
      <c r="S33" s="506">
        <v>2050</v>
      </c>
    </row>
    <row r="34" spans="2:19" ht="12" customHeight="1">
      <c r="B34" s="543"/>
      <c r="C34" s="543"/>
      <c r="E34" s="490" t="s">
        <v>199</v>
      </c>
      <c r="F34" s="493" t="s">
        <v>342</v>
      </c>
      <c r="G34" s="486" t="s">
        <v>342</v>
      </c>
      <c r="H34" s="486">
        <v>0</v>
      </c>
      <c r="I34" s="510">
        <v>0</v>
      </c>
      <c r="J34" s="493" t="s">
        <v>342</v>
      </c>
      <c r="K34" s="486" t="s">
        <v>342</v>
      </c>
      <c r="L34" s="486">
        <v>0</v>
      </c>
      <c r="M34" s="512">
        <v>0</v>
      </c>
      <c r="N34" s="485" t="s">
        <v>342</v>
      </c>
      <c r="O34" s="486" t="s">
        <v>342</v>
      </c>
      <c r="P34" s="486">
        <v>0</v>
      </c>
      <c r="Q34" s="512">
        <v>0</v>
      </c>
      <c r="R34" s="505">
        <v>2014</v>
      </c>
      <c r="S34" s="506">
        <v>2050</v>
      </c>
    </row>
    <row r="35" spans="2:19" ht="12" customHeight="1">
      <c r="B35" s="543"/>
      <c r="C35" s="543"/>
      <c r="E35" s="490" t="s">
        <v>201</v>
      </c>
      <c r="F35" s="493" t="s">
        <v>342</v>
      </c>
      <c r="G35" s="486" t="s">
        <v>342</v>
      </c>
      <c r="H35" s="486">
        <v>0</v>
      </c>
      <c r="I35" s="510">
        <v>0</v>
      </c>
      <c r="J35" s="493" t="s">
        <v>342</v>
      </c>
      <c r="K35" s="486" t="s">
        <v>342</v>
      </c>
      <c r="L35" s="486">
        <v>0</v>
      </c>
      <c r="M35" s="512">
        <v>0</v>
      </c>
      <c r="N35" s="485" t="s">
        <v>342</v>
      </c>
      <c r="O35" s="486" t="s">
        <v>342</v>
      </c>
      <c r="P35" s="486">
        <v>0</v>
      </c>
      <c r="Q35" s="512">
        <v>0</v>
      </c>
      <c r="R35" s="505">
        <v>2014</v>
      </c>
      <c r="S35" s="506">
        <v>2050</v>
      </c>
    </row>
    <row r="36" spans="2:19" ht="12" customHeight="1">
      <c r="B36" s="543"/>
      <c r="C36" s="543"/>
      <c r="E36" s="490" t="s">
        <v>208</v>
      </c>
      <c r="F36" s="493" t="s">
        <v>342</v>
      </c>
      <c r="G36" s="486" t="s">
        <v>342</v>
      </c>
      <c r="H36" s="486">
        <v>0</v>
      </c>
      <c r="I36" s="510">
        <v>0</v>
      </c>
      <c r="J36" s="493" t="s">
        <v>342</v>
      </c>
      <c r="K36" s="486" t="s">
        <v>342</v>
      </c>
      <c r="L36" s="486">
        <v>0</v>
      </c>
      <c r="M36" s="512">
        <v>0</v>
      </c>
      <c r="N36" s="485" t="s">
        <v>342</v>
      </c>
      <c r="O36" s="486" t="s">
        <v>342</v>
      </c>
      <c r="P36" s="486">
        <v>0</v>
      </c>
      <c r="Q36" s="512">
        <v>0</v>
      </c>
      <c r="R36" s="505">
        <v>2014</v>
      </c>
      <c r="S36" s="506">
        <v>2050</v>
      </c>
    </row>
    <row r="37" spans="2:19" ht="12" customHeight="1">
      <c r="B37" s="543"/>
      <c r="C37" s="543"/>
      <c r="E37" s="490" t="s">
        <v>209</v>
      </c>
      <c r="F37" s="493" t="s">
        <v>342</v>
      </c>
      <c r="G37" s="486" t="s">
        <v>342</v>
      </c>
      <c r="H37" s="486">
        <v>0</v>
      </c>
      <c r="I37" s="510">
        <v>0</v>
      </c>
      <c r="J37" s="493" t="s">
        <v>342</v>
      </c>
      <c r="K37" s="486" t="s">
        <v>342</v>
      </c>
      <c r="L37" s="486">
        <v>0</v>
      </c>
      <c r="M37" s="512">
        <v>0</v>
      </c>
      <c r="N37" s="485" t="s">
        <v>342</v>
      </c>
      <c r="O37" s="486" t="s">
        <v>342</v>
      </c>
      <c r="P37" s="486">
        <v>0</v>
      </c>
      <c r="Q37" s="512">
        <v>0</v>
      </c>
      <c r="R37" s="505">
        <v>2014</v>
      </c>
      <c r="S37" s="506">
        <v>2050</v>
      </c>
    </row>
    <row r="38" spans="2:19" ht="12" customHeight="1">
      <c r="B38" s="543"/>
      <c r="C38" s="543"/>
      <c r="E38" s="490" t="s">
        <v>202</v>
      </c>
      <c r="F38" s="493" t="s">
        <v>342</v>
      </c>
      <c r="G38" s="486" t="s">
        <v>342</v>
      </c>
      <c r="H38" s="486">
        <v>0</v>
      </c>
      <c r="I38" s="510">
        <v>0</v>
      </c>
      <c r="J38" s="493" t="s">
        <v>342</v>
      </c>
      <c r="K38" s="486" t="s">
        <v>342</v>
      </c>
      <c r="L38" s="486">
        <v>0</v>
      </c>
      <c r="M38" s="512">
        <v>0</v>
      </c>
      <c r="N38" s="485" t="s">
        <v>342</v>
      </c>
      <c r="O38" s="486" t="s">
        <v>342</v>
      </c>
      <c r="P38" s="486">
        <v>0</v>
      </c>
      <c r="Q38" s="512">
        <v>0</v>
      </c>
      <c r="R38" s="505">
        <v>2014</v>
      </c>
      <c r="S38" s="506">
        <v>2050</v>
      </c>
    </row>
    <row r="39" spans="2:19">
      <c r="B39" s="543"/>
      <c r="C39" s="543"/>
      <c r="E39" s="490" t="s">
        <v>204</v>
      </c>
      <c r="F39" s="493" t="s">
        <v>342</v>
      </c>
      <c r="G39" s="486" t="s">
        <v>342</v>
      </c>
      <c r="H39" s="486">
        <v>0</v>
      </c>
      <c r="I39" s="510">
        <v>0</v>
      </c>
      <c r="J39" s="493" t="s">
        <v>342</v>
      </c>
      <c r="K39" s="486" t="s">
        <v>342</v>
      </c>
      <c r="L39" s="486">
        <v>0</v>
      </c>
      <c r="M39" s="512">
        <v>0</v>
      </c>
      <c r="N39" s="485" t="s">
        <v>342</v>
      </c>
      <c r="O39" s="486" t="s">
        <v>342</v>
      </c>
      <c r="P39" s="486">
        <v>0</v>
      </c>
      <c r="Q39" s="512">
        <v>0</v>
      </c>
      <c r="R39" s="505">
        <v>2014</v>
      </c>
      <c r="S39" s="506">
        <v>2050</v>
      </c>
    </row>
    <row r="40" spans="2:19">
      <c r="B40" s="543"/>
      <c r="C40" s="543"/>
      <c r="E40" s="490" t="s">
        <v>205</v>
      </c>
      <c r="F40" s="493" t="s">
        <v>342</v>
      </c>
      <c r="G40" s="486" t="s">
        <v>342</v>
      </c>
      <c r="H40" s="486">
        <v>0</v>
      </c>
      <c r="I40" s="510">
        <v>0</v>
      </c>
      <c r="J40" s="493" t="s">
        <v>342</v>
      </c>
      <c r="K40" s="486" t="s">
        <v>342</v>
      </c>
      <c r="L40" s="486">
        <v>0</v>
      </c>
      <c r="M40" s="512">
        <v>0</v>
      </c>
      <c r="N40" s="485" t="s">
        <v>342</v>
      </c>
      <c r="O40" s="486" t="s">
        <v>342</v>
      </c>
      <c r="P40" s="486">
        <v>0</v>
      </c>
      <c r="Q40" s="512">
        <v>0</v>
      </c>
      <c r="R40" s="505">
        <v>2014</v>
      </c>
      <c r="S40" s="506">
        <v>2050</v>
      </c>
    </row>
    <row r="41" spans="2:19">
      <c r="B41" s="543"/>
      <c r="C41" s="543"/>
      <c r="E41" s="490" t="s">
        <v>206</v>
      </c>
      <c r="F41" s="493" t="s">
        <v>342</v>
      </c>
      <c r="G41" s="486" t="s">
        <v>342</v>
      </c>
      <c r="H41" s="486">
        <v>0</v>
      </c>
      <c r="I41" s="510">
        <v>0</v>
      </c>
      <c r="J41" s="493" t="s">
        <v>342</v>
      </c>
      <c r="K41" s="486" t="s">
        <v>342</v>
      </c>
      <c r="L41" s="486">
        <v>0</v>
      </c>
      <c r="M41" s="512">
        <v>0</v>
      </c>
      <c r="N41" s="485" t="s">
        <v>342</v>
      </c>
      <c r="O41" s="486" t="s">
        <v>342</v>
      </c>
      <c r="P41" s="486">
        <v>0</v>
      </c>
      <c r="Q41" s="512">
        <v>0</v>
      </c>
      <c r="R41" s="505">
        <v>2014</v>
      </c>
      <c r="S41" s="506">
        <v>2050</v>
      </c>
    </row>
    <row r="42" spans="2:19">
      <c r="B42" s="543"/>
      <c r="C42" s="543"/>
      <c r="E42" s="490" t="s">
        <v>203</v>
      </c>
      <c r="F42" s="493" t="s">
        <v>342</v>
      </c>
      <c r="G42" s="486" t="s">
        <v>342</v>
      </c>
      <c r="H42" s="486">
        <v>0</v>
      </c>
      <c r="I42" s="510">
        <v>0</v>
      </c>
      <c r="J42" s="493" t="s">
        <v>342</v>
      </c>
      <c r="K42" s="486" t="s">
        <v>342</v>
      </c>
      <c r="L42" s="486">
        <v>0</v>
      </c>
      <c r="M42" s="512">
        <v>0</v>
      </c>
      <c r="N42" s="485" t="s">
        <v>342</v>
      </c>
      <c r="O42" s="486" t="s">
        <v>342</v>
      </c>
      <c r="P42" s="486">
        <v>0</v>
      </c>
      <c r="Q42" s="512">
        <v>0</v>
      </c>
      <c r="R42" s="505">
        <v>2014</v>
      </c>
      <c r="S42" s="506">
        <v>2050</v>
      </c>
    </row>
    <row r="43" spans="2:19">
      <c r="B43" s="543"/>
      <c r="C43" s="543"/>
      <c r="E43" s="490" t="s">
        <v>207</v>
      </c>
      <c r="F43" s="493" t="s">
        <v>342</v>
      </c>
      <c r="G43" s="486" t="s">
        <v>342</v>
      </c>
      <c r="H43" s="486">
        <v>0</v>
      </c>
      <c r="I43" s="510">
        <v>0</v>
      </c>
      <c r="J43" s="493" t="s">
        <v>342</v>
      </c>
      <c r="K43" s="486" t="s">
        <v>342</v>
      </c>
      <c r="L43" s="486">
        <v>0</v>
      </c>
      <c r="M43" s="512">
        <v>0</v>
      </c>
      <c r="N43" s="485" t="s">
        <v>342</v>
      </c>
      <c r="O43" s="486" t="s">
        <v>342</v>
      </c>
      <c r="P43" s="486">
        <v>0</v>
      </c>
      <c r="Q43" s="512">
        <v>0</v>
      </c>
      <c r="R43" s="505">
        <v>2014</v>
      </c>
      <c r="S43" s="506">
        <v>2050</v>
      </c>
    </row>
    <row r="44" spans="2:19">
      <c r="B44" s="543"/>
      <c r="C44" s="543"/>
      <c r="E44" s="490" t="s">
        <v>210</v>
      </c>
      <c r="F44" s="493" t="s">
        <v>342</v>
      </c>
      <c r="G44" s="486" t="s">
        <v>342</v>
      </c>
      <c r="H44" s="486">
        <v>0</v>
      </c>
      <c r="I44" s="510">
        <v>0</v>
      </c>
      <c r="J44" s="493" t="s">
        <v>342</v>
      </c>
      <c r="K44" s="486" t="s">
        <v>342</v>
      </c>
      <c r="L44" s="486">
        <v>0</v>
      </c>
      <c r="M44" s="512">
        <v>0</v>
      </c>
      <c r="N44" s="485" t="s">
        <v>342</v>
      </c>
      <c r="O44" s="486" t="s">
        <v>342</v>
      </c>
      <c r="P44" s="486">
        <v>0</v>
      </c>
      <c r="Q44" s="512">
        <v>0</v>
      </c>
      <c r="R44" s="505">
        <v>2014</v>
      </c>
      <c r="S44" s="506">
        <v>2050</v>
      </c>
    </row>
    <row r="45" spans="2:19">
      <c r="B45" s="543"/>
      <c r="C45" s="543"/>
      <c r="E45" s="490" t="s">
        <v>211</v>
      </c>
      <c r="F45" s="493" t="s">
        <v>342</v>
      </c>
      <c r="G45" s="486" t="s">
        <v>342</v>
      </c>
      <c r="H45" s="486">
        <v>0</v>
      </c>
      <c r="I45" s="510">
        <v>0</v>
      </c>
      <c r="J45" s="493" t="s">
        <v>342</v>
      </c>
      <c r="K45" s="486" t="s">
        <v>342</v>
      </c>
      <c r="L45" s="486">
        <v>0</v>
      </c>
      <c r="M45" s="512">
        <v>0</v>
      </c>
      <c r="N45" s="485" t="s">
        <v>342</v>
      </c>
      <c r="O45" s="486" t="s">
        <v>342</v>
      </c>
      <c r="P45" s="486">
        <v>0</v>
      </c>
      <c r="Q45" s="512">
        <v>0</v>
      </c>
      <c r="R45" s="505">
        <v>2014</v>
      </c>
      <c r="S45" s="506">
        <v>2050</v>
      </c>
    </row>
    <row r="46" spans="2:19">
      <c r="B46" s="543"/>
      <c r="C46" s="543"/>
      <c r="E46" s="490" t="s">
        <v>212</v>
      </c>
      <c r="F46" s="493" t="s">
        <v>342</v>
      </c>
      <c r="G46" s="486" t="s">
        <v>342</v>
      </c>
      <c r="H46" s="486">
        <v>0</v>
      </c>
      <c r="I46" s="510">
        <v>0</v>
      </c>
      <c r="J46" s="493" t="s">
        <v>342</v>
      </c>
      <c r="K46" s="486" t="s">
        <v>342</v>
      </c>
      <c r="L46" s="486">
        <v>0</v>
      </c>
      <c r="M46" s="512">
        <v>0</v>
      </c>
      <c r="N46" s="485" t="s">
        <v>342</v>
      </c>
      <c r="O46" s="486" t="s">
        <v>342</v>
      </c>
      <c r="P46" s="486">
        <v>0</v>
      </c>
      <c r="Q46" s="512">
        <v>0</v>
      </c>
      <c r="R46" s="505">
        <v>2014</v>
      </c>
      <c r="S46" s="506">
        <v>2050</v>
      </c>
    </row>
    <row r="47" spans="2:19">
      <c r="B47" s="543"/>
      <c r="C47" s="543"/>
      <c r="E47" s="490" t="s">
        <v>213</v>
      </c>
      <c r="F47" s="493" t="s">
        <v>342</v>
      </c>
      <c r="G47" s="486" t="s">
        <v>342</v>
      </c>
      <c r="H47" s="486">
        <v>0</v>
      </c>
      <c r="I47" s="510">
        <v>0</v>
      </c>
      <c r="J47" s="493" t="s">
        <v>342</v>
      </c>
      <c r="K47" s="486" t="s">
        <v>342</v>
      </c>
      <c r="L47" s="486">
        <v>0</v>
      </c>
      <c r="M47" s="512">
        <v>0</v>
      </c>
      <c r="N47" s="485" t="s">
        <v>342</v>
      </c>
      <c r="O47" s="486" t="s">
        <v>342</v>
      </c>
      <c r="P47" s="486">
        <v>0</v>
      </c>
      <c r="Q47" s="512">
        <v>0</v>
      </c>
      <c r="R47" s="505">
        <v>2014</v>
      </c>
      <c r="S47" s="506">
        <v>2050</v>
      </c>
    </row>
    <row r="48" spans="2:19">
      <c r="B48" s="543"/>
      <c r="C48" s="543"/>
      <c r="E48" s="490" t="s">
        <v>214</v>
      </c>
      <c r="F48" s="493" t="s">
        <v>342</v>
      </c>
      <c r="G48" s="486" t="s">
        <v>342</v>
      </c>
      <c r="H48" s="486">
        <v>0</v>
      </c>
      <c r="I48" s="510">
        <v>0</v>
      </c>
      <c r="J48" s="493" t="s">
        <v>342</v>
      </c>
      <c r="K48" s="486" t="s">
        <v>342</v>
      </c>
      <c r="L48" s="486">
        <v>0</v>
      </c>
      <c r="M48" s="512">
        <v>0</v>
      </c>
      <c r="N48" s="485" t="s">
        <v>342</v>
      </c>
      <c r="O48" s="486" t="s">
        <v>342</v>
      </c>
      <c r="P48" s="486">
        <v>0</v>
      </c>
      <c r="Q48" s="512">
        <v>0</v>
      </c>
      <c r="R48" s="505">
        <v>2014</v>
      </c>
      <c r="S48" s="506">
        <v>2050</v>
      </c>
    </row>
    <row r="49" spans="2:19">
      <c r="B49" s="543"/>
      <c r="C49" s="543"/>
      <c r="E49" s="490" t="s">
        <v>215</v>
      </c>
      <c r="F49" s="493" t="s">
        <v>342</v>
      </c>
      <c r="G49" s="486" t="s">
        <v>342</v>
      </c>
      <c r="H49" s="486">
        <v>0</v>
      </c>
      <c r="I49" s="510">
        <v>0</v>
      </c>
      <c r="J49" s="493" t="s">
        <v>342</v>
      </c>
      <c r="K49" s="486" t="s">
        <v>342</v>
      </c>
      <c r="L49" s="486">
        <v>0</v>
      </c>
      <c r="M49" s="512">
        <v>0</v>
      </c>
      <c r="N49" s="485" t="s">
        <v>342</v>
      </c>
      <c r="O49" s="486" t="s">
        <v>342</v>
      </c>
      <c r="P49" s="486">
        <v>0</v>
      </c>
      <c r="Q49" s="512">
        <v>0</v>
      </c>
      <c r="R49" s="505">
        <v>2014</v>
      </c>
      <c r="S49" s="506">
        <v>2050</v>
      </c>
    </row>
    <row r="50" spans="2:19">
      <c r="B50" s="543"/>
      <c r="C50" s="543"/>
      <c r="E50" s="490" t="s">
        <v>216</v>
      </c>
      <c r="F50" s="493" t="s">
        <v>342</v>
      </c>
      <c r="G50" s="486" t="s">
        <v>342</v>
      </c>
      <c r="H50" s="486">
        <v>0</v>
      </c>
      <c r="I50" s="510">
        <v>0</v>
      </c>
      <c r="J50" s="493" t="s">
        <v>342</v>
      </c>
      <c r="K50" s="486" t="s">
        <v>342</v>
      </c>
      <c r="L50" s="486">
        <v>0</v>
      </c>
      <c r="M50" s="512">
        <v>0</v>
      </c>
      <c r="N50" s="485" t="s">
        <v>342</v>
      </c>
      <c r="O50" s="486" t="s">
        <v>342</v>
      </c>
      <c r="P50" s="486">
        <v>0</v>
      </c>
      <c r="Q50" s="512">
        <v>0</v>
      </c>
      <c r="R50" s="505">
        <v>2014</v>
      </c>
      <c r="S50" s="506">
        <v>2050</v>
      </c>
    </row>
    <row r="51" spans="2:19">
      <c r="B51" s="543"/>
      <c r="C51" s="543"/>
      <c r="E51" s="490" t="s">
        <v>217</v>
      </c>
      <c r="F51" s="493" t="s">
        <v>342</v>
      </c>
      <c r="G51" s="486" t="s">
        <v>342</v>
      </c>
      <c r="H51" s="486">
        <v>0</v>
      </c>
      <c r="I51" s="510">
        <v>0</v>
      </c>
      <c r="J51" s="493" t="s">
        <v>342</v>
      </c>
      <c r="K51" s="486" t="s">
        <v>342</v>
      </c>
      <c r="L51" s="486">
        <v>0</v>
      </c>
      <c r="M51" s="512">
        <v>0</v>
      </c>
      <c r="N51" s="485" t="s">
        <v>342</v>
      </c>
      <c r="O51" s="486" t="s">
        <v>342</v>
      </c>
      <c r="P51" s="486">
        <v>0</v>
      </c>
      <c r="Q51" s="512">
        <v>0</v>
      </c>
      <c r="R51" s="505">
        <v>2014</v>
      </c>
      <c r="S51" s="506">
        <v>2050</v>
      </c>
    </row>
    <row r="52" spans="2:19">
      <c r="E52" s="490" t="s">
        <v>218</v>
      </c>
      <c r="F52" s="493" t="s">
        <v>342</v>
      </c>
      <c r="G52" s="486" t="s">
        <v>342</v>
      </c>
      <c r="H52" s="486">
        <v>0</v>
      </c>
      <c r="I52" s="510">
        <v>0</v>
      </c>
      <c r="J52" s="493" t="s">
        <v>342</v>
      </c>
      <c r="K52" s="486" t="s">
        <v>342</v>
      </c>
      <c r="L52" s="486">
        <v>0</v>
      </c>
      <c r="M52" s="512">
        <v>0</v>
      </c>
      <c r="N52" s="485" t="s">
        <v>342</v>
      </c>
      <c r="O52" s="486" t="s">
        <v>342</v>
      </c>
      <c r="P52" s="486">
        <v>0</v>
      </c>
      <c r="Q52" s="512">
        <v>0</v>
      </c>
      <c r="R52" s="505">
        <v>2014</v>
      </c>
      <c r="S52" s="506">
        <v>2050</v>
      </c>
    </row>
    <row r="53" spans="2:19">
      <c r="B53" s="542" t="s">
        <v>341</v>
      </c>
      <c r="C53" s="542"/>
      <c r="E53" s="490" t="s">
        <v>219</v>
      </c>
      <c r="F53" s="493" t="s">
        <v>342</v>
      </c>
      <c r="G53" s="486" t="s">
        <v>342</v>
      </c>
      <c r="H53" s="486">
        <v>0</v>
      </c>
      <c r="I53" s="510">
        <v>0</v>
      </c>
      <c r="J53" s="493" t="s">
        <v>342</v>
      </c>
      <c r="K53" s="486" t="s">
        <v>342</v>
      </c>
      <c r="L53" s="486">
        <v>0</v>
      </c>
      <c r="M53" s="512">
        <v>0</v>
      </c>
      <c r="N53" s="485" t="s">
        <v>342</v>
      </c>
      <c r="O53" s="486" t="s">
        <v>342</v>
      </c>
      <c r="P53" s="486">
        <v>0</v>
      </c>
      <c r="Q53" s="512">
        <v>0</v>
      </c>
      <c r="R53" s="505">
        <v>2014</v>
      </c>
      <c r="S53" s="506">
        <v>2050</v>
      </c>
    </row>
    <row r="54" spans="2:19">
      <c r="B54" s="542"/>
      <c r="C54" s="542"/>
      <c r="E54" s="490" t="s">
        <v>221</v>
      </c>
      <c r="F54" s="493" t="s">
        <v>342</v>
      </c>
      <c r="G54" s="486" t="s">
        <v>342</v>
      </c>
      <c r="H54" s="486">
        <v>0</v>
      </c>
      <c r="I54" s="510">
        <v>0</v>
      </c>
      <c r="J54" s="493" t="s">
        <v>342</v>
      </c>
      <c r="K54" s="486" t="s">
        <v>342</v>
      </c>
      <c r="L54" s="486">
        <v>0</v>
      </c>
      <c r="M54" s="512">
        <v>0</v>
      </c>
      <c r="N54" s="485" t="s">
        <v>342</v>
      </c>
      <c r="O54" s="486" t="s">
        <v>342</v>
      </c>
      <c r="P54" s="486">
        <v>0</v>
      </c>
      <c r="Q54" s="512">
        <v>0</v>
      </c>
      <c r="R54" s="505">
        <v>2014</v>
      </c>
      <c r="S54" s="506">
        <v>2050</v>
      </c>
    </row>
    <row r="55" spans="2:19">
      <c r="B55" s="542"/>
      <c r="C55" s="542"/>
      <c r="E55" s="490" t="s">
        <v>220</v>
      </c>
      <c r="F55" s="493" t="s">
        <v>342</v>
      </c>
      <c r="G55" s="486" t="s">
        <v>342</v>
      </c>
      <c r="H55" s="486">
        <v>0</v>
      </c>
      <c r="I55" s="510">
        <v>0</v>
      </c>
      <c r="J55" s="493" t="s">
        <v>342</v>
      </c>
      <c r="K55" s="486" t="s">
        <v>342</v>
      </c>
      <c r="L55" s="486">
        <v>0</v>
      </c>
      <c r="M55" s="512">
        <v>0</v>
      </c>
      <c r="N55" s="485" t="s">
        <v>342</v>
      </c>
      <c r="O55" s="486" t="s">
        <v>342</v>
      </c>
      <c r="P55" s="486">
        <v>0</v>
      </c>
      <c r="Q55" s="512">
        <v>0</v>
      </c>
      <c r="R55" s="505">
        <v>2014</v>
      </c>
      <c r="S55" s="506">
        <v>2050</v>
      </c>
    </row>
    <row r="56" spans="2:19">
      <c r="E56" s="490" t="s">
        <v>222</v>
      </c>
      <c r="F56" s="493" t="s">
        <v>342</v>
      </c>
      <c r="G56" s="486" t="s">
        <v>342</v>
      </c>
      <c r="H56" s="486">
        <v>0</v>
      </c>
      <c r="I56" s="510">
        <v>0</v>
      </c>
      <c r="J56" s="493" t="s">
        <v>342</v>
      </c>
      <c r="K56" s="486" t="s">
        <v>342</v>
      </c>
      <c r="L56" s="486">
        <v>0</v>
      </c>
      <c r="M56" s="512">
        <v>0</v>
      </c>
      <c r="N56" s="485" t="s">
        <v>342</v>
      </c>
      <c r="O56" s="486" t="s">
        <v>342</v>
      </c>
      <c r="P56" s="486">
        <v>0</v>
      </c>
      <c r="Q56" s="512">
        <v>0</v>
      </c>
      <c r="R56" s="505">
        <v>2014</v>
      </c>
      <c r="S56" s="506">
        <v>2050</v>
      </c>
    </row>
    <row r="57" spans="2:19">
      <c r="B57" s="541" t="s">
        <v>347</v>
      </c>
      <c r="C57" s="541"/>
      <c r="E57" s="490" t="s">
        <v>224</v>
      </c>
      <c r="F57" s="493" t="s">
        <v>342</v>
      </c>
      <c r="G57" s="486" t="s">
        <v>342</v>
      </c>
      <c r="H57" s="486">
        <v>0</v>
      </c>
      <c r="I57" s="510">
        <v>0</v>
      </c>
      <c r="J57" s="493" t="s">
        <v>342</v>
      </c>
      <c r="K57" s="486" t="s">
        <v>342</v>
      </c>
      <c r="L57" s="486">
        <v>0</v>
      </c>
      <c r="M57" s="512">
        <v>0</v>
      </c>
      <c r="N57" s="485" t="s">
        <v>342</v>
      </c>
      <c r="O57" s="486" t="s">
        <v>342</v>
      </c>
      <c r="P57" s="486">
        <v>0</v>
      </c>
      <c r="Q57" s="512">
        <v>0</v>
      </c>
      <c r="R57" s="505">
        <v>2014</v>
      </c>
      <c r="S57" s="506">
        <v>2050</v>
      </c>
    </row>
    <row r="58" spans="2:19">
      <c r="B58" s="541"/>
      <c r="C58" s="541"/>
      <c r="E58" s="490" t="s">
        <v>223</v>
      </c>
      <c r="F58" s="493" t="s">
        <v>342</v>
      </c>
      <c r="G58" s="486" t="s">
        <v>342</v>
      </c>
      <c r="H58" s="486">
        <v>0</v>
      </c>
      <c r="I58" s="510">
        <v>0</v>
      </c>
      <c r="J58" s="493" t="s">
        <v>342</v>
      </c>
      <c r="K58" s="486" t="s">
        <v>342</v>
      </c>
      <c r="L58" s="486">
        <v>0</v>
      </c>
      <c r="M58" s="512">
        <v>0</v>
      </c>
      <c r="N58" s="485" t="s">
        <v>342</v>
      </c>
      <c r="O58" s="486" t="s">
        <v>342</v>
      </c>
      <c r="P58" s="486">
        <v>0</v>
      </c>
      <c r="Q58" s="512">
        <v>0</v>
      </c>
      <c r="R58" s="505">
        <v>2014</v>
      </c>
      <c r="S58" s="506">
        <v>2050</v>
      </c>
    </row>
    <row r="59" spans="2:19" ht="13" thickBot="1">
      <c r="B59" s="541"/>
      <c r="C59" s="541"/>
      <c r="E59" s="491" t="s">
        <v>225</v>
      </c>
      <c r="F59" s="494" t="s">
        <v>342</v>
      </c>
      <c r="G59" s="488" t="s">
        <v>342</v>
      </c>
      <c r="H59" s="488">
        <v>0</v>
      </c>
      <c r="I59" s="513">
        <v>0</v>
      </c>
      <c r="J59" s="494" t="s">
        <v>342</v>
      </c>
      <c r="K59" s="488" t="s">
        <v>342</v>
      </c>
      <c r="L59" s="488">
        <v>0</v>
      </c>
      <c r="M59" s="514">
        <v>0</v>
      </c>
      <c r="N59" s="487" t="s">
        <v>342</v>
      </c>
      <c r="O59" s="488" t="s">
        <v>342</v>
      </c>
      <c r="P59" s="488">
        <v>0</v>
      </c>
      <c r="Q59" s="514">
        <v>0</v>
      </c>
      <c r="R59" s="507">
        <v>2014</v>
      </c>
      <c r="S59" s="508">
        <v>2050</v>
      </c>
    </row>
    <row r="60" spans="2:19">
      <c r="B60" s="541"/>
      <c r="C60" s="541"/>
      <c r="M60" s="495"/>
    </row>
    <row r="125" spans="2:2">
      <c r="B125" s="476" t="s">
        <v>334</v>
      </c>
    </row>
    <row r="126" spans="2:2">
      <c r="B126" s="476" t="s">
        <v>335</v>
      </c>
    </row>
    <row r="127" spans="2:2">
      <c r="B127" s="476" t="s">
        <v>336</v>
      </c>
    </row>
    <row r="128" spans="2:2">
      <c r="B128" s="476" t="s">
        <v>337</v>
      </c>
    </row>
    <row r="129" spans="2:2">
      <c r="B129" s="476" t="s">
        <v>333</v>
      </c>
    </row>
    <row r="132" spans="2:2">
      <c r="B132" s="477">
        <v>2014</v>
      </c>
    </row>
    <row r="133" spans="2:2">
      <c r="B133" s="477">
        <v>2016</v>
      </c>
    </row>
    <row r="134" spans="2:2">
      <c r="B134" s="477">
        <v>2018</v>
      </c>
    </row>
    <row r="135" spans="2:2">
      <c r="B135" s="477">
        <v>2020</v>
      </c>
    </row>
    <row r="136" spans="2:2">
      <c r="B136" s="477">
        <v>2022</v>
      </c>
    </row>
    <row r="137" spans="2:2">
      <c r="B137" s="477">
        <v>2024</v>
      </c>
    </row>
    <row r="138" spans="2:2">
      <c r="B138" s="477">
        <v>2026</v>
      </c>
    </row>
    <row r="139" spans="2:2">
      <c r="B139" s="477">
        <v>2028</v>
      </c>
    </row>
    <row r="140" spans="2:2">
      <c r="B140" s="477">
        <v>2030</v>
      </c>
    </row>
    <row r="141" spans="2:2">
      <c r="B141" s="477">
        <v>2032</v>
      </c>
    </row>
    <row r="142" spans="2:2">
      <c r="B142" s="477">
        <v>2034</v>
      </c>
    </row>
    <row r="143" spans="2:2">
      <c r="B143" s="477">
        <v>2036</v>
      </c>
    </row>
    <row r="144" spans="2:2">
      <c r="B144" s="477">
        <v>2038</v>
      </c>
    </row>
    <row r="145" spans="2:2">
      <c r="B145" s="477">
        <v>2040</v>
      </c>
    </row>
    <row r="146" spans="2:2">
      <c r="B146" s="477">
        <v>2042</v>
      </c>
    </row>
    <row r="147" spans="2:2">
      <c r="B147" s="477">
        <v>2044</v>
      </c>
    </row>
    <row r="148" spans="2:2">
      <c r="B148" s="477">
        <v>2046</v>
      </c>
    </row>
    <row r="149" spans="2:2">
      <c r="B149" s="477">
        <v>2048</v>
      </c>
    </row>
    <row r="150" spans="2:2">
      <c r="B150" s="477">
        <v>2050</v>
      </c>
    </row>
    <row r="153" spans="2:2">
      <c r="B153" s="478" t="b">
        <v>1</v>
      </c>
    </row>
    <row r="154" spans="2:2">
      <c r="B154" s="478" t="b">
        <v>0</v>
      </c>
    </row>
    <row r="166" spans="1:4">
      <c r="A166" s="477"/>
      <c r="B166" s="477" t="s">
        <v>343</v>
      </c>
      <c r="C166" s="477" t="s">
        <v>344</v>
      </c>
      <c r="D166" s="477" t="s">
        <v>345</v>
      </c>
    </row>
    <row r="167" spans="1:4">
      <c r="A167" s="477" t="s">
        <v>177</v>
      </c>
      <c r="B167" s="477">
        <v>25</v>
      </c>
      <c r="C167" s="477">
        <v>25</v>
      </c>
      <c r="D167" s="477">
        <v>25</v>
      </c>
    </row>
    <row r="168" spans="1:4">
      <c r="A168" s="477" t="s">
        <v>176</v>
      </c>
      <c r="B168" s="477">
        <v>0</v>
      </c>
      <c r="C168" s="477">
        <v>0</v>
      </c>
      <c r="D168" s="477">
        <v>0</v>
      </c>
    </row>
    <row r="169" spans="1:4">
      <c r="A169" s="477" t="s">
        <v>179</v>
      </c>
      <c r="B169" s="477">
        <v>25</v>
      </c>
      <c r="C169" s="477">
        <v>300</v>
      </c>
      <c r="D169" s="477">
        <v>300</v>
      </c>
    </row>
    <row r="170" spans="1:4">
      <c r="A170" s="477" t="s">
        <v>178</v>
      </c>
      <c r="B170" s="477" t="s">
        <v>342</v>
      </c>
      <c r="C170" s="477" t="s">
        <v>342</v>
      </c>
      <c r="D170" s="477" t="s">
        <v>342</v>
      </c>
    </row>
    <row r="171" spans="1:4">
      <c r="A171" s="477" t="s">
        <v>180</v>
      </c>
      <c r="B171" s="477">
        <v>1000</v>
      </c>
      <c r="C171" s="477">
        <v>1000</v>
      </c>
      <c r="D171" s="477">
        <v>1000</v>
      </c>
    </row>
    <row r="172" spans="1:4">
      <c r="A172" s="477" t="s">
        <v>181</v>
      </c>
      <c r="B172" s="477" t="s">
        <v>342</v>
      </c>
      <c r="C172" s="477" t="s">
        <v>342</v>
      </c>
      <c r="D172" s="477" t="s">
        <v>342</v>
      </c>
    </row>
    <row r="173" spans="1:4">
      <c r="A173" s="477" t="s">
        <v>182</v>
      </c>
      <c r="B173" s="477">
        <v>2000</v>
      </c>
      <c r="C173" s="477">
        <v>2000</v>
      </c>
      <c r="D173" s="477">
        <v>2000</v>
      </c>
    </row>
    <row r="174" spans="1:4">
      <c r="A174" s="477" t="s">
        <v>11</v>
      </c>
      <c r="B174" s="477">
        <v>1000</v>
      </c>
      <c r="C174" s="477">
        <v>1000</v>
      </c>
      <c r="D174" s="477">
        <v>0</v>
      </c>
    </row>
    <row r="175" spans="1:4">
      <c r="A175" s="477" t="s">
        <v>183</v>
      </c>
      <c r="B175" s="477">
        <v>25</v>
      </c>
      <c r="C175" s="477">
        <v>2000</v>
      </c>
      <c r="D175" s="477">
        <v>2000</v>
      </c>
    </row>
    <row r="176" spans="1:4">
      <c r="A176" s="477" t="s">
        <v>184</v>
      </c>
      <c r="B176" s="477">
        <v>2000</v>
      </c>
      <c r="C176" s="477">
        <v>2000</v>
      </c>
      <c r="D176" s="477">
        <v>2000</v>
      </c>
    </row>
    <row r="177" spans="1:4">
      <c r="A177" s="477" t="s">
        <v>185</v>
      </c>
      <c r="B177" s="477">
        <v>10</v>
      </c>
      <c r="C177" s="477">
        <v>100</v>
      </c>
      <c r="D177" s="477">
        <v>100</v>
      </c>
    </row>
    <row r="178" spans="1:4">
      <c r="A178" s="477" t="s">
        <v>186</v>
      </c>
      <c r="B178" s="477">
        <v>100</v>
      </c>
      <c r="C178" s="477">
        <v>100</v>
      </c>
      <c r="D178" s="477">
        <v>100</v>
      </c>
    </row>
    <row r="179" spans="1:4">
      <c r="A179" s="477" t="s">
        <v>190</v>
      </c>
      <c r="B179" s="477">
        <v>500</v>
      </c>
      <c r="C179" s="477">
        <v>500</v>
      </c>
      <c r="D179" s="477">
        <v>500</v>
      </c>
    </row>
    <row r="180" spans="1:4">
      <c r="A180" s="477" t="s">
        <v>187</v>
      </c>
      <c r="B180" s="477">
        <v>0</v>
      </c>
      <c r="C180" s="477">
        <v>0</v>
      </c>
      <c r="D180" s="477">
        <v>0</v>
      </c>
    </row>
    <row r="181" spans="1:4">
      <c r="A181" s="477" t="s">
        <v>188</v>
      </c>
      <c r="B181" s="477">
        <v>40</v>
      </c>
      <c r="C181" s="477">
        <v>40</v>
      </c>
      <c r="D181" s="477">
        <v>40</v>
      </c>
    </row>
    <row r="182" spans="1:4">
      <c r="A182" s="477" t="s">
        <v>189</v>
      </c>
      <c r="B182" s="477">
        <v>1000</v>
      </c>
      <c r="C182" s="477">
        <v>1000</v>
      </c>
      <c r="D182" s="477">
        <v>1000</v>
      </c>
    </row>
    <row r="183" spans="1:4">
      <c r="A183" s="477" t="s">
        <v>191</v>
      </c>
      <c r="B183" s="477">
        <v>25</v>
      </c>
      <c r="C183" s="477">
        <v>200</v>
      </c>
      <c r="D183" s="477">
        <v>200</v>
      </c>
    </row>
    <row r="184" spans="1:4">
      <c r="A184" s="477" t="s">
        <v>192</v>
      </c>
      <c r="B184" s="477">
        <v>30</v>
      </c>
      <c r="C184" s="477">
        <v>30</v>
      </c>
      <c r="D184" s="477">
        <v>30</v>
      </c>
    </row>
    <row r="185" spans="1:4">
      <c r="A185" s="477" t="s">
        <v>193</v>
      </c>
      <c r="B185" s="477">
        <v>25</v>
      </c>
      <c r="C185" s="477">
        <v>300</v>
      </c>
      <c r="D185" s="477">
        <v>0</v>
      </c>
    </row>
    <row r="186" spans="1:4">
      <c r="A186" s="477" t="s">
        <v>196</v>
      </c>
      <c r="B186" s="477">
        <v>2000</v>
      </c>
      <c r="C186" s="477">
        <v>2000</v>
      </c>
      <c r="D186" s="477">
        <v>2000</v>
      </c>
    </row>
    <row r="187" spans="1:4">
      <c r="A187" s="477" t="s">
        <v>195</v>
      </c>
      <c r="B187" s="477">
        <v>2000</v>
      </c>
      <c r="C187" s="477">
        <v>2000</v>
      </c>
      <c r="D187" s="477">
        <v>2000</v>
      </c>
    </row>
    <row r="188" spans="1:4">
      <c r="A188" s="477" t="s">
        <v>194</v>
      </c>
      <c r="B188" s="477">
        <v>660</v>
      </c>
      <c r="C188" s="477">
        <v>660</v>
      </c>
      <c r="D188" s="477">
        <v>660</v>
      </c>
    </row>
    <row r="189" spans="1:4">
      <c r="A189" s="477" t="s">
        <v>197</v>
      </c>
      <c r="B189" s="477">
        <v>150</v>
      </c>
      <c r="C189" s="477">
        <v>150</v>
      </c>
      <c r="D189" s="477">
        <v>150</v>
      </c>
    </row>
    <row r="190" spans="1:4">
      <c r="A190" s="477" t="s">
        <v>198</v>
      </c>
      <c r="B190" s="477">
        <v>1000</v>
      </c>
      <c r="C190" s="477">
        <v>1000</v>
      </c>
      <c r="D190" s="477">
        <v>1000</v>
      </c>
    </row>
    <row r="191" spans="1:4">
      <c r="A191" s="477" t="s">
        <v>200</v>
      </c>
      <c r="B191" s="477">
        <v>100</v>
      </c>
      <c r="C191" s="477">
        <v>100</v>
      </c>
      <c r="D191" s="477">
        <v>100</v>
      </c>
    </row>
    <row r="192" spans="1:4">
      <c r="A192" s="477" t="s">
        <v>199</v>
      </c>
      <c r="B192" s="477">
        <v>0</v>
      </c>
      <c r="C192" s="477">
        <v>0</v>
      </c>
      <c r="D192" s="477">
        <v>0</v>
      </c>
    </row>
    <row r="193" spans="1:4">
      <c r="A193" s="477" t="s">
        <v>201</v>
      </c>
      <c r="B193" s="477">
        <v>50</v>
      </c>
      <c r="C193" s="477">
        <v>50</v>
      </c>
      <c r="D193" s="477">
        <v>50</v>
      </c>
    </row>
    <row r="194" spans="1:4">
      <c r="A194" s="477" t="s">
        <v>208</v>
      </c>
      <c r="B194" s="477">
        <v>1000</v>
      </c>
      <c r="C194" s="477">
        <v>1000</v>
      </c>
      <c r="D194" s="477">
        <v>1000</v>
      </c>
    </row>
    <row r="195" spans="1:4">
      <c r="A195" s="477" t="s">
        <v>209</v>
      </c>
      <c r="B195" s="477">
        <v>100</v>
      </c>
      <c r="C195" s="477">
        <v>100</v>
      </c>
      <c r="D195" s="477">
        <v>100</v>
      </c>
    </row>
    <row r="196" spans="1:4">
      <c r="A196" s="477" t="s">
        <v>202</v>
      </c>
      <c r="B196" s="477">
        <v>25</v>
      </c>
      <c r="C196" s="477">
        <v>25</v>
      </c>
      <c r="D196" s="477">
        <v>25</v>
      </c>
    </row>
    <row r="197" spans="1:4">
      <c r="A197" s="477" t="s">
        <v>204</v>
      </c>
      <c r="B197" s="477">
        <v>100</v>
      </c>
      <c r="C197" s="477">
        <v>100</v>
      </c>
      <c r="D197" s="477">
        <v>100</v>
      </c>
    </row>
    <row r="198" spans="1:4">
      <c r="A198" s="477" t="s">
        <v>205</v>
      </c>
      <c r="B198" s="477" t="s">
        <v>342</v>
      </c>
      <c r="C198" s="477" t="s">
        <v>342</v>
      </c>
      <c r="D198" s="477" t="s">
        <v>342</v>
      </c>
    </row>
    <row r="199" spans="1:4">
      <c r="A199" s="477" t="s">
        <v>206</v>
      </c>
      <c r="B199" s="477">
        <v>80000</v>
      </c>
      <c r="C199" s="477">
        <v>80000</v>
      </c>
      <c r="D199" s="477">
        <v>80000</v>
      </c>
    </row>
    <row r="200" spans="1:4">
      <c r="A200" s="477" t="s">
        <v>203</v>
      </c>
      <c r="B200" s="477">
        <v>1000</v>
      </c>
      <c r="C200" s="477">
        <v>1000</v>
      </c>
      <c r="D200" s="477">
        <v>1000</v>
      </c>
    </row>
    <row r="201" spans="1:4">
      <c r="A201" s="477" t="s">
        <v>207</v>
      </c>
      <c r="B201" s="477">
        <v>25</v>
      </c>
      <c r="C201" s="477">
        <v>2000</v>
      </c>
      <c r="D201" s="477">
        <v>2000</v>
      </c>
    </row>
    <row r="202" spans="1:4">
      <c r="A202" s="477" t="s">
        <v>210</v>
      </c>
      <c r="B202" s="477" t="s">
        <v>342</v>
      </c>
      <c r="C202" s="477" t="s">
        <v>342</v>
      </c>
      <c r="D202" s="477" t="s">
        <v>342</v>
      </c>
    </row>
    <row r="203" spans="1:4">
      <c r="A203" s="477" t="s">
        <v>211</v>
      </c>
      <c r="B203" s="477">
        <v>15</v>
      </c>
      <c r="C203" s="477">
        <v>15</v>
      </c>
      <c r="D203" s="477">
        <v>15</v>
      </c>
    </row>
    <row r="204" spans="1:4">
      <c r="A204" s="477" t="s">
        <v>212</v>
      </c>
      <c r="B204" s="477">
        <v>25</v>
      </c>
      <c r="C204" s="477">
        <v>2000</v>
      </c>
      <c r="D204" s="477">
        <v>2000</v>
      </c>
    </row>
    <row r="205" spans="1:4">
      <c r="A205" s="477" t="s">
        <v>213</v>
      </c>
      <c r="B205" s="477">
        <v>50</v>
      </c>
      <c r="C205" s="477">
        <v>3000</v>
      </c>
      <c r="D205" s="477">
        <v>3000</v>
      </c>
    </row>
    <row r="206" spans="1:4">
      <c r="A206" s="477" t="s">
        <v>214</v>
      </c>
      <c r="B206" s="477">
        <v>5000</v>
      </c>
      <c r="C206" s="477">
        <v>5000</v>
      </c>
      <c r="D206" s="477">
        <v>5000</v>
      </c>
    </row>
    <row r="207" spans="1:4">
      <c r="A207" s="477" t="s">
        <v>215</v>
      </c>
      <c r="B207" s="477">
        <v>20</v>
      </c>
      <c r="C207" s="477">
        <v>100</v>
      </c>
      <c r="D207" s="477">
        <v>100</v>
      </c>
    </row>
    <row r="208" spans="1:4">
      <c r="A208" s="477" t="s">
        <v>216</v>
      </c>
      <c r="B208" s="477">
        <v>0</v>
      </c>
      <c r="C208" s="477">
        <v>0</v>
      </c>
      <c r="D208" s="477">
        <v>0</v>
      </c>
    </row>
    <row r="209" spans="1:4">
      <c r="A209" s="477" t="s">
        <v>217</v>
      </c>
      <c r="B209" s="477">
        <v>0</v>
      </c>
      <c r="C209" s="477">
        <v>0</v>
      </c>
      <c r="D209" s="477">
        <v>0</v>
      </c>
    </row>
    <row r="210" spans="1:4">
      <c r="A210" s="477" t="s">
        <v>218</v>
      </c>
      <c r="B210" s="477">
        <v>0</v>
      </c>
      <c r="C210" s="477">
        <v>0</v>
      </c>
      <c r="D210" s="477">
        <v>0</v>
      </c>
    </row>
    <row r="211" spans="1:4">
      <c r="A211" s="477" t="s">
        <v>219</v>
      </c>
      <c r="B211" s="477">
        <v>25</v>
      </c>
      <c r="C211" s="477">
        <v>2000</v>
      </c>
      <c r="D211" s="477">
        <v>2000</v>
      </c>
    </row>
    <row r="212" spans="1:4">
      <c r="A212" s="477" t="s">
        <v>221</v>
      </c>
      <c r="B212" s="477">
        <v>10</v>
      </c>
      <c r="C212" s="477">
        <v>500</v>
      </c>
      <c r="D212" s="477">
        <v>500</v>
      </c>
    </row>
    <row r="213" spans="1:4">
      <c r="A213" s="477" t="s">
        <v>220</v>
      </c>
      <c r="B213" s="477">
        <v>500</v>
      </c>
      <c r="C213" s="477">
        <v>500</v>
      </c>
      <c r="D213" s="477">
        <v>500</v>
      </c>
    </row>
    <row r="214" spans="1:4">
      <c r="A214" s="477" t="s">
        <v>222</v>
      </c>
      <c r="B214" s="477">
        <v>100</v>
      </c>
      <c r="C214" s="477">
        <v>100</v>
      </c>
      <c r="D214" s="477">
        <v>100</v>
      </c>
    </row>
    <row r="215" spans="1:4">
      <c r="A215" s="477" t="s">
        <v>224</v>
      </c>
      <c r="B215" s="477">
        <v>100</v>
      </c>
      <c r="C215" s="477">
        <v>100</v>
      </c>
      <c r="D215" s="477">
        <v>100</v>
      </c>
    </row>
    <row r="216" spans="1:4">
      <c r="A216" s="477" t="s">
        <v>223</v>
      </c>
      <c r="B216" s="477">
        <v>25</v>
      </c>
      <c r="C216" s="477">
        <v>500</v>
      </c>
      <c r="D216" s="477">
        <v>2000</v>
      </c>
    </row>
    <row r="217" spans="1:4">
      <c r="A217" s="477" t="s">
        <v>225</v>
      </c>
      <c r="B217" s="477">
        <v>25</v>
      </c>
      <c r="C217" s="477">
        <v>25</v>
      </c>
      <c r="D217" s="477">
        <v>25</v>
      </c>
    </row>
    <row r="218" spans="1:4">
      <c r="B218" s="496"/>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2015-01-08T18:58:53Z</dcterms:modified>
</cp:coreProperties>
</file>