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5596" windowHeight="13176" tabRatio="782" activeTab="6"/>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expiration_rate">'Net Metering'!$C$6</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5">'[1]Net Metering'!$I$9:$I$59,'[1]Net Metering'!$M$9:$M$59,'[1]Net Metering'!$Q$9:$Q$59</definedName>
    <definedName name="nem_hrly_exc_sell_rate">'Net Metering'!$I$10:$I$60,'Net Metering'!$M$10:$M$60,'Net Metering'!$Q$10:$Q$60</definedName>
    <definedName name="nem_inst_cap_limit" localSheetId="5">'[1]Net Metering'!$G$9:$G$59,'[1]Net Metering'!$K$9:$K$59,'[1]Net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5">'[1]Net Metering'!$F$9:$F$59,'[1]Net Metering'!$J$9:$J$59,'[1]Net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5">'[1]Net Metering'!$H$9:$H$59,'[1]Net Metering'!$L$9:$L$59,'[1]Net Metering'!$P$9:$P$59</definedName>
    <definedName name="nem_year_exc_sell_rate">'Net Metering'!$H$10:$H$60,'Net Metering'!$L$10:$L$60,'Net Metering'!$P$10:$P$60</definedName>
    <definedName name="nem_years">'Net Metering'!$R$10:$S$60</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Projections'!$J$128:$L$136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tate_wholesale_price">'Market Projections'!$C$70:$V$121</definedName>
    <definedName name="sys_sizing">Performance!$B$25:$D$27</definedName>
    <definedName name="ud_rates">'Market Projections'!$C$128:$F$178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7" i="41" l="1"/>
  <c r="L137" i="37"/>
  <c r="K137"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<sst xmlns="http://schemas.openxmlformats.org/spreadsheetml/2006/main" count="850" uniqueCount="344">
  <si>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</si>
  <si>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</si>
  <si>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</si>
  <si>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</si>
  <si>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</si>
  <si>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</si>
  <si>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</si>
  <si>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</si>
  <si>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</si>
  <si>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</si>
  <si>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</si>
  <si>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</si>
  <si>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</si>
  <si>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</si>
  <si>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</si>
  <si>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</si>
  <si>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</si>
  <si>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</si>
  <si>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</si>
  <si>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</si>
  <si>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</si>
  <si>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</si>
  <si>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</si>
  <si>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</si>
  <si>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</si>
  <si>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</si>
  <si>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</si>
  <si>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</si>
  <si>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</si>
  <si>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</si>
  <si>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</si>
  <si>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</si>
  <si>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</si>
  <si>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</si>
  <si>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</si>
  <si>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</si>
  <si>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</si>
  <si>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</si>
  <si>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</si>
  <si>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</si>
  <si>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</si>
  <si>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</si>
  <si>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</si>
  <si>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</si>
  <si>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</si>
  <si>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</si>
  <si>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</si>
  <si>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</si>
  <si>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</si>
  <si>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</si>
  <si>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</si>
  <si>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</si>
  <si>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</si>
  <si>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</si>
  <si>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</si>
  <si>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</si>
  <si>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</si>
  <si>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</si>
  <si>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</si>
  <si>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</si>
  <si>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</si>
  <si>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</si>
  <si>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</si>
  <si>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</si>
  <si>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</si>
  <si>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</si>
  <si>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</si>
  <si>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</si>
  <si>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</si>
  <si>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</si>
  <si>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</si>
  <si>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</si>
  <si>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</si>
  <si>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</si>
  <si>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</si>
  <si>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</si>
  <si>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</si>
  <si>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</si>
  <si>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</si>
  <si>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</si>
  <si>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</si>
  <si>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</si>
  <si>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</si>
  <si>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</si>
  <si>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</si>
  <si>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</si>
  <si>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</si>
  <si>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</si>
  <si>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</si>
  <si>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</si>
  <si>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</si>
  <si>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</si>
  <si>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</si>
  <si>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</si>
  <si>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</si>
  <si>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</si>
  <si>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</si>
  <si>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</si>
  <si>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</si>
  <si>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</si>
  <si>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</si>
  <si>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</si>
  <si>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</si>
  <si>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</si>
  <si>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</si>
  <si>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</si>
  <si>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</si>
  <si>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</si>
  <si>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</si>
  <si>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</si>
  <si>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</si>
  <si>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</si>
  <si>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</si>
  <si>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</si>
  <si>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</si>
  <si>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</si>
  <si>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</si>
  <si>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</si>
  <si>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</si>
  <si>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</si>
  <si>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</si>
  <si>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</si>
  <si>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</si>
  <si>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</si>
  <si>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</si>
  <si>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</si>
  <si>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</si>
  <si>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</si>
  <si>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</si>
  <si>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</si>
  <si>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</si>
  <si>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</si>
  <si>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</si>
  <si>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</si>
  <si>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</si>
  <si>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</si>
  <si>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</si>
  <si>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</si>
  <si>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</si>
  <si>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</si>
  <si>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</si>
  <si>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</si>
  <si>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</si>
  <si>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</si>
  <si>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</si>
  <si>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</si>
  <si>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</si>
  <si>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</si>
  <si>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</si>
  <si>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</si>
  <si>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</si>
  <si>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</si>
  <si>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</si>
  <si>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</si>
  <si>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</si>
  <si>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</si>
  <si>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</si>
  <si>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</si>
  <si>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</si>
  <si>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</si>
  <si>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</si>
  <si>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</si>
  <si>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</si>
  <si>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</si>
  <si>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</si>
  <si>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</si>
  <si>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</si>
  <si>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</si>
  <si>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</si>
  <si>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</si>
  <si>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</si>
  <si>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</si>
  <si>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</si>
  <si>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</si>
  <si>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</si>
  <si>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</si>
  <si>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</si>
  <si>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</si>
  <si>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</si>
  <si>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</si>
  <si>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</si>
  <si>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</si>
  <si>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</si>
  <si>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</si>
  <si>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</si>
  <si>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</si>
  <si>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</si>
  <si>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</si>
  <si>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</si>
  <si>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</si>
  <si>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</si>
  <si>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</si>
  <si>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</si>
  <si>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</si>
  <si>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</si>
  <si>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</si>
  <si>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</si>
  <si>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</si>
  <si>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</si>
  <si>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</si>
  <si>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</si>
  <si>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</si>
  <si>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</si>
  <si>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</si>
  <si>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</si>
  <si>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</si>
  <si>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</si>
  <si>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</si>
  <si>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</si>
  <si>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</si>
  <si>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</si>
  <si>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</si>
  <si>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</si>
  <si>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</si>
  <si>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</si>
  <si>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</si>
  <si>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</si>
  <si>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</si>
  <si>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</si>
  <si>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</si>
  <si>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</si>
  <si>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</si>
  <si>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</si>
  <si>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</si>
  <si>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</si>
  <si>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</si>
  <si>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</si>
  <si>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</si>
  <si>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</si>
  <si>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</si>
  <si>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</si>
  <si>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</si>
  <si>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</si>
  <si>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</si>
  <si>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</si>
  <si>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</si>
  <si>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</si>
  <si>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</si>
  <si>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</si>
  <si>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</si>
  <si>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</si>
  <si>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</si>
  <si>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</si>
  <si>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</si>
  <si>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</si>
  <si>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</si>
  <si>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</si>
  <si>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</si>
  <si>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</si>
  <si>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</si>
  <si>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</si>
  <si>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</si>
  <si>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</si>
  <si>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</si>
  <si>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</si>
  <si>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</si>
  <si>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</si>
  <si>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</si>
  <si>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</si>
  <si>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</si>
  <si>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</si>
  <si>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</si>
  <si>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</si>
  <si>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</si>
  <si>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</si>
  <si>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</si>
  <si>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</si>
  <si>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</si>
  <si>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</si>
  <si>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</si>
  <si>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</si>
  <si>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</si>
  <si>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</si>
  <si>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</si>
  <si>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</si>
  <si>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</si>
  <si>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</si>
  <si>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</si>
  <si>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</si>
  <si>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</si>
  <si>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</si>
  <si>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</si>
  <si>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</si>
  <si>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</si>
  <si>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</si>
  <si>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</si>
  <si>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</si>
  <si>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</si>
  <si>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</si>
  <si>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</si>
  <si>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</si>
  <si>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</si>
  <si>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</si>
  <si>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</si>
  <si>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</si>
  <si>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</si>
  <si>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</si>
  <si>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</si>
  <si>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</si>
  <si>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</si>
  <si>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</si>
  <si>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</si>
  <si>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</si>
  <si>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</si>
  <si>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</si>
  <si>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</si>
  <si>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</si>
  <si>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</si>
  <si>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</si>
  <si>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</si>
  <si>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</si>
  <si>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</si>
  <si>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</si>
  <si>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</si>
  <si>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</si>
  <si>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</si>
  <si>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</si>
  <si>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</si>
  <si>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</si>
  <si>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</si>
  <si>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</si>
  <si>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</si>
  <si>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</si>
  <si>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</si>
  <si>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</si>
  <si>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</si>
  <si>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</si>
  <si>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</si>
  <si>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</si>
  <si>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</si>
  <si>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</si>
  <si>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</si>
  <si>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</si>
  <si>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</si>
  <si>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</si>
  <si>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</si>
  <si>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</si>
  <si>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</si>
  <si>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</si>
  <si>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</si>
  <si>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</si>
  <si>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</si>
  <si>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</si>
  <si>
    <t>Avoided Cost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</si>
</sst>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6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0" xfId="0" applyFill="1" applyProtection="1">
      <protection locked="0"/>
    </xf>
    <xf numFmtId="0" fontId="0" fillId="10" borderId="0" xfId="0" applyFill="1" applyAlignment="1" applyProtection="1">
      <alignment horizontal="left"/>
      <protection locked="0"/>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19" borderId="0" xfId="0" applyFont="1" applyFill="1"/>
    <xf numFmtId="0" fontId="0" fillId="10" borderId="0" xfId="0" applyFill="1" applyAlignment="1">
      <alignment vertical="top" wrapText="1"/>
    </xf>
    <xf numFmtId="0" fontId="53" fillId="5" borderId="57" xfId="3" applyFont="1" applyFill="1" applyBorder="1" applyAlignment="1">
      <alignment wrapText="1"/>
    </xf>
    <xf numFmtId="0" fontId="0" fillId="10" borderId="0" xfId="0" applyFill="1" applyBorder="1"/>
    <xf numFmtId="164" fontId="2" fillId="10" borderId="0" xfId="0" applyNumberFormat="1" applyFont="1" applyFill="1" applyBorder="1"/>
    <xf numFmtId="0" fontId="2" fillId="10" borderId="0" xfId="3" applyFont="1" applyFill="1" applyAlignment="1"/>
    <xf numFmtId="0" fontId="2" fillId="2" borderId="0" xfId="3" applyFont="1" applyFill="1" applyBorder="1"/>
    <xf numFmtId="0" fontId="2" fillId="2" borderId="0" xfId="3" applyFont="1" applyFill="1" applyBorder="1" applyAlignment="1">
      <alignment horizontal="center"/>
    </xf>
    <xf numFmtId="0" fontId="2" fillId="10" borderId="0" xfId="0" applyFont="1" applyFill="1" applyBorder="1"/>
    <xf numFmtId="2" fontId="79" fillId="10" borderId="0" xfId="0" applyNumberFormat="1" applyFont="1" applyFill="1" applyBorder="1"/>
    <xf numFmtId="2" fontId="79" fillId="10" borderId="0" xfId="3" applyNumberFormat="1" applyFont="1" applyFill="1" applyBorder="1" applyAlignment="1"/>
    <xf numFmtId="2" fontId="79" fillId="10" borderId="0" xfId="1" applyNumberFormat="1" applyFont="1" applyFill="1" applyBorder="1" applyAlignment="1"/>
    <xf numFmtId="2" fontId="79" fillId="10" borderId="37" xfId="1" applyNumberFormat="1" applyFont="1" applyFill="1" applyBorder="1" applyAlignment="1"/>
    <xf numFmtId="0" fontId="2" fillId="10" borderId="0" xfId="3" applyFont="1" applyFill="1" applyBorder="1" applyAlignment="1"/>
    <xf numFmtId="2" fontId="79" fillId="10" borderId="40" xfId="0" applyNumberFormat="1" applyFont="1" applyFill="1" applyBorder="1"/>
    <xf numFmtId="2" fontId="79" fillId="10" borderId="40" xfId="3" applyNumberFormat="1" applyFont="1" applyFill="1" applyBorder="1" applyAlignment="1"/>
    <xf numFmtId="2" fontId="79" fillId="10" borderId="40" xfId="1" applyNumberFormat="1" applyFont="1" applyFill="1" applyBorder="1" applyAlignment="1"/>
    <xf numFmtId="2" fontId="79" fillId="10" borderId="41" xfId="1" applyNumberFormat="1" applyFont="1" applyFill="1" applyBorder="1" applyAlignment="1"/>
    <xf numFmtId="0" fontId="50" fillId="18" borderId="45" xfId="3" applyFont="1" applyFill="1" applyBorder="1" applyAlignment="1" applyProtection="1">
      <alignment horizontal="center"/>
      <protection locked="0"/>
    </xf>
    <xf numFmtId="0" fontId="47" fillId="18" borderId="42" xfId="3" applyFont="1" applyFill="1" applyBorder="1" applyAlignment="1" applyProtection="1">
      <alignment horizontal="center" wrapText="1"/>
      <protection locked="0"/>
    </xf>
    <xf numFmtId="0" fontId="0" fillId="18" borderId="124" xfId="0" applyFont="1" applyFill="1" applyBorder="1" applyAlignment="1" applyProtection="1">
      <alignment horizontal="center"/>
      <protection locked="0"/>
    </xf>
    <xf numFmtId="0" fontId="0" fillId="18" borderId="48" xfId="0" applyFont="1" applyFill="1" applyBorder="1" applyAlignment="1" applyProtection="1">
      <alignment horizontal="center"/>
      <protection locked="0"/>
    </xf>
    <xf numFmtId="0" fontId="0" fillId="18" borderId="98" xfId="0" applyFont="1" applyFill="1" applyBorder="1" applyAlignment="1" applyProtection="1">
      <alignment horizontal="center"/>
      <protection locked="0"/>
    </xf>
    <xf numFmtId="0" fontId="0" fillId="18" borderId="119" xfId="0" applyFont="1" applyFill="1" applyBorder="1" applyAlignment="1" applyProtection="1">
      <alignment horizontal="center"/>
      <protection locked="0"/>
    </xf>
    <xf numFmtId="0" fontId="0" fillId="18" borderId="118" xfId="0" applyFont="1" applyFill="1" applyBorder="1" applyAlignment="1" applyProtection="1">
      <alignment horizontal="center"/>
      <protection locked="0"/>
    </xf>
    <xf numFmtId="0" fontId="0" fillId="18" borderId="118" xfId="0" applyFill="1" applyBorder="1" applyAlignment="1" applyProtection="1">
      <alignment horizontal="center"/>
      <protection locked="0"/>
    </xf>
    <xf numFmtId="0" fontId="0" fillId="18" borderId="49" xfId="0" applyFill="1" applyBorder="1" applyAlignment="1" applyProtection="1">
      <alignment horizontal="center"/>
      <protection locked="0"/>
    </xf>
    <xf numFmtId="0" fontId="50" fillId="18" borderId="20" xfId="3" applyFont="1" applyFill="1" applyBorder="1" applyAlignment="1" applyProtection="1">
      <alignment horizontal="center"/>
      <protection locked="0"/>
    </xf>
    <xf numFmtId="0" fontId="47" fillId="18" borderId="43" xfId="3" applyFont="1" applyFill="1" applyBorder="1" applyAlignment="1" applyProtection="1">
      <alignment horizontal="center" wrapText="1"/>
      <protection locked="0"/>
    </xf>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62" xfId="0" applyFont="1" applyFill="1" applyBorder="1" applyAlignment="1" applyProtection="1">
      <alignment horizontal="center"/>
      <protection locked="0"/>
    </xf>
    <xf numFmtId="0" fontId="0" fillId="18" borderId="121" xfId="0" applyFont="1" applyFill="1" applyBorder="1" applyAlignment="1" applyProtection="1">
      <alignment horizontal="center"/>
      <protection locked="0"/>
    </xf>
    <xf numFmtId="0" fontId="0" fillId="18" borderId="120" xfId="0" applyFont="1" applyFill="1" applyBorder="1" applyAlignment="1" applyProtection="1">
      <alignment horizontal="center"/>
      <protection locked="0"/>
    </xf>
    <xf numFmtId="0" fontId="0" fillId="18" borderId="120" xfId="0" applyFill="1" applyBorder="1" applyAlignment="1" applyProtection="1">
      <alignment horizontal="center"/>
      <protection locked="0"/>
    </xf>
    <xf numFmtId="0" fontId="0" fillId="18" borderId="37" xfId="0" applyFill="1" applyBorder="1" applyAlignment="1" applyProtection="1">
      <alignment horizontal="center"/>
      <protection locked="0"/>
    </xf>
    <xf numFmtId="0" fontId="50" fillId="18" borderId="46" xfId="3" applyFont="1" applyFill="1" applyBorder="1" applyAlignment="1" applyProtection="1">
      <alignment horizontal="center"/>
      <protection locked="0"/>
    </xf>
    <xf numFmtId="0" fontId="47" fillId="18" borderId="44" xfId="3" applyFont="1" applyFill="1" applyBorder="1" applyAlignment="1" applyProtection="1">
      <alignment horizontal="center" wrapText="1"/>
      <protection locked="0"/>
    </xf>
    <xf numFmtId="0" fontId="0" fillId="18" borderId="125" xfId="0" applyFont="1" applyFill="1" applyBorder="1" applyAlignment="1" applyProtection="1">
      <alignment horizontal="center"/>
      <protection locked="0"/>
    </xf>
    <xf numFmtId="0" fontId="0" fillId="18" borderId="40" xfId="0" applyFont="1" applyFill="1" applyBorder="1" applyAlignment="1" applyProtection="1">
      <alignment horizontal="center"/>
      <protection locked="0"/>
    </xf>
    <xf numFmtId="0" fontId="0" fillId="18" borderId="99" xfId="0" applyFont="1" applyFill="1" applyBorder="1" applyAlignment="1" applyProtection="1">
      <alignment horizontal="center"/>
      <protection locked="0"/>
    </xf>
    <xf numFmtId="0" fontId="0" fillId="18" borderId="123" xfId="0" applyFont="1" applyFill="1" applyBorder="1" applyAlignment="1" applyProtection="1">
      <alignment horizontal="center"/>
      <protection locked="0"/>
    </xf>
    <xf numFmtId="0" fontId="0" fillId="18" borderId="122" xfId="0" applyFont="1" applyFill="1" applyBorder="1" applyAlignment="1" applyProtection="1">
      <alignment horizontal="center"/>
      <protection locked="0"/>
    </xf>
    <xf numFmtId="0" fontId="0" fillId="18" borderId="122" xfId="0" applyFill="1" applyBorder="1" applyAlignment="1" applyProtection="1">
      <alignment horizontal="center"/>
      <protection locked="0"/>
    </xf>
    <xf numFmtId="0" fontId="0" fillId="18" borderId="41" xfId="0" applyFill="1" applyBorder="1" applyAlignment="1" applyProtection="1">
      <alignment horizontal="center"/>
      <protection locked="0"/>
    </xf>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83" fillId="10" borderId="0" xfId="0" applyFont="1" applyFill="1" applyProtection="1"/>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System Size Limit (kW)</v>
          </cell>
          <cell r="G9" t="str">
            <v>State Installed Capacity Limit (MW)^</v>
          </cell>
          <cell r="H9" t="str">
            <v>Year-End Excess Sell Rate ($/kWh)</v>
          </cell>
          <cell r="I9" t="str">
            <v>Hourly Excess Sell Rate ($/kWh)</v>
          </cell>
          <cell r="J9" t="str">
            <v>System Size Limit (kW)</v>
          </cell>
          <cell r="K9" t="str">
            <v>State Installed Capacity Limit (MW)^</v>
          </cell>
          <cell r="L9" t="str">
            <v>Year-End Excess Sell Rate ($/kWh)</v>
          </cell>
          <cell r="M9" t="str">
            <v>Hourly Excess Sell Rate ($/kWh)</v>
          </cell>
          <cell r="N9" t="str">
            <v>System Size Limit (kW)</v>
          </cell>
          <cell r="O9" t="str">
            <v>State Installed Capacity Limit (MW)^</v>
          </cell>
          <cell r="P9" t="str">
            <v>Year-End Excess Sell Rate ($/kWh)</v>
          </cell>
          <cell r="Q9" t="str">
            <v>Hourly Excess Sell Rate ($/kWh)</v>
          </cell>
        </row>
        <row r="10">
          <cell r="F10">
            <v>25</v>
          </cell>
          <cell r="G10">
            <v>0</v>
          </cell>
          <cell r="H10">
            <v>0</v>
          </cell>
          <cell r="I10">
            <v>0</v>
          </cell>
          <cell r="J10">
            <v>25</v>
          </cell>
          <cell r="K10">
            <v>0</v>
          </cell>
          <cell r="L10">
            <v>0</v>
          </cell>
          <cell r="M10">
            <v>0</v>
          </cell>
          <cell r="N10">
            <v>25</v>
          </cell>
          <cell r="O10">
            <v>0</v>
          </cell>
          <cell r="P10">
            <v>0</v>
          </cell>
          <cell r="Q10">
            <v>0</v>
          </cell>
        </row>
        <row r="11">
          <cell r="F11">
            <v>0</v>
          </cell>
          <cell r="G11">
            <v>0</v>
          </cell>
          <cell r="H11">
            <v>0</v>
          </cell>
          <cell r="I11">
            <v>0</v>
          </cell>
          <cell r="J11">
            <v>0</v>
          </cell>
          <cell r="K11">
            <v>0</v>
          </cell>
          <cell r="L11">
            <v>0</v>
          </cell>
          <cell r="M11">
            <v>0</v>
          </cell>
          <cell r="N11">
            <v>0</v>
          </cell>
          <cell r="O11">
            <v>0</v>
          </cell>
          <cell r="P11">
            <v>0</v>
          </cell>
          <cell r="Q11">
            <v>0</v>
          </cell>
        </row>
        <row r="12">
          <cell r="F12">
            <v>25</v>
          </cell>
          <cell r="G12">
            <v>0</v>
          </cell>
          <cell r="H12">
            <v>0</v>
          </cell>
          <cell r="I12">
            <v>0</v>
          </cell>
          <cell r="J12">
            <v>300</v>
          </cell>
          <cell r="K12">
            <v>0</v>
          </cell>
          <cell r="L12">
            <v>0</v>
          </cell>
          <cell r="M12">
            <v>0</v>
          </cell>
          <cell r="N12">
            <v>300</v>
          </cell>
          <cell r="O12">
            <v>0</v>
          </cell>
          <cell r="P12">
            <v>0</v>
          </cell>
          <cell r="Q12">
            <v>0</v>
          </cell>
        </row>
        <row r="13">
          <cell r="F13" t="str">
            <v>Inf</v>
          </cell>
          <cell r="G13">
            <v>0</v>
          </cell>
          <cell r="H13">
            <v>0</v>
          </cell>
          <cell r="I13">
            <v>0</v>
          </cell>
          <cell r="J13" t="str">
            <v>Inf</v>
          </cell>
          <cell r="K13">
            <v>0</v>
          </cell>
          <cell r="L13">
            <v>0</v>
          </cell>
          <cell r="M13">
            <v>0</v>
          </cell>
          <cell r="N13" t="str">
            <v>Inf</v>
          </cell>
          <cell r="O13">
            <v>0</v>
          </cell>
          <cell r="P13">
            <v>0</v>
          </cell>
          <cell r="Q13">
            <v>0</v>
          </cell>
        </row>
        <row r="14">
          <cell r="F14">
            <v>1000</v>
          </cell>
          <cell r="G14">
            <v>0</v>
          </cell>
          <cell r="H14">
            <v>0</v>
          </cell>
          <cell r="I14">
            <v>0</v>
          </cell>
          <cell r="J14">
            <v>1000</v>
          </cell>
          <cell r="K14">
            <v>0</v>
          </cell>
          <cell r="L14">
            <v>0</v>
          </cell>
          <cell r="M14">
            <v>0</v>
          </cell>
          <cell r="N14">
            <v>1000</v>
          </cell>
          <cell r="O14">
            <v>0</v>
          </cell>
          <cell r="P14">
            <v>0</v>
          </cell>
          <cell r="Q14">
            <v>0</v>
          </cell>
        </row>
        <row r="15">
          <cell r="F15" t="str">
            <v>Inf</v>
          </cell>
          <cell r="G15">
            <v>0</v>
          </cell>
          <cell r="H15">
            <v>0</v>
          </cell>
          <cell r="I15">
            <v>0</v>
          </cell>
          <cell r="J15" t="str">
            <v>Inf</v>
          </cell>
          <cell r="K15">
            <v>0</v>
          </cell>
          <cell r="L15">
            <v>0</v>
          </cell>
          <cell r="M15">
            <v>0</v>
          </cell>
          <cell r="N15" t="str">
            <v>Inf</v>
          </cell>
          <cell r="O15">
            <v>0</v>
          </cell>
          <cell r="P15">
            <v>0</v>
          </cell>
          <cell r="Q15">
            <v>0</v>
          </cell>
        </row>
        <row r="16">
          <cell r="F16">
            <v>2000</v>
          </cell>
          <cell r="G16">
            <v>0</v>
          </cell>
          <cell r="H16">
            <v>0</v>
          </cell>
          <cell r="I16">
            <v>0</v>
          </cell>
          <cell r="J16">
            <v>2000</v>
          </cell>
          <cell r="K16">
            <v>0</v>
          </cell>
          <cell r="L16">
            <v>0</v>
          </cell>
          <cell r="M16">
            <v>0</v>
          </cell>
          <cell r="N16">
            <v>2000</v>
          </cell>
          <cell r="O16">
            <v>0</v>
          </cell>
          <cell r="P16">
            <v>0</v>
          </cell>
          <cell r="Q16">
            <v>0</v>
          </cell>
        </row>
        <row r="17">
          <cell r="F17">
            <v>100</v>
          </cell>
          <cell r="G17">
            <v>0</v>
          </cell>
          <cell r="H17">
            <v>0</v>
          </cell>
          <cell r="I17">
            <v>0</v>
          </cell>
          <cell r="J17">
            <v>100</v>
          </cell>
          <cell r="K17">
            <v>0</v>
          </cell>
          <cell r="L17">
            <v>0</v>
          </cell>
          <cell r="M17">
            <v>0</v>
          </cell>
          <cell r="N17">
            <v>100</v>
          </cell>
          <cell r="O17">
            <v>0</v>
          </cell>
          <cell r="P17">
            <v>0</v>
          </cell>
          <cell r="Q17">
            <v>0</v>
          </cell>
        </row>
        <row r="18">
          <cell r="F18">
            <v>25</v>
          </cell>
          <cell r="G18">
            <v>0</v>
          </cell>
          <cell r="H18">
            <v>0</v>
          </cell>
          <cell r="I18">
            <v>0</v>
          </cell>
          <cell r="J18">
            <v>1500</v>
          </cell>
          <cell r="K18">
            <v>0</v>
          </cell>
          <cell r="L18">
            <v>0</v>
          </cell>
          <cell r="M18">
            <v>0</v>
          </cell>
          <cell r="N18">
            <v>1500</v>
          </cell>
          <cell r="O18">
            <v>0</v>
          </cell>
          <cell r="P18">
            <v>0</v>
          </cell>
          <cell r="Q18">
            <v>0</v>
          </cell>
        </row>
        <row r="19">
          <cell r="F19">
            <v>2000</v>
          </cell>
          <cell r="G19">
            <v>0</v>
          </cell>
          <cell r="H19">
            <v>0</v>
          </cell>
          <cell r="I19">
            <v>0</v>
          </cell>
          <cell r="J19">
            <v>2000</v>
          </cell>
          <cell r="K19">
            <v>0</v>
          </cell>
          <cell r="L19">
            <v>0</v>
          </cell>
          <cell r="M19">
            <v>0</v>
          </cell>
          <cell r="N19">
            <v>2000</v>
          </cell>
          <cell r="O19">
            <v>0</v>
          </cell>
          <cell r="P19">
            <v>0</v>
          </cell>
          <cell r="Q19">
            <v>0</v>
          </cell>
        </row>
        <row r="20">
          <cell r="F20">
            <v>10</v>
          </cell>
          <cell r="G20">
            <v>0</v>
          </cell>
          <cell r="H20">
            <v>0</v>
          </cell>
          <cell r="I20">
            <v>0</v>
          </cell>
          <cell r="J20">
            <v>100</v>
          </cell>
          <cell r="K20">
            <v>0</v>
          </cell>
          <cell r="L20">
            <v>0</v>
          </cell>
          <cell r="M20">
            <v>0</v>
          </cell>
          <cell r="N20">
            <v>100</v>
          </cell>
          <cell r="O20">
            <v>0</v>
          </cell>
          <cell r="P20">
            <v>0</v>
          </cell>
          <cell r="Q20">
            <v>0</v>
          </cell>
        </row>
        <row r="21">
          <cell r="F21">
            <v>100</v>
          </cell>
          <cell r="G21">
            <v>0</v>
          </cell>
          <cell r="H21">
            <v>0</v>
          </cell>
          <cell r="I21">
            <v>0</v>
          </cell>
          <cell r="J21">
            <v>100</v>
          </cell>
          <cell r="K21">
            <v>0</v>
          </cell>
          <cell r="L21">
            <v>0</v>
          </cell>
          <cell r="M21">
            <v>0</v>
          </cell>
          <cell r="N21">
            <v>100</v>
          </cell>
          <cell r="O21">
            <v>0</v>
          </cell>
          <cell r="P21">
            <v>0</v>
          </cell>
          <cell r="Q21">
            <v>0</v>
          </cell>
        </row>
        <row r="22">
          <cell r="F22">
            <v>500</v>
          </cell>
          <cell r="G22">
            <v>0</v>
          </cell>
          <cell r="H22">
            <v>0</v>
          </cell>
          <cell r="I22">
            <v>0</v>
          </cell>
          <cell r="J22">
            <v>500</v>
          </cell>
          <cell r="K22">
            <v>0</v>
          </cell>
          <cell r="L22">
            <v>0</v>
          </cell>
          <cell r="M22">
            <v>0</v>
          </cell>
          <cell r="N22">
            <v>500</v>
          </cell>
          <cell r="O22">
            <v>0</v>
          </cell>
          <cell r="P22">
            <v>0</v>
          </cell>
          <cell r="Q22">
            <v>0</v>
          </cell>
        </row>
        <row r="23">
          <cell r="F23">
            <v>0</v>
          </cell>
          <cell r="G23">
            <v>0</v>
          </cell>
          <cell r="H23">
            <v>0</v>
          </cell>
          <cell r="I23">
            <v>0</v>
          </cell>
          <cell r="J23">
            <v>0</v>
          </cell>
          <cell r="K23">
            <v>0</v>
          </cell>
          <cell r="L23">
            <v>0</v>
          </cell>
          <cell r="M23">
            <v>0</v>
          </cell>
          <cell r="N23">
            <v>0</v>
          </cell>
          <cell r="O23">
            <v>0</v>
          </cell>
          <cell r="P23">
            <v>0</v>
          </cell>
          <cell r="Q23">
            <v>0</v>
          </cell>
        </row>
        <row r="24">
          <cell r="F24" t="str">
            <v>Inf</v>
          </cell>
          <cell r="G24">
            <v>0</v>
          </cell>
          <cell r="H24">
            <v>0</v>
          </cell>
          <cell r="I24">
            <v>0</v>
          </cell>
          <cell r="J24">
            <v>2000</v>
          </cell>
          <cell r="K24">
            <v>0</v>
          </cell>
          <cell r="L24">
            <v>0</v>
          </cell>
          <cell r="M24">
            <v>0</v>
          </cell>
          <cell r="N24">
            <v>2000</v>
          </cell>
          <cell r="O24">
            <v>0</v>
          </cell>
          <cell r="P24">
            <v>0</v>
          </cell>
          <cell r="Q24">
            <v>0</v>
          </cell>
        </row>
        <row r="25">
          <cell r="F25">
            <v>1000</v>
          </cell>
          <cell r="G25">
            <v>0</v>
          </cell>
          <cell r="H25">
            <v>0</v>
          </cell>
          <cell r="I25">
            <v>0</v>
          </cell>
          <cell r="J25">
            <v>1000</v>
          </cell>
          <cell r="K25">
            <v>0</v>
          </cell>
          <cell r="L25">
            <v>0</v>
          </cell>
          <cell r="M25">
            <v>0</v>
          </cell>
          <cell r="N25">
            <v>1000</v>
          </cell>
          <cell r="O25">
            <v>0</v>
          </cell>
          <cell r="P25">
            <v>0</v>
          </cell>
          <cell r="Q25">
            <v>0</v>
          </cell>
        </row>
        <row r="26">
          <cell r="F26">
            <v>25</v>
          </cell>
          <cell r="G26">
            <v>0</v>
          </cell>
          <cell r="H26">
            <v>0</v>
          </cell>
          <cell r="I26">
            <v>0</v>
          </cell>
          <cell r="J26">
            <v>200</v>
          </cell>
          <cell r="K26">
            <v>0</v>
          </cell>
          <cell r="L26">
            <v>0</v>
          </cell>
          <cell r="M26">
            <v>0</v>
          </cell>
          <cell r="N26">
            <v>200</v>
          </cell>
          <cell r="O26">
            <v>0</v>
          </cell>
          <cell r="P26">
            <v>0</v>
          </cell>
          <cell r="Q26">
            <v>0</v>
          </cell>
        </row>
        <row r="27">
          <cell r="F27">
            <v>30</v>
          </cell>
          <cell r="G27">
            <v>0</v>
          </cell>
          <cell r="H27">
            <v>0</v>
          </cell>
          <cell r="I27">
            <v>0</v>
          </cell>
          <cell r="J27">
            <v>30</v>
          </cell>
          <cell r="K27">
            <v>0</v>
          </cell>
          <cell r="L27">
            <v>0</v>
          </cell>
          <cell r="M27">
            <v>0</v>
          </cell>
          <cell r="N27">
            <v>30</v>
          </cell>
          <cell r="O27">
            <v>0</v>
          </cell>
          <cell r="P27">
            <v>0</v>
          </cell>
          <cell r="Q27">
            <v>0</v>
          </cell>
        </row>
        <row r="28">
          <cell r="F28">
            <v>25</v>
          </cell>
          <cell r="G28">
            <v>0</v>
          </cell>
          <cell r="H28">
            <v>0</v>
          </cell>
          <cell r="I28">
            <v>0</v>
          </cell>
          <cell r="J28">
            <v>300</v>
          </cell>
          <cell r="K28">
            <v>0</v>
          </cell>
          <cell r="L28">
            <v>0</v>
          </cell>
          <cell r="M28">
            <v>0</v>
          </cell>
          <cell r="N28">
            <v>300</v>
          </cell>
          <cell r="O28">
            <v>0</v>
          </cell>
          <cell r="P28">
            <v>0</v>
          </cell>
          <cell r="Q28">
            <v>0</v>
          </cell>
        </row>
        <row r="29">
          <cell r="F29">
            <v>2000</v>
          </cell>
          <cell r="G29">
            <v>0</v>
          </cell>
          <cell r="H29">
            <v>0</v>
          </cell>
          <cell r="I29">
            <v>0</v>
          </cell>
          <cell r="J29">
            <v>2000</v>
          </cell>
          <cell r="K29">
            <v>0</v>
          </cell>
          <cell r="L29">
            <v>0</v>
          </cell>
          <cell r="M29">
            <v>0</v>
          </cell>
          <cell r="N29">
            <v>2000</v>
          </cell>
          <cell r="O29">
            <v>0</v>
          </cell>
          <cell r="P29">
            <v>0</v>
          </cell>
          <cell r="Q29">
            <v>0</v>
          </cell>
        </row>
        <row r="30">
          <cell r="F30">
            <v>2000</v>
          </cell>
          <cell r="G30">
            <v>0</v>
          </cell>
          <cell r="H30">
            <v>0</v>
          </cell>
          <cell r="I30">
            <v>0</v>
          </cell>
          <cell r="J30">
            <v>2000</v>
          </cell>
          <cell r="K30">
            <v>0</v>
          </cell>
          <cell r="L30">
            <v>0</v>
          </cell>
          <cell r="M30">
            <v>0</v>
          </cell>
          <cell r="N30">
            <v>2000</v>
          </cell>
          <cell r="O30">
            <v>0</v>
          </cell>
          <cell r="P30">
            <v>0</v>
          </cell>
          <cell r="Q30">
            <v>0</v>
          </cell>
        </row>
        <row r="31">
          <cell r="F31">
            <v>660</v>
          </cell>
          <cell r="G31">
            <v>0</v>
          </cell>
          <cell r="H31">
            <v>0</v>
          </cell>
          <cell r="I31">
            <v>0</v>
          </cell>
          <cell r="J31">
            <v>660</v>
          </cell>
          <cell r="K31">
            <v>0</v>
          </cell>
          <cell r="L31">
            <v>0</v>
          </cell>
          <cell r="M31">
            <v>0</v>
          </cell>
          <cell r="N31">
            <v>660</v>
          </cell>
          <cell r="O31">
            <v>0</v>
          </cell>
          <cell r="P31">
            <v>0</v>
          </cell>
          <cell r="Q31">
            <v>0</v>
          </cell>
        </row>
        <row r="32">
          <cell r="F32">
            <v>150</v>
          </cell>
          <cell r="G32">
            <v>0</v>
          </cell>
          <cell r="H32">
            <v>0</v>
          </cell>
          <cell r="I32">
            <v>0</v>
          </cell>
          <cell r="J32">
            <v>150</v>
          </cell>
          <cell r="K32">
            <v>0</v>
          </cell>
          <cell r="L32">
            <v>0</v>
          </cell>
          <cell r="M32">
            <v>0</v>
          </cell>
          <cell r="N32">
            <v>150</v>
          </cell>
          <cell r="O32">
            <v>0</v>
          </cell>
          <cell r="P32">
            <v>0</v>
          </cell>
          <cell r="Q32">
            <v>0</v>
          </cell>
        </row>
        <row r="33">
          <cell r="F33">
            <v>1000</v>
          </cell>
          <cell r="G33">
            <v>0</v>
          </cell>
          <cell r="H33">
            <v>0</v>
          </cell>
          <cell r="I33">
            <v>0</v>
          </cell>
          <cell r="J33">
            <v>1000</v>
          </cell>
          <cell r="K33">
            <v>0</v>
          </cell>
          <cell r="L33">
            <v>0</v>
          </cell>
          <cell r="M33">
            <v>0</v>
          </cell>
          <cell r="N33">
            <v>1000</v>
          </cell>
          <cell r="O33">
            <v>0</v>
          </cell>
          <cell r="P33">
            <v>0</v>
          </cell>
          <cell r="Q33">
            <v>0</v>
          </cell>
        </row>
        <row r="34">
          <cell r="F34">
            <v>100</v>
          </cell>
          <cell r="G34">
            <v>0</v>
          </cell>
          <cell r="H34">
            <v>0</v>
          </cell>
          <cell r="I34">
            <v>0</v>
          </cell>
          <cell r="J34">
            <v>100</v>
          </cell>
          <cell r="K34">
            <v>0</v>
          </cell>
          <cell r="L34">
            <v>0</v>
          </cell>
          <cell r="M34">
            <v>0</v>
          </cell>
          <cell r="N34">
            <v>100</v>
          </cell>
          <cell r="O34">
            <v>0</v>
          </cell>
          <cell r="P34">
            <v>0</v>
          </cell>
          <cell r="Q34">
            <v>0</v>
          </cell>
        </row>
        <row r="35">
          <cell r="F35">
            <v>0</v>
          </cell>
          <cell r="G35">
            <v>0</v>
          </cell>
          <cell r="H35">
            <v>0</v>
          </cell>
          <cell r="I35">
            <v>0</v>
          </cell>
          <cell r="J35">
            <v>0</v>
          </cell>
          <cell r="K35">
            <v>0</v>
          </cell>
          <cell r="L35">
            <v>0</v>
          </cell>
          <cell r="M35">
            <v>0</v>
          </cell>
          <cell r="N35">
            <v>0</v>
          </cell>
          <cell r="O35">
            <v>0</v>
          </cell>
          <cell r="P35">
            <v>0</v>
          </cell>
          <cell r="Q35">
            <v>0</v>
          </cell>
        </row>
        <row r="36">
          <cell r="F36">
            <v>50</v>
          </cell>
          <cell r="G36">
            <v>0</v>
          </cell>
          <cell r="H36">
            <v>0</v>
          </cell>
          <cell r="I36">
            <v>0</v>
          </cell>
          <cell r="J36">
            <v>50</v>
          </cell>
          <cell r="K36">
            <v>0</v>
          </cell>
          <cell r="L36">
            <v>0</v>
          </cell>
          <cell r="M36">
            <v>0</v>
          </cell>
          <cell r="N36">
            <v>50</v>
          </cell>
          <cell r="O36">
            <v>0</v>
          </cell>
          <cell r="P36">
            <v>0</v>
          </cell>
          <cell r="Q36">
            <v>0</v>
          </cell>
        </row>
        <row r="37">
          <cell r="F37">
            <v>1000</v>
          </cell>
          <cell r="G37">
            <v>0</v>
          </cell>
          <cell r="H37">
            <v>0</v>
          </cell>
          <cell r="I37">
            <v>0</v>
          </cell>
          <cell r="J37">
            <v>1000</v>
          </cell>
          <cell r="K37">
            <v>0</v>
          </cell>
          <cell r="L37">
            <v>0</v>
          </cell>
          <cell r="M37">
            <v>0</v>
          </cell>
          <cell r="N37">
            <v>1000</v>
          </cell>
          <cell r="O37">
            <v>0</v>
          </cell>
          <cell r="P37">
            <v>0</v>
          </cell>
          <cell r="Q37">
            <v>0</v>
          </cell>
        </row>
        <row r="38">
          <cell r="F38">
            <v>100</v>
          </cell>
          <cell r="G38">
            <v>0</v>
          </cell>
          <cell r="H38">
            <v>0</v>
          </cell>
          <cell r="I38">
            <v>0</v>
          </cell>
          <cell r="J38">
            <v>100</v>
          </cell>
          <cell r="K38">
            <v>0</v>
          </cell>
          <cell r="L38">
            <v>0</v>
          </cell>
          <cell r="M38">
            <v>0</v>
          </cell>
          <cell r="N38">
            <v>100</v>
          </cell>
          <cell r="O38">
            <v>0</v>
          </cell>
          <cell r="P38">
            <v>0</v>
          </cell>
          <cell r="Q38">
            <v>0</v>
          </cell>
        </row>
        <row r="39">
          <cell r="F39">
            <v>25</v>
          </cell>
          <cell r="G39">
            <v>0</v>
          </cell>
          <cell r="H39">
            <v>0</v>
          </cell>
          <cell r="I39">
            <v>0</v>
          </cell>
          <cell r="J39">
            <v>25</v>
          </cell>
          <cell r="K39">
            <v>0</v>
          </cell>
          <cell r="L39">
            <v>0</v>
          </cell>
          <cell r="M39">
            <v>0</v>
          </cell>
          <cell r="N39">
            <v>25</v>
          </cell>
          <cell r="O39">
            <v>0</v>
          </cell>
          <cell r="P39">
            <v>0</v>
          </cell>
          <cell r="Q39">
            <v>0</v>
          </cell>
        </row>
        <row r="40">
          <cell r="F40">
            <v>100</v>
          </cell>
          <cell r="G40">
            <v>0</v>
          </cell>
          <cell r="H40">
            <v>0</v>
          </cell>
          <cell r="I40">
            <v>0</v>
          </cell>
          <cell r="J40">
            <v>100</v>
          </cell>
          <cell r="K40">
            <v>0</v>
          </cell>
          <cell r="L40">
            <v>0</v>
          </cell>
          <cell r="M40">
            <v>0</v>
          </cell>
          <cell r="N40">
            <v>100</v>
          </cell>
          <cell r="O40">
            <v>0</v>
          </cell>
          <cell r="P40">
            <v>0</v>
          </cell>
          <cell r="Q40">
            <v>0</v>
          </cell>
        </row>
        <row r="41">
          <cell r="F41" t="str">
            <v>Inf</v>
          </cell>
          <cell r="G41">
            <v>0</v>
          </cell>
          <cell r="H41">
            <v>0</v>
          </cell>
          <cell r="I41">
            <v>0</v>
          </cell>
          <cell r="J41" t="str">
            <v>Inf</v>
          </cell>
          <cell r="K41">
            <v>0</v>
          </cell>
          <cell r="L41">
            <v>0</v>
          </cell>
          <cell r="M41">
            <v>0</v>
          </cell>
          <cell r="N41" t="str">
            <v>Inf</v>
          </cell>
          <cell r="O41">
            <v>0</v>
          </cell>
          <cell r="P41">
            <v>0</v>
          </cell>
          <cell r="Q41">
            <v>0</v>
          </cell>
        </row>
        <row r="42">
          <cell r="F42">
            <v>80000</v>
          </cell>
          <cell r="G42">
            <v>0</v>
          </cell>
          <cell r="H42">
            <v>0</v>
          </cell>
          <cell r="I42">
            <v>0</v>
          </cell>
          <cell r="J42">
            <v>80000</v>
          </cell>
          <cell r="K42">
            <v>0</v>
          </cell>
          <cell r="L42">
            <v>0</v>
          </cell>
          <cell r="M42">
            <v>0</v>
          </cell>
          <cell r="N42">
            <v>80000</v>
          </cell>
          <cell r="O42">
            <v>0</v>
          </cell>
          <cell r="P42">
            <v>0</v>
          </cell>
          <cell r="Q42">
            <v>0</v>
          </cell>
        </row>
        <row r="43">
          <cell r="F43">
            <v>1000</v>
          </cell>
          <cell r="G43">
            <v>0</v>
          </cell>
          <cell r="H43">
            <v>0</v>
          </cell>
          <cell r="I43">
            <v>0</v>
          </cell>
          <cell r="J43">
            <v>1000</v>
          </cell>
          <cell r="K43">
            <v>0</v>
          </cell>
          <cell r="L43">
            <v>0</v>
          </cell>
          <cell r="M43">
            <v>0</v>
          </cell>
          <cell r="N43">
            <v>1000</v>
          </cell>
          <cell r="O43">
            <v>0</v>
          </cell>
          <cell r="P43">
            <v>0</v>
          </cell>
          <cell r="Q43">
            <v>0</v>
          </cell>
        </row>
        <row r="44">
          <cell r="F44">
            <v>25</v>
          </cell>
          <cell r="G44">
            <v>0</v>
          </cell>
          <cell r="H44">
            <v>0</v>
          </cell>
          <cell r="I44">
            <v>0</v>
          </cell>
          <cell r="J44">
            <v>2000</v>
          </cell>
          <cell r="K44">
            <v>0</v>
          </cell>
          <cell r="L44">
            <v>0</v>
          </cell>
          <cell r="M44">
            <v>0</v>
          </cell>
          <cell r="N44">
            <v>2000</v>
          </cell>
          <cell r="O44">
            <v>0</v>
          </cell>
          <cell r="P44">
            <v>0</v>
          </cell>
          <cell r="Q44">
            <v>0</v>
          </cell>
        </row>
        <row r="45">
          <cell r="F45" t="str">
            <v>Inf</v>
          </cell>
          <cell r="G45">
            <v>0</v>
          </cell>
          <cell r="H45">
            <v>0</v>
          </cell>
          <cell r="I45">
            <v>0</v>
          </cell>
          <cell r="J45" t="str">
            <v>Inf</v>
          </cell>
          <cell r="K45">
            <v>0</v>
          </cell>
          <cell r="L45">
            <v>0</v>
          </cell>
          <cell r="M45">
            <v>0</v>
          </cell>
          <cell r="N45" t="str">
            <v>Inf</v>
          </cell>
          <cell r="O45">
            <v>0</v>
          </cell>
          <cell r="P45">
            <v>0</v>
          </cell>
          <cell r="Q45">
            <v>0</v>
          </cell>
        </row>
        <row r="46">
          <cell r="F46">
            <v>17</v>
          </cell>
          <cell r="G46">
            <v>0</v>
          </cell>
          <cell r="H46">
            <v>0</v>
          </cell>
          <cell r="I46">
            <v>0</v>
          </cell>
          <cell r="J46">
            <v>17</v>
          </cell>
          <cell r="K46">
            <v>0</v>
          </cell>
          <cell r="L46">
            <v>0</v>
          </cell>
          <cell r="M46">
            <v>0</v>
          </cell>
          <cell r="N46">
            <v>17</v>
          </cell>
          <cell r="O46">
            <v>0</v>
          </cell>
          <cell r="P46">
            <v>0</v>
          </cell>
          <cell r="Q46">
            <v>0</v>
          </cell>
        </row>
        <row r="47">
          <cell r="F47">
            <v>25</v>
          </cell>
          <cell r="G47">
            <v>0</v>
          </cell>
          <cell r="H47">
            <v>0</v>
          </cell>
          <cell r="I47">
            <v>0</v>
          </cell>
          <cell r="J47">
            <v>2000</v>
          </cell>
          <cell r="K47">
            <v>0</v>
          </cell>
          <cell r="L47">
            <v>0</v>
          </cell>
          <cell r="M47">
            <v>0</v>
          </cell>
          <cell r="N47">
            <v>2000</v>
          </cell>
          <cell r="O47">
            <v>0</v>
          </cell>
          <cell r="P47">
            <v>0</v>
          </cell>
          <cell r="Q47">
            <v>0</v>
          </cell>
        </row>
        <row r="48">
          <cell r="F48">
            <v>50</v>
          </cell>
          <cell r="G48">
            <v>0</v>
          </cell>
          <cell r="H48">
            <v>0</v>
          </cell>
          <cell r="I48">
            <v>0</v>
          </cell>
          <cell r="J48">
            <v>3000</v>
          </cell>
          <cell r="K48">
            <v>0</v>
          </cell>
          <cell r="L48">
            <v>0</v>
          </cell>
          <cell r="M48">
            <v>0</v>
          </cell>
          <cell r="N48">
            <v>3000</v>
          </cell>
          <cell r="O48">
            <v>0</v>
          </cell>
          <cell r="P48">
            <v>0</v>
          </cell>
          <cell r="Q48">
            <v>0</v>
          </cell>
        </row>
        <row r="49">
          <cell r="F49">
            <v>5000</v>
          </cell>
          <cell r="G49">
            <v>0</v>
          </cell>
          <cell r="H49">
            <v>0</v>
          </cell>
          <cell r="I49">
            <v>0</v>
          </cell>
          <cell r="J49">
            <v>5000</v>
          </cell>
          <cell r="K49">
            <v>0</v>
          </cell>
          <cell r="L49">
            <v>0</v>
          </cell>
          <cell r="M49">
            <v>0</v>
          </cell>
          <cell r="N49">
            <v>5000</v>
          </cell>
          <cell r="O49">
            <v>0</v>
          </cell>
          <cell r="P49">
            <v>0</v>
          </cell>
          <cell r="Q49">
            <v>0</v>
          </cell>
        </row>
        <row r="50">
          <cell r="F50">
            <v>20</v>
          </cell>
          <cell r="G50">
            <v>0</v>
          </cell>
          <cell r="H50">
            <v>0</v>
          </cell>
          <cell r="I50">
            <v>0</v>
          </cell>
          <cell r="J50">
            <v>100</v>
          </cell>
          <cell r="K50">
            <v>0</v>
          </cell>
          <cell r="L50">
            <v>0</v>
          </cell>
          <cell r="M50">
            <v>0</v>
          </cell>
          <cell r="N50">
            <v>100</v>
          </cell>
          <cell r="O50">
            <v>0</v>
          </cell>
          <cell r="P50">
            <v>0</v>
          </cell>
          <cell r="Q50">
            <v>0</v>
          </cell>
        </row>
        <row r="51">
          <cell r="F51">
            <v>0</v>
          </cell>
          <cell r="G51">
            <v>0</v>
          </cell>
          <cell r="H51">
            <v>0</v>
          </cell>
          <cell r="I51">
            <v>0</v>
          </cell>
          <cell r="J51">
            <v>0</v>
          </cell>
          <cell r="K51">
            <v>0</v>
          </cell>
          <cell r="L51">
            <v>0</v>
          </cell>
          <cell r="M51">
            <v>0</v>
          </cell>
          <cell r="N51">
            <v>0</v>
          </cell>
          <cell r="O51">
            <v>0</v>
          </cell>
          <cell r="P51">
            <v>0</v>
          </cell>
          <cell r="Q51">
            <v>0</v>
          </cell>
        </row>
        <row r="52">
          <cell r="F52">
            <v>0</v>
          </cell>
          <cell r="G52">
            <v>0</v>
          </cell>
          <cell r="H52">
            <v>0</v>
          </cell>
          <cell r="I52">
            <v>0</v>
          </cell>
          <cell r="J52">
            <v>0</v>
          </cell>
          <cell r="K52">
            <v>0</v>
          </cell>
          <cell r="L52">
            <v>0</v>
          </cell>
          <cell r="M52">
            <v>0</v>
          </cell>
          <cell r="N52">
            <v>0</v>
          </cell>
          <cell r="O52">
            <v>0</v>
          </cell>
          <cell r="P52">
            <v>0</v>
          </cell>
          <cell r="Q52">
            <v>0</v>
          </cell>
        </row>
        <row r="53">
          <cell r="F53">
            <v>0</v>
          </cell>
          <cell r="G53">
            <v>0</v>
          </cell>
          <cell r="H53">
            <v>0</v>
          </cell>
          <cell r="I53">
            <v>0</v>
          </cell>
          <cell r="J53">
            <v>0</v>
          </cell>
          <cell r="K53">
            <v>0</v>
          </cell>
          <cell r="L53">
            <v>0</v>
          </cell>
          <cell r="M53">
            <v>0</v>
          </cell>
          <cell r="N53">
            <v>0</v>
          </cell>
          <cell r="O53">
            <v>0</v>
          </cell>
          <cell r="P53">
            <v>0</v>
          </cell>
          <cell r="Q53">
            <v>0</v>
          </cell>
        </row>
        <row r="54">
          <cell r="F54">
            <v>25</v>
          </cell>
          <cell r="G54">
            <v>0</v>
          </cell>
          <cell r="H54">
            <v>0</v>
          </cell>
          <cell r="I54">
            <v>0</v>
          </cell>
          <cell r="J54">
            <v>2000</v>
          </cell>
          <cell r="K54">
            <v>0</v>
          </cell>
          <cell r="L54">
            <v>0</v>
          </cell>
          <cell r="M54">
            <v>0</v>
          </cell>
          <cell r="N54">
            <v>2000</v>
          </cell>
          <cell r="O54">
            <v>0</v>
          </cell>
          <cell r="P54">
            <v>0</v>
          </cell>
          <cell r="Q54">
            <v>0</v>
          </cell>
        </row>
        <row r="55">
          <cell r="F55">
            <v>20</v>
          </cell>
          <cell r="G55">
            <v>0</v>
          </cell>
          <cell r="H55">
            <v>0</v>
          </cell>
          <cell r="I55">
            <v>0</v>
          </cell>
          <cell r="J55">
            <v>500</v>
          </cell>
          <cell r="K55">
            <v>0</v>
          </cell>
          <cell r="L55">
            <v>0</v>
          </cell>
          <cell r="M55">
            <v>0</v>
          </cell>
          <cell r="N55">
            <v>500</v>
          </cell>
          <cell r="O55">
            <v>0</v>
          </cell>
          <cell r="P55">
            <v>0</v>
          </cell>
          <cell r="Q55">
            <v>0</v>
          </cell>
        </row>
        <row r="56">
          <cell r="F56">
            <v>500</v>
          </cell>
          <cell r="G56">
            <v>0</v>
          </cell>
          <cell r="H56">
            <v>0</v>
          </cell>
          <cell r="I56">
            <v>0</v>
          </cell>
          <cell r="J56">
            <v>500</v>
          </cell>
          <cell r="K56">
            <v>0</v>
          </cell>
          <cell r="L56">
            <v>0</v>
          </cell>
          <cell r="M56">
            <v>0</v>
          </cell>
          <cell r="N56">
            <v>500</v>
          </cell>
          <cell r="O56">
            <v>0</v>
          </cell>
          <cell r="P56">
            <v>0</v>
          </cell>
          <cell r="Q56">
            <v>0</v>
          </cell>
        </row>
        <row r="57">
          <cell r="F57">
            <v>100</v>
          </cell>
          <cell r="G57">
            <v>0</v>
          </cell>
          <cell r="H57">
            <v>0</v>
          </cell>
          <cell r="I57">
            <v>0</v>
          </cell>
          <cell r="J57">
            <v>100</v>
          </cell>
          <cell r="K57">
            <v>0</v>
          </cell>
          <cell r="L57">
            <v>0</v>
          </cell>
          <cell r="M57">
            <v>0</v>
          </cell>
          <cell r="N57">
            <v>100</v>
          </cell>
          <cell r="O57">
            <v>0</v>
          </cell>
          <cell r="P57">
            <v>0</v>
          </cell>
          <cell r="Q57">
            <v>0</v>
          </cell>
        </row>
        <row r="58">
          <cell r="F58">
            <v>20</v>
          </cell>
          <cell r="G58">
            <v>0</v>
          </cell>
          <cell r="H58">
            <v>0</v>
          </cell>
          <cell r="I58">
            <v>0</v>
          </cell>
          <cell r="J58">
            <v>20</v>
          </cell>
          <cell r="K58">
            <v>0</v>
          </cell>
          <cell r="L58">
            <v>0</v>
          </cell>
          <cell r="M58">
            <v>0</v>
          </cell>
          <cell r="N58">
            <v>20</v>
          </cell>
          <cell r="O58">
            <v>0</v>
          </cell>
          <cell r="P58">
            <v>0</v>
          </cell>
          <cell r="Q58">
            <v>0</v>
          </cell>
        </row>
        <row r="59">
          <cell r="F59">
            <v>25</v>
          </cell>
          <cell r="G59">
            <v>0</v>
          </cell>
          <cell r="H59">
            <v>0</v>
          </cell>
          <cell r="I59">
            <v>0</v>
          </cell>
          <cell r="J59">
            <v>500</v>
          </cell>
          <cell r="K59">
            <v>0</v>
          </cell>
          <cell r="L59">
            <v>0</v>
          </cell>
          <cell r="M59">
            <v>0</v>
          </cell>
          <cell r="N59">
            <v>2000</v>
          </cell>
          <cell r="O59">
            <v>0</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workbookViewId="0">
      <selection activeCell="C7" sqref="C7"/>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3" t="s">
        <v>271</v>
      </c>
      <c r="D14" s="348" t="s">
        <v>325</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4" t="s">
        <v>155</v>
      </c>
      <c r="D15" s="347" t="s">
        <v>333</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472"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472"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472"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8" thickBot="1" x14ac:dyDescent="0.4">
      <c r="A27" s="21"/>
      <c r="B27" s="21"/>
      <c r="C27" s="474"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6" thickTop="1"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485" t="s">
        <v>331</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485" t="s">
        <v>332</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485" t="s">
        <v>333</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485" t="s">
        <v>334</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485" t="s">
        <v>335</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5" type="noConversion"/>
  <dataValidations count="11">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23">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17 D20">
      <formula1>"AEO2014, AEO2014 Extended, No Growth,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defaultColWidth="8.77734375" defaultRowHeight="13.2" x14ac:dyDescent="0.25"/>
  <cols>
    <col min="3" max="3" width="32.44140625" customWidth="1"/>
    <col min="19" max="19" width="26.109375" customWidth="1"/>
    <col min="20" max="20" width="7" bestFit="1" customWidth="1"/>
    <col min="30" max="60" width="8.77734375" style="255"/>
  </cols>
  <sheetData>
    <row r="1" spans="1:60" ht="28.2" x14ac:dyDescent="0.5">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x14ac:dyDescent="0.25">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2.8" x14ac:dyDescent="0.4">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2" thickBot="1" x14ac:dyDescent="0.35">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8" x14ac:dyDescent="0.25">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x14ac:dyDescent="0.25">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8" thickBot="1" x14ac:dyDescent="0.3">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2.8" x14ac:dyDescent="0.4">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8" thickBot="1" x14ac:dyDescent="0.3">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x14ac:dyDescent="0.25">
      <c r="A10" s="278"/>
      <c r="B10" s="530" t="s">
        <v>245</v>
      </c>
      <c r="C10" s="292" t="s">
        <v>327</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x14ac:dyDescent="0.25">
      <c r="A11" s="278"/>
      <c r="B11" s="531"/>
      <c r="C11" s="283" t="s">
        <v>328</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x14ac:dyDescent="0.25">
      <c r="A12" s="278"/>
      <c r="B12" s="531"/>
      <c r="C12" s="203" t="s">
        <v>329</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x14ac:dyDescent="0.3">
      <c r="A13" s="278"/>
      <c r="B13" s="532"/>
      <c r="C13" s="293" t="s">
        <v>330</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x14ac:dyDescent="0.25">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x14ac:dyDescent="0.35">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x14ac:dyDescent="0.3">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5" x14ac:dyDescent="0.35">
      <c r="A17" s="278"/>
      <c r="B17" s="530" t="s">
        <v>58</v>
      </c>
      <c r="C17" s="292" t="s">
        <v>327</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x14ac:dyDescent="0.25">
      <c r="A18" s="278"/>
      <c r="B18" s="531"/>
      <c r="C18" s="283" t="s">
        <v>328</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x14ac:dyDescent="0.25">
      <c r="A19" s="278"/>
      <c r="B19" s="531"/>
      <c r="C19" s="203" t="s">
        <v>329</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x14ac:dyDescent="0.3">
      <c r="A20" s="278"/>
      <c r="B20" s="532"/>
      <c r="C20" s="293" t="s">
        <v>330</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5" x14ac:dyDescent="0.35">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2.8" x14ac:dyDescent="0.4">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8" thickBot="1" x14ac:dyDescent="0.3">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x14ac:dyDescent="0.25">
      <c r="A24" s="278"/>
      <c r="B24" s="530" t="s">
        <v>245</v>
      </c>
      <c r="C24" s="292" t="s">
        <v>327</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x14ac:dyDescent="0.25">
      <c r="A25" s="278"/>
      <c r="B25" s="531"/>
      <c r="C25" s="283" t="s">
        <v>328</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x14ac:dyDescent="0.25">
      <c r="A26" s="278"/>
      <c r="B26" s="531"/>
      <c r="C26" s="203" t="s">
        <v>329</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x14ac:dyDescent="0.3">
      <c r="A27" s="278"/>
      <c r="B27" s="532"/>
      <c r="C27" s="293" t="s">
        <v>330</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x14ac:dyDescent="0.35">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x14ac:dyDescent="0.3">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5" x14ac:dyDescent="0.35">
      <c r="A30" s="278"/>
      <c r="B30" s="530" t="s">
        <v>58</v>
      </c>
      <c r="C30" s="292" t="s">
        <v>327</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x14ac:dyDescent="0.25">
      <c r="A31" s="278"/>
      <c r="B31" s="531"/>
      <c r="C31" s="283" t="s">
        <v>328</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x14ac:dyDescent="0.25">
      <c r="A32" s="278"/>
      <c r="B32" s="531"/>
      <c r="C32" s="203" t="s">
        <v>329</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x14ac:dyDescent="0.3">
      <c r="A33" s="278"/>
      <c r="B33" s="532"/>
      <c r="C33" s="293" t="s">
        <v>330</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5" x14ac:dyDescent="0.35">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2.8" x14ac:dyDescent="0.4">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8" thickBot="1" x14ac:dyDescent="0.3">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x14ac:dyDescent="0.25">
      <c r="A37" s="278"/>
      <c r="B37" s="530" t="s">
        <v>245</v>
      </c>
      <c r="C37" s="292" t="s">
        <v>327</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x14ac:dyDescent="0.25">
      <c r="A38" s="278"/>
      <c r="B38" s="531"/>
      <c r="C38" s="283" t="s">
        <v>328</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x14ac:dyDescent="0.25">
      <c r="A39" s="278"/>
      <c r="B39" s="531"/>
      <c r="C39" s="203" t="s">
        <v>329</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x14ac:dyDescent="0.3">
      <c r="A40" s="278"/>
      <c r="B40" s="532"/>
      <c r="C40" s="293" t="s">
        <v>330</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x14ac:dyDescent="0.35">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x14ac:dyDescent="0.3">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5" x14ac:dyDescent="0.35">
      <c r="A43" s="278"/>
      <c r="B43" s="530" t="s">
        <v>58</v>
      </c>
      <c r="C43" s="292" t="s">
        <v>327</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x14ac:dyDescent="0.25">
      <c r="A44" s="278"/>
      <c r="B44" s="531"/>
      <c r="C44" s="283" t="s">
        <v>328</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x14ac:dyDescent="0.25">
      <c r="A45" s="278"/>
      <c r="B45" s="531"/>
      <c r="C45" s="203" t="s">
        <v>329</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x14ac:dyDescent="0.3">
      <c r="A46" s="278"/>
      <c r="B46" s="532"/>
      <c r="C46" s="293" t="s">
        <v>330</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x14ac:dyDescent="0.4">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2.8" x14ac:dyDescent="0.4">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8" thickBot="1" x14ac:dyDescent="0.3">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6" x14ac:dyDescent="0.2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27" thickBot="1" x14ac:dyDescent="0.3">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x14ac:dyDescent="0.25">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x14ac:dyDescent="0.25">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6.2" x14ac:dyDescent="0.3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5" x14ac:dyDescent="0.35">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5" x14ac:dyDescent="0.25">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5" x14ac:dyDescent="0.35">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x14ac:dyDescent="0.25">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x14ac:dyDescent="0.25">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x14ac:dyDescent="0.25">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x14ac:dyDescent="0.25">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x14ac:dyDescent="0.25">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x14ac:dyDescent="0.25">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x14ac:dyDescent="0.25">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x14ac:dyDescent="0.25">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x14ac:dyDescent="0.25">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x14ac:dyDescent="0.25">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x14ac:dyDescent="0.25">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x14ac:dyDescent="0.25">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x14ac:dyDescent="0.25">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x14ac:dyDescent="0.25">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x14ac:dyDescent="0.25">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x14ac:dyDescent="0.25">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x14ac:dyDescent="0.25">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x14ac:dyDescent="0.25">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x14ac:dyDescent="0.25">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x14ac:dyDescent="0.25">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x14ac:dyDescent="0.25">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x14ac:dyDescent="0.25">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x14ac:dyDescent="0.25">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x14ac:dyDescent="0.25">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x14ac:dyDescent="0.25">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x14ac:dyDescent="0.25">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x14ac:dyDescent="0.25">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x14ac:dyDescent="0.25">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x14ac:dyDescent="0.25">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x14ac:dyDescent="0.25">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x14ac:dyDescent="0.25">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x14ac:dyDescent="0.25">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x14ac:dyDescent="0.25">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x14ac:dyDescent="0.25">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x14ac:dyDescent="0.25">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x14ac:dyDescent="0.25">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x14ac:dyDescent="0.25">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x14ac:dyDescent="0.25">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x14ac:dyDescent="0.25">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x14ac:dyDescent="0.25">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x14ac:dyDescent="0.25">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x14ac:dyDescent="0.25">
      <c r="B99" s="255"/>
      <c r="C99" s="255"/>
      <c r="D99" s="255"/>
      <c r="E99" s="255"/>
      <c r="F99" s="255"/>
      <c r="G99" s="255"/>
      <c r="H99" s="255"/>
      <c r="I99" s="255"/>
      <c r="J99" s="255"/>
      <c r="K99" s="255"/>
      <c r="L99" s="255"/>
      <c r="M99" s="255"/>
      <c r="N99" s="255"/>
      <c r="O99" s="255"/>
      <c r="P99" s="255"/>
      <c r="Q99" s="255"/>
      <c r="R99" s="255"/>
      <c r="S99" s="255"/>
      <c r="T99" s="255"/>
      <c r="U99" s="255"/>
      <c r="V99" s="255"/>
    </row>
    <row r="100" spans="1:29" x14ac:dyDescent="0.25">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x14ac:dyDescent="0.25">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x14ac:dyDescent="0.25">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x14ac:dyDescent="0.25">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x14ac:dyDescent="0.25">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x14ac:dyDescent="0.25">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x14ac:dyDescent="0.25">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x14ac:dyDescent="0.25">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x14ac:dyDescent="0.25">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defaultColWidth="8.77734375" defaultRowHeight="13.2" x14ac:dyDescent="0.25"/>
  <cols>
    <col min="1" max="1" width="3.44140625" style="238" customWidth="1"/>
    <col min="2" max="2" width="30" style="238" customWidth="1"/>
    <col min="3" max="3" width="20.44140625" style="238" customWidth="1"/>
    <col min="4" max="4" width="21" style="238" customWidth="1"/>
    <col min="5" max="5" width="8.77734375" style="238"/>
    <col min="6" max="14" width="6.33203125" style="238" bestFit="1" customWidth="1"/>
    <col min="15" max="15" width="8.77734375" style="238"/>
    <col min="16" max="16" width="7.109375" style="238" customWidth="1"/>
    <col min="17" max="19" width="6.33203125" style="238" bestFit="1" customWidth="1"/>
    <col min="20" max="20" width="7.44140625" style="238" customWidth="1"/>
    <col min="21" max="21" width="6.33203125" style="238" bestFit="1" customWidth="1"/>
    <col min="22" max="28" width="4.44140625" style="238" bestFit="1" customWidth="1"/>
    <col min="29" max="16384" width="8.77734375" style="238"/>
  </cols>
  <sheetData>
    <row r="2" spans="2:32" ht="27.6" x14ac:dyDescent="0.45">
      <c r="B2" s="301" t="s">
        <v>260</v>
      </c>
    </row>
    <row r="4" spans="2:32" ht="17.399999999999999" x14ac:dyDescent="0.3">
      <c r="P4" s="306" t="s">
        <v>235</v>
      </c>
      <c r="Q4" s="307"/>
      <c r="R4" s="307"/>
      <c r="S4" s="307"/>
      <c r="T4" s="308" t="s">
        <v>261</v>
      </c>
      <c r="U4" s="304"/>
    </row>
    <row r="6" spans="2:32" ht="13.05" customHeight="1" thickBot="1" x14ac:dyDescent="0.3">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34" t="s">
        <v>336</v>
      </c>
      <c r="Y6" s="534"/>
      <c r="Z6" s="534"/>
      <c r="AA6" s="534"/>
      <c r="AB6" s="534"/>
      <c r="AC6" s="534"/>
      <c r="AD6" s="534"/>
      <c r="AE6" s="534"/>
      <c r="AF6" s="534"/>
    </row>
    <row r="7" spans="2:32" ht="12" customHeight="1" x14ac:dyDescent="0.25">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34"/>
      <c r="Y7" s="534"/>
      <c r="Z7" s="534"/>
      <c r="AA7" s="534"/>
      <c r="AB7" s="534"/>
      <c r="AC7" s="534"/>
      <c r="AD7" s="534"/>
      <c r="AE7" s="534"/>
      <c r="AF7" s="534"/>
    </row>
    <row r="8" spans="2:32" x14ac:dyDescent="0.25">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34"/>
      <c r="Y8" s="534"/>
      <c r="Z8" s="534"/>
      <c r="AA8" s="534"/>
      <c r="AB8" s="534"/>
      <c r="AC8" s="534"/>
      <c r="AD8" s="534"/>
      <c r="AE8" s="534"/>
      <c r="AF8" s="534"/>
    </row>
    <row r="9" spans="2:32" ht="13.8" thickBot="1" x14ac:dyDescent="0.3">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34"/>
      <c r="Y9" s="534"/>
      <c r="Z9" s="534"/>
      <c r="AA9" s="534"/>
      <c r="AB9" s="534"/>
      <c r="AC9" s="534"/>
      <c r="AD9" s="534"/>
      <c r="AE9" s="534"/>
      <c r="AF9" s="534"/>
    </row>
    <row r="10" spans="2:32" ht="12.75" customHeight="1" x14ac:dyDescent="0.25">
      <c r="X10" s="534"/>
      <c r="Y10" s="534"/>
      <c r="Z10" s="534"/>
      <c r="AA10" s="534"/>
      <c r="AB10" s="534"/>
      <c r="AC10" s="534"/>
      <c r="AD10" s="534"/>
      <c r="AE10" s="534"/>
      <c r="AF10" s="534"/>
    </row>
    <row r="11" spans="2:32" x14ac:dyDescent="0.25">
      <c r="D11" s="302"/>
      <c r="E11" s="302"/>
      <c r="F11" s="302"/>
      <c r="G11" s="305"/>
      <c r="H11" s="305"/>
      <c r="I11" s="305"/>
      <c r="J11" s="305"/>
      <c r="K11" s="305"/>
      <c r="L11" s="305"/>
      <c r="M11" s="305"/>
      <c r="N11" s="305"/>
      <c r="O11" s="305"/>
      <c r="P11" s="305"/>
      <c r="Q11" s="305"/>
      <c r="R11" s="305"/>
      <c r="S11" s="305"/>
      <c r="T11" s="305"/>
      <c r="U11" s="305"/>
      <c r="V11" s="305"/>
      <c r="W11" s="305"/>
      <c r="X11" s="486"/>
      <c r="Y11" s="486"/>
      <c r="Z11" s="486"/>
      <c r="AA11" s="486"/>
      <c r="AB11" s="486"/>
      <c r="AC11" s="486"/>
      <c r="AD11" s="486"/>
      <c r="AE11" s="486"/>
      <c r="AF11" s="486"/>
    </row>
    <row r="12" spans="2:32" ht="22.8" x14ac:dyDescent="0.4">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8" thickBot="1" x14ac:dyDescent="0.3"/>
    <row r="14" spans="2:32" ht="13.8" thickBot="1" x14ac:dyDescent="0.3">
      <c r="B14" s="331" t="s">
        <v>265</v>
      </c>
      <c r="C14" s="339">
        <v>5.0000000000000001E-3</v>
      </c>
    </row>
    <row r="17" spans="2:28" x14ac:dyDescent="0.25">
      <c r="B17" s="340" t="s">
        <v>267</v>
      </c>
    </row>
    <row r="18" spans="2:28" ht="13.8" thickBot="1" x14ac:dyDescent="0.3"/>
    <row r="19" spans="2:28" x14ac:dyDescent="0.25">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8" thickBot="1" x14ac:dyDescent="0.3">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1.95" customHeight="1" x14ac:dyDescent="0.4">
      <c r="B23" s="437" t="s">
        <v>320</v>
      </c>
    </row>
    <row r="24" spans="2:28" ht="31.8" thickBot="1" x14ac:dyDescent="0.35">
      <c r="C24" s="478" t="s">
        <v>321</v>
      </c>
      <c r="D24" s="478" t="s">
        <v>322</v>
      </c>
      <c r="F24" s="533" t="s">
        <v>323</v>
      </c>
      <c r="G24" s="533"/>
      <c r="H24" s="533"/>
      <c r="I24" s="533"/>
      <c r="J24" s="533"/>
    </row>
    <row r="25" spans="2:28" ht="16.05" customHeight="1" thickTop="1" x14ac:dyDescent="0.3">
      <c r="B25" s="476" t="s">
        <v>117</v>
      </c>
      <c r="C25" s="479">
        <v>0.75</v>
      </c>
      <c r="D25" s="480">
        <v>0.5</v>
      </c>
      <c r="F25" s="533"/>
      <c r="G25" s="533"/>
      <c r="H25" s="533"/>
      <c r="I25" s="533"/>
      <c r="J25" s="533"/>
    </row>
    <row r="26" spans="2:28" ht="15.6" x14ac:dyDescent="0.3">
      <c r="B26" s="473" t="s">
        <v>118</v>
      </c>
      <c r="C26" s="481">
        <v>0.75</v>
      </c>
      <c r="D26" s="482">
        <v>0.5</v>
      </c>
      <c r="F26" s="533"/>
      <c r="G26" s="533"/>
      <c r="H26" s="533"/>
      <c r="I26" s="533"/>
      <c r="J26" s="533"/>
    </row>
    <row r="27" spans="2:28" ht="16.2" thickBot="1" x14ac:dyDescent="0.35">
      <c r="B27" s="477" t="s">
        <v>119</v>
      </c>
      <c r="C27" s="483">
        <v>0.75</v>
      </c>
      <c r="D27" s="484">
        <v>0.5</v>
      </c>
      <c r="F27" s="533"/>
      <c r="G27" s="533"/>
      <c r="H27" s="533"/>
      <c r="I27" s="533"/>
      <c r="J27" s="533"/>
    </row>
    <row r="28" spans="2:28" ht="13.8" thickTop="1" x14ac:dyDescent="0.25">
      <c r="F28" s="475"/>
      <c r="G28" s="475"/>
      <c r="H28" s="475"/>
      <c r="I28" s="475"/>
    </row>
    <row r="35" spans="4:4" x14ac:dyDescent="0.25">
      <c r="D35" s="475"/>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44" t="s">
        <v>53</v>
      </c>
      <c r="D9" s="545"/>
      <c r="E9" s="240" t="s">
        <v>140</v>
      </c>
      <c r="F9" s="181" t="s">
        <v>141</v>
      </c>
      <c r="G9" s="131"/>
      <c r="H9" s="228"/>
      <c r="I9" s="228"/>
      <c r="J9" s="535" t="s">
        <v>129</v>
      </c>
      <c r="K9" s="536"/>
      <c r="L9" s="537"/>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77" t="s">
        <v>326</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39"/>
      <c r="C17" s="546" t="s">
        <v>54</v>
      </c>
      <c r="D17" s="547"/>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1"/>
      <c r="C19" s="177" t="s">
        <v>326</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38"/>
      <c r="C26" s="548" t="s">
        <v>130</v>
      </c>
      <c r="D26" s="549"/>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77" t="s">
        <v>326</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18"/>
      <c r="D35" s="538" t="s">
        <v>117</v>
      </c>
      <c r="E35" s="539"/>
      <c r="F35" s="540" t="s">
        <v>118</v>
      </c>
      <c r="G35" s="541"/>
      <c r="H35" s="542" t="s">
        <v>119</v>
      </c>
      <c r="I35" s="54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301"/>
  <sheetViews>
    <sheetView topLeftCell="A73" zoomScale="80" zoomScaleNormal="80" zoomScalePageLayoutView="80" workbookViewId="0">
      <selection activeCell="B73" sqref="B73"/>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487" t="s">
        <v>337</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x14ac:dyDescent="0.55000000000000004">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97"/>
      <c r="C16" s="550" t="s">
        <v>277</v>
      </c>
      <c r="D16" s="550"/>
      <c r="E16" s="550"/>
      <c r="F16" s="551"/>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6" thickBot="1" x14ac:dyDescent="0.4">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x14ac:dyDescent="0.35">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x14ac:dyDescent="0.35">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6" thickBot="1" x14ac:dyDescent="0.4">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x14ac:dyDescent="0.35">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05" customHeight="1" thickBot="1" x14ac:dyDescent="0.55000000000000004">
      <c r="A69" s="105"/>
      <c r="B69" s="489"/>
      <c r="C69" s="319" t="s">
        <v>340</v>
      </c>
      <c r="D69" s="131"/>
      <c r="E69" s="131"/>
      <c r="F69" s="131"/>
      <c r="G69" s="131"/>
      <c r="H69" s="131"/>
      <c r="I69" s="131"/>
      <c r="J69" s="131"/>
      <c r="K69" s="131"/>
      <c r="L69" s="131"/>
      <c r="M69" s="131"/>
      <c r="N69" s="131"/>
      <c r="O69" s="131"/>
      <c r="P69" s="131"/>
      <c r="Q69" s="131"/>
      <c r="R69" s="131"/>
      <c r="S69" s="131"/>
      <c r="T69" s="131"/>
      <c r="U69" s="131"/>
      <c r="V69" s="131"/>
      <c r="W69" s="490"/>
      <c r="X69" s="490"/>
      <c r="Y69" s="490"/>
      <c r="Z69" s="229"/>
      <c r="AA69" s="131"/>
      <c r="AB69" s="229"/>
      <c r="AC69" s="229"/>
      <c r="AD69" s="229"/>
      <c r="AE69" s="229"/>
      <c r="AF69" s="229"/>
      <c r="AG69" s="229"/>
      <c r="AH69" s="229"/>
      <c r="AI69" s="229"/>
      <c r="AJ69" s="229"/>
      <c r="AK69" s="229"/>
      <c r="AL69" s="229"/>
      <c r="AM69" s="229"/>
      <c r="AN69" s="229"/>
      <c r="AO69" s="229"/>
      <c r="AP69" s="229"/>
      <c r="AQ69" s="229"/>
      <c r="AR69" s="125"/>
      <c r="AS69" s="491"/>
      <c r="AT69" s="492"/>
      <c r="AU69" s="11"/>
      <c r="AV69" s="9"/>
      <c r="AW69" s="12"/>
    </row>
    <row r="70" spans="1:79" x14ac:dyDescent="0.35">
      <c r="B70" s="489"/>
      <c r="C70" s="408"/>
      <c r="D70" s="206">
        <v>2014</v>
      </c>
      <c r="E70" s="206">
        <v>2016</v>
      </c>
      <c r="F70" s="206">
        <v>2018</v>
      </c>
      <c r="G70" s="206">
        <v>2020</v>
      </c>
      <c r="H70" s="206">
        <v>2022</v>
      </c>
      <c r="I70" s="206">
        <v>2024</v>
      </c>
      <c r="J70" s="206">
        <v>2026</v>
      </c>
      <c r="K70" s="206">
        <v>2028</v>
      </c>
      <c r="L70" s="206">
        <v>2030</v>
      </c>
      <c r="M70" s="206">
        <v>2032</v>
      </c>
      <c r="N70" s="206">
        <v>2034</v>
      </c>
      <c r="O70" s="206">
        <v>2036</v>
      </c>
      <c r="P70" s="206">
        <v>2038</v>
      </c>
      <c r="Q70" s="206">
        <v>2040</v>
      </c>
      <c r="R70" s="206">
        <v>2042</v>
      </c>
      <c r="S70" s="206">
        <v>2044</v>
      </c>
      <c r="T70" s="206">
        <v>2046</v>
      </c>
      <c r="U70" s="206">
        <v>2048</v>
      </c>
      <c r="V70" s="207">
        <v>2050</v>
      </c>
      <c r="W70" s="490"/>
      <c r="X70" s="229"/>
      <c r="Y70" s="131"/>
      <c r="Z70" s="229"/>
      <c r="AA70" s="229"/>
      <c r="AB70" s="229"/>
      <c r="AC70" s="229"/>
      <c r="AD70" s="229"/>
      <c r="AE70" s="229"/>
      <c r="AF70" s="229"/>
      <c r="AG70" s="229"/>
      <c r="AH70" s="229"/>
      <c r="AI70" s="229"/>
      <c r="AJ70" s="229"/>
      <c r="AK70" s="229"/>
      <c r="AL70" s="229"/>
      <c r="AM70" s="229"/>
      <c r="AN70" s="229"/>
      <c r="AO70" s="229"/>
      <c r="AP70" s="125"/>
      <c r="AQ70" s="491"/>
      <c r="AR70" s="492"/>
      <c r="AS70" s="11"/>
      <c r="AT70" s="9"/>
      <c r="AU70" s="12"/>
      <c r="AV70" s="1"/>
      <c r="AW70" s="1"/>
    </row>
    <row r="71" spans="1:79" x14ac:dyDescent="0.35">
      <c r="B71" s="493"/>
      <c r="C71" s="390" t="s">
        <v>182</v>
      </c>
      <c r="D71" s="494">
        <v>3.2408349693693099E-2</v>
      </c>
      <c r="E71" s="495">
        <v>3.4558376210290002E-2</v>
      </c>
      <c r="F71" s="494">
        <v>5.2428742726109499E-2</v>
      </c>
      <c r="G71" s="496">
        <v>4.6556977481381205E-2</v>
      </c>
      <c r="H71" s="496">
        <v>4.7655371992074001E-2</v>
      </c>
      <c r="I71" s="496">
        <v>5.6401625107820104E-2</v>
      </c>
      <c r="J71" s="496">
        <v>6.2062565830298705E-2</v>
      </c>
      <c r="K71" s="496">
        <v>6.7638984095381605E-2</v>
      </c>
      <c r="L71" s="496">
        <v>6.9633486405999506E-2</v>
      </c>
      <c r="M71" s="496">
        <v>6.2307897105514001E-2</v>
      </c>
      <c r="N71" s="496">
        <v>6.4027770322175201E-2</v>
      </c>
      <c r="O71" s="496">
        <v>6.6931015981359296E-2</v>
      </c>
      <c r="P71" s="496">
        <v>6.8468130369247301E-2</v>
      </c>
      <c r="Q71" s="496">
        <v>6.3668892344417596E-2</v>
      </c>
      <c r="R71" s="496">
        <v>6.8747489565367401E-2</v>
      </c>
      <c r="S71" s="496">
        <v>6.9281243341789311E-2</v>
      </c>
      <c r="T71" s="496">
        <v>7.0105703744566594E-2</v>
      </c>
      <c r="U71" s="496">
        <v>7.0144979407378405E-2</v>
      </c>
      <c r="V71" s="497">
        <v>7.0748470934342098E-2</v>
      </c>
      <c r="W71" s="490"/>
      <c r="X71" s="229"/>
      <c r="Y71" s="229"/>
      <c r="Z71" s="229"/>
      <c r="AA71" s="229"/>
      <c r="AB71" s="229"/>
      <c r="AC71" s="229"/>
      <c r="AD71" s="229"/>
      <c r="AE71" s="229"/>
      <c r="AF71" s="229"/>
      <c r="AG71" s="229"/>
      <c r="AH71" s="229"/>
      <c r="AI71" s="229"/>
      <c r="AJ71" s="229"/>
      <c r="AK71" s="229"/>
      <c r="AL71" s="229"/>
      <c r="AM71" s="229"/>
      <c r="AN71" s="229"/>
      <c r="AO71" s="229"/>
      <c r="AP71" s="125"/>
      <c r="AQ71" s="491"/>
      <c r="AR71" s="492"/>
      <c r="AS71" s="11"/>
      <c r="AT71" s="9"/>
      <c r="AU71" s="12"/>
      <c r="AV71" s="2"/>
      <c r="AW71" s="2"/>
      <c r="AX71" s="2"/>
      <c r="AY71" s="2"/>
    </row>
    <row r="72" spans="1:79" x14ac:dyDescent="0.35">
      <c r="B72" s="498"/>
      <c r="C72" s="390" t="s">
        <v>188</v>
      </c>
      <c r="D72" s="494">
        <v>2.77000810036565E-2</v>
      </c>
      <c r="E72" s="495">
        <v>2.96471129374953E-2</v>
      </c>
      <c r="F72" s="494">
        <v>3.07775619855159E-2</v>
      </c>
      <c r="G72" s="496">
        <v>3.3560925258559006E-2</v>
      </c>
      <c r="H72" s="496">
        <v>3.4669859918351302E-2</v>
      </c>
      <c r="I72" s="496">
        <v>3.65437215045782E-2</v>
      </c>
      <c r="J72" s="496">
        <v>4.3380591271978401E-2</v>
      </c>
      <c r="K72" s="496">
        <v>5.7809952757768103E-2</v>
      </c>
      <c r="L72" s="496">
        <v>6.1355991974451102E-2</v>
      </c>
      <c r="M72" s="496">
        <v>5.4004118633397803E-2</v>
      </c>
      <c r="N72" s="496">
        <v>5.4588910842741797E-2</v>
      </c>
      <c r="O72" s="496">
        <v>5.5675880499005105E-2</v>
      </c>
      <c r="P72" s="496">
        <v>5.6265107583266798E-2</v>
      </c>
      <c r="Q72" s="496">
        <v>5.2093125364829601E-2</v>
      </c>
      <c r="R72" s="496">
        <v>5.7598137409125401E-2</v>
      </c>
      <c r="S72" s="496">
        <v>5.91581171052575E-2</v>
      </c>
      <c r="T72" s="496">
        <v>6.0791351158889999E-2</v>
      </c>
      <c r="U72" s="496">
        <v>6.1297377912207206E-2</v>
      </c>
      <c r="V72" s="497">
        <v>6.1388961965650898E-2</v>
      </c>
      <c r="W72" s="490"/>
      <c r="X72" s="229"/>
      <c r="Y72" s="229"/>
      <c r="Z72" s="229"/>
      <c r="AA72" s="229"/>
      <c r="AB72" s="229"/>
      <c r="AC72" s="229"/>
      <c r="AD72" s="229"/>
      <c r="AE72" s="229"/>
      <c r="AF72" s="229"/>
      <c r="AG72" s="229"/>
      <c r="AH72" s="229"/>
      <c r="AI72" s="229"/>
      <c r="AJ72" s="229"/>
      <c r="AK72" s="229"/>
      <c r="AL72" s="229"/>
      <c r="AM72" s="229"/>
      <c r="AN72" s="229"/>
      <c r="AO72" s="229"/>
      <c r="AP72" s="125"/>
      <c r="AQ72" s="491"/>
      <c r="AR72" s="492"/>
      <c r="AS72" s="11"/>
      <c r="AT72" s="9"/>
      <c r="AU72" s="12"/>
      <c r="AV72" s="9"/>
      <c r="AW72" s="9"/>
      <c r="AX72" s="9"/>
      <c r="AY72" s="2"/>
    </row>
    <row r="73" spans="1:79" x14ac:dyDescent="0.35">
      <c r="B73" s="251"/>
      <c r="C73" s="392" t="s">
        <v>199</v>
      </c>
      <c r="D73" s="494">
        <v>3.4177049146082605E-2</v>
      </c>
      <c r="E73" s="495">
        <v>3.96069482740911E-2</v>
      </c>
      <c r="F73" s="494">
        <v>5.1861547119128604E-2</v>
      </c>
      <c r="G73" s="496">
        <v>4.4249314771049097E-2</v>
      </c>
      <c r="H73" s="496">
        <v>4.4119527111821905E-2</v>
      </c>
      <c r="I73" s="496">
        <v>4.9910691976309499E-2</v>
      </c>
      <c r="J73" s="496">
        <v>5.3770853913047201E-2</v>
      </c>
      <c r="K73" s="496">
        <v>6.1336761917310599E-2</v>
      </c>
      <c r="L73" s="496">
        <v>6.3698639157591497E-2</v>
      </c>
      <c r="M73" s="496">
        <v>5.7205658739853199E-2</v>
      </c>
      <c r="N73" s="496">
        <v>5.98476694622097E-2</v>
      </c>
      <c r="O73" s="496">
        <v>6.2644773050163097E-2</v>
      </c>
      <c r="P73" s="496">
        <v>6.3895646554627997E-2</v>
      </c>
      <c r="Q73" s="496">
        <v>6.1441251318442802E-2</v>
      </c>
      <c r="R73" s="496">
        <v>6.5000159850331196E-2</v>
      </c>
      <c r="S73" s="496">
        <v>6.5665246487862511E-2</v>
      </c>
      <c r="T73" s="496">
        <v>6.6425615140300098E-2</v>
      </c>
      <c r="U73" s="496">
        <v>6.6386719610997305E-2</v>
      </c>
      <c r="V73" s="497">
        <v>6.7630459475318011E-2</v>
      </c>
      <c r="W73" s="490"/>
      <c r="X73" s="229"/>
      <c r="Y73" s="229"/>
      <c r="Z73" s="229"/>
      <c r="AA73" s="229"/>
      <c r="AB73" s="229"/>
      <c r="AC73" s="229"/>
      <c r="AD73" s="229"/>
      <c r="AE73" s="229"/>
      <c r="AF73" s="229"/>
      <c r="AG73" s="229"/>
      <c r="AH73" s="229"/>
      <c r="AI73" s="229"/>
      <c r="AJ73" s="229"/>
      <c r="AK73" s="229"/>
      <c r="AL73" s="229"/>
      <c r="AM73" s="229"/>
      <c r="AN73" s="229"/>
      <c r="AO73" s="229"/>
      <c r="AP73" s="125"/>
      <c r="AQ73" s="491"/>
      <c r="AR73" s="492"/>
      <c r="AS73" s="11"/>
      <c r="AT73" s="9"/>
      <c r="AU73" s="12"/>
      <c r="AV73" s="10"/>
      <c r="AW73" s="10"/>
      <c r="AX73" s="10"/>
      <c r="AY73" s="2"/>
    </row>
    <row r="74" spans="1:79" s="4" customFormat="1" ht="16.05" customHeight="1" x14ac:dyDescent="0.35">
      <c r="B74" s="238"/>
      <c r="C74" s="392" t="s">
        <v>162</v>
      </c>
      <c r="D74" s="494">
        <v>3.6019432140032899E-2</v>
      </c>
      <c r="E74" s="495">
        <v>3.6170742805547197E-2</v>
      </c>
      <c r="F74" s="494">
        <v>3.5901640903108205E-2</v>
      </c>
      <c r="G74" s="496">
        <v>3.8402052089122597E-2</v>
      </c>
      <c r="H74" s="496">
        <v>3.95307587526312E-2</v>
      </c>
      <c r="I74" s="496">
        <v>4.0509501864109301E-2</v>
      </c>
      <c r="J74" s="496">
        <v>4.3949596804333101E-2</v>
      </c>
      <c r="K74" s="496">
        <v>5.8448587490716498E-2</v>
      </c>
      <c r="L74" s="496">
        <v>6.2192057747757094E-2</v>
      </c>
      <c r="M74" s="496">
        <v>5.6671229473600399E-2</v>
      </c>
      <c r="N74" s="496">
        <v>5.8640160729030694E-2</v>
      </c>
      <c r="O74" s="496">
        <v>6.0683085301124005E-2</v>
      </c>
      <c r="P74" s="496">
        <v>6.2670967911971201E-2</v>
      </c>
      <c r="Q74" s="496">
        <v>6.0478785044015E-2</v>
      </c>
      <c r="R74" s="496">
        <v>6.3921408164062304E-2</v>
      </c>
      <c r="S74" s="496">
        <v>6.4420608710880997E-2</v>
      </c>
      <c r="T74" s="496">
        <v>6.52376271189576E-2</v>
      </c>
      <c r="U74" s="496">
        <v>6.6162678135084599E-2</v>
      </c>
      <c r="V74" s="497">
        <v>6.7500955564207696E-2</v>
      </c>
      <c r="W74" s="490"/>
      <c r="X74" s="229"/>
      <c r="Y74" s="229"/>
      <c r="Z74" s="229"/>
      <c r="AA74" s="229"/>
      <c r="AB74" s="229"/>
      <c r="AC74" s="229"/>
      <c r="AD74" s="229"/>
      <c r="AE74" s="229"/>
      <c r="AF74" s="229"/>
      <c r="AG74" s="229"/>
      <c r="AH74" s="229"/>
      <c r="AI74" s="229"/>
      <c r="AJ74" s="229"/>
      <c r="AK74" s="229"/>
      <c r="AL74" s="229"/>
      <c r="AM74" s="229"/>
      <c r="AN74" s="229"/>
      <c r="AO74" s="229"/>
      <c r="AP74" s="125"/>
      <c r="AQ74" s="491"/>
      <c r="AR74" s="492"/>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x14ac:dyDescent="0.35">
      <c r="B75" s="238"/>
      <c r="C75" s="392" t="s">
        <v>165</v>
      </c>
      <c r="D75" s="494">
        <v>3.3415638442455195E-2</v>
      </c>
      <c r="E75" s="495">
        <v>3.3535118208223899E-2</v>
      </c>
      <c r="F75" s="494">
        <v>3.40916606078547E-2</v>
      </c>
      <c r="G75" s="496">
        <v>3.7014308671061993E-2</v>
      </c>
      <c r="H75" s="496">
        <v>3.8080967999237901E-2</v>
      </c>
      <c r="I75" s="496">
        <v>3.88059264506916E-2</v>
      </c>
      <c r="J75" s="496">
        <v>4.32080926721723E-2</v>
      </c>
      <c r="K75" s="496">
        <v>5.7328877144294403E-2</v>
      </c>
      <c r="L75" s="496">
        <v>6.0045833484883099E-2</v>
      </c>
      <c r="M75" s="496">
        <v>5.4334148197766705E-2</v>
      </c>
      <c r="N75" s="496">
        <v>5.54139718462867E-2</v>
      </c>
      <c r="O75" s="496">
        <v>5.62395353786223E-2</v>
      </c>
      <c r="P75" s="496">
        <v>5.7097543086718001E-2</v>
      </c>
      <c r="Q75" s="496">
        <v>5.3702527516442305E-2</v>
      </c>
      <c r="R75" s="496">
        <v>5.8291000921218201E-2</v>
      </c>
      <c r="S75" s="496">
        <v>5.9019639587013201E-2</v>
      </c>
      <c r="T75" s="496">
        <v>5.98470340254506E-2</v>
      </c>
      <c r="U75" s="496">
        <v>6.0797176993883102E-2</v>
      </c>
      <c r="V75" s="497">
        <v>6.1542928615972298E-2</v>
      </c>
      <c r="W75" s="490"/>
      <c r="X75" s="229"/>
      <c r="Y75" s="229"/>
      <c r="Z75" s="229"/>
      <c r="AA75" s="229"/>
      <c r="AB75" s="229"/>
      <c r="AC75" s="229"/>
      <c r="AD75" s="229"/>
      <c r="AE75" s="229"/>
      <c r="AF75" s="229"/>
      <c r="AG75" s="229"/>
      <c r="AH75" s="229"/>
      <c r="AI75" s="229"/>
      <c r="AJ75" s="229"/>
      <c r="AK75" s="229"/>
      <c r="AL75" s="229"/>
      <c r="AM75" s="229"/>
      <c r="AN75" s="229"/>
      <c r="AO75" s="229"/>
      <c r="AP75" s="125"/>
      <c r="AQ75" s="491"/>
      <c r="AR75" s="492"/>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x14ac:dyDescent="0.35">
      <c r="B76" s="238"/>
      <c r="C76" s="392" t="s">
        <v>164</v>
      </c>
      <c r="D76" s="494">
        <v>2.7855588968049801E-2</v>
      </c>
      <c r="E76" s="495">
        <v>2.96351369138746E-2</v>
      </c>
      <c r="F76" s="494">
        <v>3.09836584371023E-2</v>
      </c>
      <c r="G76" s="496">
        <v>3.4285212093503298E-2</v>
      </c>
      <c r="H76" s="496">
        <v>3.5661019752068202E-2</v>
      </c>
      <c r="I76" s="496">
        <v>3.4637621583189795E-2</v>
      </c>
      <c r="J76" s="496">
        <v>3.50438103915151E-2</v>
      </c>
      <c r="K76" s="496">
        <v>3.45700605852012E-2</v>
      </c>
      <c r="L76" s="496">
        <v>3.7653432126162699E-2</v>
      </c>
      <c r="M76" s="496">
        <v>3.4388400047681199E-2</v>
      </c>
      <c r="N76" s="496">
        <v>3.5072305428305299E-2</v>
      </c>
      <c r="O76" s="496">
        <v>3.5863040685300301E-2</v>
      </c>
      <c r="P76" s="496">
        <v>3.6294151787027301E-2</v>
      </c>
      <c r="Q76" s="496">
        <v>3.6219241263759201E-2</v>
      </c>
      <c r="R76" s="496">
        <v>3.6764983075272296E-2</v>
      </c>
      <c r="S76" s="496">
        <v>3.7466378677245504E-2</v>
      </c>
      <c r="T76" s="496">
        <v>4.18100721422432E-2</v>
      </c>
      <c r="U76" s="496">
        <v>4.4681686438307E-2</v>
      </c>
      <c r="V76" s="497">
        <v>5.0723474759059098E-2</v>
      </c>
      <c r="W76" s="490"/>
      <c r="X76" s="229"/>
      <c r="Y76" s="229"/>
      <c r="Z76" s="229"/>
      <c r="AA76" s="229"/>
      <c r="AB76" s="229"/>
      <c r="AC76" s="229"/>
      <c r="AD76" s="229"/>
      <c r="AE76" s="229"/>
      <c r="AF76" s="229"/>
      <c r="AG76" s="229"/>
      <c r="AH76" s="229"/>
      <c r="AI76" s="229"/>
      <c r="AJ76" s="229"/>
      <c r="AK76" s="229"/>
      <c r="AL76" s="229"/>
      <c r="AM76" s="229"/>
      <c r="AN76" s="229"/>
      <c r="AO76" s="229"/>
      <c r="AP76" s="125"/>
      <c r="AQ76" s="491"/>
      <c r="AR76" s="492"/>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x14ac:dyDescent="0.35">
      <c r="B77" s="238"/>
      <c r="C77" s="392" t="s">
        <v>166</v>
      </c>
      <c r="D77" s="494">
        <v>2.9121127166402E-2</v>
      </c>
      <c r="E77" s="495">
        <v>3.1858164729625299E-2</v>
      </c>
      <c r="F77" s="494">
        <v>3.5318863381902099E-2</v>
      </c>
      <c r="G77" s="496">
        <v>4.1261370949299297E-2</v>
      </c>
      <c r="H77" s="496">
        <v>4.4246231674751599E-2</v>
      </c>
      <c r="I77" s="496">
        <v>4.3103715572762297E-2</v>
      </c>
      <c r="J77" s="496">
        <v>3.8627248248393302E-2</v>
      </c>
      <c r="K77" s="496">
        <v>4.5230318403690101E-2</v>
      </c>
      <c r="L77" s="496">
        <v>4.3628046965157603E-2</v>
      </c>
      <c r="M77" s="496">
        <v>3.7823646543793304E-2</v>
      </c>
      <c r="N77" s="496">
        <v>3.9045697331339196E-2</v>
      </c>
      <c r="O77" s="496">
        <v>4.1174823546818201E-2</v>
      </c>
      <c r="P77" s="496">
        <v>4.1660815282307397E-2</v>
      </c>
      <c r="Q77" s="496">
        <v>4.2215911568178596E-2</v>
      </c>
      <c r="R77" s="496">
        <v>4.6638039267683798E-2</v>
      </c>
      <c r="S77" s="496">
        <v>4.8008547334937098E-2</v>
      </c>
      <c r="T77" s="496">
        <v>5.0175686629211201E-2</v>
      </c>
      <c r="U77" s="496">
        <v>5.2777142605533595E-2</v>
      </c>
      <c r="V77" s="496">
        <v>5.8377813048779301E-2</v>
      </c>
      <c r="W77" s="490"/>
      <c r="X77" s="229"/>
      <c r="Y77" s="229"/>
      <c r="Z77" s="229"/>
      <c r="AA77" s="229"/>
      <c r="AB77" s="229"/>
      <c r="AC77" s="229"/>
      <c r="AD77" s="229"/>
      <c r="AE77" s="229"/>
      <c r="AF77" s="229"/>
      <c r="AG77" s="229"/>
      <c r="AH77" s="229"/>
      <c r="AI77" s="229"/>
      <c r="AJ77" s="229"/>
      <c r="AK77" s="229"/>
      <c r="AL77" s="229"/>
      <c r="AM77" s="229"/>
      <c r="AN77" s="229"/>
      <c r="AO77" s="229"/>
      <c r="AP77" s="125"/>
      <c r="AQ77" s="491"/>
      <c r="AR77" s="492"/>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x14ac:dyDescent="0.35">
      <c r="B78" s="238"/>
      <c r="C78" s="392" t="s">
        <v>167</v>
      </c>
      <c r="D78" s="494">
        <v>2.7963189263182902E-2</v>
      </c>
      <c r="E78" s="495">
        <v>2.9593230257302101E-2</v>
      </c>
      <c r="F78" s="494">
        <v>3.1221428488393699E-2</v>
      </c>
      <c r="G78" s="496">
        <v>3.4474445015512598E-2</v>
      </c>
      <c r="H78" s="496">
        <v>3.5767113315501801E-2</v>
      </c>
      <c r="I78" s="496">
        <v>3.5421530070989499E-2</v>
      </c>
      <c r="J78" s="496">
        <v>3.5754276017627699E-2</v>
      </c>
      <c r="K78" s="496">
        <v>3.4745310563338801E-2</v>
      </c>
      <c r="L78" s="496">
        <v>3.6492847314340701E-2</v>
      </c>
      <c r="M78" s="496">
        <v>3.5362170429115401E-2</v>
      </c>
      <c r="N78" s="496">
        <v>3.6235829951618399E-2</v>
      </c>
      <c r="O78" s="496">
        <v>3.6595271942615297E-2</v>
      </c>
      <c r="P78" s="496">
        <v>3.6857140193479604E-2</v>
      </c>
      <c r="Q78" s="496">
        <v>3.7557826359685798E-2</v>
      </c>
      <c r="R78" s="496">
        <v>3.8678814893564402E-2</v>
      </c>
      <c r="S78" s="496">
        <v>3.9280709236173897E-2</v>
      </c>
      <c r="T78" s="496">
        <v>4.2891251475782398E-2</v>
      </c>
      <c r="U78" s="496">
        <v>4.5555805518359499E-2</v>
      </c>
      <c r="V78" s="497">
        <v>5.1035520527881302E-2</v>
      </c>
      <c r="W78" s="490"/>
      <c r="X78" s="229"/>
      <c r="Y78" s="229"/>
      <c r="Z78" s="229"/>
      <c r="AA78" s="229"/>
      <c r="AB78" s="229"/>
      <c r="AC78" s="229"/>
      <c r="AD78" s="229"/>
      <c r="AE78" s="229"/>
      <c r="AF78" s="229"/>
      <c r="AG78" s="229"/>
      <c r="AH78" s="229"/>
      <c r="AI78" s="229"/>
      <c r="AJ78" s="229"/>
      <c r="AK78" s="229"/>
      <c r="AL78" s="229"/>
      <c r="AM78" s="229"/>
      <c r="AN78" s="229"/>
      <c r="AO78" s="229"/>
      <c r="AP78" s="125"/>
      <c r="AQ78" s="491"/>
      <c r="AR78" s="492"/>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x14ac:dyDescent="0.35">
      <c r="B79" s="238"/>
      <c r="C79" s="390" t="s">
        <v>168</v>
      </c>
      <c r="D79" s="494">
        <v>3.2197873752599894E-2</v>
      </c>
      <c r="E79" s="495">
        <v>3.5402082871961602E-2</v>
      </c>
      <c r="F79" s="494">
        <v>5.5175339353883801E-2</v>
      </c>
      <c r="G79" s="496">
        <v>4.9847554724530799E-2</v>
      </c>
      <c r="H79" s="496">
        <v>4.90002500657803E-2</v>
      </c>
      <c r="I79" s="496">
        <v>5.7219316155690599E-2</v>
      </c>
      <c r="J79" s="496">
        <v>6.1619439821611201E-2</v>
      </c>
      <c r="K79" s="496">
        <v>6.6873662629265196E-2</v>
      </c>
      <c r="L79" s="496">
        <v>6.8436272884221494E-2</v>
      </c>
      <c r="M79" s="496">
        <v>6.0334808890896E-2</v>
      </c>
      <c r="N79" s="496">
        <v>6.2164901556977396E-2</v>
      </c>
      <c r="O79" s="496">
        <v>6.6352743511358794E-2</v>
      </c>
      <c r="P79" s="496">
        <v>6.8571534337760198E-2</v>
      </c>
      <c r="Q79" s="496">
        <v>6.4474656490307689E-2</v>
      </c>
      <c r="R79" s="496">
        <v>6.8106361986017508E-2</v>
      </c>
      <c r="S79" s="496">
        <v>6.8517949691124694E-2</v>
      </c>
      <c r="T79" s="496">
        <v>6.8675217063666E-2</v>
      </c>
      <c r="U79" s="496">
        <v>6.8725711435251205E-2</v>
      </c>
      <c r="V79" s="497">
        <v>7.1660683694658805E-2</v>
      </c>
      <c r="W79" s="490"/>
      <c r="X79" s="229"/>
      <c r="Y79" s="229"/>
      <c r="Z79" s="229"/>
      <c r="AA79" s="229"/>
      <c r="AB79" s="229"/>
      <c r="AC79" s="229"/>
      <c r="AD79" s="229"/>
      <c r="AE79" s="229"/>
      <c r="AF79" s="229"/>
      <c r="AG79" s="229"/>
      <c r="AH79" s="229"/>
      <c r="AI79" s="229"/>
      <c r="AJ79" s="229"/>
      <c r="AK79" s="229"/>
      <c r="AL79" s="229"/>
      <c r="AM79" s="229"/>
      <c r="AN79" s="229"/>
      <c r="AO79" s="229"/>
      <c r="AP79" s="125"/>
      <c r="AQ79" s="491"/>
      <c r="AR79" s="492"/>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x14ac:dyDescent="0.35">
      <c r="B80" s="238"/>
      <c r="C80" s="390" t="s">
        <v>169</v>
      </c>
      <c r="D80" s="494">
        <v>3.28000016134532E-2</v>
      </c>
      <c r="E80" s="495">
        <v>3.8836295575350906E-2</v>
      </c>
      <c r="F80" s="494">
        <v>5.2215392268328602E-2</v>
      </c>
      <c r="G80" s="496">
        <v>4.3225586736027999E-2</v>
      </c>
      <c r="H80" s="496">
        <v>4.4518656541564804E-2</v>
      </c>
      <c r="I80" s="496">
        <v>5.3129316204289505E-2</v>
      </c>
      <c r="J80" s="496">
        <v>5.7871531946653003E-2</v>
      </c>
      <c r="K80" s="496">
        <v>6.5604887813127399E-2</v>
      </c>
      <c r="L80" s="496">
        <v>6.8110012662181404E-2</v>
      </c>
      <c r="M80" s="496">
        <v>6.0526378736102206E-2</v>
      </c>
      <c r="N80" s="496">
        <v>6.3384651563018299E-2</v>
      </c>
      <c r="O80" s="496">
        <v>6.6289876356170299E-2</v>
      </c>
      <c r="P80" s="496">
        <v>6.7657434646871198E-2</v>
      </c>
      <c r="Q80" s="496">
        <v>6.4574281683355092E-2</v>
      </c>
      <c r="R80" s="496">
        <v>6.8521518596491499E-2</v>
      </c>
      <c r="S80" s="496">
        <v>6.9112050263207908E-2</v>
      </c>
      <c r="T80" s="496">
        <v>6.991634191488881E-2</v>
      </c>
      <c r="U80" s="496">
        <v>6.9976832814687501E-2</v>
      </c>
      <c r="V80" s="497">
        <v>7.1413960085368197E-2</v>
      </c>
      <c r="W80" s="490"/>
      <c r="X80" s="229"/>
      <c r="Y80" s="229"/>
      <c r="Z80" s="229"/>
      <c r="AA80" s="229"/>
      <c r="AB80" s="229"/>
      <c r="AC80" s="229"/>
      <c r="AD80" s="229"/>
      <c r="AE80" s="229"/>
      <c r="AF80" s="229"/>
      <c r="AG80" s="229"/>
      <c r="AH80" s="229"/>
      <c r="AI80" s="229"/>
      <c r="AJ80" s="229"/>
      <c r="AK80" s="229"/>
      <c r="AL80" s="229"/>
      <c r="AM80" s="229"/>
      <c r="AN80" s="229"/>
      <c r="AO80" s="229"/>
      <c r="AP80" s="125"/>
      <c r="AQ80" s="491"/>
      <c r="AR80" s="492"/>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x14ac:dyDescent="0.35">
      <c r="B81" s="238"/>
      <c r="C81" s="390" t="s">
        <v>170</v>
      </c>
      <c r="D81" s="494">
        <v>4.2433905806320699E-2</v>
      </c>
      <c r="E81" s="495">
        <v>4.0032387682471901E-2</v>
      </c>
      <c r="F81" s="494">
        <v>4.08816906321652E-2</v>
      </c>
      <c r="G81" s="496">
        <v>4.4898724055014001E-2</v>
      </c>
      <c r="H81" s="496">
        <v>4.5874081834955706E-2</v>
      </c>
      <c r="I81" s="496">
        <v>4.7051772528496301E-2</v>
      </c>
      <c r="J81" s="496">
        <v>5.1575780886196299E-2</v>
      </c>
      <c r="K81" s="496">
        <v>6.5396869486767997E-2</v>
      </c>
      <c r="L81" s="496">
        <v>6.8095393303624699E-2</v>
      </c>
      <c r="M81" s="496">
        <v>6.1972021855084596E-2</v>
      </c>
      <c r="N81" s="496">
        <v>6.4901115676191501E-2</v>
      </c>
      <c r="O81" s="496">
        <v>6.6936108086343191E-2</v>
      </c>
      <c r="P81" s="496">
        <v>6.9287629502339798E-2</v>
      </c>
      <c r="Q81" s="496">
        <v>6.6896277481753696E-2</v>
      </c>
      <c r="R81" s="496">
        <v>7.0212908604206509E-2</v>
      </c>
      <c r="S81" s="496">
        <v>7.0413027708518802E-2</v>
      </c>
      <c r="T81" s="496">
        <v>7.10050389912594E-2</v>
      </c>
      <c r="U81" s="496">
        <v>7.1843846247365908E-2</v>
      </c>
      <c r="V81" s="497">
        <v>7.29830688369736E-2</v>
      </c>
      <c r="W81" s="490"/>
      <c r="X81" s="229"/>
      <c r="Y81" s="229"/>
      <c r="Z81" s="229"/>
      <c r="AA81" s="229"/>
      <c r="AB81" s="229"/>
      <c r="AC81" s="229"/>
      <c r="AD81" s="229"/>
      <c r="AE81" s="229"/>
      <c r="AF81" s="229"/>
      <c r="AG81" s="229"/>
      <c r="AH81" s="229"/>
      <c r="AI81" s="229"/>
      <c r="AJ81" s="229"/>
      <c r="AK81" s="229"/>
      <c r="AL81" s="229"/>
      <c r="AM81" s="229"/>
      <c r="AN81" s="229"/>
      <c r="AO81" s="229"/>
      <c r="AP81" s="125"/>
      <c r="AQ81" s="491"/>
      <c r="AR81" s="492"/>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x14ac:dyDescent="0.35">
      <c r="B82" s="238"/>
      <c r="C82" s="390" t="s">
        <v>171</v>
      </c>
      <c r="D82" s="494">
        <v>3.7401157078034604E-2</v>
      </c>
      <c r="E82" s="495">
        <v>3.7306316960078002E-2</v>
      </c>
      <c r="F82" s="494">
        <v>3.7024093619571499E-2</v>
      </c>
      <c r="G82" s="496">
        <v>3.9459570078679E-2</v>
      </c>
      <c r="H82" s="496">
        <v>4.061022147124E-2</v>
      </c>
      <c r="I82" s="496">
        <v>4.1837692878549201E-2</v>
      </c>
      <c r="J82" s="496">
        <v>4.5573026897923495E-2</v>
      </c>
      <c r="K82" s="496">
        <v>6.0593340950111395E-2</v>
      </c>
      <c r="L82" s="496">
        <v>6.4654926385456599E-2</v>
      </c>
      <c r="M82" s="496">
        <v>5.8800308156440703E-2</v>
      </c>
      <c r="N82" s="496">
        <v>6.05778944170847E-2</v>
      </c>
      <c r="O82" s="496">
        <v>6.2774820142075097E-2</v>
      </c>
      <c r="P82" s="496">
        <v>6.4922487676042612E-2</v>
      </c>
      <c r="Q82" s="496">
        <v>6.24689983625656E-2</v>
      </c>
      <c r="R82" s="496">
        <v>6.6256061596798602E-2</v>
      </c>
      <c r="S82" s="496">
        <v>6.6849624942595096E-2</v>
      </c>
      <c r="T82" s="496">
        <v>6.7782965198778994E-2</v>
      </c>
      <c r="U82" s="496">
        <v>6.8862915171355094E-2</v>
      </c>
      <c r="V82" s="497">
        <v>7.0371746370061605E-2</v>
      </c>
      <c r="W82" s="490"/>
      <c r="X82" s="229"/>
      <c r="Y82" s="229"/>
      <c r="Z82" s="229"/>
      <c r="AA82" s="229"/>
      <c r="AB82" s="229"/>
      <c r="AC82" s="229"/>
      <c r="AD82" s="229"/>
      <c r="AE82" s="229"/>
      <c r="AF82" s="229"/>
      <c r="AG82" s="229"/>
      <c r="AH82" s="229"/>
      <c r="AI82" s="229"/>
      <c r="AJ82" s="229"/>
      <c r="AK82" s="229"/>
      <c r="AL82" s="229"/>
      <c r="AM82" s="229"/>
      <c r="AN82" s="229"/>
      <c r="AO82" s="229"/>
      <c r="AP82" s="125"/>
      <c r="AQ82" s="491"/>
      <c r="AR82" s="492"/>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x14ac:dyDescent="0.35">
      <c r="B83" s="238"/>
      <c r="C83" s="392" t="s">
        <v>176</v>
      </c>
      <c r="D83" s="494">
        <v>2.6831521212688499E-2</v>
      </c>
      <c r="E83" s="495">
        <v>2.8990396584729003E-2</v>
      </c>
      <c r="F83" s="494">
        <v>3.02881369923255E-2</v>
      </c>
      <c r="G83" s="496">
        <v>3.3752375658538801E-2</v>
      </c>
      <c r="H83" s="496">
        <v>3.4881324401005998E-2</v>
      </c>
      <c r="I83" s="496">
        <v>3.6755596899755903E-2</v>
      </c>
      <c r="J83" s="496">
        <v>4.3135554852285901E-2</v>
      </c>
      <c r="K83" s="496">
        <v>5.5907790690808604E-2</v>
      </c>
      <c r="L83" s="496">
        <v>5.9274757101695601E-2</v>
      </c>
      <c r="M83" s="496">
        <v>5.2922823776285703E-2</v>
      </c>
      <c r="N83" s="496">
        <v>5.4002712883905901E-2</v>
      </c>
      <c r="O83" s="496">
        <v>5.5303953001446901E-2</v>
      </c>
      <c r="P83" s="496">
        <v>5.6048948194162104E-2</v>
      </c>
      <c r="Q83" s="496">
        <v>5.3024118382826897E-2</v>
      </c>
      <c r="R83" s="496">
        <v>5.8209317907917502E-2</v>
      </c>
      <c r="S83" s="496">
        <v>5.9512319976642504E-2</v>
      </c>
      <c r="T83" s="496">
        <v>6.0712412725013896E-2</v>
      </c>
      <c r="U83" s="496">
        <v>6.1346353587002196E-2</v>
      </c>
      <c r="V83" s="497">
        <v>6.1656915226745705E-2</v>
      </c>
      <c r="W83" s="490"/>
      <c r="X83" s="229"/>
      <c r="Y83" s="229"/>
      <c r="Z83" s="229"/>
      <c r="AA83" s="229"/>
      <c r="AB83" s="229"/>
      <c r="AC83" s="229"/>
      <c r="AD83" s="229"/>
      <c r="AE83" s="229"/>
      <c r="AF83" s="229"/>
      <c r="AG83" s="229"/>
      <c r="AH83" s="229"/>
      <c r="AI83" s="229"/>
      <c r="AJ83" s="229"/>
      <c r="AK83" s="229"/>
      <c r="AL83" s="229"/>
      <c r="AM83" s="229"/>
      <c r="AN83" s="229"/>
      <c r="AO83" s="229"/>
      <c r="AP83" s="125"/>
      <c r="AQ83" s="491"/>
      <c r="AR83" s="492"/>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x14ac:dyDescent="0.35">
      <c r="B84" s="238"/>
      <c r="C84" s="390" t="s">
        <v>173</v>
      </c>
      <c r="D84" s="494">
        <v>2.78911518294492E-2</v>
      </c>
      <c r="E84" s="495">
        <v>2.92483980100974E-2</v>
      </c>
      <c r="F84" s="494">
        <v>3.0682043049388798E-2</v>
      </c>
      <c r="G84" s="496">
        <v>3.4095960946815503E-2</v>
      </c>
      <c r="H84" s="496">
        <v>3.5326909277657997E-2</v>
      </c>
      <c r="I84" s="496">
        <v>3.56521137164722E-2</v>
      </c>
      <c r="J84" s="496">
        <v>3.63140453481142E-2</v>
      </c>
      <c r="K84" s="496">
        <v>3.51844395632896E-2</v>
      </c>
      <c r="L84" s="496">
        <v>3.5179004647116797E-2</v>
      </c>
      <c r="M84" s="496">
        <v>3.5509515797545098E-2</v>
      </c>
      <c r="N84" s="496">
        <v>3.6463028133370899E-2</v>
      </c>
      <c r="O84" s="496">
        <v>3.7536644225942294E-2</v>
      </c>
      <c r="P84" s="496">
        <v>3.7901565708425899E-2</v>
      </c>
      <c r="Q84" s="496">
        <v>3.8274462014330296E-2</v>
      </c>
      <c r="R84" s="496">
        <v>3.8720351570537194E-2</v>
      </c>
      <c r="S84" s="496">
        <v>3.9288338419869902E-2</v>
      </c>
      <c r="T84" s="496">
        <v>4.2448104165934704E-2</v>
      </c>
      <c r="U84" s="496">
        <v>4.5802428537950801E-2</v>
      </c>
      <c r="V84" s="497">
        <v>4.9892653038171704E-2</v>
      </c>
      <c r="W84" s="490"/>
      <c r="X84" s="229"/>
      <c r="Y84" s="229"/>
      <c r="Z84" s="229"/>
      <c r="AA84" s="229"/>
      <c r="AB84" s="229"/>
      <c r="AC84" s="229"/>
      <c r="AD84" s="229"/>
      <c r="AE84" s="229"/>
      <c r="AF84" s="229"/>
      <c r="AG84" s="229"/>
      <c r="AH84" s="229"/>
      <c r="AI84" s="229"/>
      <c r="AJ84" s="229"/>
      <c r="AK84" s="229"/>
      <c r="AL84" s="229"/>
      <c r="AM84" s="229"/>
      <c r="AN84" s="229"/>
      <c r="AO84" s="229"/>
      <c r="AP84" s="125"/>
      <c r="AQ84" s="491"/>
      <c r="AR84" s="492"/>
      <c r="AS84" s="11"/>
      <c r="AT84" s="9"/>
      <c r="AU84" s="12"/>
      <c r="AV84" s="9"/>
      <c r="AW84" s="11"/>
      <c r="AX84" s="12"/>
      <c r="AY84" s="2"/>
    </row>
    <row r="85" spans="2:79" x14ac:dyDescent="0.35">
      <c r="B85" s="238"/>
      <c r="C85" s="390" t="s">
        <v>174</v>
      </c>
      <c r="D85" s="494">
        <v>3.0833925412841603E-2</v>
      </c>
      <c r="E85" s="495">
        <v>3.2450796480150104E-2</v>
      </c>
      <c r="F85" s="494">
        <v>4.4331499474075102E-2</v>
      </c>
      <c r="G85" s="496">
        <v>3.8191453521630302E-2</v>
      </c>
      <c r="H85" s="496">
        <v>3.9365620865668395E-2</v>
      </c>
      <c r="I85" s="496">
        <v>4.1214899112555999E-2</v>
      </c>
      <c r="J85" s="496">
        <v>4.7987863810049602E-2</v>
      </c>
      <c r="K85" s="496">
        <v>5.9351971719746405E-2</v>
      </c>
      <c r="L85" s="496">
        <v>6.3238440652935296E-2</v>
      </c>
      <c r="M85" s="496">
        <v>5.6665375158220795E-2</v>
      </c>
      <c r="N85" s="496">
        <v>5.8299802219161201E-2</v>
      </c>
      <c r="O85" s="496">
        <v>5.9668951307602497E-2</v>
      </c>
      <c r="P85" s="496">
        <v>6.0387207896108103E-2</v>
      </c>
      <c r="Q85" s="496">
        <v>5.7081996410197199E-2</v>
      </c>
      <c r="R85" s="496">
        <v>6.23380445356869E-2</v>
      </c>
      <c r="S85" s="496">
        <v>6.3442369046442001E-2</v>
      </c>
      <c r="T85" s="496">
        <v>6.4659187538163812E-2</v>
      </c>
      <c r="U85" s="496">
        <v>6.5456792041690706E-2</v>
      </c>
      <c r="V85" s="497">
        <v>6.6480359314239998E-2</v>
      </c>
      <c r="W85" s="490"/>
      <c r="X85" s="229"/>
      <c r="Y85" s="229"/>
      <c r="Z85" s="229"/>
      <c r="AA85" s="229"/>
      <c r="AB85" s="229"/>
      <c r="AC85" s="229"/>
      <c r="AD85" s="229"/>
      <c r="AE85" s="229"/>
      <c r="AF85" s="229"/>
      <c r="AG85" s="229"/>
      <c r="AH85" s="229"/>
      <c r="AI85" s="229"/>
      <c r="AJ85" s="229"/>
      <c r="AK85" s="229"/>
      <c r="AL85" s="229"/>
      <c r="AM85" s="229"/>
      <c r="AN85" s="229"/>
      <c r="AO85" s="229"/>
      <c r="AP85" s="125"/>
      <c r="AQ85" s="491"/>
      <c r="AR85" s="492"/>
      <c r="AS85" s="11"/>
      <c r="AT85" s="9"/>
      <c r="AU85" s="12"/>
      <c r="AV85" s="9"/>
      <c r="AW85" s="11"/>
      <c r="AX85" s="12"/>
      <c r="AY85" s="2"/>
    </row>
    <row r="86" spans="2:79" x14ac:dyDescent="0.35">
      <c r="B86" s="238"/>
      <c r="C86" s="390" t="s">
        <v>175</v>
      </c>
      <c r="D86" s="494">
        <v>2.9148671958354602E-2</v>
      </c>
      <c r="E86" s="495">
        <v>3.1537281259734103E-2</v>
      </c>
      <c r="F86" s="494">
        <v>4.58726709191895E-2</v>
      </c>
      <c r="G86" s="496">
        <v>3.7391863597101595E-2</v>
      </c>
      <c r="H86" s="496">
        <v>3.8726911563026802E-2</v>
      </c>
      <c r="I86" s="496">
        <v>4.0813444573489101E-2</v>
      </c>
      <c r="J86" s="496">
        <v>4.72905098451189E-2</v>
      </c>
      <c r="K86" s="496">
        <v>5.8436168288577298E-2</v>
      </c>
      <c r="L86" s="496">
        <v>6.1906337150131101E-2</v>
      </c>
      <c r="M86" s="496">
        <v>5.5760290351845501E-2</v>
      </c>
      <c r="N86" s="496">
        <v>5.7345575072598402E-2</v>
      </c>
      <c r="O86" s="496">
        <v>5.8933717782779504E-2</v>
      </c>
      <c r="P86" s="496">
        <v>6.0062493029274099E-2</v>
      </c>
      <c r="Q86" s="496">
        <v>5.7402609115054799E-2</v>
      </c>
      <c r="R86" s="496">
        <v>6.1915488474473597E-2</v>
      </c>
      <c r="S86" s="496">
        <v>6.2846627545645198E-2</v>
      </c>
      <c r="T86" s="496">
        <v>6.4142883435839709E-2</v>
      </c>
      <c r="U86" s="496">
        <v>6.4836446204183704E-2</v>
      </c>
      <c r="V86" s="497">
        <v>6.6290038065120405E-2</v>
      </c>
      <c r="W86" s="229"/>
      <c r="X86" s="229"/>
      <c r="Y86" s="229"/>
      <c r="Z86" s="229"/>
      <c r="AA86" s="229"/>
      <c r="AB86" s="229"/>
      <c r="AC86" s="229"/>
      <c r="AD86" s="229"/>
      <c r="AE86" s="229"/>
      <c r="AF86" s="229"/>
      <c r="AG86" s="229"/>
      <c r="AH86" s="229"/>
      <c r="AI86" s="229"/>
      <c r="AJ86" s="229"/>
      <c r="AK86" s="229"/>
      <c r="AL86" s="229"/>
      <c r="AM86" s="229"/>
      <c r="AN86" s="229"/>
      <c r="AO86" s="229"/>
      <c r="AP86" s="125"/>
      <c r="AQ86" s="491"/>
      <c r="AR86" s="492"/>
      <c r="AS86" s="11"/>
      <c r="AT86" s="9"/>
      <c r="AU86" s="12"/>
      <c r="AV86" s="9"/>
      <c r="AW86" s="11"/>
      <c r="AX86" s="12"/>
      <c r="AY86" s="2"/>
    </row>
    <row r="87" spans="2:79" x14ac:dyDescent="0.35">
      <c r="B87" s="238"/>
      <c r="C87" s="390" t="s">
        <v>177</v>
      </c>
      <c r="D87" s="494">
        <v>3.1106728579530601E-2</v>
      </c>
      <c r="E87" s="495">
        <v>3.1718161834166196E-2</v>
      </c>
      <c r="F87" s="494">
        <v>3.30599178816346E-2</v>
      </c>
      <c r="G87" s="496">
        <v>3.4857057074284298E-2</v>
      </c>
      <c r="H87" s="496">
        <v>3.5759332614016801E-2</v>
      </c>
      <c r="I87" s="496">
        <v>3.74801416631644E-2</v>
      </c>
      <c r="J87" s="496">
        <v>4.4844481325937102E-2</v>
      </c>
      <c r="K87" s="496">
        <v>5.9891409168512405E-2</v>
      </c>
      <c r="L87" s="496">
        <v>6.2374939802372097E-2</v>
      </c>
      <c r="M87" s="496">
        <v>5.4794619078571902E-2</v>
      </c>
      <c r="N87" s="496">
        <v>5.46214691103191E-2</v>
      </c>
      <c r="O87" s="496">
        <v>5.3485807037145894E-2</v>
      </c>
      <c r="P87" s="496">
        <v>5.4193918889829003E-2</v>
      </c>
      <c r="Q87" s="496">
        <v>5.0091005632967499E-2</v>
      </c>
      <c r="R87" s="496">
        <v>5.5141561882507704E-2</v>
      </c>
      <c r="S87" s="496">
        <v>5.7461441364556498E-2</v>
      </c>
      <c r="T87" s="496">
        <v>5.90251321738589E-2</v>
      </c>
      <c r="U87" s="496">
        <v>6.11656151456191E-2</v>
      </c>
      <c r="V87" s="497">
        <v>6.1588550312533602E-2</v>
      </c>
      <c r="W87" s="229"/>
      <c r="X87" s="229"/>
      <c r="Y87" s="229"/>
      <c r="Z87" s="229"/>
      <c r="AA87" s="229"/>
      <c r="AB87" s="229"/>
      <c r="AC87" s="229"/>
      <c r="AD87" s="229"/>
      <c r="AE87" s="229"/>
      <c r="AF87" s="229"/>
      <c r="AG87" s="229"/>
      <c r="AH87" s="229"/>
      <c r="AI87" s="229"/>
      <c r="AJ87" s="229"/>
      <c r="AK87" s="229"/>
      <c r="AL87" s="229"/>
      <c r="AM87" s="229"/>
      <c r="AN87" s="229"/>
      <c r="AO87" s="229"/>
      <c r="AP87" s="125"/>
      <c r="AQ87" s="491"/>
      <c r="AR87" s="492"/>
      <c r="AS87" s="11"/>
      <c r="AT87" s="9"/>
      <c r="AU87" s="12"/>
      <c r="AV87" s="9"/>
      <c r="AW87" s="11"/>
      <c r="AX87" s="12"/>
      <c r="AY87" s="2"/>
    </row>
    <row r="88" spans="2:79" s="4" customFormat="1" ht="12" customHeight="1" x14ac:dyDescent="0.35">
      <c r="B88" s="238"/>
      <c r="C88" s="392" t="s">
        <v>178</v>
      </c>
      <c r="D88" s="494">
        <v>3.7018951210943396E-2</v>
      </c>
      <c r="E88" s="495">
        <v>5.0469536678360398E-2</v>
      </c>
      <c r="F88" s="494">
        <v>5.1180057417660997E-2</v>
      </c>
      <c r="G88" s="496">
        <v>3.9221632914374902E-2</v>
      </c>
      <c r="H88" s="496">
        <v>4.0239639897392002E-2</v>
      </c>
      <c r="I88" s="496">
        <v>4.2229364652865399E-2</v>
      </c>
      <c r="J88" s="496">
        <v>4.7981649178214299E-2</v>
      </c>
      <c r="K88" s="496">
        <v>5.9204630336914699E-2</v>
      </c>
      <c r="L88" s="496">
        <v>6.2393020065387002E-2</v>
      </c>
      <c r="M88" s="496">
        <v>5.6120006829408195E-2</v>
      </c>
      <c r="N88" s="496">
        <v>5.7990869328561304E-2</v>
      </c>
      <c r="O88" s="496">
        <v>5.9868977021586604E-2</v>
      </c>
      <c r="P88" s="496">
        <v>6.1362572196405403E-2</v>
      </c>
      <c r="Q88" s="496">
        <v>5.8943092694019594E-2</v>
      </c>
      <c r="R88" s="496">
        <v>6.30194695783243E-2</v>
      </c>
      <c r="S88" s="496">
        <v>6.36547754426732E-2</v>
      </c>
      <c r="T88" s="496">
        <v>6.4967393253325595E-2</v>
      </c>
      <c r="U88" s="496">
        <v>6.5625729875942493E-2</v>
      </c>
      <c r="V88" s="497">
        <v>6.7342128748319394E-2</v>
      </c>
      <c r="W88" s="229"/>
      <c r="X88" s="229"/>
      <c r="Y88" s="229"/>
      <c r="Z88" s="229"/>
      <c r="AA88" s="229"/>
      <c r="AB88" s="229"/>
      <c r="AC88" s="229"/>
      <c r="AD88" s="229"/>
      <c r="AE88" s="229"/>
      <c r="AF88" s="229"/>
      <c r="AG88" s="229"/>
      <c r="AH88" s="229"/>
      <c r="AI88" s="229"/>
      <c r="AJ88" s="229"/>
      <c r="AK88" s="229"/>
      <c r="AL88" s="229"/>
      <c r="AM88" s="229"/>
      <c r="AN88" s="229"/>
      <c r="AO88" s="229"/>
      <c r="AP88" s="125"/>
      <c r="AQ88" s="491"/>
      <c r="AR88" s="492"/>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x14ac:dyDescent="0.35">
      <c r="B89" s="238"/>
      <c r="C89" s="392" t="s">
        <v>179</v>
      </c>
      <c r="D89" s="494">
        <v>3.4277048072211304E-2</v>
      </c>
      <c r="E89" s="495">
        <v>3.4455645908058302E-2</v>
      </c>
      <c r="F89" s="494">
        <v>3.4681172893844099E-2</v>
      </c>
      <c r="G89" s="496">
        <v>3.7529727764351602E-2</v>
      </c>
      <c r="H89" s="496">
        <v>3.8395311936300303E-2</v>
      </c>
      <c r="I89" s="496">
        <v>3.9119827850937296E-2</v>
      </c>
      <c r="J89" s="496">
        <v>4.3128573609803295E-2</v>
      </c>
      <c r="K89" s="496">
        <v>5.7572103895720997E-2</v>
      </c>
      <c r="L89" s="496">
        <v>6.1033718265933401E-2</v>
      </c>
      <c r="M89" s="496">
        <v>5.54715395600867E-2</v>
      </c>
      <c r="N89" s="496">
        <v>5.7212427530891098E-2</v>
      </c>
      <c r="O89" s="496">
        <v>5.8531642987980803E-2</v>
      </c>
      <c r="P89" s="496">
        <v>5.9459989777920497E-2</v>
      </c>
      <c r="Q89" s="496">
        <v>5.6746294755313995E-2</v>
      </c>
      <c r="R89" s="496">
        <v>6.0491698898282299E-2</v>
      </c>
      <c r="S89" s="496">
        <v>6.1051720044989502E-2</v>
      </c>
      <c r="T89" s="496">
        <v>6.1731613347561103E-2</v>
      </c>
      <c r="U89" s="496">
        <v>6.2361734754292596E-2</v>
      </c>
      <c r="V89" s="497">
        <v>6.3303618097488204E-2</v>
      </c>
      <c r="W89" s="229"/>
      <c r="X89" s="229"/>
      <c r="Y89" s="229"/>
      <c r="Z89" s="229"/>
      <c r="AA89" s="229"/>
      <c r="AB89" s="229"/>
      <c r="AC89" s="229"/>
      <c r="AD89" s="229"/>
      <c r="AE89" s="229"/>
      <c r="AF89" s="229"/>
      <c r="AG89" s="229"/>
      <c r="AH89" s="229"/>
      <c r="AI89" s="229"/>
      <c r="AJ89" s="229"/>
      <c r="AK89" s="229"/>
      <c r="AL89" s="229"/>
      <c r="AM89" s="229"/>
      <c r="AN89" s="229"/>
      <c r="AO89" s="229"/>
      <c r="AP89" s="125"/>
      <c r="AQ89" s="491"/>
      <c r="AR89" s="492"/>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x14ac:dyDescent="0.35">
      <c r="B90" s="238"/>
      <c r="C90" s="390" t="s">
        <v>181</v>
      </c>
      <c r="D90" s="494">
        <v>3.5868376495314401E-2</v>
      </c>
      <c r="E90" s="495">
        <v>4.1113706449878502E-2</v>
      </c>
      <c r="F90" s="494">
        <v>5.3459536320612101E-2</v>
      </c>
      <c r="G90" s="496">
        <v>4.5148417283138301E-2</v>
      </c>
      <c r="H90" s="496">
        <v>4.49302363768656E-2</v>
      </c>
      <c r="I90" s="496">
        <v>4.9639815564241803E-2</v>
      </c>
      <c r="J90" s="496">
        <v>5.6302130016291599E-2</v>
      </c>
      <c r="K90" s="496">
        <v>6.3952379909432699E-2</v>
      </c>
      <c r="L90" s="496">
        <v>6.6611761348228798E-2</v>
      </c>
      <c r="M90" s="496">
        <v>5.9509899182444599E-2</v>
      </c>
      <c r="N90" s="496">
        <v>6.2282269783772E-2</v>
      </c>
      <c r="O90" s="496">
        <v>6.5297121938373295E-2</v>
      </c>
      <c r="P90" s="496">
        <v>6.6917585191570192E-2</v>
      </c>
      <c r="Q90" s="496">
        <v>6.4227567024457394E-2</v>
      </c>
      <c r="R90" s="496">
        <v>6.82201878229165E-2</v>
      </c>
      <c r="S90" s="496">
        <v>6.9245611672164503E-2</v>
      </c>
      <c r="T90" s="496">
        <v>7.0904183581873989E-2</v>
      </c>
      <c r="U90" s="496">
        <v>7.1616016088412907E-2</v>
      </c>
      <c r="V90" s="497">
        <v>7.2387794861130797E-2</v>
      </c>
      <c r="W90" s="229"/>
      <c r="X90" s="229"/>
      <c r="Y90" s="229"/>
      <c r="Z90" s="229"/>
      <c r="AA90" s="229"/>
      <c r="AB90" s="229"/>
      <c r="AC90" s="229"/>
      <c r="AD90" s="229"/>
      <c r="AE90" s="229"/>
      <c r="AF90" s="229"/>
      <c r="AG90" s="229"/>
      <c r="AH90" s="229"/>
      <c r="AI90" s="229"/>
      <c r="AJ90" s="229"/>
      <c r="AK90" s="229"/>
      <c r="AL90" s="229"/>
      <c r="AM90" s="229"/>
      <c r="AN90" s="229"/>
      <c r="AO90" s="229"/>
      <c r="AP90" s="125"/>
      <c r="AQ90" s="491"/>
      <c r="AR90" s="492"/>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x14ac:dyDescent="0.35">
      <c r="B91" s="238"/>
      <c r="C91" s="392" t="s">
        <v>180</v>
      </c>
      <c r="D91" s="494">
        <v>2.57829114600703E-2</v>
      </c>
      <c r="E91" s="495">
        <v>2.6182783301085501E-2</v>
      </c>
      <c r="F91" s="494">
        <v>3.1958278239622197E-2</v>
      </c>
      <c r="G91" s="496">
        <v>3.7107892906018597E-2</v>
      </c>
      <c r="H91" s="496">
        <v>3.8162532277980804E-2</v>
      </c>
      <c r="I91" s="496">
        <v>4.1615904053627299E-2</v>
      </c>
      <c r="J91" s="496">
        <v>5.0608551195399303E-2</v>
      </c>
      <c r="K91" s="496">
        <v>5.5486768652506901E-2</v>
      </c>
      <c r="L91" s="496">
        <v>5.55146381088698E-2</v>
      </c>
      <c r="M91" s="496">
        <v>4.97354356795758E-2</v>
      </c>
      <c r="N91" s="496">
        <v>5.2058520094316899E-2</v>
      </c>
      <c r="O91" s="496">
        <v>5.5533406068307201E-2</v>
      </c>
      <c r="P91" s="496">
        <v>5.4083064679549105E-2</v>
      </c>
      <c r="Q91" s="496">
        <v>5.2804806055965797E-2</v>
      </c>
      <c r="R91" s="496">
        <v>5.7465941058730499E-2</v>
      </c>
      <c r="S91" s="496">
        <v>5.7237444343769504E-2</v>
      </c>
      <c r="T91" s="496">
        <v>5.5852010274370596E-2</v>
      </c>
      <c r="U91" s="496">
        <v>5.6148001354625797E-2</v>
      </c>
      <c r="V91" s="497">
        <v>5.7929780133903298E-2</v>
      </c>
      <c r="W91" s="229"/>
      <c r="X91" s="229"/>
      <c r="Y91" s="229"/>
      <c r="Z91" s="229"/>
      <c r="AA91" s="229"/>
      <c r="AB91" s="229"/>
      <c r="AC91" s="229"/>
      <c r="AD91" s="229"/>
      <c r="AE91" s="229"/>
      <c r="AF91" s="229"/>
      <c r="AG91" s="229"/>
      <c r="AH91" s="229"/>
      <c r="AI91" s="229"/>
      <c r="AJ91" s="229"/>
      <c r="AK91" s="229"/>
      <c r="AL91" s="229"/>
      <c r="AM91" s="229"/>
      <c r="AN91" s="229"/>
      <c r="AO91" s="229"/>
      <c r="AP91" s="125"/>
      <c r="AQ91" s="491"/>
      <c r="AR91" s="492"/>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x14ac:dyDescent="0.35">
      <c r="B92" s="238"/>
      <c r="C92" s="390" t="s">
        <v>183</v>
      </c>
      <c r="D92" s="494">
        <v>3.0212961570685301E-2</v>
      </c>
      <c r="E92" s="495">
        <v>3.4419808845025601E-2</v>
      </c>
      <c r="F92" s="494">
        <v>4.7040240559234101E-2</v>
      </c>
      <c r="G92" s="496">
        <v>3.99678645519711E-2</v>
      </c>
      <c r="H92" s="496">
        <v>4.1775306475141903E-2</v>
      </c>
      <c r="I92" s="496">
        <v>4.4772535055656398E-2</v>
      </c>
      <c r="J92" s="496">
        <v>5.08071257956604E-2</v>
      </c>
      <c r="K92" s="496">
        <v>6.1799774631851399E-2</v>
      </c>
      <c r="L92" s="496">
        <v>6.4905101345750699E-2</v>
      </c>
      <c r="M92" s="496">
        <v>5.8511381481447799E-2</v>
      </c>
      <c r="N92" s="496">
        <v>6.0428196435083799E-2</v>
      </c>
      <c r="O92" s="496">
        <v>6.2440581543875294E-2</v>
      </c>
      <c r="P92" s="496">
        <v>6.4444954446989791E-2</v>
      </c>
      <c r="Q92" s="496">
        <v>6.1279883864420098E-2</v>
      </c>
      <c r="R92" s="496">
        <v>6.5270113037470295E-2</v>
      </c>
      <c r="S92" s="496">
        <v>6.6097577439900704E-2</v>
      </c>
      <c r="T92" s="496">
        <v>6.7200127925949107E-2</v>
      </c>
      <c r="U92" s="496">
        <v>6.8046944025165798E-2</v>
      </c>
      <c r="V92" s="497">
        <v>6.9318390219492793E-2</v>
      </c>
      <c r="W92" s="229"/>
      <c r="X92" s="229"/>
      <c r="Y92" s="229"/>
      <c r="Z92" s="229"/>
      <c r="AA92" s="229"/>
      <c r="AB92" s="229"/>
      <c r="AC92" s="229"/>
      <c r="AD92" s="229"/>
      <c r="AE92" s="229"/>
      <c r="AF92" s="229"/>
      <c r="AG92" s="229"/>
      <c r="AH92" s="229"/>
      <c r="AI92" s="229"/>
      <c r="AJ92" s="229"/>
      <c r="AK92" s="229"/>
      <c r="AL92" s="229"/>
      <c r="AM92" s="229"/>
      <c r="AN92" s="229"/>
      <c r="AO92" s="229"/>
      <c r="AP92" s="125"/>
      <c r="AQ92" s="491"/>
      <c r="AR92" s="492"/>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x14ac:dyDescent="0.35">
      <c r="B93" s="238"/>
      <c r="C93" s="390" t="s">
        <v>184</v>
      </c>
      <c r="D93" s="494">
        <v>2.83790793573068E-2</v>
      </c>
      <c r="E93" s="495">
        <v>3.0887771915520598E-2</v>
      </c>
      <c r="F93" s="494">
        <v>3.1982221217905601E-2</v>
      </c>
      <c r="G93" s="496">
        <v>3.45408341194441E-2</v>
      </c>
      <c r="H93" s="496">
        <v>3.5381509664404301E-2</v>
      </c>
      <c r="I93" s="496">
        <v>3.7255410495412596E-2</v>
      </c>
      <c r="J93" s="496">
        <v>4.30481360678776E-2</v>
      </c>
      <c r="K93" s="496">
        <v>5.40562255844299E-2</v>
      </c>
      <c r="L93" s="496">
        <v>5.7309972602248696E-2</v>
      </c>
      <c r="M93" s="496">
        <v>5.2087951110778699E-2</v>
      </c>
      <c r="N93" s="496">
        <v>5.3334907879384899E-2</v>
      </c>
      <c r="O93" s="496">
        <v>5.4967656327834201E-2</v>
      </c>
      <c r="P93" s="496">
        <v>5.5584466159430496E-2</v>
      </c>
      <c r="Q93" s="496">
        <v>5.3203473250505603E-2</v>
      </c>
      <c r="R93" s="496">
        <v>5.8037081522015699E-2</v>
      </c>
      <c r="S93" s="496">
        <v>5.9069432196556401E-2</v>
      </c>
      <c r="T93" s="496">
        <v>6.0368439888990703E-2</v>
      </c>
      <c r="U93" s="496">
        <v>6.1195409750615298E-2</v>
      </c>
      <c r="V93" s="497">
        <v>6.1059416525300302E-2</v>
      </c>
      <c r="W93" s="229"/>
      <c r="X93" s="229"/>
      <c r="Y93" s="229"/>
      <c r="Z93" s="229"/>
      <c r="AA93" s="229"/>
      <c r="AB93" s="229"/>
      <c r="AC93" s="229"/>
      <c r="AD93" s="229"/>
      <c r="AE93" s="229"/>
      <c r="AF93" s="229"/>
      <c r="AG93" s="229"/>
      <c r="AH93" s="229"/>
      <c r="AI93" s="229"/>
      <c r="AJ93" s="229"/>
      <c r="AK93" s="229"/>
      <c r="AL93" s="229"/>
      <c r="AM93" s="229"/>
      <c r="AN93" s="229"/>
      <c r="AO93" s="229"/>
      <c r="AP93" s="125"/>
      <c r="AQ93" s="491"/>
      <c r="AR93" s="492"/>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x14ac:dyDescent="0.35">
      <c r="B94" s="238"/>
      <c r="C94" s="390" t="s">
        <v>186</v>
      </c>
      <c r="D94" s="494">
        <v>3.3353161306363802E-2</v>
      </c>
      <c r="E94" s="495">
        <v>3.2294996751549801E-2</v>
      </c>
      <c r="F94" s="494">
        <v>3.4135905885197403E-2</v>
      </c>
      <c r="G94" s="496">
        <v>3.6021858170024401E-2</v>
      </c>
      <c r="H94" s="496">
        <v>3.7280289876842405E-2</v>
      </c>
      <c r="I94" s="496">
        <v>3.77674129482235E-2</v>
      </c>
      <c r="J94" s="496">
        <v>4.4743542395975097E-2</v>
      </c>
      <c r="K94" s="496">
        <v>5.8819459927694294E-2</v>
      </c>
      <c r="L94" s="496">
        <v>6.23349976021213E-2</v>
      </c>
      <c r="M94" s="496">
        <v>5.5583027983648302E-2</v>
      </c>
      <c r="N94" s="496">
        <v>5.6664017176015498E-2</v>
      </c>
      <c r="O94" s="496">
        <v>5.7634096875255898E-2</v>
      </c>
      <c r="P94" s="496">
        <v>5.8353952514384799E-2</v>
      </c>
      <c r="Q94" s="496">
        <v>5.4628343490025696E-2</v>
      </c>
      <c r="R94" s="496">
        <v>5.9766597106143002E-2</v>
      </c>
      <c r="S94" s="496">
        <v>6.1273889358545199E-2</v>
      </c>
      <c r="T94" s="496">
        <v>6.2762463725907103E-2</v>
      </c>
      <c r="U94" s="496">
        <v>6.3546071768053797E-2</v>
      </c>
      <c r="V94" s="497">
        <v>6.42387664221237E-2</v>
      </c>
      <c r="W94" s="229"/>
      <c r="X94" s="229"/>
      <c r="Y94" s="229"/>
      <c r="Z94" s="229"/>
      <c r="AA94" s="229"/>
      <c r="AB94" s="229"/>
      <c r="AC94" s="229"/>
      <c r="AD94" s="229"/>
      <c r="AE94" s="229"/>
      <c r="AF94" s="229"/>
      <c r="AG94" s="229"/>
      <c r="AH94" s="229"/>
      <c r="AI94" s="229"/>
      <c r="AJ94" s="229"/>
      <c r="AK94" s="229"/>
      <c r="AL94" s="229"/>
      <c r="AM94" s="229"/>
      <c r="AN94" s="229"/>
      <c r="AO94" s="229"/>
      <c r="AP94" s="125"/>
      <c r="AQ94" s="491"/>
      <c r="AR94" s="492"/>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x14ac:dyDescent="0.35">
      <c r="B95" s="238"/>
      <c r="C95" s="390" t="s">
        <v>185</v>
      </c>
      <c r="D95" s="494">
        <v>3.4963412035583605E-2</v>
      </c>
      <c r="E95" s="495">
        <v>3.5138488283656004E-2</v>
      </c>
      <c r="F95" s="494">
        <v>3.5230574089187595E-2</v>
      </c>
      <c r="G95" s="496">
        <v>3.7767066597918106E-2</v>
      </c>
      <c r="H95" s="496">
        <v>3.8805381360382904E-2</v>
      </c>
      <c r="I95" s="496">
        <v>3.9667482331486099E-2</v>
      </c>
      <c r="J95" s="496">
        <v>4.3351954696577696E-2</v>
      </c>
      <c r="K95" s="496">
        <v>5.7683745133223899E-2</v>
      </c>
      <c r="L95" s="496">
        <v>6.1208785982379901E-2</v>
      </c>
      <c r="M95" s="496">
        <v>5.5704855434799097E-2</v>
      </c>
      <c r="N95" s="496">
        <v>5.7464798572448801E-2</v>
      </c>
      <c r="O95" s="496">
        <v>5.9075694120285703E-2</v>
      </c>
      <c r="P95" s="496">
        <v>6.0240400015053E-2</v>
      </c>
      <c r="Q95" s="496">
        <v>5.7460720107532302E-2</v>
      </c>
      <c r="R95" s="496">
        <v>6.14504257639907E-2</v>
      </c>
      <c r="S95" s="496">
        <v>6.2084797494899806E-2</v>
      </c>
      <c r="T95" s="496">
        <v>6.2908240516833996E-2</v>
      </c>
      <c r="U95" s="496">
        <v>6.3691266308008698E-2</v>
      </c>
      <c r="V95" s="497">
        <v>6.4724413876058998E-2</v>
      </c>
      <c r="W95" s="229"/>
      <c r="X95" s="229"/>
      <c r="Y95" s="229"/>
      <c r="Z95" s="229"/>
      <c r="AA95" s="229"/>
      <c r="AB95" s="229"/>
      <c r="AC95" s="229"/>
      <c r="AD95" s="229"/>
      <c r="AE95" s="229"/>
      <c r="AF95" s="229"/>
      <c r="AG95" s="229"/>
      <c r="AH95" s="229"/>
      <c r="AI95" s="229"/>
      <c r="AJ95" s="229"/>
      <c r="AK95" s="229"/>
      <c r="AL95" s="229"/>
      <c r="AM95" s="229"/>
      <c r="AN95" s="229"/>
      <c r="AO95" s="229"/>
      <c r="AP95" s="125"/>
      <c r="AQ95" s="491"/>
      <c r="AR95" s="492"/>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x14ac:dyDescent="0.35">
      <c r="B96" s="238"/>
      <c r="C96" s="390" t="s">
        <v>187</v>
      </c>
      <c r="D96" s="494">
        <v>2.7377778478138902E-2</v>
      </c>
      <c r="E96" s="495">
        <v>2.8241697318697401E-2</v>
      </c>
      <c r="F96" s="494">
        <v>2.9459716362491201E-2</v>
      </c>
      <c r="G96" s="496">
        <v>3.03778541197295E-2</v>
      </c>
      <c r="H96" s="496">
        <v>3.1441355907568899E-2</v>
      </c>
      <c r="I96" s="496">
        <v>3.2457454878997705E-2</v>
      </c>
      <c r="J96" s="496">
        <v>3.3814357101141397E-2</v>
      </c>
      <c r="K96" s="496">
        <v>3.4072992536835205E-2</v>
      </c>
      <c r="L96" s="496">
        <v>3.4200325286141697E-2</v>
      </c>
      <c r="M96" s="496">
        <v>3.4333520880994402E-2</v>
      </c>
      <c r="N96" s="496">
        <v>3.51236643137093E-2</v>
      </c>
      <c r="O96" s="496">
        <v>3.63230282689306E-2</v>
      </c>
      <c r="P96" s="496">
        <v>3.6942506308353898E-2</v>
      </c>
      <c r="Q96" s="496">
        <v>3.75905858613544E-2</v>
      </c>
      <c r="R96" s="496">
        <v>3.8152611176676898E-2</v>
      </c>
      <c r="S96" s="496">
        <v>3.9197871743178098E-2</v>
      </c>
      <c r="T96" s="496">
        <v>4.15598526827465E-2</v>
      </c>
      <c r="U96" s="496">
        <v>4.3898624600465903E-2</v>
      </c>
      <c r="V96" s="497">
        <v>4.6574174366192801E-2</v>
      </c>
      <c r="W96" s="229"/>
      <c r="X96" s="229"/>
      <c r="Y96" s="229"/>
      <c r="Z96" s="229"/>
      <c r="AA96" s="229"/>
      <c r="AB96" s="229"/>
      <c r="AC96" s="229"/>
      <c r="AD96" s="229"/>
      <c r="AE96" s="229"/>
      <c r="AF96" s="229"/>
      <c r="AG96" s="229"/>
      <c r="AH96" s="229"/>
      <c r="AI96" s="229"/>
      <c r="AJ96" s="229"/>
      <c r="AK96" s="229"/>
      <c r="AL96" s="229"/>
      <c r="AM96" s="229"/>
      <c r="AN96" s="229"/>
      <c r="AO96" s="229"/>
      <c r="AP96" s="125"/>
      <c r="AQ96" s="491"/>
      <c r="AR96" s="492"/>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x14ac:dyDescent="0.35">
      <c r="B97" s="238"/>
      <c r="C97" s="390" t="s">
        <v>194</v>
      </c>
      <c r="D97" s="494">
        <v>3.8766395769231105E-2</v>
      </c>
      <c r="E97" s="495">
        <v>3.82052881353388E-2</v>
      </c>
      <c r="F97" s="494">
        <v>4.4900377917489298E-2</v>
      </c>
      <c r="G97" s="496">
        <v>4.1295951789565598E-2</v>
      </c>
      <c r="H97" s="496">
        <v>4.1812848375479002E-2</v>
      </c>
      <c r="I97" s="496">
        <v>4.3409398561170397E-2</v>
      </c>
      <c r="J97" s="496">
        <v>4.9711259067926797E-2</v>
      </c>
      <c r="K97" s="496">
        <v>6.19963878687688E-2</v>
      </c>
      <c r="L97" s="496">
        <v>6.5386314370964899E-2</v>
      </c>
      <c r="M97" s="496">
        <v>5.8998848560687794E-2</v>
      </c>
      <c r="N97" s="496">
        <v>6.1420758613538101E-2</v>
      </c>
      <c r="O97" s="496">
        <v>6.3749747797151202E-2</v>
      </c>
      <c r="P97" s="496">
        <v>6.5642088842776197E-2</v>
      </c>
      <c r="Q97" s="496">
        <v>6.3090938260632598E-2</v>
      </c>
      <c r="R97" s="496">
        <v>6.7890192475060201E-2</v>
      </c>
      <c r="S97" s="496">
        <v>6.8666475829697107E-2</v>
      </c>
      <c r="T97" s="496">
        <v>6.95427497505096E-2</v>
      </c>
      <c r="U97" s="496">
        <v>7.0351226341048109E-2</v>
      </c>
      <c r="V97" s="497">
        <v>7.1683914516383201E-2</v>
      </c>
      <c r="W97" s="229"/>
      <c r="X97" s="229"/>
      <c r="Y97" s="229"/>
      <c r="Z97" s="229"/>
      <c r="AA97" s="229"/>
      <c r="AB97" s="229"/>
      <c r="AC97" s="229"/>
      <c r="AD97" s="229"/>
      <c r="AE97" s="229"/>
      <c r="AF97" s="229"/>
      <c r="AG97" s="229"/>
      <c r="AH97" s="229"/>
      <c r="AI97" s="229"/>
      <c r="AJ97" s="229"/>
      <c r="AK97" s="229"/>
      <c r="AL97" s="229"/>
      <c r="AM97" s="229"/>
      <c r="AN97" s="229"/>
      <c r="AO97" s="229"/>
      <c r="AP97" s="125"/>
      <c r="AQ97" s="491"/>
      <c r="AR97" s="492"/>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x14ac:dyDescent="0.35">
      <c r="B98" s="238"/>
      <c r="C98" s="390" t="s">
        <v>195</v>
      </c>
      <c r="D98" s="494">
        <v>2.7079811232252803E-2</v>
      </c>
      <c r="E98" s="495">
        <v>2.9335923190700799E-2</v>
      </c>
      <c r="F98" s="494">
        <v>3.06912695555491E-2</v>
      </c>
      <c r="G98" s="496">
        <v>3.2910185677604897E-2</v>
      </c>
      <c r="H98" s="496">
        <v>3.3999162429836603E-2</v>
      </c>
      <c r="I98" s="496">
        <v>3.56209779039992E-2</v>
      </c>
      <c r="J98" s="496">
        <v>3.9818573405229998E-2</v>
      </c>
      <c r="K98" s="496">
        <v>4.6778525428144299E-2</v>
      </c>
      <c r="L98" s="496">
        <v>4.91790330348146E-2</v>
      </c>
      <c r="M98" s="496">
        <v>4.5838800304806707E-2</v>
      </c>
      <c r="N98" s="496">
        <v>4.5861381087692103E-2</v>
      </c>
      <c r="O98" s="496">
        <v>4.7365339880001994E-2</v>
      </c>
      <c r="P98" s="496">
        <v>4.9113397249102297E-2</v>
      </c>
      <c r="Q98" s="496">
        <v>4.7979661323642397E-2</v>
      </c>
      <c r="R98" s="496">
        <v>5.1829672812584299E-2</v>
      </c>
      <c r="S98" s="496">
        <v>5.3092720269569099E-2</v>
      </c>
      <c r="T98" s="496">
        <v>5.3830247877118501E-2</v>
      </c>
      <c r="U98" s="496">
        <v>5.4385778681502003E-2</v>
      </c>
      <c r="V98" s="497">
        <v>5.3161141099147699E-2</v>
      </c>
      <c r="W98" s="229"/>
      <c r="X98" s="229"/>
      <c r="Y98" s="229"/>
      <c r="Z98" s="229"/>
      <c r="AA98" s="229"/>
      <c r="AB98" s="229"/>
      <c r="AC98" s="229"/>
      <c r="AD98" s="229"/>
      <c r="AE98" s="229"/>
      <c r="AF98" s="229"/>
      <c r="AG98" s="229"/>
      <c r="AH98" s="229"/>
      <c r="AI98" s="229"/>
      <c r="AJ98" s="229"/>
      <c r="AK98" s="229"/>
      <c r="AL98" s="229"/>
      <c r="AM98" s="229"/>
      <c r="AN98" s="229"/>
      <c r="AO98" s="229"/>
      <c r="AP98" s="125"/>
      <c r="AQ98" s="491"/>
      <c r="AR98" s="492"/>
      <c r="AS98" s="11"/>
      <c r="AT98" s="9"/>
      <c r="AU98" s="12"/>
      <c r="AV98" s="9"/>
      <c r="AW98" s="11"/>
      <c r="AX98" s="12"/>
      <c r="AY98" s="2"/>
    </row>
    <row r="99" spans="2:79" x14ac:dyDescent="0.35">
      <c r="B99" s="238"/>
      <c r="C99" s="392" t="s">
        <v>190</v>
      </c>
      <c r="D99" s="494">
        <v>3.3371228168305497E-2</v>
      </c>
      <c r="E99" s="495">
        <v>2.8335869530137701E-2</v>
      </c>
      <c r="F99" s="494">
        <v>4.5699884116088302E-2</v>
      </c>
      <c r="G99" s="496">
        <v>4.31099311109399E-2</v>
      </c>
      <c r="H99" s="496">
        <v>4.2542733038091501E-2</v>
      </c>
      <c r="I99" s="496">
        <v>4.4843719611731302E-2</v>
      </c>
      <c r="J99" s="496">
        <v>5.5866248511499399E-2</v>
      </c>
      <c r="K99" s="496">
        <v>6.3219479774152293E-2</v>
      </c>
      <c r="L99" s="496">
        <v>6.4086400079314196E-2</v>
      </c>
      <c r="M99" s="496">
        <v>5.3898253411202197E-2</v>
      </c>
      <c r="N99" s="496">
        <v>5.6035871598263495E-2</v>
      </c>
      <c r="O99" s="496">
        <v>5.9749841492546404E-2</v>
      </c>
      <c r="P99" s="496">
        <v>5.7227208185385403E-2</v>
      </c>
      <c r="Q99" s="496">
        <v>5.4877716672452899E-2</v>
      </c>
      <c r="R99" s="496">
        <v>6.0627910104487301E-2</v>
      </c>
      <c r="S99" s="496">
        <v>6.0307952023952095E-2</v>
      </c>
      <c r="T99" s="496">
        <v>5.8503426251133805E-2</v>
      </c>
      <c r="U99" s="496">
        <v>5.8636218413046795E-2</v>
      </c>
      <c r="V99" s="497">
        <v>6.1006824674922099E-2</v>
      </c>
      <c r="W99" s="229"/>
      <c r="X99" s="229"/>
      <c r="Y99" s="229"/>
      <c r="Z99" s="229"/>
      <c r="AA99" s="229"/>
      <c r="AB99" s="229"/>
      <c r="AC99" s="229"/>
      <c r="AD99" s="229"/>
      <c r="AE99" s="229"/>
      <c r="AF99" s="229"/>
      <c r="AG99" s="229"/>
      <c r="AH99" s="229"/>
      <c r="AI99" s="229"/>
      <c r="AJ99" s="229"/>
      <c r="AK99" s="229"/>
      <c r="AL99" s="229"/>
      <c r="AM99" s="229"/>
      <c r="AN99" s="229"/>
      <c r="AO99" s="229"/>
      <c r="AP99" s="125"/>
      <c r="AQ99" s="491"/>
      <c r="AR99" s="492"/>
      <c r="AS99" s="11"/>
      <c r="AT99" s="9"/>
      <c r="AU99" s="12"/>
      <c r="AV99" s="9"/>
      <c r="AW99" s="11"/>
      <c r="AX99" s="12"/>
      <c r="AY99" s="2"/>
    </row>
    <row r="100" spans="2:79" x14ac:dyDescent="0.35">
      <c r="B100" s="238"/>
      <c r="C100" s="392" t="s">
        <v>191</v>
      </c>
      <c r="D100" s="494">
        <v>3.40286199739359E-2</v>
      </c>
      <c r="E100" s="495">
        <v>4.0853390599901201E-2</v>
      </c>
      <c r="F100" s="494">
        <v>5.6542313816702196E-2</v>
      </c>
      <c r="G100" s="496">
        <v>4.6504893527341898E-2</v>
      </c>
      <c r="H100" s="496">
        <v>4.6638604093746101E-2</v>
      </c>
      <c r="I100" s="496">
        <v>5.4863935787400696E-2</v>
      </c>
      <c r="J100" s="496">
        <v>6.0386440794249902E-2</v>
      </c>
      <c r="K100" s="496">
        <v>6.9603783193279992E-2</v>
      </c>
      <c r="L100" s="496">
        <v>7.2683291197073993E-2</v>
      </c>
      <c r="M100" s="496">
        <v>6.3658139397460595E-2</v>
      </c>
      <c r="N100" s="496">
        <v>6.6482173670654204E-2</v>
      </c>
      <c r="O100" s="496">
        <v>6.9319320661814496E-2</v>
      </c>
      <c r="P100" s="496">
        <v>7.0483018504065797E-2</v>
      </c>
      <c r="Q100" s="496">
        <v>6.6329698601281198E-2</v>
      </c>
      <c r="R100" s="496">
        <v>7.0879632422797198E-2</v>
      </c>
      <c r="S100" s="496">
        <v>7.1516705878112E-2</v>
      </c>
      <c r="T100" s="496">
        <v>7.2483942100856499E-2</v>
      </c>
      <c r="U100" s="496">
        <v>7.2407912630910301E-2</v>
      </c>
      <c r="V100" s="497">
        <v>7.44998113965884E-2</v>
      </c>
      <c r="W100" s="229"/>
      <c r="X100" s="229"/>
      <c r="Y100" s="229"/>
      <c r="Z100" s="229"/>
      <c r="AA100" s="229"/>
      <c r="AB100" s="229"/>
      <c r="AC100" s="229"/>
      <c r="AD100" s="229"/>
      <c r="AE100" s="229"/>
      <c r="AF100" s="229"/>
      <c r="AG100" s="229"/>
      <c r="AH100" s="229"/>
      <c r="AI100" s="229"/>
      <c r="AJ100" s="229"/>
      <c r="AK100" s="229"/>
      <c r="AL100" s="229"/>
      <c r="AM100" s="229"/>
      <c r="AN100" s="229"/>
      <c r="AO100" s="229"/>
      <c r="AP100" s="125"/>
      <c r="AQ100" s="491"/>
      <c r="AR100" s="492"/>
      <c r="AS100" s="11"/>
      <c r="AT100" s="9"/>
      <c r="AU100" s="12"/>
      <c r="AV100" s="9"/>
      <c r="AW100" s="11"/>
      <c r="AX100" s="12"/>
      <c r="AY100" s="2"/>
    </row>
    <row r="101" spans="2:79" x14ac:dyDescent="0.35">
      <c r="B101" s="238"/>
      <c r="C101" s="392" t="s">
        <v>192</v>
      </c>
      <c r="D101" s="494">
        <v>2.80725472179814E-2</v>
      </c>
      <c r="E101" s="495">
        <v>2.8445357230507798E-2</v>
      </c>
      <c r="F101" s="494">
        <v>3.0025076603713098E-2</v>
      </c>
      <c r="G101" s="496">
        <v>3.2745722872033901E-2</v>
      </c>
      <c r="H101" s="496">
        <v>3.4705497244101401E-2</v>
      </c>
      <c r="I101" s="496">
        <v>3.4427343638790096E-2</v>
      </c>
      <c r="J101" s="496">
        <v>3.5896108243622202E-2</v>
      </c>
      <c r="K101" s="496">
        <v>3.83258791866775E-2</v>
      </c>
      <c r="L101" s="496">
        <v>3.9673002514885196E-2</v>
      </c>
      <c r="M101" s="496">
        <v>3.6491325173051696E-2</v>
      </c>
      <c r="N101" s="496">
        <v>3.6908531628146099E-2</v>
      </c>
      <c r="O101" s="496">
        <v>3.75812642145191E-2</v>
      </c>
      <c r="P101" s="496">
        <v>3.7972707486093001E-2</v>
      </c>
      <c r="Q101" s="496">
        <v>3.7411174344094002E-2</v>
      </c>
      <c r="R101" s="496">
        <v>3.9024154437335097E-2</v>
      </c>
      <c r="S101" s="496">
        <v>4.00619884384509E-2</v>
      </c>
      <c r="T101" s="496">
        <v>4.2911746305416006E-2</v>
      </c>
      <c r="U101" s="496">
        <v>4.4872698421644E-2</v>
      </c>
      <c r="V101" s="497">
        <v>4.8463404578319803E-2</v>
      </c>
      <c r="W101" s="229"/>
      <c r="X101" s="229"/>
      <c r="Y101" s="229"/>
      <c r="Z101" s="229"/>
      <c r="AA101" s="229"/>
      <c r="AB101" s="229"/>
      <c r="AC101" s="229"/>
      <c r="AD101" s="229"/>
      <c r="AE101" s="229"/>
      <c r="AF101" s="229"/>
      <c r="AG101" s="229"/>
      <c r="AH101" s="229"/>
      <c r="AI101" s="229"/>
      <c r="AJ101" s="229"/>
      <c r="AK101" s="229"/>
      <c r="AL101" s="229"/>
      <c r="AM101" s="229"/>
      <c r="AN101" s="229"/>
      <c r="AO101" s="229"/>
      <c r="AP101" s="125"/>
      <c r="AQ101" s="491"/>
      <c r="AR101" s="492"/>
      <c r="AS101" s="11"/>
      <c r="AT101" s="9"/>
      <c r="AU101" s="12"/>
      <c r="AV101" s="9"/>
      <c r="AW101" s="11"/>
      <c r="AX101" s="12"/>
      <c r="AY101" s="2"/>
    </row>
    <row r="102" spans="2:79" x14ac:dyDescent="0.35">
      <c r="B102" s="238"/>
      <c r="C102" s="392" t="s">
        <v>189</v>
      </c>
      <c r="D102" s="494">
        <v>2.8578874337220502E-2</v>
      </c>
      <c r="E102" s="495">
        <v>3.0943225845641499E-2</v>
      </c>
      <c r="F102" s="494">
        <v>3.2722769755731101E-2</v>
      </c>
      <c r="G102" s="496">
        <v>3.5225850123284601E-2</v>
      </c>
      <c r="H102" s="496">
        <v>3.8854376917087104E-2</v>
      </c>
      <c r="I102" s="496">
        <v>3.7401254388913896E-2</v>
      </c>
      <c r="J102" s="496">
        <v>3.6778365098567495E-2</v>
      </c>
      <c r="K102" s="496">
        <v>3.9198908408580597E-2</v>
      </c>
      <c r="L102" s="496">
        <v>4.1503789786269701E-2</v>
      </c>
      <c r="M102" s="496">
        <v>3.6656792069802796E-2</v>
      </c>
      <c r="N102" s="496">
        <v>3.7284291726578898E-2</v>
      </c>
      <c r="O102" s="496">
        <v>3.7216790278027601E-2</v>
      </c>
      <c r="P102" s="496">
        <v>3.7895451717076596E-2</v>
      </c>
      <c r="Q102" s="496">
        <v>3.9553080968462703E-2</v>
      </c>
      <c r="R102" s="496">
        <v>4.0354397034459304E-2</v>
      </c>
      <c r="S102" s="496">
        <v>4.2011225208728596E-2</v>
      </c>
      <c r="T102" s="496">
        <v>4.7146508398125696E-2</v>
      </c>
      <c r="U102" s="496">
        <v>4.9813084317065701E-2</v>
      </c>
      <c r="V102" s="497">
        <v>5.5371745298316198E-2</v>
      </c>
      <c r="W102" s="229"/>
      <c r="X102" s="229"/>
      <c r="Y102" s="229"/>
      <c r="Z102" s="229"/>
      <c r="AA102" s="229"/>
      <c r="AB102" s="229"/>
      <c r="AC102" s="229"/>
      <c r="AD102" s="229"/>
      <c r="AE102" s="229"/>
      <c r="AF102" s="229"/>
      <c r="AG102" s="229"/>
      <c r="AH102" s="229"/>
      <c r="AI102" s="229"/>
      <c r="AJ102" s="229"/>
      <c r="AK102" s="229"/>
      <c r="AL102" s="229"/>
      <c r="AM102" s="229"/>
      <c r="AN102" s="229"/>
      <c r="AO102" s="229"/>
      <c r="AP102" s="125"/>
      <c r="AQ102" s="491"/>
      <c r="AR102" s="492"/>
      <c r="AS102" s="11"/>
      <c r="AT102" s="9"/>
      <c r="AU102" s="12"/>
      <c r="AV102" s="9"/>
      <c r="AW102" s="11"/>
      <c r="AX102" s="12"/>
      <c r="AY102" s="2"/>
    </row>
    <row r="103" spans="2:79" x14ac:dyDescent="0.35">
      <c r="B103" s="238"/>
      <c r="C103" s="392" t="s">
        <v>193</v>
      </c>
      <c r="D103" s="494">
        <v>3.1740987498295202E-2</v>
      </c>
      <c r="E103" s="495">
        <v>3.4924252166868099E-2</v>
      </c>
      <c r="F103" s="494">
        <v>4.9246810309464199E-2</v>
      </c>
      <c r="G103" s="496">
        <v>4.2857819158229706E-2</v>
      </c>
      <c r="H103" s="496">
        <v>4.5811412925436203E-2</v>
      </c>
      <c r="I103" s="496">
        <v>5.5038896591074596E-2</v>
      </c>
      <c r="J103" s="496">
        <v>6.0418480462545603E-2</v>
      </c>
      <c r="K103" s="496">
        <v>6.5040985363039788E-2</v>
      </c>
      <c r="L103" s="496">
        <v>6.7176889546737395E-2</v>
      </c>
      <c r="M103" s="496">
        <v>5.9515958243378297E-2</v>
      </c>
      <c r="N103" s="496">
        <v>6.1862863423969301E-2</v>
      </c>
      <c r="O103" s="496">
        <v>6.4851859211855101E-2</v>
      </c>
      <c r="P103" s="496">
        <v>6.5904930576910797E-2</v>
      </c>
      <c r="Q103" s="496">
        <v>6.2687209309981493E-2</v>
      </c>
      <c r="R103" s="496">
        <v>6.6242771482097298E-2</v>
      </c>
      <c r="S103" s="496">
        <v>6.6689729501716102E-2</v>
      </c>
      <c r="T103" s="496">
        <v>6.7246811029158707E-2</v>
      </c>
      <c r="U103" s="496">
        <v>6.7256467562787997E-2</v>
      </c>
      <c r="V103" s="497">
        <v>6.8744221431795302E-2</v>
      </c>
      <c r="W103" s="229"/>
      <c r="X103" s="229"/>
      <c r="Y103" s="229"/>
      <c r="Z103" s="229"/>
      <c r="AA103" s="229"/>
      <c r="AB103" s="229"/>
      <c r="AC103" s="229"/>
      <c r="AD103" s="229"/>
      <c r="AE103" s="229"/>
      <c r="AF103" s="229"/>
      <c r="AG103" s="229"/>
      <c r="AH103" s="229"/>
      <c r="AI103" s="229"/>
      <c r="AJ103" s="229"/>
      <c r="AK103" s="229"/>
      <c r="AL103" s="229"/>
      <c r="AM103" s="229"/>
      <c r="AN103" s="229"/>
      <c r="AO103" s="229"/>
      <c r="AP103" s="125"/>
      <c r="AQ103" s="491"/>
      <c r="AR103" s="492"/>
      <c r="AS103" s="11"/>
      <c r="AT103" s="9"/>
      <c r="AU103" s="12"/>
      <c r="AV103" s="9"/>
      <c r="AW103" s="11"/>
      <c r="AX103" s="12"/>
      <c r="AY103" s="2"/>
    </row>
    <row r="104" spans="2:79" x14ac:dyDescent="0.35">
      <c r="B104" s="238"/>
      <c r="C104" s="392" t="s">
        <v>196</v>
      </c>
      <c r="D104" s="494">
        <v>3.03733428969114E-2</v>
      </c>
      <c r="E104" s="495">
        <v>3.4416724711453704E-2</v>
      </c>
      <c r="F104" s="494">
        <v>4.7718906716193603E-2</v>
      </c>
      <c r="G104" s="496">
        <v>4.0203143826914103E-2</v>
      </c>
      <c r="H104" s="496">
        <v>4.1581364217806199E-2</v>
      </c>
      <c r="I104" s="496">
        <v>4.4671892099160899E-2</v>
      </c>
      <c r="J104" s="496">
        <v>4.98937878538021E-2</v>
      </c>
      <c r="K104" s="496">
        <v>5.9267662763020396E-2</v>
      </c>
      <c r="L104" s="496">
        <v>6.2255462014533199E-2</v>
      </c>
      <c r="M104" s="496">
        <v>5.6162431474398998E-2</v>
      </c>
      <c r="N104" s="496">
        <v>5.8093498190780302E-2</v>
      </c>
      <c r="O104" s="496">
        <v>6.03680688695718E-2</v>
      </c>
      <c r="P104" s="496">
        <v>6.1594251595214498E-2</v>
      </c>
      <c r="Q104" s="496">
        <v>5.9116117716248397E-2</v>
      </c>
      <c r="R104" s="496">
        <v>6.3463249934482005E-2</v>
      </c>
      <c r="S104" s="496">
        <v>6.4158160896722508E-2</v>
      </c>
      <c r="T104" s="496">
        <v>6.5146850247325208E-2</v>
      </c>
      <c r="U104" s="496">
        <v>6.5872898656018905E-2</v>
      </c>
      <c r="V104" s="497">
        <v>6.7388182816149791E-2</v>
      </c>
      <c r="W104" s="229"/>
      <c r="X104" s="229"/>
      <c r="Y104" s="229"/>
      <c r="Z104" s="229"/>
      <c r="AA104" s="229"/>
      <c r="AB104" s="229"/>
      <c r="AC104" s="229"/>
      <c r="AD104" s="229"/>
      <c r="AE104" s="229"/>
      <c r="AF104" s="229"/>
      <c r="AG104" s="229"/>
      <c r="AH104" s="229"/>
      <c r="AI104" s="229"/>
      <c r="AJ104" s="229"/>
      <c r="AK104" s="229"/>
      <c r="AL104" s="229"/>
      <c r="AM104" s="229"/>
      <c r="AN104" s="229"/>
      <c r="AO104" s="229"/>
      <c r="AP104" s="125"/>
      <c r="AQ104" s="491"/>
      <c r="AR104" s="492"/>
      <c r="AS104" s="13"/>
      <c r="AT104" s="9"/>
      <c r="AU104" s="12"/>
      <c r="AV104" s="9"/>
      <c r="AW104" s="11"/>
      <c r="AX104" s="12"/>
      <c r="AY104" s="2"/>
    </row>
    <row r="105" spans="2:79" x14ac:dyDescent="0.35">
      <c r="B105" s="238"/>
      <c r="C105" s="390" t="s">
        <v>197</v>
      </c>
      <c r="D105" s="494">
        <v>3.2662747942299099E-2</v>
      </c>
      <c r="E105" s="495">
        <v>3.25388270145315E-2</v>
      </c>
      <c r="F105" s="494">
        <v>3.3414089818471097E-2</v>
      </c>
      <c r="G105" s="496">
        <v>3.6298413503130803E-2</v>
      </c>
      <c r="H105" s="496">
        <v>3.73550044976124E-2</v>
      </c>
      <c r="I105" s="496">
        <v>3.7944268425282202E-2</v>
      </c>
      <c r="J105" s="496">
        <v>4.2755618929228703E-2</v>
      </c>
      <c r="K105" s="496">
        <v>5.8002846685661601E-2</v>
      </c>
      <c r="L105" s="496">
        <v>5.9213100987365402E-2</v>
      </c>
      <c r="M105" s="496">
        <v>5.1515491848450896E-2</v>
      </c>
      <c r="N105" s="496">
        <v>5.1463552185715397E-2</v>
      </c>
      <c r="O105" s="496">
        <v>5.2065534302302298E-2</v>
      </c>
      <c r="P105" s="496">
        <v>5.2585511766457003E-2</v>
      </c>
      <c r="Q105" s="496">
        <v>4.9956473138219402E-2</v>
      </c>
      <c r="R105" s="496">
        <v>5.4344486457792496E-2</v>
      </c>
      <c r="S105" s="496">
        <v>5.5812189470061099E-2</v>
      </c>
      <c r="T105" s="496">
        <v>5.7459220221798904E-2</v>
      </c>
      <c r="U105" s="496">
        <v>5.8764845881382199E-2</v>
      </c>
      <c r="V105" s="497">
        <v>5.9592598301777301E-2</v>
      </c>
      <c r="W105" s="229"/>
      <c r="X105" s="229"/>
      <c r="Y105" s="229"/>
      <c r="Z105" s="229"/>
      <c r="AA105" s="229"/>
      <c r="AB105" s="229"/>
      <c r="AC105" s="229"/>
      <c r="AD105" s="229"/>
      <c r="AE105" s="229"/>
      <c r="AF105" s="229"/>
      <c r="AG105" s="229"/>
      <c r="AH105" s="229"/>
      <c r="AI105" s="229"/>
      <c r="AJ105" s="229"/>
      <c r="AK105" s="229"/>
      <c r="AL105" s="229"/>
      <c r="AM105" s="229"/>
      <c r="AN105" s="229"/>
      <c r="AO105" s="229"/>
      <c r="AP105" s="125"/>
      <c r="AQ105" s="491"/>
      <c r="AR105" s="492"/>
      <c r="AS105" s="11"/>
      <c r="AT105" s="9"/>
      <c r="AU105" s="12"/>
      <c r="AV105" s="9"/>
      <c r="AW105" s="11"/>
      <c r="AX105" s="12"/>
      <c r="AY105" s="2"/>
    </row>
    <row r="106" spans="2:79" x14ac:dyDescent="0.35">
      <c r="B106" s="238"/>
      <c r="C106" s="392" t="s">
        <v>198</v>
      </c>
      <c r="D106" s="494">
        <v>2.8109432452830402E-2</v>
      </c>
      <c r="E106" s="495">
        <v>2.9643045686711E-2</v>
      </c>
      <c r="F106" s="494">
        <v>3.1239198146648502E-2</v>
      </c>
      <c r="G106" s="496">
        <v>3.4848547605172399E-2</v>
      </c>
      <c r="H106" s="496">
        <v>3.6177639782809697E-2</v>
      </c>
      <c r="I106" s="496">
        <v>3.6314563962948299E-2</v>
      </c>
      <c r="J106" s="496">
        <v>3.7442644864270597E-2</v>
      </c>
      <c r="K106" s="496">
        <v>3.6457435972975898E-2</v>
      </c>
      <c r="L106" s="496">
        <v>3.7240078039931297E-2</v>
      </c>
      <c r="M106" s="496">
        <v>3.7044640519645296E-2</v>
      </c>
      <c r="N106" s="496">
        <v>3.8227441740196905E-2</v>
      </c>
      <c r="O106" s="496">
        <v>3.9225489562214402E-2</v>
      </c>
      <c r="P106" s="496">
        <v>3.9428656407401098E-2</v>
      </c>
      <c r="Q106" s="496">
        <v>3.9905107779094798E-2</v>
      </c>
      <c r="R106" s="496">
        <v>4.0661638941368101E-2</v>
      </c>
      <c r="S106" s="496">
        <v>4.11532358248878E-2</v>
      </c>
      <c r="T106" s="496">
        <v>4.3895223277720295E-2</v>
      </c>
      <c r="U106" s="496">
        <v>4.6449537605867397E-2</v>
      </c>
      <c r="V106" s="497">
        <v>4.9762109423711204E-2</v>
      </c>
      <c r="W106" s="229"/>
      <c r="X106" s="229"/>
      <c r="Y106" s="229"/>
      <c r="Z106" s="229"/>
      <c r="AA106" s="229"/>
      <c r="AB106" s="229"/>
      <c r="AC106" s="229"/>
      <c r="AD106" s="229"/>
      <c r="AE106" s="229"/>
      <c r="AF106" s="229"/>
      <c r="AG106" s="229"/>
      <c r="AH106" s="229"/>
      <c r="AI106" s="229"/>
      <c r="AJ106" s="229"/>
      <c r="AK106" s="229"/>
      <c r="AL106" s="229"/>
      <c r="AM106" s="229"/>
      <c r="AN106" s="229"/>
      <c r="AO106" s="229"/>
      <c r="AP106" s="125"/>
      <c r="AQ106" s="491"/>
      <c r="AR106" s="492"/>
      <c r="AS106" s="11"/>
      <c r="AT106" s="9"/>
      <c r="AU106" s="12"/>
      <c r="AV106" s="9"/>
      <c r="AW106" s="11"/>
      <c r="AX106" s="12"/>
      <c r="AY106" s="2"/>
    </row>
    <row r="107" spans="2:79" x14ac:dyDescent="0.35">
      <c r="B107" s="238"/>
      <c r="C107" s="392" t="s">
        <v>200</v>
      </c>
      <c r="D107" s="494">
        <v>2.73143769354635E-2</v>
      </c>
      <c r="E107" s="495">
        <v>3.4266018070218597E-2</v>
      </c>
      <c r="F107" s="494">
        <v>5.2744269130999E-2</v>
      </c>
      <c r="G107" s="496">
        <v>4.5959301203616597E-2</v>
      </c>
      <c r="H107" s="496">
        <v>4.49131567172791E-2</v>
      </c>
      <c r="I107" s="496">
        <v>5.5411286226628401E-2</v>
      </c>
      <c r="J107" s="496">
        <v>6.1751239362886699E-2</v>
      </c>
      <c r="K107" s="496">
        <v>6.6733462794578105E-2</v>
      </c>
      <c r="L107" s="496">
        <v>6.8100067620211799E-2</v>
      </c>
      <c r="M107" s="496">
        <v>5.9910240679244303E-2</v>
      </c>
      <c r="N107" s="496">
        <v>6.17141224274452E-2</v>
      </c>
      <c r="O107" s="496">
        <v>6.5366407414562108E-2</v>
      </c>
      <c r="P107" s="496">
        <v>6.7120866269671398E-2</v>
      </c>
      <c r="Q107" s="496">
        <v>6.0367230199124697E-2</v>
      </c>
      <c r="R107" s="496">
        <v>6.6827538954038604E-2</v>
      </c>
      <c r="S107" s="496">
        <v>6.6716110867224399E-2</v>
      </c>
      <c r="T107" s="496">
        <v>6.7388074943338788E-2</v>
      </c>
      <c r="U107" s="496">
        <v>6.7266268964870507E-2</v>
      </c>
      <c r="V107" s="497">
        <v>6.8677469669624305E-2</v>
      </c>
      <c r="W107" s="229"/>
      <c r="X107" s="229"/>
      <c r="Y107" s="229"/>
      <c r="Z107" s="229"/>
      <c r="AA107" s="229"/>
      <c r="AB107" s="229"/>
      <c r="AC107" s="229"/>
      <c r="AD107" s="229"/>
      <c r="AE107" s="229"/>
      <c r="AF107" s="229"/>
      <c r="AG107" s="229"/>
      <c r="AH107" s="229"/>
      <c r="AI107" s="229"/>
      <c r="AJ107" s="229"/>
      <c r="AK107" s="229"/>
      <c r="AL107" s="229"/>
      <c r="AM107" s="229"/>
      <c r="AN107" s="229"/>
      <c r="AO107" s="229"/>
      <c r="AP107" s="125"/>
      <c r="AQ107" s="491"/>
      <c r="AR107" s="492"/>
      <c r="AS107" s="11"/>
      <c r="AT107" s="9"/>
      <c r="AU107" s="12"/>
      <c r="AV107" s="9"/>
      <c r="AW107" s="11"/>
      <c r="AX107" s="12"/>
      <c r="AY107" s="2"/>
    </row>
    <row r="108" spans="2:79" x14ac:dyDescent="0.35">
      <c r="B108" s="238"/>
      <c r="C108" s="392" t="s">
        <v>201</v>
      </c>
      <c r="D108" s="494">
        <v>3.6380644196066597E-2</v>
      </c>
      <c r="E108" s="495">
        <v>3.6589479391030105E-2</v>
      </c>
      <c r="F108" s="494">
        <v>3.9379399655745703E-2</v>
      </c>
      <c r="G108" s="496">
        <v>3.8570602399874095E-2</v>
      </c>
      <c r="H108" s="496">
        <v>3.99227022963448E-2</v>
      </c>
      <c r="I108" s="496">
        <v>4.1332364135923297E-2</v>
      </c>
      <c r="J108" s="496">
        <v>4.7399273016520506E-2</v>
      </c>
      <c r="K108" s="496">
        <v>6.05693913833113E-2</v>
      </c>
      <c r="L108" s="496">
        <v>6.4352351591579607E-2</v>
      </c>
      <c r="M108" s="496">
        <v>5.8272294839008504E-2</v>
      </c>
      <c r="N108" s="496">
        <v>6.0738764058504403E-2</v>
      </c>
      <c r="O108" s="496">
        <v>6.29657957178658E-2</v>
      </c>
      <c r="P108" s="496">
        <v>6.4825744984716813E-2</v>
      </c>
      <c r="Q108" s="496">
        <v>6.24365845091822E-2</v>
      </c>
      <c r="R108" s="496">
        <v>6.6498682613285995E-2</v>
      </c>
      <c r="S108" s="496">
        <v>6.7396412791836099E-2</v>
      </c>
      <c r="T108" s="496">
        <v>6.8217396776260208E-2</v>
      </c>
      <c r="U108" s="496">
        <v>6.8873836146389603E-2</v>
      </c>
      <c r="V108" s="497">
        <v>7.0287172581100801E-2</v>
      </c>
      <c r="W108" s="229"/>
      <c r="X108" s="229"/>
      <c r="Y108" s="229"/>
      <c r="Z108" s="229"/>
      <c r="AA108" s="229"/>
      <c r="AB108" s="229"/>
      <c r="AC108" s="229"/>
      <c r="AD108" s="229"/>
      <c r="AE108" s="229"/>
      <c r="AF108" s="229"/>
      <c r="AG108" s="229"/>
      <c r="AH108" s="229"/>
      <c r="AI108" s="229"/>
      <c r="AJ108" s="229"/>
      <c r="AK108" s="229"/>
      <c r="AL108" s="229"/>
      <c r="AM108" s="229"/>
      <c r="AN108" s="229"/>
      <c r="AO108" s="229"/>
      <c r="AP108" s="125"/>
      <c r="AQ108" s="491"/>
      <c r="AR108" s="492"/>
      <c r="AS108" s="11"/>
      <c r="AT108" s="9"/>
      <c r="AU108" s="12"/>
      <c r="AV108" s="9"/>
      <c r="AW108" s="11"/>
      <c r="AX108" s="12"/>
      <c r="AY108" s="2"/>
    </row>
    <row r="109" spans="2:79" x14ac:dyDescent="0.35">
      <c r="B109" s="238"/>
      <c r="C109" s="390" t="s">
        <v>202</v>
      </c>
      <c r="D109" s="494">
        <v>2.65422738883818E-2</v>
      </c>
      <c r="E109" s="495">
        <v>2.8803477633457798E-2</v>
      </c>
      <c r="F109" s="494">
        <v>3.0234082259013601E-2</v>
      </c>
      <c r="G109" s="496">
        <v>3.2812362878565399E-2</v>
      </c>
      <c r="H109" s="496">
        <v>3.3975688991257101E-2</v>
      </c>
      <c r="I109" s="496">
        <v>3.5413064273490003E-2</v>
      </c>
      <c r="J109" s="496">
        <v>3.96158344053473E-2</v>
      </c>
      <c r="K109" s="496">
        <v>4.73870277754707E-2</v>
      </c>
      <c r="L109" s="496">
        <v>5.0042566803281299E-2</v>
      </c>
      <c r="M109" s="496">
        <v>4.5777688704101302E-2</v>
      </c>
      <c r="N109" s="496">
        <v>4.6228759376707902E-2</v>
      </c>
      <c r="O109" s="496">
        <v>4.7593261050150902E-2</v>
      </c>
      <c r="P109" s="496">
        <v>4.8480112108401002E-2</v>
      </c>
      <c r="Q109" s="496">
        <v>4.6741847133051802E-2</v>
      </c>
      <c r="R109" s="496">
        <v>5.1037752335595897E-2</v>
      </c>
      <c r="S109" s="496">
        <v>5.2062599801356198E-2</v>
      </c>
      <c r="T109" s="496">
        <v>5.3478771435648706E-2</v>
      </c>
      <c r="U109" s="496">
        <v>5.41446799040761E-2</v>
      </c>
      <c r="V109" s="497">
        <v>5.4045038227107399E-2</v>
      </c>
      <c r="W109" s="229"/>
      <c r="X109" s="229"/>
      <c r="Y109" s="229"/>
      <c r="Z109" s="229"/>
      <c r="AA109" s="229"/>
      <c r="AB109" s="229"/>
      <c r="AC109" s="229"/>
      <c r="AD109" s="229"/>
      <c r="AE109" s="229"/>
      <c r="AF109" s="229"/>
      <c r="AG109" s="229"/>
      <c r="AH109" s="229"/>
      <c r="AI109" s="229"/>
      <c r="AJ109" s="229"/>
      <c r="AK109" s="229"/>
      <c r="AL109" s="229"/>
      <c r="AM109" s="229"/>
      <c r="AN109" s="229"/>
      <c r="AO109" s="229"/>
      <c r="AP109" s="125"/>
      <c r="AQ109" s="491"/>
      <c r="AR109" s="492"/>
      <c r="AS109" s="11"/>
      <c r="AT109" s="9"/>
      <c r="AU109" s="12"/>
      <c r="AV109" s="9"/>
      <c r="AW109" s="11"/>
      <c r="AX109" s="12"/>
      <c r="AY109" s="2"/>
    </row>
    <row r="110" spans="2:79" x14ac:dyDescent="0.35">
      <c r="B110" s="238"/>
      <c r="C110" s="390" t="s">
        <v>203</v>
      </c>
      <c r="D110" s="494">
        <v>3.5954805546725699E-2</v>
      </c>
      <c r="E110" s="495">
        <v>3.6385536890521895E-2</v>
      </c>
      <c r="F110" s="494">
        <v>3.6931536837466701E-2</v>
      </c>
      <c r="G110" s="496">
        <v>3.7612873489777598E-2</v>
      </c>
      <c r="H110" s="496">
        <v>3.8677149453178801E-2</v>
      </c>
      <c r="I110" s="496">
        <v>4.0209010059010904E-2</v>
      </c>
      <c r="J110" s="496">
        <v>4.6194858860063803E-2</v>
      </c>
      <c r="K110" s="496">
        <v>5.8467206127870097E-2</v>
      </c>
      <c r="L110" s="496">
        <v>6.1733410666538299E-2</v>
      </c>
      <c r="M110" s="496">
        <v>5.5871435229374197E-2</v>
      </c>
      <c r="N110" s="496">
        <v>5.8039492839033202E-2</v>
      </c>
      <c r="O110" s="496">
        <v>5.9885254106395697E-2</v>
      </c>
      <c r="P110" s="496">
        <v>6.1446619801076699E-2</v>
      </c>
      <c r="Q110" s="496">
        <v>5.9213726798575401E-2</v>
      </c>
      <c r="R110" s="496">
        <v>6.3119395481400609E-2</v>
      </c>
      <c r="S110" s="496">
        <v>6.3808643247490401E-2</v>
      </c>
      <c r="T110" s="496">
        <v>6.4779335581018796E-2</v>
      </c>
      <c r="U110" s="496">
        <v>6.5736412509863895E-2</v>
      </c>
      <c r="V110" s="497">
        <v>6.6779452582412899E-2</v>
      </c>
      <c r="W110" s="229"/>
      <c r="X110" s="229"/>
      <c r="Y110" s="229"/>
      <c r="Z110" s="229"/>
      <c r="AA110" s="229"/>
      <c r="AB110" s="229"/>
      <c r="AC110" s="229"/>
      <c r="AD110" s="229"/>
      <c r="AE110" s="229"/>
      <c r="AF110" s="229"/>
      <c r="AG110" s="229"/>
      <c r="AH110" s="229"/>
      <c r="AI110" s="229"/>
      <c r="AJ110" s="229"/>
      <c r="AK110" s="229"/>
      <c r="AL110" s="229"/>
      <c r="AM110" s="229"/>
      <c r="AN110" s="229"/>
      <c r="AO110" s="229"/>
      <c r="AP110" s="125"/>
      <c r="AQ110" s="491"/>
      <c r="AR110" s="492"/>
      <c r="AS110" s="11"/>
      <c r="AT110" s="9"/>
      <c r="AU110" s="12"/>
      <c r="AV110" s="9"/>
      <c r="AW110" s="11"/>
      <c r="AX110" s="12"/>
      <c r="AY110" s="2"/>
    </row>
    <row r="111" spans="2:79" x14ac:dyDescent="0.35">
      <c r="B111" s="238"/>
      <c r="C111" s="390" t="s">
        <v>204</v>
      </c>
      <c r="D111" s="494">
        <v>4.7975799959236495E-2</v>
      </c>
      <c r="E111" s="495">
        <v>4.76398473685921E-2</v>
      </c>
      <c r="F111" s="494">
        <v>4.8705378998196797E-2</v>
      </c>
      <c r="G111" s="496">
        <v>5.1908033869146698E-2</v>
      </c>
      <c r="H111" s="496">
        <v>5.2127231473829805E-2</v>
      </c>
      <c r="I111" s="496">
        <v>5.2260300753014903E-2</v>
      </c>
      <c r="J111" s="496">
        <v>5.2093661560186702E-2</v>
      </c>
      <c r="K111" s="496">
        <v>5.6571438232473098E-2</v>
      </c>
      <c r="L111" s="496">
        <v>5.9025086372002003E-2</v>
      </c>
      <c r="M111" s="496">
        <v>5.2606895990688997E-2</v>
      </c>
      <c r="N111" s="496">
        <v>5.45787292474606E-2</v>
      </c>
      <c r="O111" s="496">
        <v>5.3522976078929099E-2</v>
      </c>
      <c r="P111" s="496">
        <v>5.3798383678859106E-2</v>
      </c>
      <c r="Q111" s="496">
        <v>5.3704553875647598E-2</v>
      </c>
      <c r="R111" s="496">
        <v>5.8537446670855801E-2</v>
      </c>
      <c r="S111" s="496">
        <v>5.80960309714482E-2</v>
      </c>
      <c r="T111" s="496">
        <v>5.86433371559371E-2</v>
      </c>
      <c r="U111" s="496">
        <v>5.9964609677334899E-2</v>
      </c>
      <c r="V111" s="497">
        <v>5.8374238434472196E-2</v>
      </c>
      <c r="W111" s="229"/>
      <c r="X111" s="229"/>
      <c r="Y111" s="229"/>
      <c r="Z111" s="229"/>
      <c r="AA111" s="229"/>
      <c r="AB111" s="229"/>
      <c r="AC111" s="229"/>
      <c r="AD111" s="229"/>
      <c r="AE111" s="229"/>
      <c r="AF111" s="229"/>
      <c r="AG111" s="229"/>
      <c r="AH111" s="229"/>
      <c r="AI111" s="229"/>
      <c r="AJ111" s="229"/>
      <c r="AK111" s="229"/>
      <c r="AL111" s="229"/>
      <c r="AM111" s="229"/>
      <c r="AN111" s="229"/>
      <c r="AO111" s="229"/>
      <c r="AP111" s="125"/>
      <c r="AQ111" s="491"/>
      <c r="AR111" s="492"/>
      <c r="AS111" s="11"/>
      <c r="AT111" s="9"/>
      <c r="AU111" s="12"/>
      <c r="AV111" s="9"/>
      <c r="AW111" s="11"/>
      <c r="AX111" s="12"/>
      <c r="AY111" s="2"/>
    </row>
    <row r="112" spans="2:79" x14ac:dyDescent="0.35">
      <c r="B112" s="238"/>
      <c r="C112" s="392" t="s">
        <v>205</v>
      </c>
      <c r="D112" s="494">
        <v>2.7782992959634899E-2</v>
      </c>
      <c r="E112" s="495">
        <v>2.94866555515809E-2</v>
      </c>
      <c r="F112" s="494">
        <v>3.0779248935453602E-2</v>
      </c>
      <c r="G112" s="496">
        <v>3.3924087099113404E-2</v>
      </c>
      <c r="H112" s="496">
        <v>3.5093803064482898E-2</v>
      </c>
      <c r="I112" s="496">
        <v>3.4949573880254201E-2</v>
      </c>
      <c r="J112" s="496">
        <v>3.5529240659039306E-2</v>
      </c>
      <c r="K112" s="496">
        <v>3.4313719887172196E-2</v>
      </c>
      <c r="L112" s="496">
        <v>3.4209329640149395E-2</v>
      </c>
      <c r="M112" s="496">
        <v>3.4433044146838905E-2</v>
      </c>
      <c r="N112" s="496">
        <v>3.5425309698275793E-2</v>
      </c>
      <c r="O112" s="496">
        <v>3.6595269060184898E-2</v>
      </c>
      <c r="P112" s="496">
        <v>3.7148771325511101E-2</v>
      </c>
      <c r="Q112" s="496">
        <v>3.8238068840815403E-2</v>
      </c>
      <c r="R112" s="496">
        <v>3.8816889801933298E-2</v>
      </c>
      <c r="S112" s="496">
        <v>3.9503905557476099E-2</v>
      </c>
      <c r="T112" s="496">
        <v>4.2871203839080697E-2</v>
      </c>
      <c r="U112" s="496">
        <v>4.6261774057775595E-2</v>
      </c>
      <c r="V112" s="497">
        <v>5.0810386580902304E-2</v>
      </c>
      <c r="W112" s="229"/>
      <c r="X112" s="229"/>
      <c r="Y112" s="229"/>
      <c r="Z112" s="229"/>
      <c r="AA112" s="229"/>
      <c r="AB112" s="229"/>
      <c r="AC112" s="229"/>
      <c r="AD112" s="229"/>
      <c r="AE112" s="229"/>
      <c r="AF112" s="229"/>
      <c r="AG112" s="229"/>
      <c r="AH112" s="229"/>
      <c r="AI112" s="229"/>
      <c r="AJ112" s="229"/>
      <c r="AK112" s="229"/>
      <c r="AL112" s="229"/>
      <c r="AM112" s="229"/>
      <c r="AN112" s="229"/>
      <c r="AO112" s="229"/>
      <c r="AP112" s="125"/>
      <c r="AQ112" s="491"/>
      <c r="AR112" s="492"/>
      <c r="AS112" s="11"/>
      <c r="AT112" s="9"/>
      <c r="AU112" s="12"/>
      <c r="AV112" s="9"/>
      <c r="AW112" s="11"/>
      <c r="AX112" s="12"/>
      <c r="AY112" s="2"/>
    </row>
    <row r="113" spans="1:81" x14ac:dyDescent="0.35">
      <c r="B113" s="238"/>
      <c r="C113" s="392" t="s">
        <v>207</v>
      </c>
      <c r="D113" s="494">
        <v>3.4362176038364098E-2</v>
      </c>
      <c r="E113" s="495">
        <v>3.5979731457246603E-2</v>
      </c>
      <c r="F113" s="494">
        <v>4.9002780226628503E-2</v>
      </c>
      <c r="G113" s="496">
        <v>4.0016433574858699E-2</v>
      </c>
      <c r="H113" s="496">
        <v>4.18974716504577E-2</v>
      </c>
      <c r="I113" s="496">
        <v>4.4859757366691497E-2</v>
      </c>
      <c r="J113" s="496">
        <v>5.1086560019723795E-2</v>
      </c>
      <c r="K113" s="496">
        <v>6.1803312522509403E-2</v>
      </c>
      <c r="L113" s="496">
        <v>6.5103605970071893E-2</v>
      </c>
      <c r="M113" s="496">
        <v>5.8965138800139497E-2</v>
      </c>
      <c r="N113" s="496">
        <v>6.1524532936718203E-2</v>
      </c>
      <c r="O113" s="496">
        <v>6.3864180089685807E-2</v>
      </c>
      <c r="P113" s="496">
        <v>6.5396818084810307E-2</v>
      </c>
      <c r="Q113" s="496">
        <v>6.2739874356851896E-2</v>
      </c>
      <c r="R113" s="496">
        <v>6.715998448929289E-2</v>
      </c>
      <c r="S113" s="496">
        <v>6.8285616830665807E-2</v>
      </c>
      <c r="T113" s="496">
        <v>6.9218479907601604E-2</v>
      </c>
      <c r="U113" s="496">
        <v>6.9963397166726587E-2</v>
      </c>
      <c r="V113" s="497">
        <v>7.1321449855773295E-2</v>
      </c>
      <c r="W113" s="229"/>
      <c r="X113" s="229"/>
      <c r="Y113" s="229"/>
      <c r="Z113" s="229"/>
      <c r="AA113" s="229"/>
      <c r="AB113" s="229"/>
      <c r="AC113" s="229"/>
      <c r="AD113" s="229"/>
      <c r="AE113" s="229"/>
      <c r="AF113" s="229"/>
      <c r="AG113" s="229"/>
      <c r="AH113" s="229"/>
      <c r="AI113" s="229"/>
      <c r="AJ113" s="229"/>
      <c r="AK113" s="229"/>
      <c r="AL113" s="229"/>
      <c r="AM113" s="229"/>
      <c r="AN113" s="229"/>
      <c r="AO113" s="229"/>
      <c r="AP113" s="125"/>
      <c r="AQ113" s="491"/>
      <c r="AR113" s="492"/>
      <c r="AS113" s="11"/>
      <c r="AT113" s="9"/>
      <c r="AU113" s="12"/>
      <c r="AV113" s="9"/>
      <c r="AW113" s="11"/>
      <c r="AX113" s="12"/>
      <c r="AY113" s="2"/>
    </row>
    <row r="114" spans="1:81" x14ac:dyDescent="0.35">
      <c r="B114" s="238"/>
      <c r="C114" s="390" t="s">
        <v>206</v>
      </c>
      <c r="D114" s="494">
        <v>2.63195288821301E-2</v>
      </c>
      <c r="E114" s="495">
        <v>2.7677844688177199E-2</v>
      </c>
      <c r="F114" s="494">
        <v>4.2625100701253603E-2</v>
      </c>
      <c r="G114" s="496">
        <v>3.7661924927865596E-2</v>
      </c>
      <c r="H114" s="496">
        <v>3.8072714783767801E-2</v>
      </c>
      <c r="I114" s="496">
        <v>4.2474554296330701E-2</v>
      </c>
      <c r="J114" s="496">
        <v>5.1579461319504E-2</v>
      </c>
      <c r="K114" s="496">
        <v>5.6591747065161201E-2</v>
      </c>
      <c r="L114" s="496">
        <v>5.6683685867539302E-2</v>
      </c>
      <c r="M114" s="496">
        <v>5.0481750562090706E-2</v>
      </c>
      <c r="N114" s="496">
        <v>5.2850299285510195E-2</v>
      </c>
      <c r="O114" s="496">
        <v>5.6759841364331202E-2</v>
      </c>
      <c r="P114" s="496">
        <v>5.5363372800704296E-2</v>
      </c>
      <c r="Q114" s="496">
        <v>5.3636619474788198E-2</v>
      </c>
      <c r="R114" s="496">
        <v>5.81370877040987E-2</v>
      </c>
      <c r="S114" s="496">
        <v>5.80323176715309E-2</v>
      </c>
      <c r="T114" s="496">
        <v>5.66321235480566E-2</v>
      </c>
      <c r="U114" s="496">
        <v>5.6799740291463202E-2</v>
      </c>
      <c r="V114" s="497">
        <v>5.8642831059430002E-2</v>
      </c>
      <c r="W114" s="229"/>
      <c r="X114" s="229"/>
      <c r="Y114" s="229"/>
      <c r="Z114" s="229"/>
      <c r="AA114" s="229"/>
      <c r="AB114" s="229"/>
      <c r="AC114" s="229"/>
      <c r="AD114" s="229"/>
      <c r="AE114" s="229"/>
      <c r="AF114" s="229"/>
      <c r="AG114" s="229"/>
      <c r="AH114" s="229"/>
      <c r="AI114" s="229"/>
      <c r="AJ114" s="229"/>
      <c r="AK114" s="229"/>
      <c r="AL114" s="229"/>
      <c r="AM114" s="229"/>
      <c r="AN114" s="229"/>
      <c r="AO114" s="229"/>
      <c r="AP114" s="125"/>
      <c r="AQ114" s="491"/>
      <c r="AR114" s="492"/>
      <c r="AS114" s="11"/>
      <c r="AT114" s="9"/>
      <c r="AU114" s="12"/>
      <c r="AV114" s="9"/>
      <c r="AW114" s="11"/>
      <c r="AX114" s="12"/>
      <c r="AY114" s="2"/>
    </row>
    <row r="115" spans="1:81" x14ac:dyDescent="0.35">
      <c r="B115" s="238"/>
      <c r="C115" s="392" t="s">
        <v>208</v>
      </c>
      <c r="D115" s="494">
        <v>2.7480101618246499E-2</v>
      </c>
      <c r="E115" s="495">
        <v>2.8963023347317002E-2</v>
      </c>
      <c r="F115" s="494">
        <v>3.05450867145628E-2</v>
      </c>
      <c r="G115" s="496">
        <v>3.63464863494097E-2</v>
      </c>
      <c r="H115" s="496">
        <v>3.5305467817946204E-2</v>
      </c>
      <c r="I115" s="496">
        <v>3.5781539082509493E-2</v>
      </c>
      <c r="J115" s="496">
        <v>3.7351596060861601E-2</v>
      </c>
      <c r="K115" s="496">
        <v>3.6347999752560499E-2</v>
      </c>
      <c r="L115" s="496">
        <v>3.6355140841489504E-2</v>
      </c>
      <c r="M115" s="496">
        <v>3.6660637458820804E-2</v>
      </c>
      <c r="N115" s="496">
        <v>3.7640100721551197E-2</v>
      </c>
      <c r="O115" s="496">
        <v>3.8832683378795405E-2</v>
      </c>
      <c r="P115" s="496">
        <v>3.9090071536216894E-2</v>
      </c>
      <c r="Q115" s="496">
        <v>3.9382140601163101E-2</v>
      </c>
      <c r="R115" s="496">
        <v>3.9842524072010596E-2</v>
      </c>
      <c r="S115" s="496">
        <v>4.0343359989234696E-2</v>
      </c>
      <c r="T115" s="496">
        <v>4.2606055047190602E-2</v>
      </c>
      <c r="U115" s="496">
        <v>4.5167924802247801E-2</v>
      </c>
      <c r="V115" s="497">
        <v>4.7774509111343004E-2</v>
      </c>
      <c r="W115" s="229"/>
      <c r="X115" s="229"/>
      <c r="Y115" s="229"/>
      <c r="Z115" s="229"/>
      <c r="AA115" s="229"/>
      <c r="AB115" s="229"/>
      <c r="AC115" s="229"/>
      <c r="AD115" s="229"/>
      <c r="AE115" s="229"/>
      <c r="AF115" s="229"/>
      <c r="AG115" s="229"/>
      <c r="AH115" s="229"/>
      <c r="AI115" s="229"/>
      <c r="AJ115" s="229"/>
      <c r="AK115" s="229"/>
      <c r="AL115" s="229"/>
      <c r="AM115" s="229"/>
      <c r="AN115" s="229"/>
      <c r="AO115" s="229"/>
      <c r="AP115" s="125"/>
      <c r="AQ115" s="491"/>
      <c r="AR115" s="492"/>
      <c r="AS115" s="13"/>
      <c r="AT115" s="9"/>
      <c r="AU115" s="12"/>
      <c r="AV115" s="9"/>
      <c r="AW115" s="11"/>
      <c r="AX115" s="12"/>
      <c r="AY115" s="2"/>
    </row>
    <row r="116" spans="1:81" x14ac:dyDescent="0.35">
      <c r="B116" s="238"/>
      <c r="C116" s="390" t="s">
        <v>210</v>
      </c>
      <c r="D116" s="494">
        <v>3.1327671556354596E-2</v>
      </c>
      <c r="E116" s="495">
        <v>3.2969305632582199E-2</v>
      </c>
      <c r="F116" s="494">
        <v>4.4465847182982597E-2</v>
      </c>
      <c r="G116" s="496">
        <v>3.6340142706731797E-2</v>
      </c>
      <c r="H116" s="496">
        <v>3.7750118873964393E-2</v>
      </c>
      <c r="I116" s="496">
        <v>3.9937567239571897E-2</v>
      </c>
      <c r="J116" s="496">
        <v>4.6335833827258296E-2</v>
      </c>
      <c r="K116" s="496">
        <v>5.7678494859997799E-2</v>
      </c>
      <c r="L116" s="496">
        <v>6.1171090014426097E-2</v>
      </c>
      <c r="M116" s="496">
        <v>5.51524103325318E-2</v>
      </c>
      <c r="N116" s="496">
        <v>5.6679720993782802E-2</v>
      </c>
      <c r="O116" s="496">
        <v>5.80551218098374E-2</v>
      </c>
      <c r="P116" s="496">
        <v>5.8738947296341798E-2</v>
      </c>
      <c r="Q116" s="496">
        <v>5.5921808843973402E-2</v>
      </c>
      <c r="R116" s="496">
        <v>6.1248779779201103E-2</v>
      </c>
      <c r="S116" s="496">
        <v>6.2229539366674601E-2</v>
      </c>
      <c r="T116" s="496">
        <v>6.3496748842262599E-2</v>
      </c>
      <c r="U116" s="496">
        <v>6.4228671833884601E-2</v>
      </c>
      <c r="V116" s="497">
        <v>6.498103176663951E-2</v>
      </c>
      <c r="W116" s="229"/>
      <c r="X116" s="229"/>
      <c r="Y116" s="229"/>
      <c r="Z116" s="229"/>
      <c r="AA116" s="229"/>
      <c r="AB116" s="229"/>
      <c r="AC116" s="229"/>
      <c r="AD116" s="229"/>
      <c r="AE116" s="229"/>
      <c r="AF116" s="229"/>
      <c r="AG116" s="229"/>
      <c r="AH116" s="229"/>
      <c r="AI116" s="229"/>
      <c r="AJ116" s="229"/>
      <c r="AK116" s="229"/>
      <c r="AL116" s="229"/>
      <c r="AM116" s="229"/>
      <c r="AN116" s="229"/>
      <c r="AO116" s="229"/>
      <c r="AP116" s="125"/>
      <c r="AQ116" s="491"/>
      <c r="AR116" s="492"/>
      <c r="AS116" s="13"/>
      <c r="AT116" s="9"/>
      <c r="AU116" s="12"/>
      <c r="AV116" s="9"/>
      <c r="AW116" s="11"/>
      <c r="AX116" s="12"/>
      <c r="AY116" s="2"/>
    </row>
    <row r="117" spans="1:81" x14ac:dyDescent="0.35">
      <c r="B117" s="238"/>
      <c r="C117" s="390" t="s">
        <v>209</v>
      </c>
      <c r="D117" s="494">
        <v>2.9790590813366498E-2</v>
      </c>
      <c r="E117" s="495">
        <v>3.3304061780986299E-2</v>
      </c>
      <c r="F117" s="494">
        <v>4.6035827891780498E-2</v>
      </c>
      <c r="G117" s="496">
        <v>3.8643212830605601E-2</v>
      </c>
      <c r="H117" s="496">
        <v>4.0407269317955803E-2</v>
      </c>
      <c r="I117" s="496">
        <v>4.3165758688269794E-2</v>
      </c>
      <c r="J117" s="496">
        <v>4.9157797733875401E-2</v>
      </c>
      <c r="K117" s="496">
        <v>5.8653991852920001E-2</v>
      </c>
      <c r="L117" s="496">
        <v>6.1229399762489797E-2</v>
      </c>
      <c r="M117" s="496">
        <v>5.5619254657133195E-2</v>
      </c>
      <c r="N117" s="496">
        <v>5.7836296862981099E-2</v>
      </c>
      <c r="O117" s="496">
        <v>6.04039819771219E-2</v>
      </c>
      <c r="P117" s="496">
        <v>6.1577115548846401E-2</v>
      </c>
      <c r="Q117" s="496">
        <v>5.9602208666674199E-2</v>
      </c>
      <c r="R117" s="496">
        <v>6.3565310599566507E-2</v>
      </c>
      <c r="S117" s="496">
        <v>6.43457528186855E-2</v>
      </c>
      <c r="T117" s="496">
        <v>6.546031342171299E-2</v>
      </c>
      <c r="U117" s="496">
        <v>6.6502764055657804E-2</v>
      </c>
      <c r="V117" s="497">
        <v>6.7734759230413111E-2</v>
      </c>
      <c r="W117" s="229"/>
      <c r="X117" s="229"/>
      <c r="Y117" s="229"/>
      <c r="Z117" s="229"/>
      <c r="AA117" s="229"/>
      <c r="AB117" s="229"/>
      <c r="AC117" s="229"/>
      <c r="AD117" s="229"/>
      <c r="AE117" s="229"/>
      <c r="AF117" s="229"/>
      <c r="AG117" s="229"/>
      <c r="AH117" s="229"/>
      <c r="AI117" s="229"/>
      <c r="AJ117" s="229"/>
      <c r="AK117" s="229"/>
      <c r="AL117" s="229"/>
      <c r="AM117" s="229"/>
      <c r="AN117" s="229"/>
      <c r="AO117" s="229"/>
      <c r="AP117" s="125"/>
      <c r="AQ117" s="491"/>
      <c r="AR117" s="492"/>
      <c r="AS117" s="11"/>
      <c r="AT117" s="9"/>
      <c r="AU117" s="12"/>
      <c r="AV117" s="9"/>
      <c r="AW117" s="11"/>
      <c r="AX117" s="12"/>
      <c r="AY117" s="2"/>
    </row>
    <row r="118" spans="1:81" x14ac:dyDescent="0.35">
      <c r="B118" s="238"/>
      <c r="C118" s="390" t="s">
        <v>163</v>
      </c>
      <c r="D118" s="494">
        <v>6.716112885599955E-2</v>
      </c>
      <c r="E118" s="495">
        <v>6.716112885599955E-2</v>
      </c>
      <c r="F118" s="494">
        <v>7.069152417709805E-2</v>
      </c>
      <c r="G118" s="496">
        <v>7.0347955561126996E-2</v>
      </c>
      <c r="H118" s="496">
        <v>7.1495626034100784E-2</v>
      </c>
      <c r="I118" s="496">
        <v>7.3315070171019889E-2</v>
      </c>
      <c r="J118" s="496">
        <v>7.4234191750519027E-2</v>
      </c>
      <c r="K118" s="496">
        <v>7.5507611458691851E-2</v>
      </c>
      <c r="L118" s="496">
        <v>7.8436431199780485E-2</v>
      </c>
      <c r="M118" s="496">
        <v>7.9817380533738005E-2</v>
      </c>
      <c r="N118" s="496">
        <v>8.2116713331783497E-2</v>
      </c>
      <c r="O118" s="496">
        <v>8.523876671294224E-2</v>
      </c>
      <c r="P118" s="496">
        <v>8.5863324546405356E-2</v>
      </c>
      <c r="Q118" s="496">
        <v>8.9004952397194789E-2</v>
      </c>
      <c r="R118" s="496">
        <v>8.9004952397194789E-2</v>
      </c>
      <c r="S118" s="496">
        <v>8.9004952397194789E-2</v>
      </c>
      <c r="T118" s="496">
        <v>8.9004952397194789E-2</v>
      </c>
      <c r="U118" s="496">
        <v>8.9004952397194789E-2</v>
      </c>
      <c r="V118" s="497">
        <v>8.9004952397194789E-2</v>
      </c>
      <c r="W118" s="229"/>
      <c r="X118" s="229"/>
      <c r="Y118" s="229"/>
      <c r="Z118" s="229"/>
      <c r="AA118" s="229"/>
      <c r="AB118" s="229"/>
      <c r="AC118" s="229"/>
      <c r="AD118" s="229"/>
      <c r="AE118" s="229"/>
      <c r="AF118" s="229"/>
      <c r="AG118" s="229"/>
      <c r="AH118" s="229"/>
      <c r="AI118" s="229"/>
      <c r="AJ118" s="229"/>
      <c r="AK118" s="229"/>
      <c r="AL118" s="229"/>
      <c r="AM118" s="229"/>
      <c r="AN118" s="229"/>
      <c r="AO118" s="229"/>
      <c r="AP118" s="125"/>
      <c r="AQ118" s="491"/>
      <c r="AR118" s="492"/>
      <c r="AS118" s="11"/>
      <c r="AT118" s="9"/>
      <c r="AU118" s="12"/>
      <c r="AV118" s="9"/>
      <c r="AW118" s="11"/>
      <c r="AX118" s="12"/>
      <c r="AY118" s="2"/>
    </row>
    <row r="119" spans="1:81" x14ac:dyDescent="0.35">
      <c r="B119" s="238"/>
      <c r="C119" s="390" t="s">
        <v>172</v>
      </c>
      <c r="D119" s="494">
        <v>6.716112885599955E-2</v>
      </c>
      <c r="E119" s="495">
        <v>6.716112885599955E-2</v>
      </c>
      <c r="F119" s="494">
        <v>7.069152417709805E-2</v>
      </c>
      <c r="G119" s="496">
        <v>7.0347955561126996E-2</v>
      </c>
      <c r="H119" s="496">
        <v>7.1495626034100784E-2</v>
      </c>
      <c r="I119" s="496">
        <v>7.3315070171019889E-2</v>
      </c>
      <c r="J119" s="496">
        <v>7.4234191750519027E-2</v>
      </c>
      <c r="K119" s="496">
        <v>7.5507611458691851E-2</v>
      </c>
      <c r="L119" s="496">
        <v>7.8436431199780485E-2</v>
      </c>
      <c r="M119" s="496">
        <v>7.9817380533738005E-2</v>
      </c>
      <c r="N119" s="496">
        <v>8.2116713331783497E-2</v>
      </c>
      <c r="O119" s="496">
        <v>8.523876671294224E-2</v>
      </c>
      <c r="P119" s="496">
        <v>8.5863324546405356E-2</v>
      </c>
      <c r="Q119" s="496">
        <v>8.9004952397194789E-2</v>
      </c>
      <c r="R119" s="496">
        <v>8.9004952397194789E-2</v>
      </c>
      <c r="S119" s="496">
        <v>8.9004952397194789E-2</v>
      </c>
      <c r="T119" s="496">
        <v>8.9004952397194789E-2</v>
      </c>
      <c r="U119" s="496">
        <v>8.9004952397194789E-2</v>
      </c>
      <c r="V119" s="497">
        <v>8.9004952397194789E-2</v>
      </c>
      <c r="W119" s="229"/>
      <c r="X119" s="229"/>
      <c r="Y119" s="229"/>
      <c r="Z119" s="229"/>
      <c r="AA119" s="229"/>
      <c r="AB119" s="229"/>
      <c r="AC119" s="229"/>
      <c r="AD119" s="229"/>
      <c r="AE119" s="229"/>
      <c r="AF119" s="229"/>
      <c r="AG119" s="229"/>
      <c r="AH119" s="229"/>
      <c r="AI119" s="229"/>
      <c r="AJ119" s="229"/>
      <c r="AK119" s="229"/>
      <c r="AL119" s="229"/>
      <c r="AM119" s="229"/>
      <c r="AN119" s="229"/>
      <c r="AO119" s="229"/>
      <c r="AP119" s="125"/>
      <c r="AQ119" s="491"/>
      <c r="AR119" s="492"/>
      <c r="AS119" s="11"/>
      <c r="AT119" s="9"/>
      <c r="AU119" s="12"/>
      <c r="AV119" s="9"/>
      <c r="AW119" s="11"/>
      <c r="AX119" s="12"/>
      <c r="AY119" s="2"/>
    </row>
    <row r="120" spans="1:81" x14ac:dyDescent="0.35">
      <c r="B120" s="238"/>
      <c r="C120" s="390" t="s">
        <v>11</v>
      </c>
      <c r="D120" s="494">
        <v>3.5868376495314401E-2</v>
      </c>
      <c r="E120" s="494">
        <v>4.1113706449878502E-2</v>
      </c>
      <c r="F120" s="494">
        <v>5.3459536320612101E-2</v>
      </c>
      <c r="G120" s="494">
        <v>4.5148417283138301E-2</v>
      </c>
      <c r="H120" s="494">
        <v>4.49302363768656E-2</v>
      </c>
      <c r="I120" s="494">
        <v>5.3129316204289505E-2</v>
      </c>
      <c r="J120" s="494">
        <v>5.7871531946653003E-2</v>
      </c>
      <c r="K120" s="494">
        <v>6.5604887813127399E-2</v>
      </c>
      <c r="L120" s="494">
        <v>6.8110012662181404E-2</v>
      </c>
      <c r="M120" s="494">
        <v>6.0526378736102206E-2</v>
      </c>
      <c r="N120" s="494">
        <v>6.3384651563018299E-2</v>
      </c>
      <c r="O120" s="494">
        <v>6.6289876356170299E-2</v>
      </c>
      <c r="P120" s="494">
        <v>6.7657434646871198E-2</v>
      </c>
      <c r="Q120" s="494">
        <v>6.4574281683355092E-2</v>
      </c>
      <c r="R120" s="494">
        <v>6.8521518596491499E-2</v>
      </c>
      <c r="S120" s="494">
        <v>6.9245611672164503E-2</v>
      </c>
      <c r="T120" s="494">
        <v>7.0904183581873989E-2</v>
      </c>
      <c r="U120" s="494">
        <v>7.1616016088412907E-2</v>
      </c>
      <c r="V120" s="494">
        <v>7.2387794861130797E-2</v>
      </c>
      <c r="W120" s="229"/>
      <c r="X120" s="229"/>
      <c r="Y120" s="229"/>
      <c r="Z120" s="229"/>
      <c r="AA120" s="229"/>
      <c r="AB120" s="229"/>
      <c r="AC120" s="229"/>
      <c r="AD120" s="229"/>
      <c r="AE120" s="229"/>
      <c r="AF120" s="229"/>
      <c r="AG120" s="229"/>
      <c r="AH120" s="229"/>
      <c r="AI120" s="229"/>
      <c r="AJ120" s="229"/>
      <c r="AK120" s="229"/>
      <c r="AL120" s="229"/>
      <c r="AM120" s="229"/>
      <c r="AN120" s="229"/>
      <c r="AO120" s="229"/>
      <c r="AP120" s="125"/>
      <c r="AQ120" s="491"/>
      <c r="AR120" s="492"/>
      <c r="AS120" s="11"/>
      <c r="AT120" s="9"/>
      <c r="AU120" s="12"/>
      <c r="AV120" s="9"/>
      <c r="AW120" s="11"/>
      <c r="AX120" s="12"/>
      <c r="AY120" s="2"/>
    </row>
    <row r="121" spans="1:81" ht="15.6" thickBot="1" x14ac:dyDescent="0.4">
      <c r="B121" s="238"/>
      <c r="C121" s="391" t="s">
        <v>211</v>
      </c>
      <c r="D121" s="499">
        <v>2.6406120733054303E-2</v>
      </c>
      <c r="E121" s="500">
        <v>2.58604491289358E-2</v>
      </c>
      <c r="F121" s="499">
        <v>2.6214252802968598E-2</v>
      </c>
      <c r="G121" s="501">
        <v>2.6632038528495598E-2</v>
      </c>
      <c r="H121" s="501">
        <v>2.73366569231464E-2</v>
      </c>
      <c r="I121" s="501">
        <v>2.7931271128086001E-2</v>
      </c>
      <c r="J121" s="501">
        <v>2.8048162637301099E-2</v>
      </c>
      <c r="K121" s="501">
        <v>2.8691487596952399E-2</v>
      </c>
      <c r="L121" s="501">
        <v>2.9375036907026503E-2</v>
      </c>
      <c r="M121" s="501">
        <v>2.8606254977084598E-2</v>
      </c>
      <c r="N121" s="501">
        <v>2.87206527893436E-2</v>
      </c>
      <c r="O121" s="501">
        <v>2.9093891693707501E-2</v>
      </c>
      <c r="P121" s="501">
        <v>3.0006040022537098E-2</v>
      </c>
      <c r="Q121" s="501">
        <v>3.0788539473159703E-2</v>
      </c>
      <c r="R121" s="501">
        <v>3.1680191290841903E-2</v>
      </c>
      <c r="S121" s="501">
        <v>3.1935912286269595E-2</v>
      </c>
      <c r="T121" s="501">
        <v>3.5736023771823201E-2</v>
      </c>
      <c r="U121" s="501">
        <v>3.9521501957799104E-2</v>
      </c>
      <c r="V121" s="502">
        <v>4.70158787674557E-2</v>
      </c>
      <c r="W121" s="229"/>
      <c r="X121" s="229"/>
      <c r="Y121" s="229"/>
      <c r="Z121" s="229"/>
      <c r="AA121" s="229"/>
      <c r="AB121" s="229"/>
      <c r="AC121" s="229"/>
      <c r="AD121" s="229"/>
      <c r="AE121" s="229"/>
      <c r="AF121" s="229"/>
      <c r="AG121" s="229"/>
      <c r="AH121" s="229"/>
      <c r="AI121" s="229"/>
      <c r="AJ121" s="229"/>
      <c r="AK121" s="229"/>
      <c r="AL121" s="229"/>
      <c r="AM121" s="229"/>
      <c r="AN121" s="229"/>
      <c r="AO121" s="229"/>
      <c r="AP121" s="125"/>
      <c r="AQ121" s="491"/>
      <c r="AR121" s="492"/>
      <c r="AS121" s="13"/>
      <c r="AT121" s="9"/>
      <c r="AU121" s="12"/>
      <c r="AV121" s="9"/>
      <c r="AW121" s="11"/>
      <c r="AX121" s="12"/>
      <c r="AY121" s="2"/>
    </row>
    <row r="122" spans="1:81" x14ac:dyDescent="0.35">
      <c r="A122" s="105"/>
      <c r="B122" s="238"/>
      <c r="C122" s="131"/>
      <c r="D122" s="131"/>
      <c r="E122" s="131"/>
      <c r="F122" s="131"/>
      <c r="G122" s="131"/>
      <c r="H122" s="131"/>
      <c r="I122" s="131"/>
      <c r="J122" s="131"/>
      <c r="K122" s="131"/>
      <c r="L122" s="131"/>
      <c r="M122" s="131"/>
      <c r="N122" s="131"/>
      <c r="O122" s="131"/>
      <c r="P122" s="131"/>
      <c r="Q122" s="131"/>
      <c r="R122" s="131"/>
      <c r="S122" s="131"/>
      <c r="T122" s="131"/>
      <c r="U122" s="131"/>
      <c r="V122" s="131"/>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125"/>
      <c r="AS122" s="491"/>
      <c r="AT122" s="492"/>
      <c r="AU122" s="11"/>
      <c r="AV122" s="9"/>
      <c r="AW122" s="12"/>
      <c r="AX122" s="9"/>
      <c r="AY122" s="11"/>
      <c r="AZ122" s="12"/>
      <c r="BA122" s="2"/>
    </row>
    <row r="123" spans="1:81" x14ac:dyDescent="0.35">
      <c r="A123" s="105"/>
      <c r="B123" s="238"/>
      <c r="C123" s="131"/>
      <c r="D123" s="131"/>
      <c r="E123" s="131"/>
      <c r="F123" s="131"/>
      <c r="G123" s="131"/>
      <c r="H123" s="131"/>
      <c r="I123" s="131"/>
      <c r="J123" s="131"/>
      <c r="K123" s="131"/>
      <c r="L123" s="131"/>
      <c r="M123" s="131"/>
      <c r="N123" s="131"/>
      <c r="O123" s="131"/>
      <c r="P123" s="131"/>
      <c r="Q123" s="131"/>
      <c r="R123" s="131"/>
      <c r="S123" s="131"/>
      <c r="T123" s="131"/>
      <c r="U123" s="131"/>
      <c r="V123" s="131"/>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125"/>
      <c r="AS123" s="491"/>
      <c r="AT123" s="492"/>
      <c r="AU123" s="11"/>
      <c r="AV123" s="9"/>
      <c r="AW123" s="12"/>
      <c r="AX123" s="9"/>
      <c r="AY123" s="11"/>
      <c r="AZ123" s="12"/>
      <c r="BA123" s="2"/>
    </row>
    <row r="124" spans="1:81" x14ac:dyDescent="0.35">
      <c r="A124" s="21"/>
      <c r="B124" s="387"/>
      <c r="C124" s="131"/>
      <c r="D124" s="131"/>
      <c r="E124" s="131"/>
      <c r="F124" s="131"/>
      <c r="G124" s="131"/>
      <c r="H124" s="131"/>
      <c r="I124" s="131"/>
      <c r="J124" s="131"/>
      <c r="K124" s="131"/>
      <c r="L124" s="131"/>
      <c r="M124" s="131"/>
      <c r="N124" s="131"/>
      <c r="O124" s="131"/>
      <c r="P124" s="131"/>
      <c r="Q124" s="131"/>
      <c r="R124" s="131"/>
      <c r="S124" s="131"/>
      <c r="T124" s="131"/>
      <c r="U124" s="131"/>
      <c r="V124" s="131"/>
      <c r="W124" s="389"/>
      <c r="X124" s="389"/>
      <c r="Y124" s="389"/>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2"/>
      <c r="AY124" s="2"/>
      <c r="AZ124" s="2"/>
      <c r="BA124" s="2"/>
    </row>
    <row r="125" spans="1:81" x14ac:dyDescent="0.35">
      <c r="A125" s="21"/>
      <c r="B125" s="388"/>
      <c r="C125" s="131"/>
      <c r="D125" s="131"/>
      <c r="E125" s="131"/>
      <c r="F125" s="131"/>
      <c r="G125" s="131"/>
      <c r="H125" s="131"/>
      <c r="I125" s="131"/>
      <c r="J125" s="131"/>
      <c r="K125" s="131"/>
      <c r="L125" s="131"/>
      <c r="M125" s="131"/>
      <c r="N125" s="131"/>
      <c r="O125" s="131"/>
      <c r="P125" s="131"/>
      <c r="Q125" s="131"/>
      <c r="R125" s="131"/>
      <c r="S125" s="131"/>
      <c r="T125" s="131"/>
      <c r="U125" s="131"/>
      <c r="V125" s="131"/>
      <c r="W125" s="389"/>
      <c r="X125" s="389"/>
      <c r="Y125" s="389"/>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9"/>
      <c r="AZ125" s="9"/>
      <c r="BA125" s="2"/>
    </row>
    <row r="126" spans="1:81" ht="28.2" x14ac:dyDescent="0.5">
      <c r="A126" s="21"/>
      <c r="B126"/>
      <c r="C126" s="31" t="s">
        <v>283</v>
      </c>
      <c r="D126" s="415"/>
      <c r="E126" s="415"/>
      <c r="F126" s="415"/>
      <c r="G126" s="131"/>
      <c r="H126" s="131"/>
      <c r="I126" s="131"/>
      <c r="J126" s="31" t="s">
        <v>297</v>
      </c>
      <c r="K126" s="35"/>
      <c r="L126" s="35"/>
      <c r="M126" s="131"/>
      <c r="N126" s="131"/>
      <c r="O126" s="131"/>
      <c r="P126" s="131"/>
      <c r="Q126" s="131"/>
      <c r="R126" s="131"/>
      <c r="S126" s="131"/>
      <c r="T126" s="131"/>
      <c r="U126" s="131"/>
      <c r="V126" s="131"/>
      <c r="W126" s="389"/>
      <c r="X126" s="389"/>
      <c r="Y126" s="389"/>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10"/>
      <c r="AY126" s="10"/>
      <c r="AZ126" s="10"/>
      <c r="BA126" s="2"/>
    </row>
    <row r="127" spans="1:81" s="4" customFormat="1" ht="39" customHeight="1" thickBot="1" x14ac:dyDescent="0.4">
      <c r="A127" s="21"/>
      <c r="B127" s="238"/>
      <c r="C127" s="419" t="s">
        <v>279</v>
      </c>
      <c r="D127" s="420" t="s">
        <v>284</v>
      </c>
      <c r="E127" s="420" t="s">
        <v>285</v>
      </c>
      <c r="F127" s="420" t="s">
        <v>286</v>
      </c>
      <c r="G127" s="131"/>
      <c r="H127" s="131"/>
      <c r="I127" s="131"/>
      <c r="J127" s="432"/>
      <c r="K127" s="433" t="s">
        <v>117</v>
      </c>
      <c r="L127" s="434" t="s">
        <v>295</v>
      </c>
      <c r="M127" s="131"/>
      <c r="N127" s="131"/>
      <c r="O127" s="131"/>
      <c r="P127" s="131"/>
      <c r="Q127" s="131"/>
      <c r="R127" s="131"/>
      <c r="S127" s="131"/>
      <c r="T127" s="131"/>
      <c r="U127" s="131"/>
      <c r="V127" s="131"/>
      <c r="W127" s="389"/>
      <c r="X127" s="389"/>
      <c r="Y127" s="389"/>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x14ac:dyDescent="0.35">
      <c r="A128" s="21"/>
      <c r="B128" s="238"/>
      <c r="C128" s="416" t="s">
        <v>163</v>
      </c>
      <c r="D128" s="417">
        <v>0.18</v>
      </c>
      <c r="E128" s="417">
        <v>0.15</v>
      </c>
      <c r="F128" s="418">
        <v>0.17</v>
      </c>
      <c r="G128" s="131"/>
      <c r="H128" s="131"/>
      <c r="I128" s="131"/>
      <c r="J128" s="431" t="s">
        <v>287</v>
      </c>
      <c r="K128" s="423">
        <v>0.2</v>
      </c>
      <c r="L128" s="426">
        <v>0.05</v>
      </c>
      <c r="M128" s="131"/>
      <c r="N128" s="131"/>
      <c r="O128" s="131"/>
      <c r="P128" s="131"/>
      <c r="Q128" s="131"/>
      <c r="R128" s="131"/>
      <c r="S128" s="131"/>
      <c r="T128" s="131"/>
      <c r="U128" s="131"/>
      <c r="V128" s="131"/>
      <c r="W128" s="389"/>
      <c r="X128" s="389"/>
      <c r="Y128" s="389"/>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x14ac:dyDescent="0.35">
      <c r="A129" s="21"/>
      <c r="B129" s="238"/>
      <c r="C129" s="409" t="s">
        <v>162</v>
      </c>
      <c r="D129" s="411">
        <v>0.11</v>
      </c>
      <c r="E129" s="411">
        <v>0.11</v>
      </c>
      <c r="F129" s="412">
        <v>0.06</v>
      </c>
      <c r="G129" s="131"/>
      <c r="H129" s="131"/>
      <c r="I129" s="131"/>
      <c r="J129" s="421" t="s">
        <v>288</v>
      </c>
      <c r="K129" s="424">
        <v>0</v>
      </c>
      <c r="L129" s="427">
        <v>0.2</v>
      </c>
      <c r="M129" s="131"/>
      <c r="N129" s="131"/>
      <c r="O129" s="131"/>
      <c r="P129" s="131"/>
      <c r="Q129" s="131"/>
      <c r="R129" s="131"/>
      <c r="S129" s="131"/>
      <c r="T129" s="131"/>
      <c r="U129" s="131"/>
      <c r="V129" s="131"/>
      <c r="W129" s="389"/>
      <c r="X129" s="389"/>
      <c r="Y129" s="389"/>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x14ac:dyDescent="0.35">
      <c r="A130" s="21"/>
      <c r="B130" s="238"/>
      <c r="C130" s="409" t="s">
        <v>165</v>
      </c>
      <c r="D130" s="411">
        <v>0.09</v>
      </c>
      <c r="E130" s="411">
        <v>0.08</v>
      </c>
      <c r="F130" s="412">
        <v>0.06</v>
      </c>
      <c r="G130" s="131"/>
      <c r="H130" s="131"/>
      <c r="I130" s="131"/>
      <c r="J130" s="421" t="s">
        <v>289</v>
      </c>
      <c r="K130" s="424">
        <v>0.2</v>
      </c>
      <c r="L130" s="427">
        <v>0.05</v>
      </c>
      <c r="M130" s="131"/>
      <c r="N130" s="131"/>
      <c r="O130" s="131"/>
      <c r="P130" s="131"/>
      <c r="Q130" s="131"/>
      <c r="R130" s="131"/>
      <c r="S130" s="131"/>
      <c r="T130" s="131"/>
      <c r="U130" s="131"/>
      <c r="V130" s="131"/>
      <c r="W130" s="389"/>
      <c r="X130" s="389"/>
      <c r="Y130" s="389"/>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x14ac:dyDescent="0.35">
      <c r="A131" s="21"/>
      <c r="B131" s="238"/>
      <c r="C131" s="409" t="s">
        <v>164</v>
      </c>
      <c r="D131" s="411">
        <v>0.11</v>
      </c>
      <c r="E131" s="411">
        <v>0.1</v>
      </c>
      <c r="F131" s="412">
        <v>7.0000000000000007E-2</v>
      </c>
      <c r="G131" s="131"/>
      <c r="H131" s="131"/>
      <c r="I131" s="131"/>
      <c r="J131" s="421" t="s">
        <v>290</v>
      </c>
      <c r="K131" s="424">
        <v>0.2</v>
      </c>
      <c r="L131" s="427">
        <v>0.05</v>
      </c>
      <c r="M131" s="131"/>
      <c r="N131" s="131"/>
      <c r="O131" s="131"/>
      <c r="P131" s="131"/>
      <c r="Q131" s="131"/>
      <c r="R131" s="131"/>
      <c r="S131" s="131"/>
      <c r="T131" s="131"/>
      <c r="U131" s="131"/>
      <c r="V131" s="131"/>
      <c r="W131" s="389"/>
      <c r="X131" s="389"/>
      <c r="Y131" s="389"/>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x14ac:dyDescent="0.35">
      <c r="A132" s="21"/>
      <c r="B132" s="238"/>
      <c r="C132" s="409" t="s">
        <v>166</v>
      </c>
      <c r="D132" s="411">
        <v>0.15</v>
      </c>
      <c r="E132" s="411">
        <v>0.13</v>
      </c>
      <c r="F132" s="412">
        <v>0.1</v>
      </c>
      <c r="G132" s="131"/>
      <c r="H132" s="131"/>
      <c r="I132" s="131"/>
      <c r="J132" s="421" t="s">
        <v>291</v>
      </c>
      <c r="K132" s="424">
        <v>0.15</v>
      </c>
      <c r="L132" s="427">
        <v>0.1</v>
      </c>
      <c r="M132" s="131"/>
      <c r="N132" s="131"/>
      <c r="O132" s="131"/>
      <c r="P132" s="131"/>
      <c r="Q132" s="131"/>
      <c r="R132" s="131"/>
      <c r="S132" s="131"/>
      <c r="T132" s="131"/>
      <c r="U132" s="131"/>
      <c r="V132" s="131"/>
      <c r="W132" s="389"/>
      <c r="X132" s="389"/>
      <c r="Y132" s="389"/>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x14ac:dyDescent="0.35">
      <c r="A133" s="21"/>
      <c r="B133" s="238"/>
      <c r="C133" s="409" t="s">
        <v>167</v>
      </c>
      <c r="D133" s="411">
        <v>0.11</v>
      </c>
      <c r="E133" s="411">
        <v>0.09</v>
      </c>
      <c r="F133" s="412">
        <v>7.0000000000000007E-2</v>
      </c>
      <c r="G133" s="131"/>
      <c r="H133" s="131"/>
      <c r="I133" s="131"/>
      <c r="J133" s="421" t="s">
        <v>292</v>
      </c>
      <c r="K133" s="424">
        <v>0</v>
      </c>
      <c r="L133" s="427">
        <v>0.3</v>
      </c>
      <c r="M133" s="131"/>
      <c r="N133" s="131"/>
      <c r="O133" s="131"/>
      <c r="P133" s="131"/>
      <c r="Q133" s="131"/>
      <c r="R133" s="131"/>
      <c r="S133" s="131"/>
      <c r="T133" s="131"/>
      <c r="U133" s="131"/>
      <c r="V133" s="131"/>
      <c r="W133" s="389"/>
      <c r="X133" s="389"/>
      <c r="Y133" s="389"/>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x14ac:dyDescent="0.35">
      <c r="A134" s="21"/>
      <c r="B134" s="238"/>
      <c r="C134" s="409" t="s">
        <v>168</v>
      </c>
      <c r="D134" s="411">
        <v>0.17</v>
      </c>
      <c r="E134" s="411">
        <v>0.15</v>
      </c>
      <c r="F134" s="412">
        <v>0.13</v>
      </c>
      <c r="G134" s="131"/>
      <c r="H134" s="131"/>
      <c r="I134" s="131"/>
      <c r="J134" s="421" t="s">
        <v>293</v>
      </c>
      <c r="K134" s="424">
        <v>0.2</v>
      </c>
      <c r="L134" s="427">
        <v>0.05</v>
      </c>
      <c r="M134" s="131"/>
      <c r="N134" s="131"/>
      <c r="O134" s="131"/>
      <c r="P134" s="131"/>
      <c r="Q134" s="131"/>
      <c r="R134" s="131"/>
      <c r="S134" s="131"/>
      <c r="T134" s="131"/>
      <c r="U134" s="131"/>
      <c r="V134" s="131"/>
      <c r="W134" s="389"/>
      <c r="X134" s="389"/>
      <c r="Y134" s="389"/>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x14ac:dyDescent="0.35">
      <c r="A135" s="21"/>
      <c r="B135" s="238"/>
      <c r="C135" s="409" t="s">
        <v>11</v>
      </c>
      <c r="D135" s="411">
        <v>0.12</v>
      </c>
      <c r="E135" s="411">
        <v>0.12</v>
      </c>
      <c r="F135" s="412">
        <v>0.05</v>
      </c>
      <c r="G135" s="131"/>
      <c r="H135" s="131"/>
      <c r="I135" s="131"/>
      <c r="J135" s="421" t="s">
        <v>294</v>
      </c>
      <c r="K135" s="424">
        <v>0</v>
      </c>
      <c r="L135" s="427">
        <v>0.15</v>
      </c>
      <c r="M135" s="131"/>
      <c r="N135" s="131"/>
      <c r="O135" s="131"/>
      <c r="P135" s="131"/>
      <c r="Q135" s="131"/>
      <c r="R135" s="131"/>
      <c r="S135" s="131"/>
      <c r="T135" s="131"/>
      <c r="U135" s="131"/>
      <c r="V135" s="131"/>
      <c r="W135" s="389"/>
      <c r="X135" s="389"/>
      <c r="Y135" s="389"/>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s="4" customFormat="1" ht="15.6" thickBot="1" x14ac:dyDescent="0.4">
      <c r="A136" s="21"/>
      <c r="B136" s="238"/>
      <c r="C136" s="409" t="s">
        <v>169</v>
      </c>
      <c r="D136" s="411">
        <v>0.14000000000000001</v>
      </c>
      <c r="E136" s="411">
        <v>0.1</v>
      </c>
      <c r="F136" s="412">
        <v>0.08</v>
      </c>
      <c r="G136" s="131"/>
      <c r="H136" s="131"/>
      <c r="I136" s="131"/>
      <c r="J136" s="422" t="s">
        <v>298</v>
      </c>
      <c r="K136" s="425">
        <v>0.05</v>
      </c>
      <c r="L136" s="428">
        <v>0.05</v>
      </c>
      <c r="M136" s="131"/>
      <c r="N136" s="131"/>
      <c r="O136" s="131"/>
      <c r="P136" s="131"/>
      <c r="Q136" s="131"/>
      <c r="R136" s="131"/>
      <c r="S136" s="131"/>
      <c r="T136" s="131"/>
      <c r="U136" s="131"/>
      <c r="V136" s="131"/>
      <c r="W136" s="389"/>
      <c r="X136" s="389"/>
      <c r="Y136" s="389"/>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row>
    <row r="137" spans="1:81" x14ac:dyDescent="0.35">
      <c r="A137" s="21"/>
      <c r="B137" s="238"/>
      <c r="C137" s="409" t="s">
        <v>170</v>
      </c>
      <c r="D137" s="411">
        <v>0.11</v>
      </c>
      <c r="E137" s="411">
        <v>0.1</v>
      </c>
      <c r="F137" s="412">
        <v>0.08</v>
      </c>
      <c r="G137" s="131"/>
      <c r="H137" s="131"/>
      <c r="I137" s="131"/>
      <c r="J137" s="430" t="s">
        <v>296</v>
      </c>
      <c r="K137" s="429">
        <f>SUM(K128:K136)</f>
        <v>1.0000000000000002</v>
      </c>
      <c r="L137" s="429">
        <f>SUM(L128:L136)</f>
        <v>1</v>
      </c>
      <c r="M137" s="131"/>
      <c r="N137" s="131"/>
      <c r="O137" s="131"/>
      <c r="P137" s="131"/>
      <c r="Q137" s="131"/>
      <c r="R137" s="131"/>
      <c r="S137" s="131"/>
      <c r="T137" s="131"/>
      <c r="U137" s="131"/>
      <c r="V137" s="131"/>
      <c r="W137" s="389"/>
      <c r="X137" s="389"/>
      <c r="Y137" s="389"/>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x14ac:dyDescent="0.35">
      <c r="A138" s="21"/>
      <c r="B138" s="238"/>
      <c r="C138" s="409" t="s">
        <v>171</v>
      </c>
      <c r="D138" s="411">
        <v>0.11</v>
      </c>
      <c r="E138" s="411">
        <v>0.1</v>
      </c>
      <c r="F138" s="412">
        <v>0.06</v>
      </c>
      <c r="G138" s="389"/>
      <c r="H138" s="389"/>
      <c r="I138" s="389"/>
      <c r="J138" s="389"/>
      <c r="K138" s="389"/>
      <c r="L138" s="389"/>
      <c r="M138" s="389"/>
      <c r="N138" s="389"/>
      <c r="O138" s="389"/>
      <c r="P138" s="389"/>
      <c r="Q138" s="389"/>
      <c r="R138" s="389"/>
      <c r="S138" s="389"/>
      <c r="T138" s="389"/>
      <c r="U138" s="389"/>
      <c r="V138" s="389"/>
      <c r="W138" s="389"/>
      <c r="X138" s="389"/>
      <c r="Y138" s="389"/>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x14ac:dyDescent="0.35">
      <c r="A139" s="21"/>
      <c r="B139" s="238"/>
      <c r="C139" s="409" t="s">
        <v>172</v>
      </c>
      <c r="D139" s="411">
        <v>0.37</v>
      </c>
      <c r="E139" s="411">
        <v>0.35</v>
      </c>
      <c r="F139" s="412">
        <v>0.31</v>
      </c>
      <c r="G139" s="35"/>
      <c r="H139" s="388"/>
      <c r="I139" s="388"/>
      <c r="J139" s="388"/>
      <c r="K139" s="388"/>
      <c r="L139" s="388"/>
      <c r="M139" s="388"/>
      <c r="N139" s="388"/>
      <c r="O139" s="388"/>
      <c r="P139" s="388"/>
      <c r="Q139" s="388"/>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x14ac:dyDescent="0.35">
      <c r="A140" s="21"/>
      <c r="B140" s="238"/>
      <c r="C140" s="409" t="s">
        <v>176</v>
      </c>
      <c r="D140" s="411">
        <v>0.11</v>
      </c>
      <c r="E140" s="411">
        <v>0.08</v>
      </c>
      <c r="F140" s="412">
        <v>0.05</v>
      </c>
      <c r="G140" s="35"/>
      <c r="H140" s="388"/>
      <c r="I140" s="388"/>
      <c r="J140" s="146"/>
      <c r="K140" s="146"/>
      <c r="L140" s="146"/>
      <c r="M140" s="388"/>
      <c r="N140" s="388"/>
      <c r="O140" s="388"/>
      <c r="P140" s="388"/>
      <c r="Q140" s="388"/>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81" s="4" customFormat="1" ht="12" customHeight="1" x14ac:dyDescent="0.35">
      <c r="A141" s="21"/>
      <c r="B141" s="238"/>
      <c r="C141" s="409" t="s">
        <v>173</v>
      </c>
      <c r="D141" s="411">
        <v>0.09</v>
      </c>
      <c r="E141" s="411">
        <v>7.0000000000000007E-2</v>
      </c>
      <c r="F141" s="412">
        <v>0.05</v>
      </c>
      <c r="G141" s="35"/>
      <c r="H141" s="388"/>
      <c r="I141" s="488"/>
      <c r="J141" s="146"/>
      <c r="K141" s="146"/>
      <c r="L141" s="146"/>
      <c r="M141" s="388"/>
      <c r="N141" s="388"/>
      <c r="O141" s="388"/>
      <c r="P141" s="388"/>
      <c r="Q141" s="388"/>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x14ac:dyDescent="0.35">
      <c r="A142" s="142"/>
      <c r="B142" s="238"/>
      <c r="C142" s="409" t="s">
        <v>174</v>
      </c>
      <c r="D142" s="411">
        <v>0.11</v>
      </c>
      <c r="E142" s="411">
        <v>0.08</v>
      </c>
      <c r="F142" s="412">
        <v>0.06</v>
      </c>
      <c r="G142" s="35"/>
      <c r="H142" s="388"/>
      <c r="I142" s="488"/>
      <c r="J142" s="146"/>
      <c r="K142" s="146"/>
      <c r="L142" s="146"/>
      <c r="M142" s="388"/>
      <c r="N142" s="388"/>
      <c r="O142" s="388"/>
      <c r="P142" s="388"/>
      <c r="Q142" s="388"/>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x14ac:dyDescent="0.35">
      <c r="A143" s="142"/>
      <c r="B143" s="238"/>
      <c r="C143" s="409" t="s">
        <v>175</v>
      </c>
      <c r="D143" s="411">
        <v>0.11</v>
      </c>
      <c r="E143" s="411">
        <v>0.09</v>
      </c>
      <c r="F143" s="412">
        <v>0.06</v>
      </c>
      <c r="G143" s="35"/>
      <c r="H143" s="388"/>
      <c r="I143" s="488"/>
      <c r="J143" s="146"/>
      <c r="K143" s="146"/>
      <c r="L143" s="146"/>
      <c r="M143" s="388"/>
      <c r="N143" s="388"/>
      <c r="O143" s="388"/>
      <c r="P143" s="388"/>
      <c r="Q143" s="388"/>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x14ac:dyDescent="0.35">
      <c r="A144" s="142"/>
      <c r="B144" s="238"/>
      <c r="C144" s="409" t="s">
        <v>177</v>
      </c>
      <c r="D144" s="411">
        <v>0.11</v>
      </c>
      <c r="E144" s="411">
        <v>0.09</v>
      </c>
      <c r="F144" s="412">
        <v>7.0000000000000007E-2</v>
      </c>
      <c r="G144" s="35"/>
      <c r="H144" s="388"/>
      <c r="I144" s="488"/>
      <c r="J144" s="146"/>
      <c r="K144" s="146"/>
      <c r="L144" s="146"/>
      <c r="M144" s="388"/>
      <c r="N144" s="388"/>
      <c r="O144" s="388"/>
      <c r="P144" s="388"/>
      <c r="Q144" s="388"/>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x14ac:dyDescent="0.35">
      <c r="A145" s="142"/>
      <c r="B145" s="238"/>
      <c r="C145" s="409" t="s">
        <v>178</v>
      </c>
      <c r="D145" s="411">
        <v>0.09</v>
      </c>
      <c r="E145" s="411">
        <v>0.09</v>
      </c>
      <c r="F145" s="412">
        <v>0.05</v>
      </c>
      <c r="G145" s="35"/>
      <c r="H145" s="388"/>
      <c r="I145" s="488"/>
      <c r="J145" s="146"/>
      <c r="K145" s="146"/>
      <c r="L145" s="146"/>
      <c r="M145" s="388"/>
      <c r="N145" s="388"/>
      <c r="O145" s="388"/>
      <c r="P145" s="388"/>
      <c r="Q145" s="388"/>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x14ac:dyDescent="0.35">
      <c r="A146" s="142"/>
      <c r="B146" s="238"/>
      <c r="C146" s="409" t="s">
        <v>179</v>
      </c>
      <c r="D146" s="411">
        <v>0.08</v>
      </c>
      <c r="E146" s="411">
        <v>0.08</v>
      </c>
      <c r="F146" s="412">
        <v>0.05</v>
      </c>
      <c r="G146" s="35"/>
      <c r="H146" s="388"/>
      <c r="I146" s="488"/>
      <c r="J146" s="146"/>
      <c r="K146" s="146"/>
      <c r="L146" s="146"/>
      <c r="M146" s="388"/>
      <c r="N146" s="388"/>
      <c r="O146" s="388"/>
      <c r="P146" s="388"/>
      <c r="Q146" s="388"/>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x14ac:dyDescent="0.35">
      <c r="A147" s="142"/>
      <c r="B147" s="238"/>
      <c r="C147" s="409" t="s">
        <v>182</v>
      </c>
      <c r="D147" s="411">
        <v>0.15</v>
      </c>
      <c r="E147" s="411">
        <v>0.14000000000000001</v>
      </c>
      <c r="F147" s="412">
        <v>0.13</v>
      </c>
      <c r="G147" s="35"/>
      <c r="H147" s="388"/>
      <c r="I147" s="488"/>
      <c r="J147" s="146"/>
      <c r="K147" s="146"/>
      <c r="L147" s="146"/>
      <c r="M147" s="388"/>
      <c r="N147" s="388"/>
      <c r="O147" s="388"/>
      <c r="P147" s="388"/>
      <c r="Q147" s="388"/>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x14ac:dyDescent="0.35">
      <c r="A148" s="142"/>
      <c r="B148" s="238"/>
      <c r="C148" s="409" t="s">
        <v>181</v>
      </c>
      <c r="D148" s="411">
        <v>0.13</v>
      </c>
      <c r="E148" s="411">
        <v>0.1</v>
      </c>
      <c r="F148" s="412">
        <v>0.08</v>
      </c>
      <c r="G148" s="35"/>
      <c r="H148" s="388"/>
      <c r="I148" s="488"/>
      <c r="J148" s="146"/>
      <c r="K148" s="146"/>
      <c r="L148" s="146"/>
      <c r="M148" s="388"/>
      <c r="N148" s="388"/>
      <c r="O148" s="388"/>
      <c r="P148" s="388"/>
      <c r="Q148" s="388"/>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x14ac:dyDescent="0.35">
      <c r="A149" s="142"/>
      <c r="B149" s="238"/>
      <c r="C149" s="409" t="s">
        <v>180</v>
      </c>
      <c r="D149" s="411">
        <v>0.15</v>
      </c>
      <c r="E149" s="411">
        <v>0.12</v>
      </c>
      <c r="F149" s="412">
        <v>0.08</v>
      </c>
      <c r="G149" s="35"/>
      <c r="H149" s="388"/>
      <c r="I149" s="488"/>
      <c r="J149" s="146"/>
      <c r="K149" s="146"/>
      <c r="L149" s="146"/>
      <c r="M149" s="388"/>
      <c r="N149" s="388"/>
      <c r="O149" s="388"/>
      <c r="P149" s="388"/>
      <c r="Q149" s="388"/>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s="4" customFormat="1" x14ac:dyDescent="0.35">
      <c r="A150" s="142"/>
      <c r="B150" s="238"/>
      <c r="C150" s="409" t="s">
        <v>183</v>
      </c>
      <c r="D150" s="411">
        <v>0.14000000000000001</v>
      </c>
      <c r="E150" s="411">
        <v>0.11</v>
      </c>
      <c r="F150" s="412">
        <v>0.08</v>
      </c>
      <c r="G150" s="35"/>
      <c r="H150" s="388"/>
      <c r="I150" s="488"/>
      <c r="J150" s="146"/>
      <c r="K150" s="146"/>
      <c r="L150" s="146"/>
      <c r="M150" s="388"/>
      <c r="N150" s="388"/>
      <c r="O150" s="388"/>
      <c r="P150" s="388"/>
      <c r="Q150" s="388"/>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4"/>
      <c r="AV150" s="9"/>
      <c r="AW150" s="12"/>
      <c r="AX150" s="9"/>
      <c r="AY150" s="11"/>
      <c r="AZ150" s="12"/>
      <c r="BA150" s="2"/>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row>
    <row r="151" spans="1:81" x14ac:dyDescent="0.35">
      <c r="A151" s="142"/>
      <c r="B151" s="238"/>
      <c r="C151" s="409" t="s">
        <v>184</v>
      </c>
      <c r="D151" s="411">
        <v>0.11</v>
      </c>
      <c r="E151" s="411">
        <v>0.09</v>
      </c>
      <c r="F151" s="412">
        <v>7.0000000000000007E-2</v>
      </c>
      <c r="G151" s="35"/>
      <c r="H151" s="388"/>
      <c r="I151" s="488"/>
      <c r="J151" s="146"/>
      <c r="K151" s="146"/>
      <c r="L151" s="146"/>
      <c r="M151" s="388"/>
      <c r="N151" s="388"/>
      <c r="O151" s="388"/>
      <c r="P151" s="388"/>
      <c r="Q151" s="388"/>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x14ac:dyDescent="0.35">
      <c r="A152" s="142"/>
      <c r="B152" s="238"/>
      <c r="C152" s="409" t="s">
        <v>186</v>
      </c>
      <c r="D152" s="411">
        <v>0.1</v>
      </c>
      <c r="E152" s="411">
        <v>0.08</v>
      </c>
      <c r="F152" s="412">
        <v>0.06</v>
      </c>
      <c r="G152" s="35"/>
      <c r="H152" s="388"/>
      <c r="I152" s="488"/>
      <c r="J152" s="488"/>
      <c r="K152" s="488"/>
      <c r="L152" s="488"/>
      <c r="M152" s="388"/>
      <c r="N152" s="388"/>
      <c r="O152" s="388"/>
      <c r="P152" s="388"/>
      <c r="Q152" s="388"/>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x14ac:dyDescent="0.35">
      <c r="A153" s="142"/>
      <c r="B153" s="238"/>
      <c r="C153" s="409" t="s">
        <v>185</v>
      </c>
      <c r="D153" s="411">
        <v>0.1</v>
      </c>
      <c r="E153" s="411">
        <v>0.09</v>
      </c>
      <c r="F153" s="412">
        <v>0.06</v>
      </c>
      <c r="G153" s="35"/>
      <c r="H153" s="388"/>
      <c r="I153" s="488"/>
      <c r="J153" s="488"/>
      <c r="K153" s="488"/>
      <c r="L153" s="488"/>
      <c r="M153" s="388"/>
      <c r="N153" s="388"/>
      <c r="O153" s="388"/>
      <c r="P153" s="388"/>
      <c r="Q153" s="388"/>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x14ac:dyDescent="0.35">
      <c r="A154" s="142"/>
      <c r="B154" s="238"/>
      <c r="C154" s="409" t="s">
        <v>187</v>
      </c>
      <c r="D154" s="411">
        <v>0.1</v>
      </c>
      <c r="E154" s="411">
        <v>0.09</v>
      </c>
      <c r="F154" s="412">
        <v>0.05</v>
      </c>
      <c r="G154" s="35"/>
      <c r="H154" s="388"/>
      <c r="I154" s="488"/>
      <c r="J154" s="488"/>
      <c r="K154" s="488"/>
      <c r="L154" s="488"/>
      <c r="M154" s="388"/>
      <c r="N154" s="388"/>
      <c r="O154" s="388"/>
      <c r="P154" s="388"/>
      <c r="Q154" s="388"/>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x14ac:dyDescent="0.35">
      <c r="A155" s="142"/>
      <c r="B155" s="238"/>
      <c r="C155" s="409" t="s">
        <v>194</v>
      </c>
      <c r="D155" s="411">
        <v>0.11</v>
      </c>
      <c r="E155" s="411">
        <v>0.09</v>
      </c>
      <c r="F155" s="412">
        <v>0.06</v>
      </c>
      <c r="G155" s="35"/>
      <c r="H155" s="388"/>
      <c r="I155" s="488"/>
      <c r="J155" s="488"/>
      <c r="K155" s="488"/>
      <c r="L155" s="488"/>
      <c r="M155" s="388"/>
      <c r="N155" s="388"/>
      <c r="O155" s="388"/>
      <c r="P155" s="388"/>
      <c r="Q155" s="388"/>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x14ac:dyDescent="0.35">
      <c r="A156" s="142"/>
      <c r="B156" s="238"/>
      <c r="C156" s="409" t="s">
        <v>195</v>
      </c>
      <c r="D156" s="411">
        <v>0.09</v>
      </c>
      <c r="E156" s="411">
        <v>0.08</v>
      </c>
      <c r="F156" s="412">
        <v>7.0000000000000007E-2</v>
      </c>
      <c r="G156" s="35"/>
      <c r="H156" s="388"/>
      <c r="I156" s="488"/>
      <c r="J156" s="488"/>
      <c r="K156" s="488"/>
      <c r="L156" s="488"/>
      <c r="M156" s="388"/>
      <c r="N156" s="388"/>
      <c r="O156" s="388"/>
      <c r="P156" s="388"/>
      <c r="Q156" s="388"/>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1"/>
      <c r="AV156" s="9"/>
      <c r="AW156" s="12"/>
      <c r="AX156" s="9"/>
      <c r="AY156" s="11"/>
      <c r="AZ156" s="12"/>
      <c r="BA156" s="2"/>
    </row>
    <row r="157" spans="1:81" x14ac:dyDescent="0.35">
      <c r="A157" s="142"/>
      <c r="B157" s="238"/>
      <c r="C157" s="409" t="s">
        <v>188</v>
      </c>
      <c r="D157" s="411">
        <v>0.1</v>
      </c>
      <c r="E157" s="411">
        <v>0.08</v>
      </c>
      <c r="F157" s="412">
        <v>7.0000000000000007E-2</v>
      </c>
      <c r="G157" s="35"/>
      <c r="H157" s="388"/>
      <c r="I157" s="488"/>
      <c r="J157" s="488"/>
      <c r="K157" s="488"/>
      <c r="L157" s="488"/>
      <c r="M157" s="388"/>
      <c r="N157" s="388"/>
      <c r="O157" s="388"/>
      <c r="P157" s="388"/>
      <c r="Q157" s="388"/>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3"/>
      <c r="AV157" s="9"/>
      <c r="AW157" s="12"/>
      <c r="AX157" s="9"/>
      <c r="AY157" s="11"/>
      <c r="AZ157" s="12"/>
      <c r="BA157" s="2"/>
    </row>
    <row r="158" spans="1:81" x14ac:dyDescent="0.35">
      <c r="A158" s="142"/>
      <c r="B158" s="238"/>
      <c r="C158" s="409" t="s">
        <v>190</v>
      </c>
      <c r="D158" s="411">
        <v>0.16</v>
      </c>
      <c r="E158" s="411">
        <v>0.13</v>
      </c>
      <c r="F158" s="412">
        <v>0.12</v>
      </c>
      <c r="G158" s="35"/>
      <c r="H158" s="388"/>
      <c r="I158" s="488"/>
      <c r="J158" s="488"/>
      <c r="K158" s="488"/>
      <c r="L158" s="488"/>
      <c r="M158" s="388"/>
      <c r="N158" s="388"/>
      <c r="O158" s="388"/>
      <c r="P158" s="388"/>
      <c r="Q158" s="388"/>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x14ac:dyDescent="0.35">
      <c r="A159" s="142"/>
      <c r="B159" s="238"/>
      <c r="C159" s="409" t="s">
        <v>191</v>
      </c>
      <c r="D159" s="411">
        <v>0.16</v>
      </c>
      <c r="E159" s="411">
        <v>0.13</v>
      </c>
      <c r="F159" s="412">
        <v>0.11</v>
      </c>
      <c r="G159" s="35"/>
      <c r="H159" s="35"/>
      <c r="I159" s="238"/>
      <c r="J159" s="238"/>
      <c r="K159" s="238"/>
      <c r="L159" s="238"/>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x14ac:dyDescent="0.35">
      <c r="A160" s="142"/>
      <c r="B160" s="238"/>
      <c r="C160" s="409" t="s">
        <v>192</v>
      </c>
      <c r="D160" s="411">
        <v>0.11</v>
      </c>
      <c r="E160" s="411">
        <v>0.09</v>
      </c>
      <c r="F160" s="412">
        <v>0.06</v>
      </c>
      <c r="G160" s="35"/>
      <c r="H160" s="35"/>
      <c r="I160" s="238"/>
      <c r="J160" s="238"/>
      <c r="K160" s="238"/>
      <c r="L160" s="238"/>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x14ac:dyDescent="0.35">
      <c r="A161" s="142"/>
      <c r="B161" s="238"/>
      <c r="C161" s="409" t="s">
        <v>189</v>
      </c>
      <c r="D161" s="411">
        <v>0.12</v>
      </c>
      <c r="E161" s="411">
        <v>0.09</v>
      </c>
      <c r="F161" s="412">
        <v>0.06</v>
      </c>
      <c r="G161" s="35"/>
      <c r="H161" s="35"/>
      <c r="I161" s="238"/>
      <c r="J161" s="238"/>
      <c r="K161" s="238"/>
      <c r="L161" s="238"/>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x14ac:dyDescent="0.35">
      <c r="A162" s="142"/>
      <c r="B162" s="238"/>
      <c r="C162" s="409" t="s">
        <v>193</v>
      </c>
      <c r="D162" s="411">
        <v>0.18</v>
      </c>
      <c r="E162" s="411">
        <v>0.15</v>
      </c>
      <c r="F162" s="412">
        <v>7.0000000000000007E-2</v>
      </c>
      <c r="G162" s="35"/>
      <c r="H162" s="35"/>
      <c r="I162" s="238"/>
      <c r="J162" s="238"/>
      <c r="K162" s="238"/>
      <c r="L162" s="238"/>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x14ac:dyDescent="0.35">
      <c r="A163" s="142"/>
      <c r="B163" s="238"/>
      <c r="C163" s="409" t="s">
        <v>196</v>
      </c>
      <c r="D163" s="411">
        <v>0.12</v>
      </c>
      <c r="E163" s="411">
        <v>0.09</v>
      </c>
      <c r="F163" s="412">
        <v>0.06</v>
      </c>
      <c r="G163" s="35"/>
      <c r="H163" s="35"/>
      <c r="I163" s="238"/>
      <c r="J163" s="238"/>
      <c r="K163" s="238"/>
      <c r="L163" s="238"/>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x14ac:dyDescent="0.35">
      <c r="A164" s="142"/>
      <c r="B164" s="238"/>
      <c r="C164" s="409" t="s">
        <v>197</v>
      </c>
      <c r="D164" s="411">
        <v>0.1</v>
      </c>
      <c r="E164" s="411">
        <v>7.0000000000000007E-2</v>
      </c>
      <c r="F164" s="412">
        <v>0.05</v>
      </c>
      <c r="G164" s="35"/>
      <c r="H164" s="35"/>
      <c r="I164" s="238"/>
      <c r="J164" s="238"/>
      <c r="K164" s="238"/>
      <c r="L164" s="238"/>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x14ac:dyDescent="0.35">
      <c r="A165" s="142"/>
      <c r="B165" s="238"/>
      <c r="C165" s="409" t="s">
        <v>198</v>
      </c>
      <c r="D165" s="411">
        <v>0.1</v>
      </c>
      <c r="E165" s="411">
        <v>0.08</v>
      </c>
      <c r="F165" s="412">
        <v>0.06</v>
      </c>
      <c r="G165" s="35"/>
      <c r="H165" s="35"/>
      <c r="I165" s="238"/>
      <c r="J165" s="238"/>
      <c r="K165" s="238"/>
      <c r="L165" s="238"/>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x14ac:dyDescent="0.35">
      <c r="A166" s="142"/>
      <c r="B166" s="238"/>
      <c r="C166" s="409" t="s">
        <v>199</v>
      </c>
      <c r="D166" s="411">
        <v>0.13</v>
      </c>
      <c r="E166" s="411">
        <v>0.09</v>
      </c>
      <c r="F166" s="412">
        <v>7.0000000000000007E-2</v>
      </c>
      <c r="G166" s="35"/>
      <c r="H166" s="35"/>
      <c r="I166" s="238"/>
      <c r="J166" s="238"/>
      <c r="K166" s="238"/>
      <c r="L166" s="238"/>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x14ac:dyDescent="0.35">
      <c r="A167" s="142"/>
      <c r="B167" s="238"/>
      <c r="C167" s="409" t="s">
        <v>200</v>
      </c>
      <c r="D167" s="411">
        <v>0.14000000000000001</v>
      </c>
      <c r="E167" s="411">
        <v>0.12</v>
      </c>
      <c r="F167" s="412">
        <v>0.11</v>
      </c>
      <c r="G167" s="35"/>
      <c r="H167" s="35"/>
      <c r="I167" s="238"/>
      <c r="J167" s="238"/>
      <c r="K167" s="238"/>
      <c r="L167" s="238"/>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1"/>
      <c r="AV167" s="9"/>
      <c r="AW167" s="12"/>
      <c r="AX167" s="9"/>
      <c r="AY167" s="11"/>
      <c r="AZ167" s="12"/>
      <c r="BA167" s="2"/>
    </row>
    <row r="168" spans="1:53" x14ac:dyDescent="0.35">
      <c r="A168" s="142"/>
      <c r="B168" s="238"/>
      <c r="C168" s="409" t="s">
        <v>201</v>
      </c>
      <c r="D168" s="411">
        <v>0.12</v>
      </c>
      <c r="E168" s="411">
        <v>0.1</v>
      </c>
      <c r="F168" s="412">
        <v>0.06</v>
      </c>
      <c r="G168" s="35"/>
      <c r="H168" s="35"/>
      <c r="I168" s="238"/>
      <c r="J168" s="238"/>
      <c r="K168" s="238"/>
      <c r="L168" s="238"/>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x14ac:dyDescent="0.35">
      <c r="A169" s="142"/>
      <c r="B169" s="238"/>
      <c r="C169" s="409" t="s">
        <v>202</v>
      </c>
      <c r="D169" s="411">
        <v>0.1</v>
      </c>
      <c r="E169" s="411">
        <v>0.08</v>
      </c>
      <c r="F169" s="412">
        <v>7.0000000000000007E-2</v>
      </c>
      <c r="G169" s="35"/>
      <c r="H169" s="35"/>
      <c r="I169" s="238"/>
      <c r="J169" s="238"/>
      <c r="K169" s="238"/>
      <c r="L169" s="238"/>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3"/>
      <c r="AV169" s="9"/>
      <c r="AW169" s="12"/>
      <c r="AX169" s="9"/>
      <c r="AY169" s="11"/>
      <c r="AZ169" s="12"/>
      <c r="BA169" s="2"/>
    </row>
    <row r="170" spans="1:53" x14ac:dyDescent="0.35">
      <c r="A170" s="142"/>
      <c r="B170" s="238"/>
      <c r="C170" s="409" t="s">
        <v>203</v>
      </c>
      <c r="D170" s="411">
        <v>0.1</v>
      </c>
      <c r="E170" s="411">
        <v>0.1</v>
      </c>
      <c r="F170" s="412">
        <v>7.0000000000000007E-2</v>
      </c>
      <c r="G170" s="35"/>
      <c r="H170" s="35"/>
      <c r="I170" s="238"/>
      <c r="J170" s="238"/>
      <c r="K170" s="238"/>
      <c r="L170" s="238"/>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1"/>
      <c r="AV170" s="9"/>
      <c r="AW170" s="12"/>
      <c r="AX170" s="9"/>
      <c r="AY170" s="11"/>
      <c r="AZ170" s="12"/>
      <c r="BA170" s="2"/>
    </row>
    <row r="171" spans="1:53" x14ac:dyDescent="0.35">
      <c r="A171" s="142"/>
      <c r="B171" s="238"/>
      <c r="C171" s="409" t="s">
        <v>204</v>
      </c>
      <c r="D171" s="411">
        <v>0.11</v>
      </c>
      <c r="E171" s="411">
        <v>0.08</v>
      </c>
      <c r="F171" s="412">
        <v>0.06</v>
      </c>
      <c r="G171" s="35"/>
      <c r="H171" s="35"/>
      <c r="I171" s="238"/>
      <c r="J171" s="238"/>
      <c r="K171" s="238"/>
      <c r="L171" s="238"/>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3"/>
      <c r="AV171" s="9"/>
      <c r="AW171" s="12"/>
      <c r="AX171" s="9"/>
      <c r="AY171" s="11"/>
      <c r="AZ171" s="12"/>
      <c r="BA171" s="2"/>
    </row>
    <row r="172" spans="1:53" x14ac:dyDescent="0.35">
      <c r="A172" s="142"/>
      <c r="B172" s="238"/>
      <c r="C172" s="409" t="s">
        <v>205</v>
      </c>
      <c r="D172" s="411">
        <v>0.1</v>
      </c>
      <c r="E172" s="411">
        <v>0.08</v>
      </c>
      <c r="F172" s="412">
        <v>0.06</v>
      </c>
      <c r="G172" s="35"/>
      <c r="H172" s="35"/>
      <c r="I172" s="238"/>
      <c r="J172" s="238"/>
      <c r="K172" s="238"/>
      <c r="L172" s="238"/>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x14ac:dyDescent="0.35">
      <c r="A173" s="142"/>
      <c r="B173" s="238"/>
      <c r="C173" s="409" t="s">
        <v>207</v>
      </c>
      <c r="D173" s="411">
        <v>0.11</v>
      </c>
      <c r="E173" s="411">
        <v>0.08</v>
      </c>
      <c r="F173" s="412">
        <v>7.0000000000000007E-2</v>
      </c>
      <c r="G173" s="35"/>
      <c r="H173" s="35"/>
      <c r="I173" s="238"/>
      <c r="J173" s="238"/>
      <c r="K173" s="238"/>
      <c r="L173" s="238"/>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x14ac:dyDescent="0.35">
      <c r="A174" s="142"/>
      <c r="B174" s="238"/>
      <c r="C174" s="409" t="s">
        <v>206</v>
      </c>
      <c r="D174" s="411">
        <v>0.17</v>
      </c>
      <c r="E174" s="411">
        <v>0.14000000000000001</v>
      </c>
      <c r="F174" s="412">
        <v>0.1</v>
      </c>
      <c r="G174" s="35"/>
      <c r="H174" s="35"/>
      <c r="I174" s="238"/>
      <c r="J174" s="238"/>
      <c r="K174" s="238"/>
      <c r="L174" s="238"/>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x14ac:dyDescent="0.35">
      <c r="A175" s="142"/>
      <c r="B175" s="238"/>
      <c r="C175" s="409" t="s">
        <v>208</v>
      </c>
      <c r="D175" s="411">
        <v>0.09</v>
      </c>
      <c r="E175" s="411">
        <v>0.08</v>
      </c>
      <c r="F175" s="412">
        <v>0.04</v>
      </c>
      <c r="G175" s="35"/>
      <c r="H175" s="35"/>
      <c r="I175" s="238"/>
      <c r="J175" s="238"/>
      <c r="K175" s="238"/>
      <c r="L175" s="238"/>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x14ac:dyDescent="0.35">
      <c r="A176" s="142"/>
      <c r="B176" s="238"/>
      <c r="C176" s="409" t="s">
        <v>210</v>
      </c>
      <c r="D176" s="411">
        <v>0.13</v>
      </c>
      <c r="E176" s="411">
        <v>0.11</v>
      </c>
      <c r="F176" s="412">
        <v>7.0000000000000007E-2</v>
      </c>
      <c r="G176" s="35"/>
      <c r="H176" s="35"/>
      <c r="I176" s="238"/>
      <c r="J176" s="238"/>
      <c r="K176" s="238"/>
      <c r="L176" s="238"/>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x14ac:dyDescent="0.35">
      <c r="A177" s="142"/>
      <c r="B177" s="238"/>
      <c r="C177" s="409" t="s">
        <v>209</v>
      </c>
      <c r="D177" s="411">
        <v>0.1</v>
      </c>
      <c r="E177" s="411">
        <v>0.08</v>
      </c>
      <c r="F177" s="412">
        <v>0.06</v>
      </c>
      <c r="G177" s="35"/>
      <c r="H177" s="35"/>
      <c r="I177" s="238"/>
      <c r="J177" s="238"/>
      <c r="K177" s="238"/>
      <c r="L177" s="238"/>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ht="15.6" thickBot="1" x14ac:dyDescent="0.4">
      <c r="A178" s="142"/>
      <c r="B178" s="238"/>
      <c r="C178" s="410" t="s">
        <v>211</v>
      </c>
      <c r="D178" s="413">
        <v>0.1</v>
      </c>
      <c r="E178" s="413">
        <v>0.08</v>
      </c>
      <c r="F178" s="414">
        <v>0.06</v>
      </c>
      <c r="G178" s="35"/>
      <c r="H178" s="35"/>
      <c r="I178" s="238"/>
      <c r="J178" s="238"/>
      <c r="K178" s="238"/>
      <c r="L178" s="238"/>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x14ac:dyDescent="0.35">
      <c r="A179" s="142"/>
      <c r="B179" s="238"/>
      <c r="C179" s="131"/>
      <c r="D179" s="131"/>
      <c r="E179" s="131"/>
      <c r="F179" s="131"/>
      <c r="G179" s="389"/>
      <c r="H179" s="389"/>
      <c r="I179" s="238"/>
      <c r="J179" s="238"/>
      <c r="K179" s="238"/>
      <c r="L179" s="238"/>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1"/>
      <c r="AV179" s="9"/>
      <c r="AW179" s="12"/>
      <c r="AX179" s="9"/>
      <c r="AY179" s="11"/>
      <c r="AZ179" s="12"/>
      <c r="BA179" s="2"/>
    </row>
    <row r="180" spans="1:53" x14ac:dyDescent="0.35">
      <c r="A180" s="142"/>
      <c r="B180" s="238"/>
      <c r="C180" s="146"/>
      <c r="D180" s="131"/>
      <c r="E180" s="131"/>
      <c r="F180" s="131"/>
      <c r="G180" s="389"/>
      <c r="H180" s="389"/>
      <c r="I180" s="238"/>
      <c r="J180" s="238"/>
      <c r="K180" s="238"/>
      <c r="L180" s="238"/>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x14ac:dyDescent="0.35">
      <c r="A181" s="142"/>
      <c r="B181" s="238"/>
      <c r="C181" s="146"/>
      <c r="D181" s="131"/>
      <c r="E181" s="131"/>
      <c r="F181" s="131"/>
      <c r="G181" s="389"/>
      <c r="H181" s="389"/>
      <c r="I181" s="238"/>
      <c r="J181" s="238"/>
      <c r="K181" s="238"/>
      <c r="L181" s="238"/>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3"/>
      <c r="AV181" s="9"/>
      <c r="AW181" s="12"/>
      <c r="AX181" s="9"/>
      <c r="AY181" s="11"/>
      <c r="AZ181" s="12"/>
      <c r="BA181" s="2"/>
    </row>
    <row r="182" spans="1:53" x14ac:dyDescent="0.35">
      <c r="A182" s="142"/>
      <c r="B182" s="238"/>
      <c r="C182" s="146"/>
      <c r="D182" s="131"/>
      <c r="E182" s="131"/>
      <c r="F182" s="131"/>
      <c r="G182" s="389"/>
      <c r="H182" s="389"/>
      <c r="I182" s="238"/>
      <c r="J182" s="238"/>
      <c r="K182" s="238"/>
      <c r="L182" s="238"/>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1"/>
      <c r="AZ182" s="12"/>
      <c r="BA182" s="2"/>
    </row>
    <row r="183" spans="1:53" x14ac:dyDescent="0.35">
      <c r="A183" s="142"/>
      <c r="B183" s="238"/>
      <c r="C183" s="146"/>
      <c r="D183" s="131"/>
      <c r="E183" s="131"/>
      <c r="F183" s="131"/>
      <c r="G183" s="389"/>
      <c r="H183" s="389"/>
      <c r="I183" s="238"/>
      <c r="J183" s="238"/>
      <c r="K183" s="238"/>
      <c r="L183" s="238"/>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x14ac:dyDescent="0.35">
      <c r="A184" s="142"/>
      <c r="B184" s="238"/>
      <c r="C184" s="146"/>
      <c r="D184" s="131"/>
      <c r="E184" s="131"/>
      <c r="F184" s="131"/>
      <c r="G184" s="389"/>
      <c r="H184" s="389"/>
      <c r="I184" s="238"/>
      <c r="J184" s="238"/>
      <c r="K184" s="238"/>
      <c r="L184" s="238"/>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x14ac:dyDescent="0.35">
      <c r="A185" s="142"/>
      <c r="B185" s="238"/>
      <c r="C185" s="146"/>
      <c r="D185" s="131"/>
      <c r="E185" s="131"/>
      <c r="F185" s="131"/>
      <c r="G185" s="389"/>
      <c r="H185" s="389"/>
      <c r="I185" s="238"/>
      <c r="J185" s="238"/>
      <c r="K185" s="238"/>
      <c r="L185" s="238"/>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x14ac:dyDescent="0.35">
      <c r="A186" s="142"/>
      <c r="B186" s="238"/>
      <c r="C186" s="146"/>
      <c r="D186" s="131"/>
      <c r="E186" s="131"/>
      <c r="F186" s="131"/>
      <c r="G186" s="389"/>
      <c r="H186" s="389"/>
      <c r="I186" s="238"/>
      <c r="J186" s="238"/>
      <c r="K186" s="238"/>
      <c r="L186" s="238"/>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3"/>
      <c r="AZ186" s="12"/>
      <c r="BA186" s="2"/>
    </row>
    <row r="187" spans="1:53" x14ac:dyDescent="0.35">
      <c r="A187" s="142"/>
      <c r="B187" s="238"/>
      <c r="C187" s="146"/>
      <c r="D187" s="131"/>
      <c r="E187" s="131"/>
      <c r="F187" s="131"/>
      <c r="G187" s="389"/>
      <c r="H187" s="389"/>
      <c r="I187" s="238"/>
      <c r="J187" s="238"/>
      <c r="K187" s="238"/>
      <c r="L187" s="238"/>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x14ac:dyDescent="0.35">
      <c r="A188" s="142"/>
      <c r="B188" s="238"/>
      <c r="C188" s="146"/>
      <c r="D188" s="131"/>
      <c r="E188" s="131"/>
      <c r="F188" s="131"/>
      <c r="G188" s="389"/>
      <c r="H188" s="389"/>
      <c r="I188" s="238"/>
      <c r="J188" s="238"/>
      <c r="K188" s="238"/>
      <c r="L188" s="238"/>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x14ac:dyDescent="0.35">
      <c r="A189" s="142"/>
      <c r="B189" s="238"/>
      <c r="C189" s="146"/>
      <c r="D189" s="131"/>
      <c r="E189" s="131"/>
      <c r="F189" s="131"/>
      <c r="G189" s="389"/>
      <c r="H189" s="389"/>
      <c r="I189" s="238"/>
      <c r="J189" s="238"/>
      <c r="K189" s="238"/>
      <c r="L189" s="238"/>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x14ac:dyDescent="0.35">
      <c r="A190" s="142"/>
      <c r="B190" s="238"/>
      <c r="C190" s="146"/>
      <c r="D190" s="131"/>
      <c r="E190" s="131"/>
      <c r="F190" s="131"/>
      <c r="G190" s="389"/>
      <c r="H190" s="389"/>
      <c r="I190" s="238"/>
      <c r="J190" s="238"/>
      <c r="K190" s="238"/>
      <c r="L190" s="238"/>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x14ac:dyDescent="0.35">
      <c r="A191" s="142"/>
      <c r="B191" s="238"/>
      <c r="C191" s="146"/>
      <c r="D191" s="131"/>
      <c r="E191" s="131"/>
      <c r="F191" s="131"/>
      <c r="G191" s="389"/>
      <c r="H191" s="389"/>
      <c r="I191" s="238"/>
      <c r="J191" s="238"/>
      <c r="K191" s="238"/>
      <c r="L191" s="238"/>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x14ac:dyDescent="0.35">
      <c r="A192" s="142"/>
      <c r="B192" s="238"/>
      <c r="C192" s="146"/>
      <c r="D192" s="131"/>
      <c r="E192" s="131"/>
      <c r="F192" s="131"/>
      <c r="G192" s="389"/>
      <c r="H192" s="389"/>
      <c r="I192" s="238"/>
      <c r="J192" s="238"/>
      <c r="K192" s="238"/>
      <c r="L192" s="238"/>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x14ac:dyDescent="0.35">
      <c r="A193" s="142"/>
      <c r="B193" s="238"/>
      <c r="C193" s="388"/>
      <c r="D193" s="389"/>
      <c r="E193" s="389"/>
      <c r="F193" s="389"/>
      <c r="G193" s="389"/>
      <c r="H193" s="389"/>
      <c r="I193" s="238"/>
      <c r="J193" s="238"/>
      <c r="K193" s="238"/>
      <c r="L193" s="238"/>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x14ac:dyDescent="0.35">
      <c r="A194" s="21"/>
      <c r="B194" s="238"/>
      <c r="C194" s="388"/>
      <c r="D194" s="389"/>
      <c r="E194" s="389"/>
      <c r="F194" s="389"/>
      <c r="G194" s="389"/>
      <c r="H194" s="389"/>
      <c r="I194" s="238"/>
      <c r="J194" s="238"/>
      <c r="K194" s="238"/>
      <c r="L194" s="238"/>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1"/>
      <c r="AZ194" s="12"/>
      <c r="BA194" s="2"/>
    </row>
    <row r="195" spans="1:53" x14ac:dyDescent="0.35">
      <c r="A195" s="21"/>
      <c r="B195" s="238"/>
      <c r="C195" s="389"/>
      <c r="D195" s="389"/>
      <c r="E195" s="389"/>
      <c r="F195" s="389"/>
      <c r="G195" s="389"/>
      <c r="H195" s="389"/>
      <c r="I195" s="389"/>
      <c r="J195" s="389"/>
      <c r="K195" s="389"/>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x14ac:dyDescent="0.35">
      <c r="A196" s="21"/>
      <c r="B196" s="238"/>
      <c r="C196" s="389"/>
      <c r="D196" s="389"/>
      <c r="E196" s="389"/>
      <c r="F196" s="389"/>
      <c r="G196" s="389"/>
      <c r="H196" s="389"/>
      <c r="I196" s="389"/>
      <c r="J196" s="389"/>
      <c r="K196" s="389"/>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3"/>
      <c r="AZ196" s="12"/>
      <c r="BA196" s="2"/>
    </row>
    <row r="197" spans="1:53" x14ac:dyDescent="0.35">
      <c r="A197" s="21"/>
      <c r="B197" s="238"/>
      <c r="C197" s="389"/>
      <c r="D197" s="389"/>
      <c r="E197" s="389"/>
      <c r="F197" s="389"/>
      <c r="G197" s="389"/>
      <c r="H197" s="389"/>
      <c r="I197" s="389"/>
      <c r="J197" s="389"/>
      <c r="K197" s="389"/>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x14ac:dyDescent="0.35">
      <c r="A198" s="21"/>
      <c r="B198" s="238"/>
      <c r="C198" s="389"/>
      <c r="D198" s="389"/>
      <c r="E198" s="389"/>
      <c r="F198" s="389"/>
      <c r="G198" s="389"/>
      <c r="H198" s="389"/>
      <c r="I198" s="389"/>
      <c r="J198" s="389"/>
      <c r="K198" s="389"/>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x14ac:dyDescent="0.35">
      <c r="A199" s="21"/>
      <c r="B199" s="238"/>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x14ac:dyDescent="0.35">
      <c r="A200" s="21"/>
      <c r="B200" s="238"/>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x14ac:dyDescent="0.35">
      <c r="A201" s="21"/>
      <c r="B201" s="389"/>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x14ac:dyDescent="0.35">
      <c r="A202" s="21"/>
      <c r="B202" s="389"/>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x14ac:dyDescent="0.35">
      <c r="A203" s="21"/>
      <c r="B203" s="389"/>
      <c r="C203" s="35"/>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x14ac:dyDescent="0.35">
      <c r="A204" s="21"/>
      <c r="B204" s="138"/>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x14ac:dyDescent="0.35">
      <c r="A205" s="21"/>
      <c r="B205" s="138"/>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x14ac:dyDescent="0.35">
      <c r="A206" s="21"/>
      <c r="B206" s="138"/>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x14ac:dyDescent="0.35">
      <c r="A207" s="21"/>
      <c r="B207" s="138"/>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x14ac:dyDescent="0.35">
      <c r="A208" s="21"/>
      <c r="B208" s="138"/>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x14ac:dyDescent="0.35">
      <c r="A209" s="21"/>
      <c r="B209" s="138"/>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11"/>
      <c r="AV209" s="9"/>
      <c r="AW209" s="12"/>
      <c r="AX209" s="9"/>
      <c r="AY209" s="11"/>
      <c r="AZ209" s="12"/>
      <c r="BA209" s="2"/>
    </row>
    <row r="210" spans="1:53" x14ac:dyDescent="0.35">
      <c r="A210" s="21"/>
      <c r="B210" s="138"/>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x14ac:dyDescent="0.35">
      <c r="A211" s="21"/>
      <c r="B211" s="138"/>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x14ac:dyDescent="0.35">
      <c r="A212" s="21"/>
      <c r="B212" s="138"/>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x14ac:dyDescent="0.35">
      <c r="A213" s="21"/>
      <c r="B213" s="138"/>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x14ac:dyDescent="0.35">
      <c r="A214" s="21"/>
      <c r="B214" s="138"/>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x14ac:dyDescent="0.35">
      <c r="A215" s="21"/>
      <c r="B215" s="138"/>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x14ac:dyDescent="0.35">
      <c r="A216" s="21"/>
      <c r="B216" s="138"/>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6"/>
      <c r="AT216" s="23"/>
      <c r="AU216" s="9"/>
      <c r="AV216" s="9"/>
      <c r="AW216" s="9"/>
      <c r="AX216" s="9"/>
      <c r="AY216" s="11"/>
      <c r="AZ216" s="12"/>
      <c r="BA216" s="2"/>
    </row>
    <row r="217" spans="1:53" x14ac:dyDescent="0.35">
      <c r="A217" s="21"/>
      <c r="B217" s="138"/>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x14ac:dyDescent="0.35">
      <c r="A218" s="21"/>
      <c r="B218" s="138"/>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x14ac:dyDescent="0.35">
      <c r="A219" s="21"/>
      <c r="B219" s="138"/>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x14ac:dyDescent="0.35">
      <c r="A220" s="21"/>
      <c r="B220" s="138"/>
      <c r="C220" s="21"/>
      <c r="D220" s="21"/>
      <c r="E220" s="21"/>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15"/>
      <c r="AS220" s="15"/>
      <c r="AT220" s="22"/>
      <c r="AX220" s="9"/>
      <c r="AY220" s="11"/>
      <c r="AZ220" s="12"/>
      <c r="BA220" s="2"/>
    </row>
    <row r="221" spans="1:53" x14ac:dyDescent="0.35">
      <c r="A221" s="21"/>
      <c r="B221" s="138"/>
      <c r="C221" s="21"/>
      <c r="D221" s="21"/>
      <c r="E221" s="21"/>
      <c r="F221" s="35"/>
      <c r="G221" s="35"/>
      <c r="H221" s="35"/>
      <c r="I221" s="35"/>
      <c r="J221" s="35"/>
      <c r="K221" s="35"/>
      <c r="L221" s="35"/>
      <c r="M221" s="35"/>
      <c r="N221" s="35"/>
      <c r="O221" s="35"/>
      <c r="P221" s="35"/>
      <c r="Q221" s="35"/>
      <c r="R221" s="35"/>
      <c r="S221" s="35"/>
      <c r="T221" s="35"/>
      <c r="U221" s="35"/>
      <c r="V221" s="35"/>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x14ac:dyDescent="0.35">
      <c r="A222" s="21"/>
      <c r="B222" s="138"/>
      <c r="C222" s="21"/>
      <c r="D222" s="21"/>
      <c r="E222" s="21"/>
      <c r="F222" s="35"/>
      <c r="G222" s="35"/>
      <c r="H222" s="35"/>
      <c r="I222" s="35"/>
      <c r="J222" s="35"/>
      <c r="K222" s="35"/>
      <c r="L222" s="35"/>
      <c r="M222" s="35"/>
      <c r="N222" s="35"/>
      <c r="O222" s="35"/>
      <c r="P222" s="35"/>
      <c r="Q222" s="35"/>
      <c r="R222" s="35"/>
      <c r="S222" s="35"/>
      <c r="T222" s="35"/>
      <c r="U222" s="35"/>
      <c r="V222" s="35"/>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x14ac:dyDescent="0.35">
      <c r="A223" s="21"/>
      <c r="B223" s="138"/>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x14ac:dyDescent="0.35">
      <c r="A224" s="21"/>
      <c r="B224" s="138"/>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9"/>
      <c r="AY224" s="11"/>
      <c r="AZ224" s="12"/>
      <c r="BA224" s="2"/>
    </row>
    <row r="225" spans="1:81" x14ac:dyDescent="0.35">
      <c r="A225" s="21"/>
      <c r="B225" s="138"/>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x14ac:dyDescent="0.35">
      <c r="A226" s="21"/>
      <c r="B226" s="138"/>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x14ac:dyDescent="0.35">
      <c r="A227" s="21"/>
      <c r="B227" s="138"/>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x14ac:dyDescent="0.35">
      <c r="A228" s="21"/>
      <c r="B228" s="138"/>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x14ac:dyDescent="0.35">
      <c r="A229" s="21"/>
      <c r="B229" s="138"/>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x14ac:dyDescent="0.35">
      <c r="A230" s="21"/>
      <c r="B230" s="138"/>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x14ac:dyDescent="0.35">
      <c r="A231" s="21"/>
      <c r="B231" s="138"/>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c r="AX231" s="2"/>
      <c r="AY231" s="2"/>
      <c r="AZ231" s="2"/>
      <c r="BA231" s="2"/>
    </row>
    <row r="232" spans="1:81" x14ac:dyDescent="0.35">
      <c r="A232" s="21"/>
      <c r="B232" s="138"/>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x14ac:dyDescent="0.35">
      <c r="A233" s="21"/>
      <c r="B233" s="138"/>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row>
    <row r="234" spans="1:81" s="6" customFormat="1" x14ac:dyDescent="0.35">
      <c r="A234" s="21"/>
      <c r="B234" s="21"/>
      <c r="C234" s="21"/>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x14ac:dyDescent="0.35">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x14ac:dyDescent="0.35">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x14ac:dyDescent="0.35">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x14ac:dyDescent="0.35">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x14ac:dyDescent="0.35">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x14ac:dyDescent="0.35">
      <c r="A251" s="21"/>
      <c r="B251" s="15"/>
      <c r="C251" s="15"/>
      <c r="D251" s="15"/>
      <c r="E251" s="15"/>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x14ac:dyDescent="0.35">
      <c r="A252" s="21"/>
      <c r="B252" s="15"/>
      <c r="C252" s="15"/>
      <c r="D252" s="15"/>
      <c r="E252" s="15"/>
      <c r="F252" s="21"/>
      <c r="G252" s="21"/>
      <c r="H252" s="21"/>
      <c r="I252" s="21"/>
      <c r="J252" s="21"/>
      <c r="K252" s="21"/>
      <c r="L252" s="21"/>
      <c r="M252" s="21"/>
      <c r="N252" s="21"/>
      <c r="O252" s="21"/>
      <c r="P252" s="21"/>
      <c r="Q252" s="21"/>
      <c r="R252" s="21"/>
      <c r="S252" s="21"/>
      <c r="T252" s="21"/>
      <c r="U252" s="21"/>
      <c r="V252" s="21"/>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x14ac:dyDescent="0.35">
      <c r="A253" s="21"/>
      <c r="B253" s="15"/>
      <c r="C253" s="15"/>
      <c r="D253" s="15"/>
      <c r="E253" s="15"/>
      <c r="F253" s="21"/>
      <c r="G253" s="21"/>
      <c r="H253" s="21"/>
      <c r="I253" s="21"/>
      <c r="J253" s="21"/>
      <c r="K253" s="21"/>
      <c r="L253" s="21"/>
      <c r="M253" s="21"/>
      <c r="N253" s="21"/>
      <c r="O253" s="21"/>
      <c r="P253" s="21"/>
      <c r="Q253" s="21"/>
      <c r="R253" s="21"/>
      <c r="S253" s="21"/>
      <c r="T253" s="21"/>
      <c r="U253" s="21"/>
      <c r="V253" s="21"/>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x14ac:dyDescent="0.3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x14ac:dyDescent="0.3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x14ac:dyDescent="0.3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x14ac:dyDescent="0.3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x14ac:dyDescent="0.3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x14ac:dyDescent="0.3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x14ac:dyDescent="0.3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x14ac:dyDescent="0.3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x14ac:dyDescent="0.3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x14ac:dyDescent="0.3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x14ac:dyDescent="0.3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x14ac:dyDescent="0.3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x14ac:dyDescent="0.3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x14ac:dyDescent="0.3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x14ac:dyDescent="0.3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x14ac:dyDescent="0.3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x14ac:dyDescent="0.3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x14ac:dyDescent="0.3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x14ac:dyDescent="0.3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x14ac:dyDescent="0.3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x14ac:dyDescent="0.3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x14ac:dyDescent="0.3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x14ac:dyDescent="0.3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x14ac:dyDescent="0.3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x14ac:dyDescent="0.3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x14ac:dyDescent="0.3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x14ac:dyDescent="0.3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x14ac:dyDescent="0.3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x14ac:dyDescent="0.35">
      <c r="A282" s="15"/>
      <c r="B282" s="15"/>
      <c r="C282" s="15"/>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x14ac:dyDescent="0.35">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x14ac:dyDescent="0.35">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x14ac:dyDescent="0.35">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x14ac:dyDescent="0.35">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x14ac:dyDescent="0.35">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x14ac:dyDescent="0.35">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x14ac:dyDescent="0.35">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x14ac:dyDescent="0.35">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x14ac:dyDescent="0.35">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x14ac:dyDescent="0.35">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x14ac:dyDescent="0.35">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x14ac:dyDescent="0.35">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x14ac:dyDescent="0.35">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x14ac:dyDescent="0.35">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x14ac:dyDescent="0.35">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x14ac:dyDescent="0.35">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row r="299" spans="1:81" s="6" customFormat="1" x14ac:dyDescent="0.35">
      <c r="A299" s="15"/>
      <c r="B299" s="1"/>
      <c r="C299" s="1"/>
      <c r="D299" s="1"/>
      <c r="E299" s="1"/>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22"/>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row>
    <row r="300" spans="1:81" x14ac:dyDescent="0.35">
      <c r="A300" s="15"/>
      <c r="F300" s="15"/>
      <c r="G300" s="15"/>
      <c r="H300" s="15"/>
      <c r="I300" s="15"/>
      <c r="J300" s="15"/>
      <c r="K300" s="15"/>
      <c r="L300" s="15"/>
      <c r="M300" s="15"/>
      <c r="N300" s="15"/>
      <c r="O300" s="15"/>
      <c r="P300" s="15"/>
      <c r="Q300" s="15"/>
      <c r="R300" s="15"/>
      <c r="S300" s="15"/>
      <c r="T300" s="15"/>
      <c r="U300" s="15"/>
      <c r="V300" s="15"/>
    </row>
    <row r="301" spans="1:81" x14ac:dyDescent="0.35">
      <c r="A301" s="15"/>
      <c r="F301" s="15"/>
      <c r="G301" s="15"/>
      <c r="H301" s="15"/>
      <c r="I301" s="15"/>
      <c r="J301" s="15"/>
      <c r="K301" s="15"/>
      <c r="L301" s="15"/>
      <c r="M301" s="15"/>
      <c r="N301" s="15"/>
      <c r="O301" s="15"/>
      <c r="P301" s="15"/>
      <c r="Q301" s="15"/>
      <c r="R301" s="15"/>
      <c r="S301" s="15"/>
      <c r="T301" s="15"/>
      <c r="U301" s="15"/>
      <c r="V301" s="15"/>
    </row>
  </sheetData>
  <mergeCells count="1">
    <mergeCell ref="C16:F16"/>
  </mergeCells>
  <dataValidations xWindow="864" yWindow="554" count="4">
    <dataValidation type="list" allowBlank="1" showInputMessage="1" showErrorMessage="1" sqref="D19:V67 B34:B72 B124:B125">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128:K136">
      <formula1>SUM($K$128:$K$136)&lt;=1</formula1>
    </dataValidation>
    <dataValidation type="custom" allowBlank="1" showErrorMessage="1" error="Sum of entries must be less than or equal to 1." prompt="_x000a_" sqref="L128:L136">
      <formula1>SUM($L$128:$L$136)&lt;=1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5"/>
      <c r="B6" s="33"/>
      <c r="C6" s="152" t="s">
        <v>238</v>
      </c>
      <c r="D6" s="33"/>
      <c r="E6" s="105"/>
      <c r="F6" s="33"/>
      <c r="G6" s="105"/>
      <c r="H6" s="105"/>
      <c r="I6" s="105"/>
      <c r="J6" s="105"/>
      <c r="K6" s="33"/>
      <c r="L6" s="131"/>
      <c r="M6" s="131"/>
      <c r="N6" s="452"/>
      <c r="O6" s="452"/>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5" customHeight="1" thickBot="1" x14ac:dyDescent="0.55000000000000004">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x14ac:dyDescent="0.4">
      <c r="A14" s="105"/>
      <c r="B14" s="453"/>
      <c r="C14" s="454" t="s">
        <v>115</v>
      </c>
      <c r="D14" s="455"/>
      <c r="E14" s="455"/>
      <c r="F14" s="455"/>
      <c r="G14" s="455"/>
      <c r="H14" s="455"/>
      <c r="I14" s="455"/>
      <c r="J14" s="455"/>
      <c r="K14" s="455"/>
      <c r="L14" s="454" t="s">
        <v>120</v>
      </c>
      <c r="M14" s="455"/>
      <c r="N14" s="455"/>
      <c r="O14" s="455"/>
      <c r="P14" s="455"/>
      <c r="Q14" s="455"/>
      <c r="R14" s="455"/>
      <c r="S14" s="455"/>
      <c r="T14" s="455"/>
      <c r="U14" s="454" t="s">
        <v>116</v>
      </c>
      <c r="V14" s="455"/>
      <c r="W14" s="455"/>
      <c r="X14" s="455"/>
      <c r="Y14" s="455"/>
      <c r="Z14" s="455"/>
      <c r="AA14" s="455"/>
      <c r="AB14" s="455"/>
      <c r="AC14" s="456"/>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5"/>
      <c r="B15" s="457"/>
      <c r="C15" s="552" t="s">
        <v>117</v>
      </c>
      <c r="D15" s="553"/>
      <c r="E15" s="553"/>
      <c r="F15" s="553" t="s">
        <v>118</v>
      </c>
      <c r="G15" s="553"/>
      <c r="H15" s="553"/>
      <c r="I15" s="553" t="s">
        <v>119</v>
      </c>
      <c r="J15" s="555"/>
      <c r="K15" s="555"/>
      <c r="L15" s="552" t="s">
        <v>117</v>
      </c>
      <c r="M15" s="553"/>
      <c r="N15" s="553"/>
      <c r="O15" s="553" t="s">
        <v>118</v>
      </c>
      <c r="P15" s="553"/>
      <c r="Q15" s="553"/>
      <c r="R15" s="553" t="s">
        <v>119</v>
      </c>
      <c r="S15" s="555"/>
      <c r="T15" s="555"/>
      <c r="U15" s="552" t="s">
        <v>117</v>
      </c>
      <c r="V15" s="553"/>
      <c r="W15" s="553"/>
      <c r="X15" s="553" t="s">
        <v>118</v>
      </c>
      <c r="Y15" s="553"/>
      <c r="Z15" s="553"/>
      <c r="AA15" s="553" t="s">
        <v>119</v>
      </c>
      <c r="AB15" s="553"/>
      <c r="AC15" s="554"/>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5"/>
      <c r="B16" s="458"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59"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60"/>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61"/>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61"/>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61"/>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61"/>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61"/>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61"/>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61"/>
      <c r="AD24" s="134" t="s">
        <v>10</v>
      </c>
      <c r="AE24" s="113"/>
      <c r="AF24" s="113"/>
      <c r="AG24" s="462"/>
      <c r="AH24" s="462"/>
      <c r="AI24" s="462"/>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61"/>
      <c r="AD25" s="134" t="s">
        <v>11</v>
      </c>
      <c r="AE25" s="113"/>
      <c r="AF25" s="113"/>
      <c r="AG25" s="462"/>
      <c r="AH25" s="462"/>
      <c r="AI25" s="462"/>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61"/>
      <c r="AD26" s="134" t="s">
        <v>12</v>
      </c>
      <c r="AE26" s="113"/>
      <c r="AF26" s="113"/>
      <c r="AG26" s="462"/>
      <c r="AH26" s="462"/>
      <c r="AI26" s="462"/>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61"/>
      <c r="AD27" s="134" t="s">
        <v>13</v>
      </c>
      <c r="AE27" s="113"/>
      <c r="AF27" s="113"/>
      <c r="AG27" s="462"/>
      <c r="AH27" s="462"/>
      <c r="AI27" s="462"/>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61"/>
      <c r="AD28" s="134" t="s">
        <v>138</v>
      </c>
      <c r="AE28" s="113"/>
      <c r="AF28" s="113"/>
      <c r="AG28" s="462"/>
      <c r="AH28" s="462"/>
      <c r="AI28" s="462"/>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61"/>
      <c r="AD29" s="134" t="s">
        <v>14</v>
      </c>
      <c r="AE29" s="113"/>
      <c r="AF29" s="113"/>
      <c r="AG29" s="462"/>
      <c r="AH29" s="462"/>
      <c r="AI29" s="462"/>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61"/>
      <c r="AD30" s="134" t="s">
        <v>15</v>
      </c>
      <c r="AE30" s="113"/>
      <c r="AF30" s="113"/>
      <c r="AG30" s="462"/>
      <c r="AH30" s="462"/>
      <c r="AI30" s="462"/>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61"/>
      <c r="AD31" s="134" t="s">
        <v>16</v>
      </c>
      <c r="AE31" s="113"/>
      <c r="AF31" s="113"/>
      <c r="AG31" s="463"/>
      <c r="AH31" s="462"/>
      <c r="AI31" s="462"/>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61"/>
      <c r="AD32" s="134" t="s">
        <v>17</v>
      </c>
      <c r="AE32" s="113"/>
      <c r="AF32" s="113"/>
      <c r="AG32" s="462"/>
      <c r="AH32" s="462"/>
      <c r="AI32" s="462"/>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61"/>
      <c r="AD33" s="134" t="s">
        <v>18</v>
      </c>
      <c r="AE33" s="113"/>
      <c r="AF33" s="113"/>
      <c r="AG33" s="462"/>
      <c r="AH33" s="462"/>
      <c r="AI33" s="462"/>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61"/>
      <c r="AD34" s="134" t="s">
        <v>19</v>
      </c>
      <c r="AE34" s="113"/>
      <c r="AF34" s="113"/>
      <c r="AG34" s="462"/>
      <c r="AH34" s="462"/>
      <c r="AI34" s="462"/>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61"/>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61"/>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61"/>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61"/>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61"/>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61"/>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61"/>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61"/>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61"/>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61"/>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61"/>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61"/>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61"/>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61"/>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61"/>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61"/>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61"/>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61"/>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61"/>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61"/>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61"/>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61"/>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61"/>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61"/>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61"/>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61"/>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61"/>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61"/>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61"/>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61"/>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61"/>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61"/>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08"/>
      <c r="B67" s="231" t="s">
        <v>211</v>
      </c>
      <c r="C67" s="469"/>
      <c r="D67" s="464"/>
      <c r="E67" s="470"/>
      <c r="F67" s="471"/>
      <c r="G67" s="464"/>
      <c r="H67" s="470"/>
      <c r="I67" s="471"/>
      <c r="J67" s="464"/>
      <c r="K67" s="464"/>
      <c r="L67" s="464"/>
      <c r="M67" s="464"/>
      <c r="N67" s="464"/>
      <c r="O67" s="464"/>
      <c r="P67" s="464"/>
      <c r="Q67" s="464"/>
      <c r="R67" s="464"/>
      <c r="S67" s="464"/>
      <c r="T67" s="464"/>
      <c r="U67" s="464"/>
      <c r="V67" s="464"/>
      <c r="W67" s="464"/>
      <c r="X67" s="464"/>
      <c r="Y67" s="464"/>
      <c r="Z67" s="464"/>
      <c r="AA67" s="464"/>
      <c r="AB67" s="464"/>
      <c r="AC67" s="465"/>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5"/>
      <c r="B80" s="115"/>
      <c r="C80" s="115"/>
      <c r="D80" s="115"/>
      <c r="E80" s="115"/>
      <c r="F80" s="115"/>
      <c r="G80" s="115"/>
      <c r="H80" s="115"/>
      <c r="I80" s="115"/>
      <c r="J80" s="115"/>
      <c r="K80" s="115"/>
      <c r="L80" s="115"/>
      <c r="M80" s="115"/>
      <c r="N80" s="119"/>
      <c r="O80" s="119"/>
      <c r="P80" s="466"/>
      <c r="Q80" s="119"/>
      <c r="R80" s="119"/>
      <c r="S80" s="466"/>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5"/>
      <c r="B172" s="115"/>
      <c r="C172" s="115"/>
      <c r="D172" s="115"/>
      <c r="E172" s="115"/>
      <c r="F172" s="467"/>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5"/>
      <c r="B173" s="115"/>
      <c r="C173" s="115"/>
      <c r="D173" s="115"/>
      <c r="E173" s="468" t="b">
        <v>1</v>
      </c>
      <c r="F173" s="467"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08"/>
      <c r="B174" s="115"/>
      <c r="C174" s="115"/>
      <c r="D174" s="115"/>
      <c r="E174" s="468" t="b">
        <v>0</v>
      </c>
      <c r="F174" s="467"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5"/>
      <c r="B175" s="115"/>
      <c r="C175" s="115"/>
      <c r="D175" s="115"/>
      <c r="E175" s="468"/>
      <c r="F175" s="467"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5"/>
      <c r="B176" s="115"/>
      <c r="C176" s="115"/>
      <c r="D176" s="115"/>
      <c r="E176" s="115"/>
      <c r="F176" s="467"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5"/>
      <c r="B177" s="115"/>
      <c r="C177" s="115"/>
      <c r="D177" s="115"/>
      <c r="E177" s="115"/>
      <c r="F177" s="467"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5"/>
      <c r="B178" s="115"/>
      <c r="C178" s="115"/>
      <c r="D178" s="115"/>
      <c r="E178" s="115"/>
      <c r="F178" s="467"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5"/>
      <c r="B179" s="115"/>
      <c r="C179" s="115"/>
      <c r="D179" s="115"/>
      <c r="E179" s="115"/>
      <c r="F179" s="467"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08"/>
      <c r="B180" s="115"/>
      <c r="C180" s="115"/>
      <c r="D180" s="115"/>
      <c r="E180" s="115"/>
      <c r="F180" s="467"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5"/>
      <c r="B181" s="115"/>
      <c r="C181" s="115"/>
      <c r="D181" s="115"/>
      <c r="E181" s="115"/>
      <c r="F181" s="467"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5"/>
      <c r="B182" s="115"/>
      <c r="C182" s="115"/>
      <c r="D182" s="115"/>
      <c r="E182" s="115"/>
      <c r="F182" s="467"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5"/>
      <c r="B183" s="115"/>
      <c r="C183" s="115"/>
      <c r="D183" s="115"/>
      <c r="E183" s="115"/>
      <c r="F183" s="467"/>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5"/>
      <c r="B184" s="115"/>
      <c r="C184" s="115"/>
      <c r="D184" s="115"/>
      <c r="E184" s="115"/>
      <c r="F184" s="467"/>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5"/>
      <c r="B185" s="115"/>
      <c r="C185" s="115"/>
      <c r="D185" s="115"/>
      <c r="E185" s="115"/>
      <c r="F185" s="467"/>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08"/>
      <c r="B186" s="115"/>
      <c r="C186" s="115"/>
      <c r="D186" s="115"/>
      <c r="E186" s="115"/>
      <c r="F186" s="467"/>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5"/>
      <c r="B187" s="115"/>
      <c r="C187" s="115"/>
      <c r="D187" s="115"/>
      <c r="E187" s="115"/>
      <c r="F187" s="467"/>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5"/>
      <c r="B188" s="115"/>
      <c r="C188" s="115"/>
      <c r="D188" s="115"/>
      <c r="E188" s="115"/>
      <c r="F188" s="467"/>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5"/>
      <c r="B189" s="115"/>
      <c r="C189" s="115"/>
      <c r="D189" s="115"/>
      <c r="E189" s="115"/>
      <c r="F189" s="467"/>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5"/>
      <c r="B190" s="115"/>
      <c r="C190" s="115"/>
      <c r="D190" s="115"/>
      <c r="E190" s="115"/>
      <c r="F190" s="467"/>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5"/>
      <c r="B191" s="115"/>
      <c r="C191" s="115"/>
      <c r="D191" s="115"/>
      <c r="E191" s="115"/>
      <c r="F191" s="467"/>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tabSelected="1" zoomScale="85" zoomScaleNormal="85" zoomScalePageLayoutView="85" workbookViewId="0">
      <selection activeCell="C3" sqref="C3"/>
    </sheetView>
  </sheetViews>
  <sheetFormatPr defaultColWidth="10.77734375" defaultRowHeight="13.2" x14ac:dyDescent="0.25"/>
  <cols>
    <col min="1" max="1" width="10.77734375" style="436"/>
    <col min="2" max="2" width="22.77734375" style="436" customWidth="1"/>
    <col min="3" max="3" width="32.44140625" style="436" customWidth="1"/>
    <col min="4" max="4" width="10.77734375" style="436"/>
    <col min="5" max="5" width="6.109375" style="436" bestFit="1" customWidth="1"/>
    <col min="6" max="9" width="15.44140625" style="436" customWidth="1"/>
    <col min="10" max="10" width="14.6640625" style="436" customWidth="1"/>
    <col min="11" max="17" width="15.44140625" style="436" customWidth="1"/>
    <col min="18" max="18" width="15" style="436" customWidth="1"/>
    <col min="19" max="19" width="15.33203125" style="436" customWidth="1"/>
    <col min="20" max="20" width="7.109375" style="436" customWidth="1"/>
    <col min="21" max="21" width="47.33203125" style="436" customWidth="1"/>
    <col min="22" max="23" width="20.33203125" style="436" customWidth="1"/>
    <col min="24" max="16384" width="10.77734375" style="436"/>
  </cols>
  <sheetData>
    <row r="2" spans="2:19" ht="35.4" x14ac:dyDescent="0.6">
      <c r="B2" s="435" t="s">
        <v>299</v>
      </c>
    </row>
    <row r="5" spans="2:19" ht="18" customHeight="1" x14ac:dyDescent="0.4">
      <c r="B5" s="437" t="s">
        <v>309</v>
      </c>
      <c r="C5" s="443" t="s">
        <v>305</v>
      </c>
      <c r="H5" s="450"/>
    </row>
    <row r="6" spans="2:19" ht="18" customHeight="1" x14ac:dyDescent="0.4">
      <c r="B6" s="437" t="s">
        <v>341</v>
      </c>
      <c r="C6" s="443" t="s">
        <v>342</v>
      </c>
      <c r="H6" s="450"/>
    </row>
    <row r="7" spans="2:19" ht="21" x14ac:dyDescent="0.4">
      <c r="E7" s="437" t="str">
        <f>C5 &amp; " Scenario"</f>
        <v>BAU Scenario</v>
      </c>
    </row>
    <row r="8" spans="2:19" ht="28.8" thickBot="1" x14ac:dyDescent="0.55000000000000004">
      <c r="B8" s="437" t="s">
        <v>303</v>
      </c>
      <c r="C8" s="257"/>
      <c r="F8" s="556" t="s">
        <v>117</v>
      </c>
      <c r="G8" s="557"/>
      <c r="H8" s="557"/>
      <c r="I8" s="558"/>
      <c r="J8" s="556" t="s">
        <v>118</v>
      </c>
      <c r="K8" s="557"/>
      <c r="L8" s="557"/>
      <c r="M8" s="558"/>
      <c r="N8" s="556" t="s">
        <v>119</v>
      </c>
      <c r="O8" s="557"/>
      <c r="P8" s="557"/>
      <c r="Q8" s="558"/>
    </row>
    <row r="9" spans="2:19" ht="49.95" customHeight="1" thickTop="1" thickBot="1" x14ac:dyDescent="0.5">
      <c r="B9" s="438" t="s">
        <v>121</v>
      </c>
      <c r="C9" s="439" t="s">
        <v>319</v>
      </c>
      <c r="E9" s="444" t="s">
        <v>279</v>
      </c>
      <c r="F9" s="444" t="s">
        <v>300</v>
      </c>
      <c r="G9" s="445" t="s">
        <v>317</v>
      </c>
      <c r="H9" s="445" t="s">
        <v>301</v>
      </c>
      <c r="I9" s="446" t="s">
        <v>302</v>
      </c>
      <c r="J9" s="444" t="s">
        <v>300</v>
      </c>
      <c r="K9" s="445" t="s">
        <v>317</v>
      </c>
      <c r="L9" s="445" t="s">
        <v>301</v>
      </c>
      <c r="M9" s="446" t="s">
        <v>302</v>
      </c>
      <c r="N9" s="444" t="s">
        <v>300</v>
      </c>
      <c r="O9" s="445" t="s">
        <v>317</v>
      </c>
      <c r="P9" s="445" t="s">
        <v>301</v>
      </c>
      <c r="Q9" s="446" t="s">
        <v>302</v>
      </c>
      <c r="R9" s="444" t="s">
        <v>311</v>
      </c>
      <c r="S9" s="446" t="s">
        <v>310</v>
      </c>
    </row>
    <row r="10" spans="2:19" ht="17.399999999999999" x14ac:dyDescent="0.4">
      <c r="B10" s="503" t="s">
        <v>122</v>
      </c>
      <c r="C10" s="504" t="b">
        <v>1</v>
      </c>
      <c r="E10" s="447" t="s">
        <v>163</v>
      </c>
      <c r="F10" s="505">
        <v>25</v>
      </c>
      <c r="G10" s="506">
        <v>0</v>
      </c>
      <c r="H10" s="506">
        <v>0</v>
      </c>
      <c r="I10" s="507">
        <v>0</v>
      </c>
      <c r="J10" s="505">
        <v>25</v>
      </c>
      <c r="K10" s="506">
        <v>0</v>
      </c>
      <c r="L10" s="506">
        <v>0</v>
      </c>
      <c r="M10" s="508">
        <v>0</v>
      </c>
      <c r="N10" s="509">
        <v>25</v>
      </c>
      <c r="O10" s="506">
        <v>0</v>
      </c>
      <c r="P10" s="506">
        <v>0</v>
      </c>
      <c r="Q10" s="508">
        <v>0</v>
      </c>
      <c r="R10" s="510">
        <v>2014</v>
      </c>
      <c r="S10" s="511">
        <v>2014</v>
      </c>
    </row>
    <row r="11" spans="2:19" ht="17.399999999999999" x14ac:dyDescent="0.4">
      <c r="B11" s="512" t="s">
        <v>123</v>
      </c>
      <c r="C11" s="513" t="b">
        <v>1</v>
      </c>
      <c r="E11" s="448" t="s">
        <v>162</v>
      </c>
      <c r="F11" s="514">
        <v>0</v>
      </c>
      <c r="G11" s="515">
        <v>0</v>
      </c>
      <c r="H11" s="515">
        <v>0</v>
      </c>
      <c r="I11" s="516">
        <v>0</v>
      </c>
      <c r="J11" s="514">
        <v>0</v>
      </c>
      <c r="K11" s="515">
        <v>0</v>
      </c>
      <c r="L11" s="515">
        <v>0</v>
      </c>
      <c r="M11" s="517">
        <v>0</v>
      </c>
      <c r="N11" s="518">
        <v>0</v>
      </c>
      <c r="O11" s="515">
        <v>0</v>
      </c>
      <c r="P11" s="515">
        <v>0</v>
      </c>
      <c r="Q11" s="517">
        <v>0</v>
      </c>
      <c r="R11" s="519">
        <v>2014</v>
      </c>
      <c r="S11" s="520">
        <v>2014</v>
      </c>
    </row>
    <row r="12" spans="2:19" ht="17.399999999999999" x14ac:dyDescent="0.4">
      <c r="B12" s="512" t="s">
        <v>324</v>
      </c>
      <c r="C12" s="513" t="b">
        <v>1</v>
      </c>
      <c r="E12" s="448" t="s">
        <v>165</v>
      </c>
      <c r="F12" s="514">
        <v>25</v>
      </c>
      <c r="G12" s="515">
        <v>0</v>
      </c>
      <c r="H12" s="515">
        <v>0</v>
      </c>
      <c r="I12" s="516">
        <v>0</v>
      </c>
      <c r="J12" s="514">
        <v>300</v>
      </c>
      <c r="K12" s="515">
        <v>0</v>
      </c>
      <c r="L12" s="515">
        <v>0</v>
      </c>
      <c r="M12" s="517">
        <v>0</v>
      </c>
      <c r="N12" s="518">
        <v>300</v>
      </c>
      <c r="O12" s="515">
        <v>0</v>
      </c>
      <c r="P12" s="515">
        <v>0</v>
      </c>
      <c r="Q12" s="517">
        <v>0</v>
      </c>
      <c r="R12" s="519">
        <v>2014</v>
      </c>
      <c r="S12" s="520">
        <v>2030</v>
      </c>
    </row>
    <row r="13" spans="2:19" ht="18" thickBot="1" x14ac:dyDescent="0.45">
      <c r="B13" s="521" t="s">
        <v>133</v>
      </c>
      <c r="C13" s="522" t="b">
        <v>1</v>
      </c>
      <c r="E13" s="448" t="s">
        <v>164</v>
      </c>
      <c r="F13" s="514" t="s">
        <v>313</v>
      </c>
      <c r="G13" s="515">
        <v>0</v>
      </c>
      <c r="H13" s="515">
        <v>0</v>
      </c>
      <c r="I13" s="516">
        <v>0</v>
      </c>
      <c r="J13" s="514" t="s">
        <v>313</v>
      </c>
      <c r="K13" s="515">
        <v>0</v>
      </c>
      <c r="L13" s="515">
        <v>0</v>
      </c>
      <c r="M13" s="517">
        <v>0</v>
      </c>
      <c r="N13" s="518" t="s">
        <v>313</v>
      </c>
      <c r="O13" s="515">
        <v>0</v>
      </c>
      <c r="P13" s="515">
        <v>0</v>
      </c>
      <c r="Q13" s="517">
        <v>0</v>
      </c>
      <c r="R13" s="519">
        <v>2014</v>
      </c>
      <c r="S13" s="520">
        <v>2030</v>
      </c>
    </row>
    <row r="14" spans="2:19" ht="13.8" thickTop="1" x14ac:dyDescent="0.25">
      <c r="E14" s="448" t="s">
        <v>166</v>
      </c>
      <c r="F14" s="514">
        <v>1000</v>
      </c>
      <c r="G14" s="515">
        <v>0</v>
      </c>
      <c r="H14" s="515">
        <v>0</v>
      </c>
      <c r="I14" s="516">
        <v>0</v>
      </c>
      <c r="J14" s="514">
        <v>1000</v>
      </c>
      <c r="K14" s="515">
        <v>0</v>
      </c>
      <c r="L14" s="515">
        <v>0</v>
      </c>
      <c r="M14" s="517">
        <v>0</v>
      </c>
      <c r="N14" s="518">
        <v>1000</v>
      </c>
      <c r="O14" s="515">
        <v>0</v>
      </c>
      <c r="P14" s="515">
        <v>0</v>
      </c>
      <c r="Q14" s="517">
        <v>0</v>
      </c>
      <c r="R14" s="519">
        <v>2014</v>
      </c>
      <c r="S14" s="520">
        <v>2018</v>
      </c>
    </row>
    <row r="15" spans="2:19" ht="12" customHeight="1" x14ac:dyDescent="0.25">
      <c r="B15" s="561" t="s">
        <v>339</v>
      </c>
      <c r="C15" s="561"/>
      <c r="E15" s="448" t="s">
        <v>167</v>
      </c>
      <c r="F15" s="514" t="s">
        <v>313</v>
      </c>
      <c r="G15" s="515">
        <v>0</v>
      </c>
      <c r="H15" s="515">
        <v>0</v>
      </c>
      <c r="I15" s="516">
        <v>0</v>
      </c>
      <c r="J15" s="514" t="s">
        <v>313</v>
      </c>
      <c r="K15" s="515">
        <v>0</v>
      </c>
      <c r="L15" s="515">
        <v>0</v>
      </c>
      <c r="M15" s="517">
        <v>0</v>
      </c>
      <c r="N15" s="518" t="s">
        <v>313</v>
      </c>
      <c r="O15" s="515">
        <v>0</v>
      </c>
      <c r="P15" s="515">
        <v>0</v>
      </c>
      <c r="Q15" s="517">
        <v>0</v>
      </c>
      <c r="R15" s="519">
        <v>2014</v>
      </c>
      <c r="S15" s="520">
        <v>2030</v>
      </c>
    </row>
    <row r="16" spans="2:19" ht="12" customHeight="1" x14ac:dyDescent="0.25">
      <c r="B16" s="561"/>
      <c r="C16" s="561"/>
      <c r="E16" s="448" t="s">
        <v>168</v>
      </c>
      <c r="F16" s="514">
        <v>2000</v>
      </c>
      <c r="G16" s="515">
        <v>0</v>
      </c>
      <c r="H16" s="515">
        <v>0</v>
      </c>
      <c r="I16" s="516">
        <v>0</v>
      </c>
      <c r="J16" s="514">
        <v>2000</v>
      </c>
      <c r="K16" s="515">
        <v>0</v>
      </c>
      <c r="L16" s="515">
        <v>0</v>
      </c>
      <c r="M16" s="517">
        <v>0</v>
      </c>
      <c r="N16" s="518">
        <v>2000</v>
      </c>
      <c r="O16" s="515">
        <v>0</v>
      </c>
      <c r="P16" s="515">
        <v>0</v>
      </c>
      <c r="Q16" s="517">
        <v>0</v>
      </c>
      <c r="R16" s="519">
        <v>2014</v>
      </c>
      <c r="S16" s="520">
        <v>2030</v>
      </c>
    </row>
    <row r="17" spans="2:19" ht="12" customHeight="1" x14ac:dyDescent="0.25">
      <c r="B17" s="561"/>
      <c r="C17" s="561"/>
      <c r="E17" s="448" t="s">
        <v>11</v>
      </c>
      <c r="F17" s="514">
        <v>100</v>
      </c>
      <c r="G17" s="515">
        <v>0</v>
      </c>
      <c r="H17" s="515">
        <v>0</v>
      </c>
      <c r="I17" s="516">
        <v>0</v>
      </c>
      <c r="J17" s="514">
        <v>100</v>
      </c>
      <c r="K17" s="515">
        <v>0</v>
      </c>
      <c r="L17" s="515">
        <v>0</v>
      </c>
      <c r="M17" s="517">
        <v>0</v>
      </c>
      <c r="N17" s="518">
        <v>100</v>
      </c>
      <c r="O17" s="515">
        <v>0</v>
      </c>
      <c r="P17" s="515">
        <v>0</v>
      </c>
      <c r="Q17" s="517">
        <v>0</v>
      </c>
      <c r="R17" s="519">
        <v>2014</v>
      </c>
      <c r="S17" s="520">
        <v>2030</v>
      </c>
    </row>
    <row r="18" spans="2:19" ht="12" customHeight="1" x14ac:dyDescent="0.25">
      <c r="B18" s="561"/>
      <c r="C18" s="561"/>
      <c r="E18" s="448" t="s">
        <v>169</v>
      </c>
      <c r="F18" s="514">
        <v>25</v>
      </c>
      <c r="G18" s="515">
        <v>0</v>
      </c>
      <c r="H18" s="515">
        <v>0</v>
      </c>
      <c r="I18" s="516">
        <v>0</v>
      </c>
      <c r="J18" s="514">
        <v>1500</v>
      </c>
      <c r="K18" s="515">
        <v>0</v>
      </c>
      <c r="L18" s="515">
        <v>0</v>
      </c>
      <c r="M18" s="517">
        <v>0</v>
      </c>
      <c r="N18" s="518">
        <v>1500</v>
      </c>
      <c r="O18" s="515">
        <v>0</v>
      </c>
      <c r="P18" s="515">
        <v>0</v>
      </c>
      <c r="Q18" s="517">
        <v>0</v>
      </c>
      <c r="R18" s="519">
        <v>2014</v>
      </c>
      <c r="S18" s="520">
        <v>2016</v>
      </c>
    </row>
    <row r="19" spans="2:19" ht="13.05" customHeight="1" x14ac:dyDescent="0.25">
      <c r="B19" s="561"/>
      <c r="C19" s="561"/>
      <c r="E19" s="448" t="s">
        <v>170</v>
      </c>
      <c r="F19" s="514">
        <v>2000</v>
      </c>
      <c r="G19" s="515">
        <v>0</v>
      </c>
      <c r="H19" s="515">
        <v>0</v>
      </c>
      <c r="I19" s="516">
        <v>0</v>
      </c>
      <c r="J19" s="514">
        <v>2000</v>
      </c>
      <c r="K19" s="515">
        <v>0</v>
      </c>
      <c r="L19" s="515">
        <v>0</v>
      </c>
      <c r="M19" s="517">
        <v>0</v>
      </c>
      <c r="N19" s="518">
        <v>2000</v>
      </c>
      <c r="O19" s="515">
        <v>0</v>
      </c>
      <c r="P19" s="515">
        <v>0</v>
      </c>
      <c r="Q19" s="517">
        <v>0</v>
      </c>
      <c r="R19" s="519">
        <v>2014</v>
      </c>
      <c r="S19" s="520">
        <v>2030</v>
      </c>
    </row>
    <row r="20" spans="2:19" ht="12" customHeight="1" x14ac:dyDescent="0.25">
      <c r="B20" s="561"/>
      <c r="C20" s="561"/>
      <c r="E20" s="448" t="s">
        <v>171</v>
      </c>
      <c r="F20" s="514">
        <v>10</v>
      </c>
      <c r="G20" s="515">
        <v>0</v>
      </c>
      <c r="H20" s="515">
        <v>0</v>
      </c>
      <c r="I20" s="516">
        <v>0</v>
      </c>
      <c r="J20" s="514">
        <v>100</v>
      </c>
      <c r="K20" s="515">
        <v>0</v>
      </c>
      <c r="L20" s="515">
        <v>0</v>
      </c>
      <c r="M20" s="517">
        <v>0</v>
      </c>
      <c r="N20" s="518">
        <v>100</v>
      </c>
      <c r="O20" s="515">
        <v>0</v>
      </c>
      <c r="P20" s="515">
        <v>0</v>
      </c>
      <c r="Q20" s="517">
        <v>0</v>
      </c>
      <c r="R20" s="519">
        <v>2014</v>
      </c>
      <c r="S20" s="520">
        <v>2016</v>
      </c>
    </row>
    <row r="21" spans="2:19" ht="12" customHeight="1" x14ac:dyDescent="0.25">
      <c r="B21" s="561"/>
      <c r="C21" s="561"/>
      <c r="E21" s="448" t="s">
        <v>172</v>
      </c>
      <c r="F21" s="514">
        <v>100</v>
      </c>
      <c r="G21" s="515">
        <v>0</v>
      </c>
      <c r="H21" s="515">
        <v>0</v>
      </c>
      <c r="I21" s="516">
        <v>0</v>
      </c>
      <c r="J21" s="514">
        <v>100</v>
      </c>
      <c r="K21" s="515">
        <v>0</v>
      </c>
      <c r="L21" s="515">
        <v>0</v>
      </c>
      <c r="M21" s="517">
        <v>0</v>
      </c>
      <c r="N21" s="518">
        <v>100</v>
      </c>
      <c r="O21" s="515">
        <v>0</v>
      </c>
      <c r="P21" s="515">
        <v>0</v>
      </c>
      <c r="Q21" s="517">
        <v>0</v>
      </c>
      <c r="R21" s="519">
        <v>2014</v>
      </c>
      <c r="S21" s="520">
        <v>2014</v>
      </c>
    </row>
    <row r="22" spans="2:19" ht="12" customHeight="1" x14ac:dyDescent="0.25">
      <c r="B22" s="561"/>
      <c r="C22" s="561"/>
      <c r="E22" s="448" t="s">
        <v>176</v>
      </c>
      <c r="F22" s="514">
        <v>500</v>
      </c>
      <c r="G22" s="515">
        <v>0</v>
      </c>
      <c r="H22" s="515">
        <v>0</v>
      </c>
      <c r="I22" s="516">
        <v>0</v>
      </c>
      <c r="J22" s="514">
        <v>500</v>
      </c>
      <c r="K22" s="515">
        <v>0</v>
      </c>
      <c r="L22" s="515">
        <v>0</v>
      </c>
      <c r="M22" s="517">
        <v>0</v>
      </c>
      <c r="N22" s="518">
        <v>500</v>
      </c>
      <c r="O22" s="515">
        <v>0</v>
      </c>
      <c r="P22" s="515">
        <v>0</v>
      </c>
      <c r="Q22" s="517">
        <v>0</v>
      </c>
      <c r="R22" s="519">
        <v>2014</v>
      </c>
      <c r="S22" s="520">
        <v>2030</v>
      </c>
    </row>
    <row r="23" spans="2:19" ht="12" customHeight="1" x14ac:dyDescent="0.25">
      <c r="B23" s="561"/>
      <c r="C23" s="561"/>
      <c r="E23" s="448" t="s">
        <v>173</v>
      </c>
      <c r="F23" s="514">
        <v>0</v>
      </c>
      <c r="G23" s="515">
        <v>0</v>
      </c>
      <c r="H23" s="515">
        <v>0</v>
      </c>
      <c r="I23" s="516">
        <v>0</v>
      </c>
      <c r="J23" s="514">
        <v>0</v>
      </c>
      <c r="K23" s="515">
        <v>0</v>
      </c>
      <c r="L23" s="515">
        <v>0</v>
      </c>
      <c r="M23" s="517">
        <v>0</v>
      </c>
      <c r="N23" s="518">
        <v>0</v>
      </c>
      <c r="O23" s="515">
        <v>0</v>
      </c>
      <c r="P23" s="515">
        <v>0</v>
      </c>
      <c r="Q23" s="517">
        <v>0</v>
      </c>
      <c r="R23" s="519">
        <v>2014</v>
      </c>
      <c r="S23" s="520">
        <v>2014</v>
      </c>
    </row>
    <row r="24" spans="2:19" ht="12" customHeight="1" x14ac:dyDescent="0.25">
      <c r="B24" s="561"/>
      <c r="C24" s="561"/>
      <c r="E24" s="448" t="s">
        <v>174</v>
      </c>
      <c r="F24" s="514" t="s">
        <v>313</v>
      </c>
      <c r="G24" s="515">
        <v>0</v>
      </c>
      <c r="H24" s="515">
        <v>0</v>
      </c>
      <c r="I24" s="516">
        <v>0</v>
      </c>
      <c r="J24" s="514">
        <v>2000</v>
      </c>
      <c r="K24" s="515">
        <v>0</v>
      </c>
      <c r="L24" s="515">
        <v>0</v>
      </c>
      <c r="M24" s="517">
        <v>0</v>
      </c>
      <c r="N24" s="518">
        <v>2000</v>
      </c>
      <c r="O24" s="515">
        <v>0</v>
      </c>
      <c r="P24" s="515">
        <v>0</v>
      </c>
      <c r="Q24" s="517">
        <v>0</v>
      </c>
      <c r="R24" s="519">
        <v>2014</v>
      </c>
      <c r="S24" s="520">
        <v>2030</v>
      </c>
    </row>
    <row r="25" spans="2:19" ht="12" customHeight="1" x14ac:dyDescent="0.25">
      <c r="B25" s="561"/>
      <c r="C25" s="561"/>
      <c r="E25" s="448" t="s">
        <v>175</v>
      </c>
      <c r="F25" s="514">
        <v>1000</v>
      </c>
      <c r="G25" s="515">
        <v>0</v>
      </c>
      <c r="H25" s="515">
        <v>0</v>
      </c>
      <c r="I25" s="516">
        <v>0</v>
      </c>
      <c r="J25" s="514">
        <v>1000</v>
      </c>
      <c r="K25" s="515">
        <v>0</v>
      </c>
      <c r="L25" s="515">
        <v>0</v>
      </c>
      <c r="M25" s="517">
        <v>0</v>
      </c>
      <c r="N25" s="518">
        <v>1000</v>
      </c>
      <c r="O25" s="515">
        <v>0</v>
      </c>
      <c r="P25" s="515">
        <v>0</v>
      </c>
      <c r="Q25" s="517">
        <v>0</v>
      </c>
      <c r="R25" s="519">
        <v>2014</v>
      </c>
      <c r="S25" s="520">
        <v>2030</v>
      </c>
    </row>
    <row r="26" spans="2:19" ht="12" customHeight="1" x14ac:dyDescent="0.25">
      <c r="B26" s="561"/>
      <c r="C26" s="561"/>
      <c r="E26" s="448" t="s">
        <v>177</v>
      </c>
      <c r="F26" s="514">
        <v>25</v>
      </c>
      <c r="G26" s="515">
        <v>0</v>
      </c>
      <c r="H26" s="515">
        <v>0</v>
      </c>
      <c r="I26" s="516">
        <v>0</v>
      </c>
      <c r="J26" s="514">
        <v>200</v>
      </c>
      <c r="K26" s="515">
        <v>0</v>
      </c>
      <c r="L26" s="515">
        <v>0</v>
      </c>
      <c r="M26" s="517">
        <v>0</v>
      </c>
      <c r="N26" s="518">
        <v>200</v>
      </c>
      <c r="O26" s="515">
        <v>0</v>
      </c>
      <c r="P26" s="515">
        <v>0</v>
      </c>
      <c r="Q26" s="517">
        <v>0</v>
      </c>
      <c r="R26" s="519">
        <v>2014</v>
      </c>
      <c r="S26" s="520">
        <v>2028</v>
      </c>
    </row>
    <row r="27" spans="2:19" ht="12" customHeight="1" x14ac:dyDescent="0.25">
      <c r="B27" s="561"/>
      <c r="C27" s="561"/>
      <c r="E27" s="448" t="s">
        <v>178</v>
      </c>
      <c r="F27" s="514">
        <v>30</v>
      </c>
      <c r="G27" s="515">
        <v>0</v>
      </c>
      <c r="H27" s="515">
        <v>0</v>
      </c>
      <c r="I27" s="516">
        <v>0</v>
      </c>
      <c r="J27" s="514">
        <v>30</v>
      </c>
      <c r="K27" s="515">
        <v>0</v>
      </c>
      <c r="L27" s="515">
        <v>0</v>
      </c>
      <c r="M27" s="517">
        <v>0</v>
      </c>
      <c r="N27" s="518">
        <v>30</v>
      </c>
      <c r="O27" s="515">
        <v>0</v>
      </c>
      <c r="P27" s="515">
        <v>0</v>
      </c>
      <c r="Q27" s="517">
        <v>0</v>
      </c>
      <c r="R27" s="519">
        <v>2014</v>
      </c>
      <c r="S27" s="520">
        <v>2028</v>
      </c>
    </row>
    <row r="28" spans="2:19" ht="12" customHeight="1" x14ac:dyDescent="0.25">
      <c r="B28" s="561"/>
      <c r="C28" s="561"/>
      <c r="E28" s="448" t="s">
        <v>179</v>
      </c>
      <c r="F28" s="514">
        <v>25</v>
      </c>
      <c r="G28" s="515">
        <v>0</v>
      </c>
      <c r="H28" s="515">
        <v>0</v>
      </c>
      <c r="I28" s="516">
        <v>0</v>
      </c>
      <c r="J28" s="514">
        <v>300</v>
      </c>
      <c r="K28" s="515">
        <v>0</v>
      </c>
      <c r="L28" s="515">
        <v>0</v>
      </c>
      <c r="M28" s="517">
        <v>0</v>
      </c>
      <c r="N28" s="518">
        <v>300</v>
      </c>
      <c r="O28" s="515">
        <v>0</v>
      </c>
      <c r="P28" s="515">
        <v>0</v>
      </c>
      <c r="Q28" s="517">
        <v>0</v>
      </c>
      <c r="R28" s="519">
        <v>2014</v>
      </c>
      <c r="S28" s="520">
        <v>2016</v>
      </c>
    </row>
    <row r="29" spans="2:19" ht="12" customHeight="1" x14ac:dyDescent="0.25">
      <c r="B29" s="561"/>
      <c r="C29" s="561"/>
      <c r="E29" s="448" t="s">
        <v>182</v>
      </c>
      <c r="F29" s="514">
        <v>2000</v>
      </c>
      <c r="G29" s="515">
        <v>0</v>
      </c>
      <c r="H29" s="515">
        <v>0</v>
      </c>
      <c r="I29" s="516">
        <v>0</v>
      </c>
      <c r="J29" s="514">
        <v>2000</v>
      </c>
      <c r="K29" s="515">
        <v>0</v>
      </c>
      <c r="L29" s="515">
        <v>0</v>
      </c>
      <c r="M29" s="517">
        <v>0</v>
      </c>
      <c r="N29" s="518">
        <v>2000</v>
      </c>
      <c r="O29" s="515">
        <v>0</v>
      </c>
      <c r="P29" s="515">
        <v>0</v>
      </c>
      <c r="Q29" s="517">
        <v>0</v>
      </c>
      <c r="R29" s="519">
        <v>2014</v>
      </c>
      <c r="S29" s="520">
        <v>2016</v>
      </c>
    </row>
    <row r="30" spans="2:19" ht="12" customHeight="1" x14ac:dyDescent="0.25">
      <c r="B30" s="561"/>
      <c r="C30" s="561"/>
      <c r="E30" s="448" t="s">
        <v>181</v>
      </c>
      <c r="F30" s="514">
        <v>2000</v>
      </c>
      <c r="G30" s="515">
        <v>0</v>
      </c>
      <c r="H30" s="515">
        <v>0</v>
      </c>
      <c r="I30" s="516">
        <v>0</v>
      </c>
      <c r="J30" s="514">
        <v>2000</v>
      </c>
      <c r="K30" s="515">
        <v>0</v>
      </c>
      <c r="L30" s="515">
        <v>0</v>
      </c>
      <c r="M30" s="517">
        <v>0</v>
      </c>
      <c r="N30" s="518">
        <v>2000</v>
      </c>
      <c r="O30" s="515">
        <v>0</v>
      </c>
      <c r="P30" s="515">
        <v>0</v>
      </c>
      <c r="Q30" s="517">
        <v>0</v>
      </c>
      <c r="R30" s="519">
        <v>2014</v>
      </c>
      <c r="S30" s="520">
        <v>2030</v>
      </c>
    </row>
    <row r="31" spans="2:19" ht="12" customHeight="1" x14ac:dyDescent="0.25">
      <c r="B31" s="561"/>
      <c r="C31" s="561"/>
      <c r="E31" s="448" t="s">
        <v>180</v>
      </c>
      <c r="F31" s="514">
        <v>660</v>
      </c>
      <c r="G31" s="515">
        <v>0</v>
      </c>
      <c r="H31" s="515">
        <v>0</v>
      </c>
      <c r="I31" s="516">
        <v>0</v>
      </c>
      <c r="J31" s="514">
        <v>660</v>
      </c>
      <c r="K31" s="515">
        <v>0</v>
      </c>
      <c r="L31" s="515">
        <v>0</v>
      </c>
      <c r="M31" s="517">
        <v>0</v>
      </c>
      <c r="N31" s="518">
        <v>660</v>
      </c>
      <c r="O31" s="515">
        <v>0</v>
      </c>
      <c r="P31" s="515">
        <v>0</v>
      </c>
      <c r="Q31" s="517">
        <v>0</v>
      </c>
      <c r="R31" s="519">
        <v>2014</v>
      </c>
      <c r="S31" s="520">
        <v>2030</v>
      </c>
    </row>
    <row r="32" spans="2:19" ht="12" customHeight="1" x14ac:dyDescent="0.25">
      <c r="B32" s="561"/>
      <c r="C32" s="561"/>
      <c r="E32" s="448" t="s">
        <v>183</v>
      </c>
      <c r="F32" s="514">
        <v>150</v>
      </c>
      <c r="G32" s="515">
        <v>0</v>
      </c>
      <c r="H32" s="515">
        <v>0</v>
      </c>
      <c r="I32" s="516">
        <v>0</v>
      </c>
      <c r="J32" s="514">
        <v>150</v>
      </c>
      <c r="K32" s="515">
        <v>0</v>
      </c>
      <c r="L32" s="515">
        <v>0</v>
      </c>
      <c r="M32" s="517">
        <v>0</v>
      </c>
      <c r="N32" s="518">
        <v>150</v>
      </c>
      <c r="O32" s="515">
        <v>0</v>
      </c>
      <c r="P32" s="515">
        <v>0</v>
      </c>
      <c r="Q32" s="517">
        <v>0</v>
      </c>
      <c r="R32" s="519">
        <v>2014</v>
      </c>
      <c r="S32" s="520">
        <v>2026</v>
      </c>
    </row>
    <row r="33" spans="2:19" ht="12" customHeight="1" x14ac:dyDescent="0.25">
      <c r="B33" s="561"/>
      <c r="C33" s="561"/>
      <c r="E33" s="448" t="s">
        <v>184</v>
      </c>
      <c r="F33" s="514">
        <v>1000</v>
      </c>
      <c r="G33" s="515">
        <v>0</v>
      </c>
      <c r="H33" s="515">
        <v>0</v>
      </c>
      <c r="I33" s="516">
        <v>0</v>
      </c>
      <c r="J33" s="514">
        <v>1000</v>
      </c>
      <c r="K33" s="515">
        <v>0</v>
      </c>
      <c r="L33" s="515">
        <v>0</v>
      </c>
      <c r="M33" s="517">
        <v>0</v>
      </c>
      <c r="N33" s="518">
        <v>1000</v>
      </c>
      <c r="O33" s="515">
        <v>0</v>
      </c>
      <c r="P33" s="515">
        <v>0</v>
      </c>
      <c r="Q33" s="517">
        <v>0</v>
      </c>
      <c r="R33" s="519">
        <v>2014</v>
      </c>
      <c r="S33" s="520">
        <v>2030</v>
      </c>
    </row>
    <row r="34" spans="2:19" ht="12" customHeight="1" x14ac:dyDescent="0.25">
      <c r="B34" s="561"/>
      <c r="C34" s="561"/>
      <c r="E34" s="448" t="s">
        <v>186</v>
      </c>
      <c r="F34" s="514">
        <v>100</v>
      </c>
      <c r="G34" s="515">
        <v>0</v>
      </c>
      <c r="H34" s="515">
        <v>0</v>
      </c>
      <c r="I34" s="516">
        <v>0</v>
      </c>
      <c r="J34" s="514">
        <v>100</v>
      </c>
      <c r="K34" s="515">
        <v>0</v>
      </c>
      <c r="L34" s="515">
        <v>0</v>
      </c>
      <c r="M34" s="517">
        <v>0</v>
      </c>
      <c r="N34" s="518">
        <v>100</v>
      </c>
      <c r="O34" s="515">
        <v>0</v>
      </c>
      <c r="P34" s="515">
        <v>0</v>
      </c>
      <c r="Q34" s="517">
        <v>0</v>
      </c>
      <c r="R34" s="519">
        <v>2014</v>
      </c>
      <c r="S34" s="520">
        <v>2030</v>
      </c>
    </row>
    <row r="35" spans="2:19" ht="12" customHeight="1" x14ac:dyDescent="0.25">
      <c r="B35" s="561"/>
      <c r="C35" s="561"/>
      <c r="E35" s="448" t="s">
        <v>185</v>
      </c>
      <c r="F35" s="514">
        <v>0</v>
      </c>
      <c r="G35" s="515">
        <v>0</v>
      </c>
      <c r="H35" s="515">
        <v>0</v>
      </c>
      <c r="I35" s="516">
        <v>0</v>
      </c>
      <c r="J35" s="514">
        <v>0</v>
      </c>
      <c r="K35" s="515">
        <v>0</v>
      </c>
      <c r="L35" s="515">
        <v>0</v>
      </c>
      <c r="M35" s="517">
        <v>0</v>
      </c>
      <c r="N35" s="518">
        <v>0</v>
      </c>
      <c r="O35" s="515">
        <v>0</v>
      </c>
      <c r="P35" s="515">
        <v>0</v>
      </c>
      <c r="Q35" s="517">
        <v>0</v>
      </c>
      <c r="R35" s="519">
        <v>2014</v>
      </c>
      <c r="S35" s="520">
        <v>2010</v>
      </c>
    </row>
    <row r="36" spans="2:19" ht="12" customHeight="1" x14ac:dyDescent="0.25">
      <c r="B36" s="561"/>
      <c r="C36" s="561"/>
      <c r="E36" s="448" t="s">
        <v>187</v>
      </c>
      <c r="F36" s="514">
        <v>50</v>
      </c>
      <c r="G36" s="515">
        <v>0</v>
      </c>
      <c r="H36" s="515">
        <v>0</v>
      </c>
      <c r="I36" s="516">
        <v>0</v>
      </c>
      <c r="J36" s="514">
        <v>50</v>
      </c>
      <c r="K36" s="515">
        <v>0</v>
      </c>
      <c r="L36" s="515">
        <v>0</v>
      </c>
      <c r="M36" s="517">
        <v>0</v>
      </c>
      <c r="N36" s="518">
        <v>50</v>
      </c>
      <c r="O36" s="515">
        <v>0</v>
      </c>
      <c r="P36" s="515">
        <v>0</v>
      </c>
      <c r="Q36" s="517">
        <v>0</v>
      </c>
      <c r="R36" s="519">
        <v>2014</v>
      </c>
      <c r="S36" s="520">
        <v>2030</v>
      </c>
    </row>
    <row r="37" spans="2:19" ht="12" customHeight="1" x14ac:dyDescent="0.25">
      <c r="B37" s="561"/>
      <c r="C37" s="561"/>
      <c r="E37" s="448" t="s">
        <v>194</v>
      </c>
      <c r="F37" s="514">
        <v>1000</v>
      </c>
      <c r="G37" s="515">
        <v>0</v>
      </c>
      <c r="H37" s="515">
        <v>0</v>
      </c>
      <c r="I37" s="516">
        <v>0</v>
      </c>
      <c r="J37" s="514">
        <v>1000</v>
      </c>
      <c r="K37" s="515">
        <v>0</v>
      </c>
      <c r="L37" s="515">
        <v>0</v>
      </c>
      <c r="M37" s="517">
        <v>0</v>
      </c>
      <c r="N37" s="518">
        <v>1000</v>
      </c>
      <c r="O37" s="515">
        <v>0</v>
      </c>
      <c r="P37" s="515">
        <v>0</v>
      </c>
      <c r="Q37" s="517">
        <v>0</v>
      </c>
      <c r="R37" s="519">
        <v>2014</v>
      </c>
      <c r="S37" s="520">
        <v>2030</v>
      </c>
    </row>
    <row r="38" spans="2:19" ht="12" customHeight="1" x14ac:dyDescent="0.25">
      <c r="B38" s="561"/>
      <c r="C38" s="561"/>
      <c r="E38" s="448" t="s">
        <v>195</v>
      </c>
      <c r="F38" s="514">
        <v>100</v>
      </c>
      <c r="G38" s="515">
        <v>0</v>
      </c>
      <c r="H38" s="515">
        <v>0</v>
      </c>
      <c r="I38" s="516">
        <v>0</v>
      </c>
      <c r="J38" s="514">
        <v>100</v>
      </c>
      <c r="K38" s="515">
        <v>0</v>
      </c>
      <c r="L38" s="515">
        <v>0</v>
      </c>
      <c r="M38" s="517">
        <v>0</v>
      </c>
      <c r="N38" s="518">
        <v>100</v>
      </c>
      <c r="O38" s="515">
        <v>0</v>
      </c>
      <c r="P38" s="515">
        <v>0</v>
      </c>
      <c r="Q38" s="517">
        <v>0</v>
      </c>
      <c r="R38" s="519">
        <v>2014</v>
      </c>
      <c r="S38" s="520">
        <v>2030</v>
      </c>
    </row>
    <row r="39" spans="2:19" ht="12" customHeight="1" x14ac:dyDescent="0.25">
      <c r="B39" s="561"/>
      <c r="C39" s="561"/>
      <c r="E39" s="448" t="s">
        <v>188</v>
      </c>
      <c r="F39" s="514">
        <v>25</v>
      </c>
      <c r="G39" s="515">
        <v>0</v>
      </c>
      <c r="H39" s="515">
        <v>0</v>
      </c>
      <c r="I39" s="516">
        <v>0</v>
      </c>
      <c r="J39" s="514">
        <v>25</v>
      </c>
      <c r="K39" s="515">
        <v>0</v>
      </c>
      <c r="L39" s="515">
        <v>0</v>
      </c>
      <c r="M39" s="517">
        <v>0</v>
      </c>
      <c r="N39" s="518">
        <v>25</v>
      </c>
      <c r="O39" s="515">
        <v>0</v>
      </c>
      <c r="P39" s="515">
        <v>0</v>
      </c>
      <c r="Q39" s="517">
        <v>0</v>
      </c>
      <c r="R39" s="519">
        <v>2014</v>
      </c>
      <c r="S39" s="520">
        <v>2028</v>
      </c>
    </row>
    <row r="40" spans="2:19" x14ac:dyDescent="0.25">
      <c r="B40" s="561"/>
      <c r="C40" s="561"/>
      <c r="E40" s="448" t="s">
        <v>190</v>
      </c>
      <c r="F40" s="514">
        <v>1000</v>
      </c>
      <c r="G40" s="515">
        <v>0</v>
      </c>
      <c r="H40" s="515">
        <v>0</v>
      </c>
      <c r="I40" s="516">
        <v>0</v>
      </c>
      <c r="J40" s="514">
        <v>1000</v>
      </c>
      <c r="K40" s="515">
        <v>0</v>
      </c>
      <c r="L40" s="515">
        <v>0</v>
      </c>
      <c r="M40" s="517">
        <v>0</v>
      </c>
      <c r="N40" s="518">
        <v>1000</v>
      </c>
      <c r="O40" s="515">
        <v>0</v>
      </c>
      <c r="P40" s="515">
        <v>0</v>
      </c>
      <c r="Q40" s="517">
        <v>0</v>
      </c>
      <c r="R40" s="519">
        <v>2014</v>
      </c>
      <c r="S40" s="520">
        <v>2024</v>
      </c>
    </row>
    <row r="41" spans="2:19" x14ac:dyDescent="0.25">
      <c r="B41" s="561"/>
      <c r="C41" s="561"/>
      <c r="E41" s="448" t="s">
        <v>191</v>
      </c>
      <c r="F41" s="514" t="s">
        <v>313</v>
      </c>
      <c r="G41" s="515">
        <v>0</v>
      </c>
      <c r="H41" s="515">
        <v>0</v>
      </c>
      <c r="I41" s="516">
        <v>0</v>
      </c>
      <c r="J41" s="514" t="s">
        <v>313</v>
      </c>
      <c r="K41" s="515">
        <v>0</v>
      </c>
      <c r="L41" s="515">
        <v>0</v>
      </c>
      <c r="M41" s="517">
        <v>0</v>
      </c>
      <c r="N41" s="518" t="s">
        <v>313</v>
      </c>
      <c r="O41" s="515">
        <v>0</v>
      </c>
      <c r="P41" s="515">
        <v>0</v>
      </c>
      <c r="Q41" s="517">
        <v>0</v>
      </c>
      <c r="R41" s="519">
        <v>2014</v>
      </c>
      <c r="S41" s="520">
        <v>2030</v>
      </c>
    </row>
    <row r="42" spans="2:19" x14ac:dyDescent="0.25">
      <c r="B42" s="561"/>
      <c r="C42" s="561"/>
      <c r="E42" s="448" t="s">
        <v>192</v>
      </c>
      <c r="F42" s="514">
        <v>80000</v>
      </c>
      <c r="G42" s="515">
        <v>0</v>
      </c>
      <c r="H42" s="515">
        <v>0</v>
      </c>
      <c r="I42" s="516">
        <v>0</v>
      </c>
      <c r="J42" s="514">
        <v>80000</v>
      </c>
      <c r="K42" s="515">
        <v>0</v>
      </c>
      <c r="L42" s="515">
        <v>0</v>
      </c>
      <c r="M42" s="517">
        <v>0</v>
      </c>
      <c r="N42" s="518">
        <v>80000</v>
      </c>
      <c r="O42" s="515">
        <v>0</v>
      </c>
      <c r="P42" s="515">
        <v>0</v>
      </c>
      <c r="Q42" s="517">
        <v>0</v>
      </c>
      <c r="R42" s="519">
        <v>2014</v>
      </c>
      <c r="S42" s="520">
        <v>2030</v>
      </c>
    </row>
    <row r="43" spans="2:19" x14ac:dyDescent="0.25">
      <c r="B43" s="561"/>
      <c r="C43" s="561"/>
      <c r="E43" s="448" t="s">
        <v>189</v>
      </c>
      <c r="F43" s="514">
        <v>1000</v>
      </c>
      <c r="G43" s="515">
        <v>0</v>
      </c>
      <c r="H43" s="515">
        <v>0</v>
      </c>
      <c r="I43" s="516">
        <v>0</v>
      </c>
      <c r="J43" s="514">
        <v>1000</v>
      </c>
      <c r="K43" s="515">
        <v>0</v>
      </c>
      <c r="L43" s="515">
        <v>0</v>
      </c>
      <c r="M43" s="517">
        <v>0</v>
      </c>
      <c r="N43" s="518">
        <v>1000</v>
      </c>
      <c r="O43" s="515">
        <v>0</v>
      </c>
      <c r="P43" s="515">
        <v>0</v>
      </c>
      <c r="Q43" s="517">
        <v>0</v>
      </c>
      <c r="R43" s="519">
        <v>2014</v>
      </c>
      <c r="S43" s="520">
        <v>2018</v>
      </c>
    </row>
    <row r="44" spans="2:19" x14ac:dyDescent="0.25">
      <c r="B44" s="561"/>
      <c r="C44" s="561"/>
      <c r="E44" s="448" t="s">
        <v>193</v>
      </c>
      <c r="F44" s="514">
        <v>25</v>
      </c>
      <c r="G44" s="515">
        <v>0</v>
      </c>
      <c r="H44" s="515">
        <v>0</v>
      </c>
      <c r="I44" s="516">
        <v>0</v>
      </c>
      <c r="J44" s="514">
        <v>2000</v>
      </c>
      <c r="K44" s="515">
        <v>0</v>
      </c>
      <c r="L44" s="515">
        <v>0</v>
      </c>
      <c r="M44" s="517">
        <v>0</v>
      </c>
      <c r="N44" s="518">
        <v>2000</v>
      </c>
      <c r="O44" s="515">
        <v>0</v>
      </c>
      <c r="P44" s="515">
        <v>0</v>
      </c>
      <c r="Q44" s="517">
        <v>0</v>
      </c>
      <c r="R44" s="519">
        <v>2014</v>
      </c>
      <c r="S44" s="520">
        <v>2018</v>
      </c>
    </row>
    <row r="45" spans="2:19" x14ac:dyDescent="0.25">
      <c r="B45" s="561"/>
      <c r="C45" s="561"/>
      <c r="E45" s="448" t="s">
        <v>196</v>
      </c>
      <c r="F45" s="514" t="s">
        <v>313</v>
      </c>
      <c r="G45" s="515">
        <v>0</v>
      </c>
      <c r="H45" s="515">
        <v>0</v>
      </c>
      <c r="I45" s="516">
        <v>0</v>
      </c>
      <c r="J45" s="514" t="s">
        <v>313</v>
      </c>
      <c r="K45" s="515">
        <v>0</v>
      </c>
      <c r="L45" s="515">
        <v>0</v>
      </c>
      <c r="M45" s="517">
        <v>0</v>
      </c>
      <c r="N45" s="518" t="s">
        <v>313</v>
      </c>
      <c r="O45" s="515">
        <v>0</v>
      </c>
      <c r="P45" s="515">
        <v>0</v>
      </c>
      <c r="Q45" s="517">
        <v>0</v>
      </c>
      <c r="R45" s="519">
        <v>2014</v>
      </c>
      <c r="S45" s="520">
        <v>2030</v>
      </c>
    </row>
    <row r="46" spans="2:19" x14ac:dyDescent="0.25">
      <c r="B46" s="561"/>
      <c r="C46" s="561"/>
      <c r="E46" s="448" t="s">
        <v>197</v>
      </c>
      <c r="F46" s="514">
        <v>17</v>
      </c>
      <c r="G46" s="515">
        <v>0</v>
      </c>
      <c r="H46" s="515">
        <v>0</v>
      </c>
      <c r="I46" s="516">
        <v>0</v>
      </c>
      <c r="J46" s="514">
        <v>17</v>
      </c>
      <c r="K46" s="515">
        <v>0</v>
      </c>
      <c r="L46" s="515">
        <v>0</v>
      </c>
      <c r="M46" s="517">
        <v>0</v>
      </c>
      <c r="N46" s="518">
        <v>17</v>
      </c>
      <c r="O46" s="515">
        <v>0</v>
      </c>
      <c r="P46" s="515">
        <v>0</v>
      </c>
      <c r="Q46" s="517">
        <v>0</v>
      </c>
      <c r="R46" s="519">
        <v>2014</v>
      </c>
      <c r="S46" s="520">
        <v>2030</v>
      </c>
    </row>
    <row r="47" spans="2:19" x14ac:dyDescent="0.25">
      <c r="B47" s="561"/>
      <c r="C47" s="561"/>
      <c r="E47" s="448" t="s">
        <v>198</v>
      </c>
      <c r="F47" s="514">
        <v>25</v>
      </c>
      <c r="G47" s="515">
        <v>0</v>
      </c>
      <c r="H47" s="515">
        <v>0</v>
      </c>
      <c r="I47" s="516">
        <v>0</v>
      </c>
      <c r="J47" s="514">
        <v>2000</v>
      </c>
      <c r="K47" s="515">
        <v>0</v>
      </c>
      <c r="L47" s="515">
        <v>0</v>
      </c>
      <c r="M47" s="517">
        <v>0</v>
      </c>
      <c r="N47" s="518">
        <v>2000</v>
      </c>
      <c r="O47" s="515">
        <v>0</v>
      </c>
      <c r="P47" s="515">
        <v>0</v>
      </c>
      <c r="Q47" s="517">
        <v>0</v>
      </c>
      <c r="R47" s="519">
        <v>2014</v>
      </c>
      <c r="S47" s="520">
        <v>2030</v>
      </c>
    </row>
    <row r="48" spans="2:19" x14ac:dyDescent="0.25">
      <c r="B48" s="561"/>
      <c r="C48" s="561"/>
      <c r="E48" s="448" t="s">
        <v>199</v>
      </c>
      <c r="F48" s="514">
        <v>50</v>
      </c>
      <c r="G48" s="515">
        <v>0</v>
      </c>
      <c r="H48" s="515">
        <v>0</v>
      </c>
      <c r="I48" s="516">
        <v>0</v>
      </c>
      <c r="J48" s="514">
        <v>3000</v>
      </c>
      <c r="K48" s="515">
        <v>0</v>
      </c>
      <c r="L48" s="515">
        <v>0</v>
      </c>
      <c r="M48" s="517">
        <v>0</v>
      </c>
      <c r="N48" s="518">
        <v>3000</v>
      </c>
      <c r="O48" s="515">
        <v>0</v>
      </c>
      <c r="P48" s="515">
        <v>0</v>
      </c>
      <c r="Q48" s="517">
        <v>0</v>
      </c>
      <c r="R48" s="519">
        <v>2014</v>
      </c>
      <c r="S48" s="520">
        <v>2030</v>
      </c>
    </row>
    <row r="49" spans="2:19" x14ac:dyDescent="0.25">
      <c r="B49" s="561"/>
      <c r="C49" s="561"/>
      <c r="E49" s="448" t="s">
        <v>200</v>
      </c>
      <c r="F49" s="514">
        <v>5000</v>
      </c>
      <c r="G49" s="515">
        <v>0</v>
      </c>
      <c r="H49" s="515">
        <v>0</v>
      </c>
      <c r="I49" s="516">
        <v>0</v>
      </c>
      <c r="J49" s="514">
        <v>5000</v>
      </c>
      <c r="K49" s="515">
        <v>0</v>
      </c>
      <c r="L49" s="515">
        <v>0</v>
      </c>
      <c r="M49" s="517">
        <v>0</v>
      </c>
      <c r="N49" s="518">
        <v>5000</v>
      </c>
      <c r="O49" s="515">
        <v>0</v>
      </c>
      <c r="P49" s="515">
        <v>0</v>
      </c>
      <c r="Q49" s="517">
        <v>0</v>
      </c>
      <c r="R49" s="519">
        <v>2014</v>
      </c>
      <c r="S49" s="520">
        <v>2026</v>
      </c>
    </row>
    <row r="50" spans="2:19" x14ac:dyDescent="0.25">
      <c r="B50" s="561"/>
      <c r="C50" s="561"/>
      <c r="E50" s="448" t="s">
        <v>201</v>
      </c>
      <c r="F50" s="514">
        <v>20</v>
      </c>
      <c r="G50" s="515">
        <v>0</v>
      </c>
      <c r="H50" s="515">
        <v>0</v>
      </c>
      <c r="I50" s="516">
        <v>0</v>
      </c>
      <c r="J50" s="514">
        <v>100</v>
      </c>
      <c r="K50" s="515">
        <v>0</v>
      </c>
      <c r="L50" s="515">
        <v>0</v>
      </c>
      <c r="M50" s="517">
        <v>0</v>
      </c>
      <c r="N50" s="518">
        <v>100</v>
      </c>
      <c r="O50" s="515">
        <v>0</v>
      </c>
      <c r="P50" s="515">
        <v>0</v>
      </c>
      <c r="Q50" s="517">
        <v>0</v>
      </c>
      <c r="R50" s="519">
        <v>2014</v>
      </c>
      <c r="S50" s="520">
        <v>2016</v>
      </c>
    </row>
    <row r="51" spans="2:19" x14ac:dyDescent="0.25">
      <c r="B51" s="561"/>
      <c r="C51" s="561"/>
      <c r="E51" s="448" t="s">
        <v>202</v>
      </c>
      <c r="F51" s="514">
        <v>0</v>
      </c>
      <c r="G51" s="515">
        <v>0</v>
      </c>
      <c r="H51" s="515">
        <v>0</v>
      </c>
      <c r="I51" s="516">
        <v>0</v>
      </c>
      <c r="J51" s="514">
        <v>0</v>
      </c>
      <c r="K51" s="515">
        <v>0</v>
      </c>
      <c r="L51" s="515">
        <v>0</v>
      </c>
      <c r="M51" s="517">
        <v>0</v>
      </c>
      <c r="N51" s="518">
        <v>0</v>
      </c>
      <c r="O51" s="515">
        <v>0</v>
      </c>
      <c r="P51" s="515">
        <v>0</v>
      </c>
      <c r="Q51" s="517">
        <v>0</v>
      </c>
      <c r="R51" s="519">
        <v>2014</v>
      </c>
      <c r="S51" s="520">
        <v>2014</v>
      </c>
    </row>
    <row r="52" spans="2:19" x14ac:dyDescent="0.25">
      <c r="B52" s="561"/>
      <c r="C52" s="561"/>
      <c r="E52" s="448" t="s">
        <v>203</v>
      </c>
      <c r="F52" s="514">
        <v>0</v>
      </c>
      <c r="G52" s="515">
        <v>0</v>
      </c>
      <c r="H52" s="515">
        <v>0</v>
      </c>
      <c r="I52" s="516">
        <v>0</v>
      </c>
      <c r="J52" s="514">
        <v>0</v>
      </c>
      <c r="K52" s="515">
        <v>0</v>
      </c>
      <c r="L52" s="515">
        <v>0</v>
      </c>
      <c r="M52" s="517">
        <v>0</v>
      </c>
      <c r="N52" s="518">
        <v>0</v>
      </c>
      <c r="O52" s="515">
        <v>0</v>
      </c>
      <c r="P52" s="515">
        <v>0</v>
      </c>
      <c r="Q52" s="517">
        <v>0</v>
      </c>
      <c r="R52" s="519">
        <v>2014</v>
      </c>
      <c r="S52" s="520">
        <v>2014</v>
      </c>
    </row>
    <row r="53" spans="2:19" x14ac:dyDescent="0.25">
      <c r="E53" s="448" t="s">
        <v>204</v>
      </c>
      <c r="F53" s="514">
        <v>0</v>
      </c>
      <c r="G53" s="515">
        <v>0</v>
      </c>
      <c r="H53" s="515">
        <v>0</v>
      </c>
      <c r="I53" s="516">
        <v>0</v>
      </c>
      <c r="J53" s="514">
        <v>0</v>
      </c>
      <c r="K53" s="515">
        <v>0</v>
      </c>
      <c r="L53" s="515">
        <v>0</v>
      </c>
      <c r="M53" s="517">
        <v>0</v>
      </c>
      <c r="N53" s="518">
        <v>0</v>
      </c>
      <c r="O53" s="515">
        <v>0</v>
      </c>
      <c r="P53" s="515">
        <v>0</v>
      </c>
      <c r="Q53" s="517">
        <v>0</v>
      </c>
      <c r="R53" s="519">
        <v>2014</v>
      </c>
      <c r="S53" s="520">
        <v>2014</v>
      </c>
    </row>
    <row r="54" spans="2:19" x14ac:dyDescent="0.25">
      <c r="B54" s="560" t="s">
        <v>312</v>
      </c>
      <c r="C54" s="560"/>
      <c r="E54" s="448" t="s">
        <v>205</v>
      </c>
      <c r="F54" s="514">
        <v>25</v>
      </c>
      <c r="G54" s="515">
        <v>0</v>
      </c>
      <c r="H54" s="515">
        <v>0</v>
      </c>
      <c r="I54" s="516">
        <v>0</v>
      </c>
      <c r="J54" s="514">
        <v>2000</v>
      </c>
      <c r="K54" s="515">
        <v>0</v>
      </c>
      <c r="L54" s="515">
        <v>0</v>
      </c>
      <c r="M54" s="517">
        <v>0</v>
      </c>
      <c r="N54" s="518">
        <v>2000</v>
      </c>
      <c r="O54" s="515">
        <v>0</v>
      </c>
      <c r="P54" s="515">
        <v>0</v>
      </c>
      <c r="Q54" s="517">
        <v>0</v>
      </c>
      <c r="R54" s="519">
        <v>2014</v>
      </c>
      <c r="S54" s="520">
        <v>2030</v>
      </c>
    </row>
    <row r="55" spans="2:19" x14ac:dyDescent="0.25">
      <c r="B55" s="560"/>
      <c r="C55" s="560"/>
      <c r="E55" s="448" t="s">
        <v>207</v>
      </c>
      <c r="F55" s="514">
        <v>20</v>
      </c>
      <c r="G55" s="515">
        <v>0</v>
      </c>
      <c r="H55" s="515">
        <v>0</v>
      </c>
      <c r="I55" s="516">
        <v>0</v>
      </c>
      <c r="J55" s="514">
        <v>500</v>
      </c>
      <c r="K55" s="515">
        <v>0</v>
      </c>
      <c r="L55" s="515">
        <v>0</v>
      </c>
      <c r="M55" s="517">
        <v>0</v>
      </c>
      <c r="N55" s="518">
        <v>500</v>
      </c>
      <c r="O55" s="515">
        <v>0</v>
      </c>
      <c r="P55" s="515">
        <v>0</v>
      </c>
      <c r="Q55" s="517">
        <v>0</v>
      </c>
      <c r="R55" s="519">
        <v>2014</v>
      </c>
      <c r="S55" s="520">
        <v>2026</v>
      </c>
    </row>
    <row r="56" spans="2:19" x14ac:dyDescent="0.25">
      <c r="B56" s="560"/>
      <c r="C56" s="560"/>
      <c r="E56" s="448" t="s">
        <v>206</v>
      </c>
      <c r="F56" s="514">
        <v>500</v>
      </c>
      <c r="G56" s="515">
        <v>0</v>
      </c>
      <c r="H56" s="515">
        <v>0</v>
      </c>
      <c r="I56" s="516">
        <v>0</v>
      </c>
      <c r="J56" s="514">
        <v>500</v>
      </c>
      <c r="K56" s="515">
        <v>0</v>
      </c>
      <c r="L56" s="515">
        <v>0</v>
      </c>
      <c r="M56" s="517">
        <v>0</v>
      </c>
      <c r="N56" s="518">
        <v>500</v>
      </c>
      <c r="O56" s="515">
        <v>0</v>
      </c>
      <c r="P56" s="515">
        <v>0</v>
      </c>
      <c r="Q56" s="517">
        <v>0</v>
      </c>
      <c r="R56" s="519">
        <v>2014</v>
      </c>
      <c r="S56" s="520">
        <v>2026</v>
      </c>
    </row>
    <row r="57" spans="2:19" x14ac:dyDescent="0.25">
      <c r="E57" s="448" t="s">
        <v>208</v>
      </c>
      <c r="F57" s="514">
        <v>100</v>
      </c>
      <c r="G57" s="515">
        <v>0</v>
      </c>
      <c r="H57" s="515">
        <v>0</v>
      </c>
      <c r="I57" s="516">
        <v>0</v>
      </c>
      <c r="J57" s="514">
        <v>100</v>
      </c>
      <c r="K57" s="515">
        <v>0</v>
      </c>
      <c r="L57" s="515">
        <v>0</v>
      </c>
      <c r="M57" s="517">
        <v>0</v>
      </c>
      <c r="N57" s="518">
        <v>100</v>
      </c>
      <c r="O57" s="515">
        <v>0</v>
      </c>
      <c r="P57" s="515">
        <v>0</v>
      </c>
      <c r="Q57" s="517">
        <v>0</v>
      </c>
      <c r="R57" s="519">
        <v>2014</v>
      </c>
      <c r="S57" s="520">
        <v>2016</v>
      </c>
    </row>
    <row r="58" spans="2:19" x14ac:dyDescent="0.25">
      <c r="B58" s="559" t="s">
        <v>318</v>
      </c>
      <c r="C58" s="559"/>
      <c r="E58" s="448" t="s">
        <v>210</v>
      </c>
      <c r="F58" s="514">
        <v>20</v>
      </c>
      <c r="G58" s="515">
        <v>0</v>
      </c>
      <c r="H58" s="515">
        <v>0</v>
      </c>
      <c r="I58" s="516">
        <v>0</v>
      </c>
      <c r="J58" s="514">
        <v>20</v>
      </c>
      <c r="K58" s="515">
        <v>0</v>
      </c>
      <c r="L58" s="515">
        <v>0</v>
      </c>
      <c r="M58" s="517">
        <v>0</v>
      </c>
      <c r="N58" s="518">
        <v>20</v>
      </c>
      <c r="O58" s="515">
        <v>0</v>
      </c>
      <c r="P58" s="515">
        <v>0</v>
      </c>
      <c r="Q58" s="517">
        <v>0</v>
      </c>
      <c r="R58" s="519">
        <v>2014</v>
      </c>
      <c r="S58" s="520">
        <v>2030</v>
      </c>
    </row>
    <row r="59" spans="2:19" x14ac:dyDescent="0.25">
      <c r="B59" s="559"/>
      <c r="C59" s="559"/>
      <c r="E59" s="448" t="s">
        <v>209</v>
      </c>
      <c r="F59" s="514">
        <v>25</v>
      </c>
      <c r="G59" s="515">
        <v>0</v>
      </c>
      <c r="H59" s="515">
        <v>0</v>
      </c>
      <c r="I59" s="516">
        <v>0</v>
      </c>
      <c r="J59" s="514">
        <v>500</v>
      </c>
      <c r="K59" s="515">
        <v>0</v>
      </c>
      <c r="L59" s="515">
        <v>0</v>
      </c>
      <c r="M59" s="517">
        <v>0</v>
      </c>
      <c r="N59" s="518">
        <v>2000</v>
      </c>
      <c r="O59" s="515">
        <v>0</v>
      </c>
      <c r="P59" s="515">
        <v>0</v>
      </c>
      <c r="Q59" s="517">
        <v>0</v>
      </c>
      <c r="R59" s="519">
        <v>2014</v>
      </c>
      <c r="S59" s="520">
        <v>2030</v>
      </c>
    </row>
    <row r="60" spans="2:19" ht="13.8" thickBot="1" x14ac:dyDescent="0.3">
      <c r="B60" s="559"/>
      <c r="C60" s="559"/>
      <c r="E60" s="449" t="s">
        <v>211</v>
      </c>
      <c r="F60" s="523">
        <v>25</v>
      </c>
      <c r="G60" s="524">
        <v>0</v>
      </c>
      <c r="H60" s="524">
        <v>0</v>
      </c>
      <c r="I60" s="525">
        <v>0</v>
      </c>
      <c r="J60" s="523">
        <v>25</v>
      </c>
      <c r="K60" s="524">
        <v>0</v>
      </c>
      <c r="L60" s="524">
        <v>0</v>
      </c>
      <c r="M60" s="526">
        <v>0</v>
      </c>
      <c r="N60" s="527">
        <v>25</v>
      </c>
      <c r="O60" s="524">
        <v>0</v>
      </c>
      <c r="P60" s="524">
        <v>0</v>
      </c>
      <c r="Q60" s="526">
        <v>0</v>
      </c>
      <c r="R60" s="528">
        <v>2014</v>
      </c>
      <c r="S60" s="529">
        <v>2030</v>
      </c>
    </row>
    <row r="61" spans="2:19" x14ac:dyDescent="0.25">
      <c r="B61" s="559"/>
      <c r="C61" s="559"/>
      <c r="M61" s="450"/>
    </row>
    <row r="126" spans="2:3" x14ac:dyDescent="0.25">
      <c r="B126" s="440" t="s">
        <v>305</v>
      </c>
      <c r="C126" s="562" t="s">
        <v>342</v>
      </c>
    </row>
    <row r="127" spans="2:3" x14ac:dyDescent="0.25">
      <c r="B127" s="440" t="s">
        <v>306</v>
      </c>
      <c r="C127" s="562" t="s">
        <v>343</v>
      </c>
    </row>
    <row r="128" spans="2:3" x14ac:dyDescent="0.25">
      <c r="B128" s="440" t="s">
        <v>307</v>
      </c>
    </row>
    <row r="129" spans="2:2" x14ac:dyDescent="0.25">
      <c r="B129" s="440" t="s">
        <v>308</v>
      </c>
    </row>
    <row r="130" spans="2:2" x14ac:dyDescent="0.25">
      <c r="B130" s="440" t="s">
        <v>304</v>
      </c>
    </row>
    <row r="133" spans="2:2" x14ac:dyDescent="0.25">
      <c r="B133" s="441">
        <v>2014</v>
      </c>
    </row>
    <row r="134" spans="2:2" x14ac:dyDescent="0.25">
      <c r="B134" s="441">
        <v>2016</v>
      </c>
    </row>
    <row r="135" spans="2:2" x14ac:dyDescent="0.25">
      <c r="B135" s="441">
        <v>2018</v>
      </c>
    </row>
    <row r="136" spans="2:2" x14ac:dyDescent="0.25">
      <c r="B136" s="441">
        <v>2020</v>
      </c>
    </row>
    <row r="137" spans="2:2" x14ac:dyDescent="0.25">
      <c r="B137" s="441">
        <v>2022</v>
      </c>
    </row>
    <row r="138" spans="2:2" x14ac:dyDescent="0.25">
      <c r="B138" s="441">
        <v>2024</v>
      </c>
    </row>
    <row r="139" spans="2:2" x14ac:dyDescent="0.25">
      <c r="B139" s="441">
        <v>2026</v>
      </c>
    </row>
    <row r="140" spans="2:2" x14ac:dyDescent="0.25">
      <c r="B140" s="441">
        <v>2028</v>
      </c>
    </row>
    <row r="141" spans="2:2" x14ac:dyDescent="0.25">
      <c r="B141" s="441">
        <v>2030</v>
      </c>
    </row>
    <row r="142" spans="2:2" x14ac:dyDescent="0.25">
      <c r="B142" s="441">
        <v>2032</v>
      </c>
    </row>
    <row r="143" spans="2:2" x14ac:dyDescent="0.25">
      <c r="B143" s="441">
        <v>2034</v>
      </c>
    </row>
    <row r="144" spans="2:2" x14ac:dyDescent="0.25">
      <c r="B144" s="441">
        <v>2036</v>
      </c>
    </row>
    <row r="145" spans="2:2" x14ac:dyDescent="0.25">
      <c r="B145" s="441">
        <v>2038</v>
      </c>
    </row>
    <row r="146" spans="2:2" x14ac:dyDescent="0.25">
      <c r="B146" s="441">
        <v>2040</v>
      </c>
    </row>
    <row r="147" spans="2:2" x14ac:dyDescent="0.25">
      <c r="B147" s="441">
        <v>2042</v>
      </c>
    </row>
    <row r="148" spans="2:2" x14ac:dyDescent="0.25">
      <c r="B148" s="441">
        <v>2044</v>
      </c>
    </row>
    <row r="149" spans="2:2" x14ac:dyDescent="0.25">
      <c r="B149" s="441">
        <v>2046</v>
      </c>
    </row>
    <row r="150" spans="2:2" x14ac:dyDescent="0.25">
      <c r="B150" s="441">
        <v>2048</v>
      </c>
    </row>
    <row r="151" spans="2:2" x14ac:dyDescent="0.25">
      <c r="B151" s="441">
        <v>2050</v>
      </c>
    </row>
    <row r="154" spans="2:2" x14ac:dyDescent="0.25">
      <c r="B154" s="442" t="b">
        <v>1</v>
      </c>
    </row>
    <row r="155" spans="2:2" x14ac:dyDescent="0.25">
      <c r="B155" s="442" t="b">
        <v>0</v>
      </c>
    </row>
    <row r="167" spans="1:5" x14ac:dyDescent="0.25">
      <c r="A167" s="441"/>
      <c r="B167" s="441" t="s">
        <v>314</v>
      </c>
      <c r="C167" s="441" t="s">
        <v>315</v>
      </c>
      <c r="D167" s="441" t="s">
        <v>316</v>
      </c>
      <c r="E167" s="441"/>
    </row>
    <row r="168" spans="1:5" x14ac:dyDescent="0.25">
      <c r="A168" s="441" t="s">
        <v>163</v>
      </c>
      <c r="B168" s="441">
        <v>25</v>
      </c>
      <c r="C168" s="441">
        <v>25</v>
      </c>
      <c r="D168" s="441">
        <v>25</v>
      </c>
      <c r="E168" s="441">
        <v>2014</v>
      </c>
    </row>
    <row r="169" spans="1:5" x14ac:dyDescent="0.25">
      <c r="A169" s="441" t="s">
        <v>162</v>
      </c>
      <c r="B169" s="441">
        <v>0</v>
      </c>
      <c r="C169" s="441">
        <v>0</v>
      </c>
      <c r="D169" s="441">
        <v>0</v>
      </c>
      <c r="E169" s="441">
        <v>2014</v>
      </c>
    </row>
    <row r="170" spans="1:5" x14ac:dyDescent="0.25">
      <c r="A170" s="441" t="s">
        <v>165</v>
      </c>
      <c r="B170" s="441">
        <v>25</v>
      </c>
      <c r="C170" s="441">
        <v>300</v>
      </c>
      <c r="D170" s="441">
        <v>300</v>
      </c>
      <c r="E170" s="441">
        <v>2030</v>
      </c>
    </row>
    <row r="171" spans="1:5" x14ac:dyDescent="0.25">
      <c r="A171" s="441" t="s">
        <v>164</v>
      </c>
      <c r="B171" s="441" t="s">
        <v>313</v>
      </c>
      <c r="C171" s="441" t="s">
        <v>313</v>
      </c>
      <c r="D171" s="441" t="s">
        <v>313</v>
      </c>
      <c r="E171" s="441">
        <v>2030</v>
      </c>
    </row>
    <row r="172" spans="1:5" x14ac:dyDescent="0.25">
      <c r="A172" s="441" t="s">
        <v>166</v>
      </c>
      <c r="B172" s="441">
        <v>1000</v>
      </c>
      <c r="C172" s="441">
        <v>1000</v>
      </c>
      <c r="D172" s="441">
        <v>1000</v>
      </c>
      <c r="E172" s="441">
        <v>2018</v>
      </c>
    </row>
    <row r="173" spans="1:5" x14ac:dyDescent="0.25">
      <c r="A173" s="441" t="s">
        <v>167</v>
      </c>
      <c r="B173" s="441" t="s">
        <v>313</v>
      </c>
      <c r="C173" s="441" t="s">
        <v>313</v>
      </c>
      <c r="D173" s="441" t="s">
        <v>313</v>
      </c>
      <c r="E173" s="441">
        <v>2030</v>
      </c>
    </row>
    <row r="174" spans="1:5" x14ac:dyDescent="0.25">
      <c r="A174" s="441" t="s">
        <v>168</v>
      </c>
      <c r="B174" s="441">
        <v>2000</v>
      </c>
      <c r="C174" s="441">
        <v>2000</v>
      </c>
      <c r="D174" s="441">
        <v>2000</v>
      </c>
      <c r="E174" s="441">
        <v>2030</v>
      </c>
    </row>
    <row r="175" spans="1:5" x14ac:dyDescent="0.25">
      <c r="A175" s="441" t="s">
        <v>11</v>
      </c>
      <c r="B175" s="441">
        <v>100</v>
      </c>
      <c r="C175" s="441">
        <v>100</v>
      </c>
      <c r="D175" s="441">
        <v>100</v>
      </c>
      <c r="E175" s="441">
        <v>2030</v>
      </c>
    </row>
    <row r="176" spans="1:5" x14ac:dyDescent="0.25">
      <c r="A176" s="441" t="s">
        <v>169</v>
      </c>
      <c r="B176" s="441">
        <v>25</v>
      </c>
      <c r="C176" s="441">
        <v>1500</v>
      </c>
      <c r="D176" s="441">
        <v>1500</v>
      </c>
      <c r="E176" s="441">
        <v>2016</v>
      </c>
    </row>
    <row r="177" spans="1:5" x14ac:dyDescent="0.25">
      <c r="A177" s="441" t="s">
        <v>170</v>
      </c>
      <c r="B177" s="441">
        <v>2000</v>
      </c>
      <c r="C177" s="441">
        <v>2000</v>
      </c>
      <c r="D177" s="441">
        <v>2000</v>
      </c>
      <c r="E177" s="441">
        <v>2030</v>
      </c>
    </row>
    <row r="178" spans="1:5" x14ac:dyDescent="0.25">
      <c r="A178" s="441" t="s">
        <v>171</v>
      </c>
      <c r="B178" s="441">
        <v>10</v>
      </c>
      <c r="C178" s="441">
        <v>100</v>
      </c>
      <c r="D178" s="441">
        <v>100</v>
      </c>
      <c r="E178" s="441">
        <v>2016</v>
      </c>
    </row>
    <row r="179" spans="1:5" x14ac:dyDescent="0.25">
      <c r="A179" s="441" t="s">
        <v>172</v>
      </c>
      <c r="B179" s="441">
        <v>100</v>
      </c>
      <c r="C179" s="441">
        <v>100</v>
      </c>
      <c r="D179" s="441">
        <v>100</v>
      </c>
      <c r="E179" s="441">
        <v>2014</v>
      </c>
    </row>
    <row r="180" spans="1:5" x14ac:dyDescent="0.25">
      <c r="A180" s="441" t="s">
        <v>176</v>
      </c>
      <c r="B180" s="441">
        <v>500</v>
      </c>
      <c r="C180" s="441">
        <v>500</v>
      </c>
      <c r="D180" s="441">
        <v>500</v>
      </c>
      <c r="E180" s="441">
        <v>2030</v>
      </c>
    </row>
    <row r="181" spans="1:5" x14ac:dyDescent="0.25">
      <c r="A181" s="441" t="s">
        <v>173</v>
      </c>
      <c r="B181" s="441">
        <v>0</v>
      </c>
      <c r="C181" s="441">
        <v>0</v>
      </c>
      <c r="D181" s="441">
        <v>0</v>
      </c>
      <c r="E181" s="441">
        <v>2014</v>
      </c>
    </row>
    <row r="182" spans="1:5" x14ac:dyDescent="0.25">
      <c r="A182" s="441" t="s">
        <v>174</v>
      </c>
      <c r="B182" s="441" t="s">
        <v>313</v>
      </c>
      <c r="C182" s="441">
        <v>2000</v>
      </c>
      <c r="D182" s="441">
        <v>2000</v>
      </c>
      <c r="E182" s="441">
        <v>2030</v>
      </c>
    </row>
    <row r="183" spans="1:5" x14ac:dyDescent="0.25">
      <c r="A183" s="441" t="s">
        <v>175</v>
      </c>
      <c r="B183" s="441">
        <v>1000</v>
      </c>
      <c r="C183" s="441">
        <v>1000</v>
      </c>
      <c r="D183" s="441">
        <v>1000</v>
      </c>
      <c r="E183" s="441">
        <v>2030</v>
      </c>
    </row>
    <row r="184" spans="1:5" x14ac:dyDescent="0.25">
      <c r="A184" s="441" t="s">
        <v>177</v>
      </c>
      <c r="B184" s="441">
        <v>25</v>
      </c>
      <c r="C184" s="441">
        <v>200</v>
      </c>
      <c r="D184" s="441">
        <v>200</v>
      </c>
      <c r="E184" s="441">
        <v>2028</v>
      </c>
    </row>
    <row r="185" spans="1:5" x14ac:dyDescent="0.25">
      <c r="A185" s="441" t="s">
        <v>178</v>
      </c>
      <c r="B185" s="441">
        <v>30</v>
      </c>
      <c r="C185" s="441">
        <v>30</v>
      </c>
      <c r="D185" s="441">
        <v>30</v>
      </c>
      <c r="E185" s="441">
        <v>2028</v>
      </c>
    </row>
    <row r="186" spans="1:5" x14ac:dyDescent="0.25">
      <c r="A186" s="441" t="s">
        <v>179</v>
      </c>
      <c r="B186" s="441">
        <v>25</v>
      </c>
      <c r="C186" s="441">
        <v>300</v>
      </c>
      <c r="D186" s="441">
        <v>300</v>
      </c>
      <c r="E186" s="441">
        <v>2016</v>
      </c>
    </row>
    <row r="187" spans="1:5" x14ac:dyDescent="0.25">
      <c r="A187" s="441" t="s">
        <v>182</v>
      </c>
      <c r="B187" s="441">
        <v>2000</v>
      </c>
      <c r="C187" s="441">
        <v>2000</v>
      </c>
      <c r="D187" s="441">
        <v>2000</v>
      </c>
      <c r="E187" s="441">
        <v>2016</v>
      </c>
    </row>
    <row r="188" spans="1:5" x14ac:dyDescent="0.25">
      <c r="A188" s="441" t="s">
        <v>181</v>
      </c>
      <c r="B188" s="441">
        <v>2000</v>
      </c>
      <c r="C188" s="441">
        <v>2000</v>
      </c>
      <c r="D188" s="441">
        <v>2000</v>
      </c>
      <c r="E188" s="441">
        <v>2030</v>
      </c>
    </row>
    <row r="189" spans="1:5" x14ac:dyDescent="0.25">
      <c r="A189" s="441" t="s">
        <v>180</v>
      </c>
      <c r="B189" s="441">
        <v>660</v>
      </c>
      <c r="C189" s="441">
        <v>660</v>
      </c>
      <c r="D189" s="441">
        <v>660</v>
      </c>
      <c r="E189" s="441">
        <v>2030</v>
      </c>
    </row>
    <row r="190" spans="1:5" x14ac:dyDescent="0.25">
      <c r="A190" s="441" t="s">
        <v>183</v>
      </c>
      <c r="B190" s="441">
        <v>150</v>
      </c>
      <c r="C190" s="441">
        <v>150</v>
      </c>
      <c r="D190" s="441">
        <v>150</v>
      </c>
      <c r="E190" s="441">
        <v>2026</v>
      </c>
    </row>
    <row r="191" spans="1:5" x14ac:dyDescent="0.25">
      <c r="A191" s="441" t="s">
        <v>184</v>
      </c>
      <c r="B191" s="441">
        <v>1000</v>
      </c>
      <c r="C191" s="441">
        <v>1000</v>
      </c>
      <c r="D191" s="441">
        <v>1000</v>
      </c>
      <c r="E191" s="441">
        <v>2030</v>
      </c>
    </row>
    <row r="192" spans="1:5" x14ac:dyDescent="0.25">
      <c r="A192" s="441" t="s">
        <v>186</v>
      </c>
      <c r="B192" s="441">
        <v>100</v>
      </c>
      <c r="C192" s="441">
        <v>100</v>
      </c>
      <c r="D192" s="441">
        <v>100</v>
      </c>
      <c r="E192" s="441">
        <v>2030</v>
      </c>
    </row>
    <row r="193" spans="1:5" x14ac:dyDescent="0.25">
      <c r="A193" s="441" t="s">
        <v>185</v>
      </c>
      <c r="B193" s="441">
        <v>0</v>
      </c>
      <c r="C193" s="441">
        <v>0</v>
      </c>
      <c r="D193" s="441">
        <v>0</v>
      </c>
      <c r="E193" s="441">
        <v>2010</v>
      </c>
    </row>
    <row r="194" spans="1:5" x14ac:dyDescent="0.25">
      <c r="A194" s="441" t="s">
        <v>187</v>
      </c>
      <c r="B194" s="441">
        <v>50</v>
      </c>
      <c r="C194" s="441">
        <v>50</v>
      </c>
      <c r="D194" s="441">
        <v>50</v>
      </c>
      <c r="E194" s="441">
        <v>2030</v>
      </c>
    </row>
    <row r="195" spans="1:5" x14ac:dyDescent="0.25">
      <c r="A195" s="441" t="s">
        <v>194</v>
      </c>
      <c r="B195" s="441">
        <v>1000</v>
      </c>
      <c r="C195" s="441">
        <v>1000</v>
      </c>
      <c r="D195" s="441">
        <v>1000</v>
      </c>
      <c r="E195" s="441">
        <v>2030</v>
      </c>
    </row>
    <row r="196" spans="1:5" x14ac:dyDescent="0.25">
      <c r="A196" s="441" t="s">
        <v>195</v>
      </c>
      <c r="B196" s="441">
        <v>100</v>
      </c>
      <c r="C196" s="441">
        <v>100</v>
      </c>
      <c r="D196" s="441">
        <v>100</v>
      </c>
      <c r="E196" s="441">
        <v>2030</v>
      </c>
    </row>
    <row r="197" spans="1:5" x14ac:dyDescent="0.25">
      <c r="A197" s="441" t="s">
        <v>188</v>
      </c>
      <c r="B197" s="441">
        <v>25</v>
      </c>
      <c r="C197" s="441">
        <v>25</v>
      </c>
      <c r="D197" s="441">
        <v>25</v>
      </c>
      <c r="E197" s="441">
        <v>2028</v>
      </c>
    </row>
    <row r="198" spans="1:5" x14ac:dyDescent="0.25">
      <c r="A198" s="441" t="s">
        <v>190</v>
      </c>
      <c r="B198" s="441">
        <v>1000</v>
      </c>
      <c r="C198" s="441">
        <v>1000</v>
      </c>
      <c r="D198" s="441">
        <v>1000</v>
      </c>
      <c r="E198" s="441">
        <v>2024</v>
      </c>
    </row>
    <row r="199" spans="1:5" x14ac:dyDescent="0.25">
      <c r="A199" s="441" t="s">
        <v>191</v>
      </c>
      <c r="B199" s="441" t="s">
        <v>313</v>
      </c>
      <c r="C199" s="441" t="s">
        <v>313</v>
      </c>
      <c r="D199" s="441" t="s">
        <v>313</v>
      </c>
      <c r="E199" s="441">
        <v>2030</v>
      </c>
    </row>
    <row r="200" spans="1:5" x14ac:dyDescent="0.25">
      <c r="A200" s="441" t="s">
        <v>192</v>
      </c>
      <c r="B200" s="441">
        <v>80000</v>
      </c>
      <c r="C200" s="441">
        <v>80000</v>
      </c>
      <c r="D200" s="441">
        <v>80000</v>
      </c>
      <c r="E200" s="441">
        <v>2030</v>
      </c>
    </row>
    <row r="201" spans="1:5" x14ac:dyDescent="0.25">
      <c r="A201" s="441" t="s">
        <v>189</v>
      </c>
      <c r="B201" s="441">
        <v>1000</v>
      </c>
      <c r="C201" s="441">
        <v>1000</v>
      </c>
      <c r="D201" s="441">
        <v>1000</v>
      </c>
      <c r="E201" s="441">
        <v>2018</v>
      </c>
    </row>
    <row r="202" spans="1:5" x14ac:dyDescent="0.25">
      <c r="A202" s="441" t="s">
        <v>193</v>
      </c>
      <c r="B202" s="441">
        <v>25</v>
      </c>
      <c r="C202" s="441">
        <v>2000</v>
      </c>
      <c r="D202" s="441">
        <v>2000</v>
      </c>
      <c r="E202" s="441">
        <v>2018</v>
      </c>
    </row>
    <row r="203" spans="1:5" x14ac:dyDescent="0.25">
      <c r="A203" s="441" t="s">
        <v>196</v>
      </c>
      <c r="B203" s="441" t="s">
        <v>313</v>
      </c>
      <c r="C203" s="441" t="s">
        <v>313</v>
      </c>
      <c r="D203" s="441" t="s">
        <v>313</v>
      </c>
      <c r="E203" s="441">
        <v>2030</v>
      </c>
    </row>
    <row r="204" spans="1:5" x14ac:dyDescent="0.25">
      <c r="A204" s="441" t="s">
        <v>197</v>
      </c>
      <c r="B204" s="441">
        <v>17</v>
      </c>
      <c r="C204" s="441">
        <v>17</v>
      </c>
      <c r="D204" s="441">
        <v>17</v>
      </c>
      <c r="E204" s="441">
        <v>2030</v>
      </c>
    </row>
    <row r="205" spans="1:5" x14ac:dyDescent="0.25">
      <c r="A205" s="441" t="s">
        <v>198</v>
      </c>
      <c r="B205" s="441">
        <v>25</v>
      </c>
      <c r="C205" s="441">
        <v>2000</v>
      </c>
      <c r="D205" s="441">
        <v>2000</v>
      </c>
      <c r="E205" s="441">
        <v>2030</v>
      </c>
    </row>
    <row r="206" spans="1:5" x14ac:dyDescent="0.25">
      <c r="A206" s="441" t="s">
        <v>199</v>
      </c>
      <c r="B206" s="441">
        <v>50</v>
      </c>
      <c r="C206" s="441">
        <v>3000</v>
      </c>
      <c r="D206" s="441">
        <v>3000</v>
      </c>
      <c r="E206" s="441">
        <v>2030</v>
      </c>
    </row>
    <row r="207" spans="1:5" x14ac:dyDescent="0.25">
      <c r="A207" s="441" t="s">
        <v>200</v>
      </c>
      <c r="B207" s="441">
        <v>5000</v>
      </c>
      <c r="C207" s="441">
        <v>5000</v>
      </c>
      <c r="D207" s="441">
        <v>5000</v>
      </c>
      <c r="E207" s="441">
        <v>2026</v>
      </c>
    </row>
    <row r="208" spans="1:5" x14ac:dyDescent="0.25">
      <c r="A208" s="441" t="s">
        <v>201</v>
      </c>
      <c r="B208" s="441">
        <v>20</v>
      </c>
      <c r="C208" s="441">
        <v>100</v>
      </c>
      <c r="D208" s="441">
        <v>100</v>
      </c>
      <c r="E208" s="441">
        <v>2016</v>
      </c>
    </row>
    <row r="209" spans="1:5" x14ac:dyDescent="0.25">
      <c r="A209" s="441" t="s">
        <v>202</v>
      </c>
      <c r="B209" s="441">
        <v>0</v>
      </c>
      <c r="C209" s="441">
        <v>0</v>
      </c>
      <c r="D209" s="441">
        <v>0</v>
      </c>
      <c r="E209" s="441">
        <v>2014</v>
      </c>
    </row>
    <row r="210" spans="1:5" x14ac:dyDescent="0.25">
      <c r="A210" s="441" t="s">
        <v>203</v>
      </c>
      <c r="B210" s="441">
        <v>0</v>
      </c>
      <c r="C210" s="441">
        <v>0</v>
      </c>
      <c r="D210" s="441">
        <v>0</v>
      </c>
      <c r="E210" s="441">
        <v>2014</v>
      </c>
    </row>
    <row r="211" spans="1:5" x14ac:dyDescent="0.25">
      <c r="A211" s="441" t="s">
        <v>204</v>
      </c>
      <c r="B211" s="441">
        <v>0</v>
      </c>
      <c r="C211" s="441">
        <v>0</v>
      </c>
      <c r="D211" s="441">
        <v>0</v>
      </c>
      <c r="E211" s="441">
        <v>2014</v>
      </c>
    </row>
    <row r="212" spans="1:5" x14ac:dyDescent="0.25">
      <c r="A212" s="441" t="s">
        <v>205</v>
      </c>
      <c r="B212" s="441">
        <v>25</v>
      </c>
      <c r="C212" s="441">
        <v>2000</v>
      </c>
      <c r="D212" s="441">
        <v>2000</v>
      </c>
      <c r="E212" s="441">
        <v>2030</v>
      </c>
    </row>
    <row r="213" spans="1:5" x14ac:dyDescent="0.25">
      <c r="A213" s="441" t="s">
        <v>207</v>
      </c>
      <c r="B213" s="441">
        <v>20</v>
      </c>
      <c r="C213" s="441">
        <v>500</v>
      </c>
      <c r="D213" s="441">
        <v>500</v>
      </c>
      <c r="E213" s="441">
        <v>2026</v>
      </c>
    </row>
    <row r="214" spans="1:5" x14ac:dyDescent="0.25">
      <c r="A214" s="441" t="s">
        <v>206</v>
      </c>
      <c r="B214" s="441">
        <v>500</v>
      </c>
      <c r="C214" s="441">
        <v>500</v>
      </c>
      <c r="D214" s="441">
        <v>500</v>
      </c>
      <c r="E214" s="441">
        <v>2026</v>
      </c>
    </row>
    <row r="215" spans="1:5" x14ac:dyDescent="0.25">
      <c r="A215" s="441" t="s">
        <v>208</v>
      </c>
      <c r="B215" s="441">
        <v>100</v>
      </c>
      <c r="C215" s="441">
        <v>100</v>
      </c>
      <c r="D215" s="441">
        <v>100</v>
      </c>
      <c r="E215" s="441">
        <v>2016</v>
      </c>
    </row>
    <row r="216" spans="1:5" x14ac:dyDescent="0.25">
      <c r="A216" s="441" t="s">
        <v>210</v>
      </c>
      <c r="B216" s="441">
        <v>20</v>
      </c>
      <c r="C216" s="441">
        <v>20</v>
      </c>
      <c r="D216" s="441">
        <v>20</v>
      </c>
      <c r="E216" s="441">
        <v>2030</v>
      </c>
    </row>
    <row r="217" spans="1:5" x14ac:dyDescent="0.25">
      <c r="A217" s="441" t="s">
        <v>209</v>
      </c>
      <c r="B217" s="441">
        <v>25</v>
      </c>
      <c r="C217" s="441">
        <v>500</v>
      </c>
      <c r="D217" s="441">
        <v>2000</v>
      </c>
      <c r="E217" s="441">
        <v>2030</v>
      </c>
    </row>
    <row r="218" spans="1:5" x14ac:dyDescent="0.25">
      <c r="A218" s="441" t="s">
        <v>211</v>
      </c>
      <c r="B218" s="441">
        <v>25</v>
      </c>
      <c r="C218" s="441">
        <v>25</v>
      </c>
      <c r="D218" s="441">
        <v>25</v>
      </c>
      <c r="E218" s="441">
        <v>2030</v>
      </c>
    </row>
    <row r="219" spans="1:5" x14ac:dyDescent="0.25">
      <c r="B219" s="451"/>
    </row>
  </sheetData>
  <sheetProtection sheet="1" formatCells="0" formatColumns="0" formatRows="0"/>
  <mergeCells count="6">
    <mergeCell ref="N8:Q8"/>
    <mergeCell ref="B58:C61"/>
    <mergeCell ref="B54:C56"/>
    <mergeCell ref="B15:C52"/>
    <mergeCell ref="F8:I8"/>
    <mergeCell ref="J8:M8"/>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38"/>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64</vt:i4>
      </vt:variant>
    </vt:vector>
  </HeadingPairs>
  <TitlesOfParts>
    <vt:vector size="72"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expiration_rate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state_wholesale_price</vt:lpstr>
      <vt:lpstr>sys_sizing</vt:lpstr>
      <vt:lpstr>ud_rates</vt:lpstr>
      <vt:lpstr>user_defined_max_market_share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2015-09-02T00:06:02Z</dcterms:modified>
</cp:coreProperties>
</file>