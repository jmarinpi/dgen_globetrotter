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007" codeName="{8C4F1C90-05EB-6A55-5F09-09C24B55AC0B}"/>
  <workbookPr showInkAnnotation="0" codeName="ThisWorkbook" autoCompressPictures="0"/>
  <bookViews>
    <workbookView xWindow="0" yWindow="0" windowWidth="25600" windowHeight="15960" tabRatio="782"/>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oad_Growth_Scenario">Main!$D$16</definedName>
    <definedName name="Local_Incentive_Scenario">Main!#REF!</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V10" authorId="0">
      <text>
        <r>
          <rPr>
            <b/>
            <sz val="9"/>
            <color indexed="81"/>
            <rFont val="Tahoma"/>
            <family val="2"/>
          </rPr>
          <t>Ben Sigrin - NREL:</t>
        </r>
        <r>
          <rPr>
            <sz val="9"/>
            <color indexed="81"/>
            <rFont val="Tahoma"/>
            <family val="2"/>
          </rPr>
          <t xml:space="preserve">
Mike--
Don't ingest the SPT tables, keep for user reference</t>
        </r>
      </text>
    </comment>
    <comment ref="V17" authorId="0">
      <text>
        <r>
          <rPr>
            <b/>
            <sz val="9"/>
            <color indexed="81"/>
            <rFont val="Tahoma"/>
            <family val="2"/>
          </rPr>
          <t>Ben Sigrin - NREL:</t>
        </r>
        <r>
          <rPr>
            <sz val="9"/>
            <color indexed="81"/>
            <rFont val="Tahoma"/>
            <family val="2"/>
          </rPr>
          <t xml:space="preserve">
Ben Sigrin - NREL:
Mike--
Do ingest the user-input tables</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4.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<sst xmlns="http://schemas.openxmlformats.org/spreadsheetml/2006/main" count="518" uniqueCount="306">
  <si>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</si>
  <si>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</si>
  <si>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</si>
  <si>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</si>
  <si>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</si>
  <si>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</si>
  <si>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</si>
  <si>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</si>
  <si>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</si>
  <si>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</si>
  <si>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</si>
  <si>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</si>
  <si>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</si>
  <si>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</si>
  <si>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</si>
  <si>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</si>
  <si>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</si>
  <si>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</si>
  <si>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</si>
  <si>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</si>
  <si>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</si>
  <si>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</si>
  <si>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</si>
  <si>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</si>
  <si>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</si>
  <si>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</si>
  <si>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</si>
  <si>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</si>
  <si>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</si>
  <si>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</si>
  <si>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</si>
  <si>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</si>
  <si>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</si>
  <si>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</si>
  <si>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</si>
  <si>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</si>
  <si>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</si>
  <si>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</si>
  <si>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</si>
  <si>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</si>
  <si>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</si>
  <si>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</si>
  <si>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</si>
  <si>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</si>
  <si>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</si>
  <si>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</si>
  <si>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</si>
  <si>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</si>
  <si>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</si>
  <si>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</si>
  <si>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</si>
  <si>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</si>
  <si>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</si>
  <si>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</si>
  <si>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</si>
  <si>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</si>
  <si>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</si>
  <si>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</si>
  <si>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</si>
  <si>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</si>
  <si>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</si>
  <si>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</si>
  <si>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</si>
  <si>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</si>
  <si>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</si>
  <si>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</si>
  <si>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</si>
  <si>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</si>
  <si>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</si>
  <si>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</si>
  <si>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</si>
  <si>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</si>
  <si>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</si>
  <si>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</si>
  <si>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</si>
  <si>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</si>
  <si>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</si>
  <si>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</si>
  <si>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</si>
  <si>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</si>
  <si>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</si>
  <si>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</si>
  <si>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</si>
  <si>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</si>
  <si>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</si>
  <si>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</si>
  <si>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</si>
  <si>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</si>
  <si>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</si>
  <si>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</si>
  <si>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</si>
  <si>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</si>
  <si>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</si>
  <si>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</si>
  <si>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</si>
  <si>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</si>
  <si>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</si>
  <si>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</si>
  <si>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</si>
  <si>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</si>
  <si>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</si>
  <si>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</si>
  <si>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</si>
  <si>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</si>
  <si>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</si>
  <si>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</si>
  <si>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</si>
  <si>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</si>
  <si>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</si>
  <si>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</si>
  <si>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</si>
  <si>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</si>
  <si>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</si>
  <si>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</si>
  <si>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</si>
  <si>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</si>
  <si>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</si>
  <si>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</si>
  <si>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</si>
  <si>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</si>
  <si>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</si>
  <si>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</si>
  <si>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</si>
  <si>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</si>
  <si>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</si>
  <si>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</si>
  <si>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</si>
  <si>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</si>
  <si>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</si>
  <si>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</si>
  <si>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</si>
  <si>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</si>
  <si>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</si>
  <si>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</si>
  <si>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</si>
  <si>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</si>
  <si>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</si>
  <si>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</si>
  <si>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</si>
  <si>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</si>
  <si>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</si>
  <si>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</si>
  <si>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</si>
  <si>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</si>
  <si>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</si>
  <si>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</si>
  <si>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</si>
  <si>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</si>
  <si>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</si>
  <si>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</si>
  <si>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</si>
  <si>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</si>
  <si>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</si>
  <si>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</si>
  <si>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</si>
  <si>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</si>
  <si>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</si>
  <si>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</si>
  <si>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</si>
  <si>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</si>
  <si>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</si>
  <si>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</si>
  <si>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</si>
  <si>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</si>
  <si>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</si>
  <si>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</si>
  <si>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</si>
  <si>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</si>
  <si>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</si>
  <si>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</si>
  <si>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</si>
  <si>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</si>
  <si>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</si>
  <si>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</si>
  <si>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</si>
  <si>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</si>
  <si>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</si>
  <si>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</si>
  <si>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</si>
  <si>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</si>
  <si>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</si>
  <si>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</si>
  <si>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</si>
  <si>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</si>
  <si>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</si>
  <si>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</si>
  <si>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</si>
  <si>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</si>
  <si>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</si>
  <si>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</si>
  <si>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</si>
  <si>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</si>
  <si>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</si>
  <si>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</si>
  <si>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</si>
  <si>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</si>
  <si>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</si>
  <si>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</si>
  <si>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</si>
  <si>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</si>
  <si>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</si>
  <si>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</si>
  <si>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</si>
  <si>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</si>
  <si>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</si>
  <si>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</si>
  <si>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</si>
  <si>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</si>
  <si>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</si>
  <si>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</si>
  <si>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</si>
  <si>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</si>
  <si>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</si>
  <si>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</si>
  <si>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</si>
  <si>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</si>
  <si>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</si>
  <si>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</si>
  <si>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</si>
  <si>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</si>
  <si>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</si>
  <si>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</si>
  <si>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</si>
  <si>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</si>
  <si>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</si>
  <si>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</si>
  <si>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</si>
  <si>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</si>
  <si>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</si>
  <si>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</si>
  <si>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</si>
  <si>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</si>
  <si>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</si>
  <si>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</si>
  <si>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</si>
  <si>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</si>
  <si>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</si>
  <si>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</si>
  <si>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</si>
  <si>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</si>
  <si>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</si>
  <si>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</si>
  <si>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</si>
  <si>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</si>
  <si>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</si>
  <si>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</si>
  <si>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</si>
  <si>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</si>
  <si>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</si>
  <si>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</si>
  <si>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</si>
  <si>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</si>
  <si>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</si>
  <si>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</si>
  <si>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</si>
  <si>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</si>
  <si>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</si>
  <si>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</si>
  <si>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</si>
  <si>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</si>
  <si>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</si>
  <si>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</si>
  <si>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</si>
  <si>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</si>
  <si>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</si>
  <si>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</si>
  <si>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</si>
  <si>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PV Efficiency (%)</t>
  </si>
  <si>
    <t>User PV Efficiency (%)</t>
  </si>
  <si>
    <t>Density  ( W / sq ft )</t>
  </si>
  <si>
    <t>User Density  ( W / sq ft )</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</si>
  <si>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</si>
  <si>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</si>
  <si>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</si>
  <si>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</si>
  <si>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</si>
  <si>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</si>
  <si>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</si>
  <si>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</si>
  <si>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</si>
  <si>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</si>
  <si>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</si>
  <si>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</si>
  <si>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</si>
  <si>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</si>
  <si>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</si>
  <si>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</si>
  <si>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</si>
  <si>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</si>
  <si>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</si>
  <si>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</si>
  <si>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</si>
  <si>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</si>
  <si>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DOE Solar Program Targets (SPT)</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</si>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</sst>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s>
  <borders count="10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thin">
        <color auto="1"/>
      </left>
      <right style="mediumDashed">
        <color theme="9"/>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s>
  <cellStyleXfs count="26">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cellStyleXfs>
  <cellXfs count="445">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4"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6"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6" xfId="3" applyNumberFormat="1" applyFont="1" applyFill="1" applyBorder="1" applyAlignment="1">
      <alignment horizontal="center" vertical="center" wrapText="1"/>
    </xf>
    <xf numFmtId="0" fontId="52" fillId="5" borderId="27"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0" xfId="2" applyFont="1" applyFill="1" applyBorder="1" applyAlignment="1" applyProtection="1">
      <alignment horizontal="left"/>
    </xf>
    <xf numFmtId="0" fontId="37" fillId="9" borderId="1" xfId="3" applyFont="1" applyFill="1" applyBorder="1" applyAlignment="1">
      <alignment horizontal="left"/>
    </xf>
    <xf numFmtId="10" fontId="9" fillId="3" borderId="29" xfId="3" applyNumberFormat="1" applyFont="1" applyFill="1" applyBorder="1"/>
    <xf numFmtId="0" fontId="28" fillId="5" borderId="25" xfId="3" applyFont="1" applyFill="1" applyBorder="1" applyAlignment="1">
      <alignment horizontal="center" wrapText="1"/>
    </xf>
    <xf numFmtId="1" fontId="9" fillId="3" borderId="32" xfId="3" applyNumberFormat="1" applyFont="1" applyFill="1" applyBorder="1" applyAlignment="1">
      <alignment horizontal="center"/>
    </xf>
    <xf numFmtId="10" fontId="9" fillId="3" borderId="36" xfId="3" applyNumberFormat="1" applyFont="1" applyFill="1" applyBorder="1" applyAlignment="1">
      <alignment horizontal="center"/>
    </xf>
    <xf numFmtId="10" fontId="9" fillId="3" borderId="33" xfId="3" applyNumberFormat="1" applyFont="1" applyFill="1" applyBorder="1" applyAlignment="1">
      <alignment horizontal="center"/>
    </xf>
    <xf numFmtId="1" fontId="9" fillId="3" borderId="34" xfId="3" applyNumberFormat="1" applyFont="1" applyFill="1" applyBorder="1" applyAlignment="1">
      <alignment horizontal="center"/>
    </xf>
    <xf numFmtId="10" fontId="9" fillId="3" borderId="30" xfId="3" applyNumberFormat="1" applyFont="1" applyFill="1" applyBorder="1" applyAlignment="1">
      <alignment horizontal="center"/>
    </xf>
    <xf numFmtId="1" fontId="9" fillId="3" borderId="35" xfId="3" applyNumberFormat="1" applyFont="1" applyFill="1" applyBorder="1" applyAlignment="1">
      <alignment horizontal="center"/>
    </xf>
    <xf numFmtId="10" fontId="24" fillId="3" borderId="37" xfId="3" applyNumberFormat="1" applyFont="1" applyFill="1" applyBorder="1" applyAlignment="1">
      <alignment horizontal="center" vertical="center" wrapText="1"/>
    </xf>
    <xf numFmtId="10" fontId="9" fillId="3" borderId="31"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3" xfId="3" applyNumberFormat="1" applyFont="1" applyFill="1" applyBorder="1" applyAlignment="1">
      <alignment horizontal="center"/>
    </xf>
    <xf numFmtId="1" fontId="13" fillId="3" borderId="30" xfId="3" applyNumberFormat="1" applyFont="1" applyFill="1" applyBorder="1" applyAlignment="1" applyProtection="1">
      <alignment horizontal="center"/>
      <protection locked="0"/>
    </xf>
    <xf numFmtId="2" fontId="13" fillId="10" borderId="34" xfId="3" applyNumberFormat="1" applyFont="1" applyFill="1" applyBorder="1" applyAlignment="1">
      <alignment horizontal="center"/>
    </xf>
    <xf numFmtId="2" fontId="13" fillId="3" borderId="30" xfId="3" applyNumberFormat="1" applyFont="1" applyFill="1" applyBorder="1" applyAlignment="1" applyProtection="1">
      <alignment horizontal="center"/>
      <protection locked="0"/>
    </xf>
    <xf numFmtId="2" fontId="13" fillId="3" borderId="31" xfId="3" applyNumberFormat="1" applyFont="1" applyFill="1" applyBorder="1" applyAlignment="1">
      <alignment horizontal="center"/>
    </xf>
    <xf numFmtId="0" fontId="27" fillId="7" borderId="32" xfId="3" applyFont="1" applyFill="1" applyBorder="1" applyAlignment="1">
      <alignment horizontal="center"/>
    </xf>
    <xf numFmtId="0" fontId="27" fillId="7" borderId="33" xfId="3" applyFont="1" applyFill="1" applyBorder="1" applyAlignment="1">
      <alignment horizontal="center"/>
    </xf>
    <xf numFmtId="0" fontId="13" fillId="10" borderId="34" xfId="3" applyFont="1" applyFill="1" applyBorder="1" applyAlignment="1">
      <alignment horizontal="center"/>
    </xf>
    <xf numFmtId="0" fontId="13" fillId="3" borderId="30" xfId="3" applyFont="1" applyFill="1" applyBorder="1" applyAlignment="1" applyProtection="1">
      <alignment horizontal="center"/>
      <protection locked="0"/>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27" fillId="13" borderId="32" xfId="3" applyFont="1" applyFill="1" applyBorder="1" applyAlignment="1">
      <alignment horizontal="center"/>
    </xf>
    <xf numFmtId="0" fontId="27" fillId="13" borderId="33" xfId="3" applyFont="1" applyFill="1" applyBorder="1" applyAlignment="1">
      <alignment horizontal="center"/>
    </xf>
    <xf numFmtId="0" fontId="39" fillId="3" borderId="0" xfId="3" applyFont="1" applyFill="1" applyBorder="1"/>
    <xf numFmtId="0" fontId="57" fillId="3" borderId="45" xfId="3" applyFont="1" applyFill="1" applyBorder="1" applyAlignment="1">
      <alignment horizontal="center"/>
    </xf>
    <xf numFmtId="0" fontId="49" fillId="11" borderId="46" xfId="3" applyFont="1" applyFill="1" applyBorder="1" applyAlignment="1">
      <alignment horizontal="center"/>
    </xf>
    <xf numFmtId="0" fontId="49" fillId="11" borderId="20" xfId="3" applyFont="1" applyFill="1" applyBorder="1" applyAlignment="1">
      <alignment horizontal="center"/>
    </xf>
    <xf numFmtId="0" fontId="49" fillId="11" borderId="47" xfId="3" applyFont="1" applyFill="1" applyBorder="1" applyAlignment="1">
      <alignment horizontal="center"/>
    </xf>
    <xf numFmtId="0" fontId="46" fillId="10" borderId="43" xfId="3" applyFont="1" applyFill="1" applyBorder="1" applyAlignment="1">
      <alignment horizontal="center" wrapText="1"/>
    </xf>
    <xf numFmtId="0" fontId="46" fillId="10" borderId="44" xfId="3" applyFont="1" applyFill="1" applyBorder="1" applyAlignment="1">
      <alignment horizontal="center" wrapText="1"/>
    </xf>
    <xf numFmtId="0" fontId="46" fillId="10" borderId="45" xfId="3" applyFont="1" applyFill="1" applyBorder="1" applyAlignment="1">
      <alignment horizontal="center" wrapText="1"/>
    </xf>
    <xf numFmtId="0" fontId="57" fillId="3" borderId="51" xfId="3" applyFont="1" applyFill="1" applyBorder="1" applyAlignment="1">
      <alignment horizontal="center"/>
    </xf>
    <xf numFmtId="0" fontId="26" fillId="5" borderId="0" xfId="3" applyFont="1" applyFill="1" applyBorder="1" applyAlignment="1" applyProtection="1">
      <alignment horizontal="center" wrapText="1"/>
      <protection locked="0"/>
    </xf>
    <xf numFmtId="1" fontId="18" fillId="0" borderId="0" xfId="3" applyNumberFormat="1" applyFont="1" applyFill="1" applyBorder="1" applyAlignment="1">
      <alignment horizontal="center"/>
    </xf>
    <xf numFmtId="1" fontId="13" fillId="4" borderId="48" xfId="3" applyNumberFormat="1" applyFont="1" applyFill="1" applyBorder="1"/>
    <xf numFmtId="1" fontId="13" fillId="4" borderId="49" xfId="3" applyNumberFormat="1" applyFont="1" applyFill="1" applyBorder="1"/>
    <xf numFmtId="1" fontId="13" fillId="4" borderId="50" xfId="3" applyNumberFormat="1" applyFont="1" applyFill="1" applyBorder="1"/>
    <xf numFmtId="2" fontId="18" fillId="0" borderId="39" xfId="3" applyNumberFormat="1" applyFont="1" applyFill="1" applyBorder="1" applyAlignment="1">
      <alignment horizontal="center"/>
    </xf>
    <xf numFmtId="2" fontId="18" fillId="0" borderId="38" xfId="3" applyNumberFormat="1" applyFont="1" applyFill="1" applyBorder="1" applyAlignment="1">
      <alignment horizontal="center"/>
    </xf>
    <xf numFmtId="1" fontId="18" fillId="0" borderId="39" xfId="3" applyNumberFormat="1" applyFont="1" applyFill="1" applyBorder="1" applyAlignment="1">
      <alignment horizontal="center"/>
    </xf>
    <xf numFmtId="1" fontId="18" fillId="0" borderId="38" xfId="3" applyNumberFormat="1" applyFont="1" applyFill="1" applyBorder="1" applyAlignment="1">
      <alignment horizontal="center"/>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5"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56"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48" xfId="0" applyFont="1" applyBorder="1"/>
    <xf numFmtId="0" fontId="13" fillId="0" borderId="39" xfId="0" applyFont="1" applyFill="1" applyBorder="1" applyAlignment="1">
      <alignment horizontal="center" wrapText="1"/>
    </xf>
    <xf numFmtId="0" fontId="13" fillId="0" borderId="0" xfId="0" applyFont="1" applyFill="1" applyBorder="1" applyAlignment="1">
      <alignment horizontal="center" wrapText="1"/>
    </xf>
    <xf numFmtId="0" fontId="13" fillId="0" borderId="38" xfId="0" applyFont="1" applyFill="1" applyBorder="1" applyAlignment="1">
      <alignment horizontal="center" wrapText="1"/>
    </xf>
    <xf numFmtId="0" fontId="13"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3"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7" fillId="10" borderId="0" xfId="3" applyFont="1" applyFill="1" applyBorder="1" applyAlignment="1"/>
    <xf numFmtId="0" fontId="1" fillId="3" borderId="0" xfId="3" applyFont="1" applyFill="1" applyAlignment="1"/>
    <xf numFmtId="169" fontId="1" fillId="3" borderId="0" xfId="3" applyNumberFormat="1" applyFont="1" applyFill="1" applyAlignment="1"/>
    <xf numFmtId="1" fontId="13" fillId="4" borderId="48" xfId="3" applyNumberFormat="1" applyFont="1" applyFill="1" applyBorder="1" applyAlignment="1">
      <alignment wrapText="1"/>
    </xf>
    <xf numFmtId="0" fontId="30" fillId="4" borderId="57" xfId="5" applyFont="1" applyFill="1" applyBorder="1" applyAlignment="1">
      <alignment horizontal="center" wrapText="1"/>
    </xf>
    <xf numFmtId="0" fontId="30" fillId="4" borderId="58" xfId="5" applyFont="1" applyFill="1" applyBorder="1" applyAlignment="1">
      <alignment horizontal="center" wrapText="1"/>
    </xf>
    <xf numFmtId="0" fontId="18" fillId="3" borderId="57" xfId="5" applyFont="1" applyFill="1" applyBorder="1" applyAlignment="1">
      <alignment horizontal="center" wrapText="1"/>
    </xf>
    <xf numFmtId="0" fontId="18" fillId="3" borderId="58" xfId="5" applyFont="1" applyFill="1" applyBorder="1" applyAlignment="1">
      <alignment horizontal="center" wrapText="1"/>
    </xf>
    <xf numFmtId="1" fontId="18" fillId="3" borderId="59" xfId="3" applyNumberFormat="1" applyFont="1" applyFill="1" applyBorder="1"/>
    <xf numFmtId="0" fontId="44" fillId="3" borderId="48" xfId="3" applyFont="1" applyFill="1" applyBorder="1"/>
    <xf numFmtId="0" fontId="44" fillId="0" borderId="49" xfId="3" applyFont="1" applyFill="1" applyBorder="1"/>
    <xf numFmtId="0" fontId="44" fillId="3" borderId="49" xfId="3" applyFont="1" applyFill="1" applyBorder="1"/>
    <xf numFmtId="0" fontId="44" fillId="3" borderId="50" xfId="3" applyFont="1" applyFill="1" applyBorder="1"/>
    <xf numFmtId="0" fontId="13" fillId="3" borderId="39" xfId="5" applyFont="1" applyFill="1" applyBorder="1" applyAlignment="1">
      <alignment horizontal="center"/>
    </xf>
    <xf numFmtId="0" fontId="30" fillId="4" borderId="60" xfId="5" applyFont="1" applyFill="1" applyBorder="1" applyAlignment="1">
      <alignment horizontal="center" wrapText="1"/>
    </xf>
    <xf numFmtId="0" fontId="13" fillId="11" borderId="61" xfId="5" applyFont="1" applyFill="1" applyBorder="1" applyAlignment="1">
      <alignment horizontal="center" wrapText="1"/>
    </xf>
    <xf numFmtId="0" fontId="18" fillId="3" borderId="60" xfId="5" applyFont="1" applyFill="1" applyBorder="1" applyAlignment="1">
      <alignment horizontal="center" wrapText="1"/>
    </xf>
    <xf numFmtId="0" fontId="19" fillId="5" borderId="39" xfId="5" applyFont="1" applyFill="1" applyBorder="1"/>
    <xf numFmtId="3" fontId="1" fillId="0" borderId="38" xfId="5" applyNumberFormat="1" applyFont="1" applyFill="1" applyBorder="1" applyAlignment="1">
      <alignment horizontal="center"/>
    </xf>
    <xf numFmtId="0" fontId="19" fillId="5" borderId="40" xfId="5" applyFont="1" applyFill="1" applyBorder="1"/>
    <xf numFmtId="3" fontId="1" fillId="0" borderId="41" xfId="5" applyNumberFormat="1" applyFont="1" applyFill="1" applyBorder="1" applyAlignment="1">
      <alignment horizontal="center"/>
    </xf>
    <xf numFmtId="3" fontId="1" fillId="0" borderId="42"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2" xfId="3" applyNumberFormat="1" applyFont="1" applyFill="1" applyBorder="1" applyAlignment="1">
      <alignment horizontal="center"/>
    </xf>
    <xf numFmtId="1" fontId="13" fillId="3" borderId="34" xfId="3" applyNumberFormat="1" applyFont="1" applyFill="1" applyBorder="1" applyAlignment="1" applyProtection="1">
      <alignment horizontal="center"/>
      <protection locked="0"/>
    </xf>
    <xf numFmtId="2" fontId="13" fillId="3" borderId="34" xfId="3" applyNumberFormat="1" applyFont="1" applyFill="1" applyBorder="1" applyAlignment="1" applyProtection="1">
      <alignment horizontal="center"/>
      <protection locked="0"/>
    </xf>
    <xf numFmtId="2" fontId="13" fillId="3" borderId="35" xfId="3" applyNumberFormat="1" applyFont="1" applyFill="1" applyBorder="1" applyAlignment="1">
      <alignment horizontal="center"/>
    </xf>
    <xf numFmtId="9" fontId="9" fillId="3" borderId="39" xfId="4" applyFont="1" applyFill="1" applyBorder="1"/>
    <xf numFmtId="9" fontId="9" fillId="3" borderId="0" xfId="4" applyFont="1" applyFill="1" applyBorder="1"/>
    <xf numFmtId="9" fontId="9" fillId="3" borderId="38" xfId="4" applyFont="1" applyFill="1" applyBorder="1"/>
    <xf numFmtId="9" fontId="58" fillId="3" borderId="39" xfId="4" applyFont="1" applyFill="1" applyBorder="1" applyAlignment="1"/>
    <xf numFmtId="9" fontId="58" fillId="3" borderId="40" xfId="4" applyNumberFormat="1" applyFont="1" applyFill="1" applyBorder="1" applyAlignment="1"/>
    <xf numFmtId="9" fontId="9" fillId="3" borderId="41" xfId="4" applyNumberFormat="1" applyFont="1" applyFill="1" applyBorder="1"/>
    <xf numFmtId="44" fontId="19" fillId="3" borderId="0" xfId="1" applyNumberFormat="1" applyFont="1" applyFill="1" applyAlignment="1"/>
    <xf numFmtId="0" fontId="73" fillId="3" borderId="29" xfId="3" applyFont="1" applyFill="1" applyBorder="1" applyAlignment="1">
      <alignment horizontal="center" vertical="center"/>
    </xf>
    <xf numFmtId="0" fontId="0" fillId="0" borderId="0" xfId="0"/>
    <xf numFmtId="0" fontId="24" fillId="3" borderId="0" xfId="3" applyFont="1" applyFill="1"/>
    <xf numFmtId="0" fontId="1" fillId="3" borderId="0" xfId="0" applyFont="1" applyFill="1" applyBorder="1" applyAlignment="1" applyProtection="1">
      <protection locked="0"/>
    </xf>
    <xf numFmtId="0" fontId="18" fillId="0" borderId="66" xfId="3" applyFont="1" applyFill="1" applyBorder="1" applyAlignment="1" applyProtection="1">
      <protection locked="0"/>
    </xf>
    <xf numFmtId="0" fontId="1" fillId="0" borderId="68" xfId="0" applyFont="1" applyFill="1" applyBorder="1" applyAlignment="1" applyProtection="1">
      <protection locked="0"/>
    </xf>
    <xf numFmtId="0" fontId="18" fillId="3" borderId="0" xfId="3" applyFont="1" applyFill="1" applyBorder="1" applyAlignment="1" applyProtection="1">
      <protection locked="0"/>
    </xf>
    <xf numFmtId="10" fontId="1" fillId="0" borderId="64" xfId="0" applyNumberFormat="1"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2" xfId="3" applyFont="1" applyFill="1" applyBorder="1" applyProtection="1">
      <protection locked="0"/>
    </xf>
    <xf numFmtId="0" fontId="18" fillId="4" borderId="63" xfId="3" applyFont="1" applyFill="1" applyBorder="1" applyProtection="1">
      <protection locked="0"/>
    </xf>
    <xf numFmtId="0" fontId="28" fillId="4" borderId="71" xfId="3" applyFont="1" applyFill="1" applyBorder="1" applyProtection="1">
      <protection locked="0"/>
    </xf>
    <xf numFmtId="0" fontId="23" fillId="3" borderId="0" xfId="3" applyFont="1" applyFill="1" applyProtection="1">
      <protection locked="0"/>
    </xf>
    <xf numFmtId="0" fontId="12" fillId="3" borderId="0" xfId="3" applyFont="1" applyFill="1" applyProtection="1">
      <protection locked="0"/>
    </xf>
    <xf numFmtId="0" fontId="28" fillId="3" borderId="0" xfId="3" applyFont="1" applyFill="1" applyBorder="1" applyProtection="1">
      <protection locked="0"/>
    </xf>
    <xf numFmtId="0" fontId="13" fillId="5" borderId="65" xfId="3" applyFont="1" applyFill="1" applyBorder="1" applyProtection="1">
      <protection locked="0"/>
    </xf>
    <xf numFmtId="0" fontId="1" fillId="5" borderId="66" xfId="3" applyFont="1" applyFill="1" applyBorder="1" applyProtection="1">
      <protection locked="0"/>
    </xf>
    <xf numFmtId="0" fontId="1" fillId="0" borderId="65" xfId="3" applyFont="1" applyFill="1" applyBorder="1" applyProtection="1">
      <protection locked="0"/>
    </xf>
    <xf numFmtId="0" fontId="13" fillId="3" borderId="0" xfId="3" applyFont="1" applyFill="1" applyBorder="1" applyAlignment="1" applyProtection="1">
      <protection locked="0"/>
    </xf>
    <xf numFmtId="0" fontId="13" fillId="5" borderId="67" xfId="3" applyFont="1" applyFill="1" applyBorder="1" applyProtection="1">
      <protection locked="0"/>
    </xf>
    <xf numFmtId="0" fontId="1" fillId="5" borderId="68" xfId="3" applyFont="1" applyFill="1" applyBorder="1" applyProtection="1">
      <protection locked="0"/>
    </xf>
    <xf numFmtId="0" fontId="1" fillId="0" borderId="67" xfId="3" applyFont="1" applyFill="1" applyBorder="1" applyProtection="1">
      <protection locked="0"/>
    </xf>
    <xf numFmtId="0" fontId="18" fillId="3" borderId="0" xfId="3" applyFont="1" applyFill="1" applyAlignment="1" applyProtection="1">
      <alignment vertical="center" wrapText="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69" xfId="3" applyFont="1" applyFill="1" applyBorder="1" applyProtection="1">
      <protection locked="0"/>
    </xf>
    <xf numFmtId="0" fontId="1" fillId="5" borderId="64" xfId="3" applyFont="1" applyFill="1" applyBorder="1" applyProtection="1">
      <protection locked="0"/>
    </xf>
    <xf numFmtId="10" fontId="1" fillId="0" borderId="69" xfId="3" applyNumberFormat="1"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0" fontId="2" fillId="0" borderId="0" xfId="3" applyProtection="1">
      <protection locked="0"/>
    </xf>
    <xf numFmtId="2" fontId="1" fillId="0" borderId="0"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2" fontId="1" fillId="3" borderId="0" xfId="3" applyNumberFormat="1" applyFont="1" applyFill="1" applyProtection="1">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68" xfId="3" applyNumberFormat="1" applyFont="1" applyFill="1" applyBorder="1" applyProtection="1"/>
    <xf numFmtId="1" fontId="1" fillId="3" borderId="0" xfId="3" applyNumberFormat="1" applyFont="1" applyFill="1" applyBorder="1" applyProtection="1"/>
    <xf numFmtId="1" fontId="0" fillId="0" borderId="70" xfId="0" applyNumberFormat="1" applyBorder="1"/>
    <xf numFmtId="1" fontId="0" fillId="0" borderId="66" xfId="0" applyNumberFormat="1" applyBorder="1"/>
    <xf numFmtId="0" fontId="26" fillId="10" borderId="0" xfId="3" applyFont="1" applyFill="1" applyBorder="1" applyAlignment="1" applyProtection="1">
      <alignment horizontal="center" wrapText="1"/>
      <protection locked="0"/>
    </xf>
    <xf numFmtId="1" fontId="13" fillId="4" borderId="70" xfId="3" applyNumberFormat="1" applyFont="1" applyFill="1" applyBorder="1" applyProtection="1"/>
    <xf numFmtId="1" fontId="13" fillId="4" borderId="66" xfId="3" applyNumberFormat="1" applyFont="1" applyFill="1" applyBorder="1" applyProtection="1"/>
    <xf numFmtId="0" fontId="26" fillId="5" borderId="78" xfId="3" applyFont="1" applyFill="1" applyBorder="1" applyAlignment="1" applyProtection="1">
      <alignment horizontal="center" wrapText="1"/>
    </xf>
    <xf numFmtId="1" fontId="0" fillId="0" borderId="78" xfId="0" applyNumberFormat="1" applyBorder="1"/>
    <xf numFmtId="1" fontId="0" fillId="0" borderId="79" xfId="0" applyNumberFormat="1" applyBorder="1"/>
    <xf numFmtId="1" fontId="1" fillId="0" borderId="80" xfId="3" applyNumberFormat="1" applyFont="1" applyFill="1" applyBorder="1" applyProtection="1"/>
    <xf numFmtId="0" fontId="26" fillId="5" borderId="81" xfId="3" applyFont="1" applyFill="1" applyBorder="1" applyAlignment="1" applyProtection="1">
      <alignment horizontal="center" wrapText="1"/>
      <protection locked="0"/>
    </xf>
    <xf numFmtId="2" fontId="1" fillId="3" borderId="81" xfId="0" applyNumberFormat="1" applyFont="1" applyFill="1" applyBorder="1" applyProtection="1"/>
    <xf numFmtId="2" fontId="1" fillId="3" borderId="82" xfId="0" applyNumberFormat="1" applyFont="1" applyFill="1" applyBorder="1" applyProtection="1"/>
    <xf numFmtId="1" fontId="0" fillId="0" borderId="52" xfId="0" applyNumberFormat="1" applyBorder="1"/>
    <xf numFmtId="1" fontId="1" fillId="0" borderId="53" xfId="3" applyNumberFormat="1" applyFont="1" applyFill="1" applyBorder="1" applyProtection="1"/>
    <xf numFmtId="2" fontId="1" fillId="3" borderId="54" xfId="0" applyNumberFormat="1" applyFont="1" applyFill="1" applyBorder="1" applyProtection="1"/>
    <xf numFmtId="2" fontId="1" fillId="0" borderId="53" xfId="3" applyNumberFormat="1" applyFont="1" applyFill="1" applyBorder="1" applyProtection="1"/>
    <xf numFmtId="2" fontId="1" fillId="0" borderId="80"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76" xfId="23" applyNumberFormat="1" applyFont="1" applyFill="1" applyBorder="1" applyProtection="1">
      <protection locked="0"/>
    </xf>
    <xf numFmtId="2" fontId="18" fillId="10" borderId="77" xfId="23" applyNumberFormat="1" applyFont="1" applyFill="1" applyBorder="1" applyProtection="1">
      <protection locked="0"/>
    </xf>
    <xf numFmtId="0" fontId="26" fillId="11" borderId="72" xfId="3" applyFont="1" applyFill="1" applyBorder="1" applyProtection="1"/>
    <xf numFmtId="0" fontId="13" fillId="11" borderId="75" xfId="3" applyFont="1" applyFill="1" applyBorder="1" applyProtection="1">
      <protection locked="0"/>
    </xf>
    <xf numFmtId="0" fontId="18" fillId="12" borderId="73" xfId="23" applyNumberFormat="1" applyFont="1" applyFill="1" applyBorder="1" applyProtection="1"/>
    <xf numFmtId="0" fontId="18" fillId="12" borderId="74" xfId="23" applyNumberFormat="1" applyFont="1" applyFill="1" applyBorder="1" applyProtection="1"/>
    <xf numFmtId="1" fontId="13" fillId="12" borderId="70" xfId="3" applyNumberFormat="1" applyFont="1" applyFill="1" applyBorder="1" applyProtection="1"/>
    <xf numFmtId="1" fontId="13" fillId="12" borderId="66" xfId="3" applyNumberFormat="1" applyFont="1" applyFill="1" applyBorder="1" applyProtection="1"/>
    <xf numFmtId="167" fontId="1" fillId="10" borderId="71" xfId="0" applyNumberFormat="1" applyFont="1" applyFill="1" applyBorder="1" applyProtection="1"/>
    <xf numFmtId="2" fontId="1" fillId="10" borderId="71" xfId="3" applyNumberFormat="1" applyFont="1" applyFill="1" applyBorder="1" applyProtection="1"/>
    <xf numFmtId="0" fontId="76" fillId="3" borderId="0" xfId="3" applyFont="1" applyFill="1"/>
    <xf numFmtId="0" fontId="13" fillId="3" borderId="0" xfId="3" applyFont="1" applyFill="1" applyBorder="1" applyProtection="1"/>
    <xf numFmtId="0" fontId="2" fillId="3" borderId="48" xfId="3" applyFill="1" applyBorder="1" applyProtection="1">
      <protection locked="0"/>
    </xf>
    <xf numFmtId="0" fontId="2" fillId="3" borderId="49" xfId="3" applyFill="1" applyBorder="1" applyProtection="1">
      <protection locked="0"/>
    </xf>
    <xf numFmtId="0" fontId="2" fillId="3" borderId="50" xfId="3" applyFill="1" applyBorder="1" applyProtection="1">
      <protection locked="0"/>
    </xf>
    <xf numFmtId="1" fontId="1" fillId="0" borderId="39" xfId="3" applyNumberFormat="1" applyFont="1" applyFill="1" applyBorder="1" applyProtection="1"/>
    <xf numFmtId="1" fontId="1" fillId="0" borderId="38" xfId="3" applyNumberFormat="1" applyFont="1" applyFill="1" applyBorder="1" applyProtection="1"/>
    <xf numFmtId="2" fontId="1" fillId="0" borderId="39" xfId="3" applyNumberFormat="1" applyFont="1" applyFill="1" applyBorder="1" applyProtection="1"/>
    <xf numFmtId="2" fontId="1" fillId="0" borderId="38" xfId="3" applyNumberFormat="1" applyFont="1" applyFill="1" applyBorder="1" applyProtection="1"/>
    <xf numFmtId="2" fontId="1" fillId="3" borderId="40" xfId="0" applyNumberFormat="1" applyFont="1" applyFill="1" applyBorder="1" applyProtection="1"/>
    <xf numFmtId="2" fontId="1" fillId="3" borderId="41" xfId="0" applyNumberFormat="1" applyFont="1" applyFill="1" applyBorder="1" applyProtection="1"/>
    <xf numFmtId="2" fontId="1" fillId="3" borderId="42" xfId="0" applyNumberFormat="1" applyFont="1" applyFill="1" applyBorder="1" applyProtection="1"/>
    <xf numFmtId="0" fontId="26" fillId="11" borderId="83" xfId="3" applyFont="1" applyFill="1" applyBorder="1" applyProtection="1"/>
    <xf numFmtId="0" fontId="26" fillId="11" borderId="84" xfId="3" applyFont="1" applyFill="1" applyBorder="1" applyProtection="1"/>
    <xf numFmtId="0" fontId="26" fillId="11" borderId="85" xfId="3" applyFont="1" applyFill="1" applyBorder="1" applyAlignment="1" applyProtection="1">
      <alignment wrapText="1"/>
    </xf>
    <xf numFmtId="167" fontId="1" fillId="10" borderId="86" xfId="0" applyNumberFormat="1" applyFont="1" applyFill="1" applyBorder="1" applyProtection="1"/>
    <xf numFmtId="167" fontId="1" fillId="10" borderId="87" xfId="0" applyNumberFormat="1" applyFont="1" applyFill="1" applyBorder="1" applyProtection="1"/>
    <xf numFmtId="167" fontId="1" fillId="10" borderId="88" xfId="0" applyNumberFormat="1" applyFont="1" applyFill="1" applyBorder="1" applyProtection="1"/>
    <xf numFmtId="167" fontId="1" fillId="10" borderId="89" xfId="0" applyNumberFormat="1" applyFont="1" applyFill="1" applyBorder="1" applyProtection="1"/>
    <xf numFmtId="167" fontId="1" fillId="10" borderId="90" xfId="0" applyNumberFormat="1" applyFont="1" applyFill="1" applyBorder="1" applyProtection="1"/>
    <xf numFmtId="2" fontId="1" fillId="10" borderId="89" xfId="3" applyNumberFormat="1" applyFont="1" applyFill="1" applyBorder="1" applyProtection="1"/>
    <xf numFmtId="2" fontId="1" fillId="10" borderId="90" xfId="3" applyNumberFormat="1" applyFont="1" applyFill="1" applyBorder="1" applyProtection="1"/>
    <xf numFmtId="1" fontId="1" fillId="10" borderId="91" xfId="3" applyNumberFormat="1" applyFont="1" applyFill="1" applyBorder="1" applyProtection="1"/>
    <xf numFmtId="1" fontId="1" fillId="10" borderId="92" xfId="3" applyNumberFormat="1" applyFont="1" applyFill="1" applyBorder="1" applyProtection="1"/>
    <xf numFmtId="1" fontId="1" fillId="10" borderId="93" xfId="3" applyNumberFormat="1" applyFont="1" applyFill="1" applyBorder="1" applyProtection="1"/>
    <xf numFmtId="10" fontId="0" fillId="10" borderId="51" xfId="4" applyNumberFormat="1" applyFont="1" applyFill="1" applyBorder="1" applyAlignment="1">
      <alignment horizontal="left" indent="1"/>
    </xf>
    <xf numFmtId="0" fontId="13" fillId="10" borderId="0" xfId="0" applyFont="1" applyFill="1"/>
    <xf numFmtId="0" fontId="35" fillId="4" borderId="94" xfId="3" applyFont="1" applyFill="1" applyBorder="1" applyAlignment="1">
      <alignment horizontal="center"/>
    </xf>
    <xf numFmtId="0" fontId="35" fillId="4" borderId="95" xfId="3" applyFont="1" applyFill="1" applyBorder="1" applyAlignment="1">
      <alignment horizontal="center"/>
    </xf>
    <xf numFmtId="0" fontId="29" fillId="5" borderId="96" xfId="3" applyFont="1" applyFill="1" applyBorder="1" applyAlignment="1">
      <alignment horizontal="left"/>
    </xf>
    <xf numFmtId="0" fontId="29" fillId="5" borderId="96" xfId="2" applyFont="1" applyFill="1" applyBorder="1" applyAlignment="1" applyProtection="1">
      <alignment horizontal="left"/>
    </xf>
    <xf numFmtId="0" fontId="29" fillId="5" borderId="96" xfId="0" applyFont="1" applyFill="1" applyBorder="1" applyAlignment="1">
      <alignment horizontal="left"/>
    </xf>
    <xf numFmtId="0" fontId="11" fillId="0" borderId="43" xfId="3" applyFont="1" applyFill="1" applyBorder="1" applyAlignment="1">
      <alignment horizontal="center"/>
    </xf>
    <xf numFmtId="0" fontId="11" fillId="0" borderId="44" xfId="3" applyFont="1" applyFill="1" applyBorder="1" applyAlignment="1">
      <alignment horizontal="center"/>
    </xf>
    <xf numFmtId="0" fontId="11" fillId="0" borderId="44" xfId="3" quotePrefix="1" applyFont="1" applyFill="1" applyBorder="1" applyAlignment="1">
      <alignment horizontal="center"/>
    </xf>
    <xf numFmtId="0" fontId="39" fillId="3" borderId="0" xfId="3" applyFont="1" applyFill="1" applyProtection="1"/>
    <xf numFmtId="0" fontId="30" fillId="5" borderId="65" xfId="3" applyFont="1" applyFill="1" applyBorder="1" applyAlignment="1" applyProtection="1">
      <alignment horizontal="center" vertical="center"/>
      <protection locked="0"/>
    </xf>
    <xf numFmtId="0" fontId="13" fillId="5" borderId="62" xfId="3" applyFont="1" applyFill="1" applyBorder="1" applyAlignment="1" applyProtection="1">
      <alignment horizontal="center" wrapText="1"/>
      <protection locked="0"/>
    </xf>
    <xf numFmtId="1" fontId="1" fillId="4" borderId="70" xfId="3" applyNumberFormat="1" applyFont="1" applyFill="1" applyBorder="1" applyProtection="1"/>
    <xf numFmtId="1" fontId="1" fillId="4" borderId="66" xfId="3" applyNumberFormat="1" applyFont="1" applyFill="1" applyBorder="1" applyProtection="1"/>
    <xf numFmtId="9" fontId="1" fillId="0" borderId="97" xfId="0" applyNumberFormat="1" applyFont="1" applyFill="1" applyBorder="1" applyProtection="1"/>
    <xf numFmtId="9" fontId="1" fillId="0" borderId="98" xfId="0" applyNumberFormat="1" applyFont="1" applyFill="1" applyBorder="1" applyProtection="1"/>
    <xf numFmtId="9" fontId="1" fillId="0" borderId="99" xfId="0" applyNumberFormat="1" applyFont="1" applyFill="1" applyBorder="1" applyProtection="1"/>
    <xf numFmtId="9" fontId="1" fillId="0" borderId="100" xfId="0" applyNumberFormat="1" applyFont="1" applyFill="1" applyBorder="1" applyProtection="1"/>
    <xf numFmtId="9" fontId="1" fillId="0" borderId="101" xfId="0" applyNumberFormat="1" applyFont="1" applyFill="1" applyBorder="1" applyProtection="1"/>
    <xf numFmtId="9" fontId="1" fillId="0" borderId="102" xfId="0" applyNumberFormat="1" applyFont="1" applyFill="1" applyBorder="1" applyProtection="1"/>
    <xf numFmtId="0" fontId="77" fillId="14" borderId="54" xfId="0" applyFont="1" applyFill="1" applyBorder="1" applyAlignment="1">
      <alignment horizontal="left"/>
    </xf>
    <xf numFmtId="0" fontId="11" fillId="0" borderId="103" xfId="0" applyFont="1" applyBorder="1" applyAlignment="1">
      <alignment horizontal="center"/>
    </xf>
    <xf numFmtId="0" fontId="29" fillId="5" borderId="104" xfId="0" applyFont="1" applyFill="1" applyBorder="1" applyAlignment="1">
      <alignment horizontal="left"/>
    </xf>
    <xf numFmtId="0" fontId="23" fillId="6" borderId="52" xfId="3" applyFont="1" applyFill="1" applyBorder="1" applyAlignment="1" applyProtection="1">
      <alignment horizontal="center" textRotation="90" wrapText="1"/>
    </xf>
    <xf numFmtId="0" fontId="23" fillId="6" borderId="53" xfId="3" applyFont="1" applyFill="1" applyBorder="1" applyAlignment="1" applyProtection="1">
      <alignment horizontal="center" textRotation="90" wrapText="1"/>
    </xf>
    <xf numFmtId="0" fontId="23" fillId="6" borderId="54" xfId="3" applyFont="1" applyFill="1" applyBorder="1" applyAlignment="1" applyProtection="1">
      <alignment horizontal="center" textRotation="90" wrapText="1"/>
    </xf>
    <xf numFmtId="0" fontId="54" fillId="7" borderId="21" xfId="3" applyFont="1" applyFill="1" applyBorder="1" applyAlignment="1">
      <alignment horizontal="center" wrapText="1"/>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2" fontId="27" fillId="6" borderId="49" xfId="3" applyNumberFormat="1" applyFont="1" applyFill="1" applyBorder="1" applyAlignment="1">
      <alignment horizontal="center"/>
    </xf>
    <xf numFmtId="2" fontId="38" fillId="6" borderId="49" xfId="3" applyNumberFormat="1" applyFont="1" applyFill="1" applyBorder="1" applyAlignment="1">
      <alignment horizontal="center"/>
    </xf>
    <xf numFmtId="0" fontId="27" fillId="7" borderId="49" xfId="3" applyFont="1" applyFill="1" applyBorder="1" applyAlignment="1">
      <alignment horizontal="center"/>
    </xf>
    <xf numFmtId="0" fontId="38" fillId="7" borderId="49" xfId="3" applyFont="1" applyFill="1" applyBorder="1" applyAlignment="1">
      <alignment horizontal="center"/>
    </xf>
    <xf numFmtId="0" fontId="27" fillId="13" borderId="49" xfId="3" applyFont="1" applyFill="1" applyBorder="1" applyAlignment="1">
      <alignment horizontal="center"/>
    </xf>
    <xf numFmtId="0" fontId="38" fillId="13" borderId="50"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cellXfs>
  <cellStyles count="26">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09748184"/>
        <c:axId val="2115223736"/>
      </c:scatterChart>
      <c:valAx>
        <c:axId val="21097481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223736"/>
        <c:crosses val="autoZero"/>
        <c:crossBetween val="midCat"/>
      </c:valAx>
      <c:valAx>
        <c:axId val="21152237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97481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5261688"/>
        <c:axId val="2115265048"/>
      </c:scatterChart>
      <c:valAx>
        <c:axId val="211526168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265048"/>
        <c:crosses val="autoZero"/>
        <c:crossBetween val="midCat"/>
      </c:valAx>
      <c:valAx>
        <c:axId val="21152650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2616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workbookViewId="0">
      <selection activeCell="D31" sqref="D31"/>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02" t="s">
        <v>264</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86"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403" t="s">
        <v>102</v>
      </c>
      <c r="D10" s="40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404" t="s">
        <v>69</v>
      </c>
      <c r="D11" s="407" t="s">
        <v>0</v>
      </c>
      <c r="E11" s="61"/>
      <c r="F11" s="117"/>
      <c r="G11" s="61"/>
      <c r="H11" s="26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404" t="s">
        <v>101</v>
      </c>
      <c r="D12" s="408">
        <v>2020</v>
      </c>
      <c r="E12" s="61"/>
      <c r="F12" s="117"/>
      <c r="G12" s="61" t="s">
        <v>242</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404" t="s">
        <v>140</v>
      </c>
      <c r="D13" s="409" t="s">
        <v>172</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404" t="s">
        <v>303</v>
      </c>
      <c r="D14" s="409" t="s">
        <v>304</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405" t="s">
        <v>94</v>
      </c>
      <c r="D15" s="408" t="s">
        <v>155</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405" t="s">
        <v>165</v>
      </c>
      <c r="D16" s="408" t="s">
        <v>168</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405" t="s">
        <v>65</v>
      </c>
      <c r="D17" s="408" t="s">
        <v>159</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405" t="s">
        <v>70</v>
      </c>
      <c r="D18" s="408" t="s">
        <v>155</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406" t="s">
        <v>72</v>
      </c>
      <c r="D19" s="408" t="s">
        <v>74</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405" t="s">
        <v>66</v>
      </c>
      <c r="D20" s="408" t="s">
        <v>159</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405" t="s">
        <v>71</v>
      </c>
      <c r="D21" s="408" t="s">
        <v>155</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406" t="s">
        <v>73</v>
      </c>
      <c r="D22" s="408" t="s">
        <v>74</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406" t="s">
        <v>253</v>
      </c>
      <c r="D23" s="408">
        <v>0.2</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405" t="s">
        <v>158</v>
      </c>
      <c r="D24" s="408"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406" t="s">
        <v>156</v>
      </c>
      <c r="D25" s="408"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406" t="s">
        <v>157</v>
      </c>
      <c r="D26" s="408"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06" t="s">
        <v>254</v>
      </c>
      <c r="D27" s="408">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406" t="s">
        <v>62</v>
      </c>
      <c r="D28" s="408"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05" t="s">
        <v>63</v>
      </c>
      <c r="D29" s="408"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406" t="s">
        <v>302</v>
      </c>
      <c r="D30" s="408" t="s">
        <v>300</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423" t="s">
        <v>299</v>
      </c>
      <c r="D31" s="408" t="s">
        <v>300</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421" t="s">
        <v>305</v>
      </c>
      <c r="D32" s="422">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4" t="s">
        <v>255</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4" t="s">
        <v>256</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4" t="s">
        <v>257</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4" t="s">
        <v>258</v>
      </c>
      <c r="F160" s="94"/>
      <c r="G160" s="95" t="s">
        <v>67</v>
      </c>
      <c r="H160" s="67"/>
      <c r="I160" s="96"/>
      <c r="J160" s="67" t="s">
        <v>171</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173</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172</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174</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300</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301</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166</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167</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168</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169</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170</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zoomScale="90" zoomScaleNormal="90" zoomScalePageLayoutView="90" workbookViewId="0">
      <pane ySplit="1" topLeftCell="A38" activePane="bottomLeft" state="frozen"/>
      <selection pane="bottomLeft" activeCell="G5" sqref="G5"/>
    </sheetView>
  </sheetViews>
  <sheetFormatPr baseColWidth="10" defaultColWidth="8.83203125" defaultRowHeight="12" x14ac:dyDescent="0"/>
  <cols>
    <col min="3" max="3" width="25.1640625" customWidth="1"/>
    <col min="19" max="19" width="26.1640625" customWidth="1"/>
    <col min="20" max="20" width="7" bestFit="1" customWidth="1"/>
    <col min="30" max="60" width="8.83203125" style="294"/>
  </cols>
  <sheetData>
    <row r="1" spans="1:60" ht="26">
      <c r="A1" s="294"/>
      <c r="B1" s="294"/>
      <c r="C1" s="294"/>
      <c r="D1" s="296" t="s">
        <v>266</v>
      </c>
      <c r="E1" s="294"/>
      <c r="F1" s="294"/>
      <c r="G1" s="294"/>
      <c r="H1" s="294"/>
      <c r="I1" s="294"/>
      <c r="J1" s="294"/>
      <c r="K1" s="294"/>
      <c r="L1" s="294"/>
      <c r="M1" s="294"/>
      <c r="N1" s="294"/>
      <c r="O1" s="294"/>
      <c r="P1" s="294"/>
      <c r="Q1" s="294"/>
      <c r="R1" s="294"/>
      <c r="S1" s="294"/>
      <c r="T1" s="294"/>
      <c r="U1" s="294"/>
      <c r="V1" s="294"/>
      <c r="W1" s="294"/>
      <c r="X1" s="294"/>
      <c r="Y1" s="294"/>
      <c r="Z1" s="294"/>
      <c r="AA1" s="294"/>
      <c r="AB1" s="294"/>
      <c r="AC1" s="294"/>
    </row>
    <row r="2" spans="1:60">
      <c r="A2" s="328"/>
      <c r="B2" s="328"/>
      <c r="C2" s="328"/>
      <c r="D2" s="328"/>
      <c r="E2" s="328"/>
      <c r="F2" s="328"/>
      <c r="G2" s="328"/>
      <c r="H2" s="328"/>
      <c r="I2" s="328"/>
      <c r="J2" s="328"/>
      <c r="K2" s="328"/>
      <c r="L2" s="328"/>
      <c r="M2" s="328"/>
      <c r="N2" s="328"/>
      <c r="O2" s="328"/>
      <c r="P2" s="328"/>
      <c r="Q2" s="328"/>
      <c r="R2" s="328"/>
      <c r="S2" s="328"/>
      <c r="T2" s="328"/>
      <c r="U2" s="328"/>
      <c r="V2" s="328"/>
      <c r="W2" s="328"/>
      <c r="X2" s="328"/>
      <c r="Y2" s="328"/>
      <c r="Z2" s="328"/>
      <c r="AA2" s="328"/>
      <c r="AB2" s="328"/>
      <c r="AC2" s="294"/>
    </row>
    <row r="3" spans="1:60" ht="21">
      <c r="A3" s="328"/>
      <c r="B3" s="328"/>
      <c r="C3" s="328"/>
      <c r="D3" s="328"/>
      <c r="E3" s="328"/>
      <c r="F3" s="328"/>
      <c r="G3" s="328"/>
      <c r="H3" s="328"/>
      <c r="I3" s="328"/>
      <c r="J3" s="328"/>
      <c r="K3" s="328"/>
      <c r="L3" s="328"/>
      <c r="M3" s="328"/>
      <c r="N3" s="328"/>
      <c r="O3" s="328"/>
      <c r="P3" s="328"/>
      <c r="Q3" s="328"/>
      <c r="R3" s="328"/>
      <c r="S3" s="297" t="s">
        <v>280</v>
      </c>
      <c r="T3" s="294"/>
      <c r="U3" s="294"/>
      <c r="V3" s="294"/>
      <c r="W3" s="328"/>
      <c r="X3" s="328"/>
      <c r="Y3" s="328"/>
      <c r="Z3" s="328"/>
      <c r="AA3" s="328"/>
      <c r="AB3" s="328"/>
      <c r="AC3" s="294"/>
    </row>
    <row r="4" spans="1:60" ht="15">
      <c r="A4" s="328"/>
      <c r="B4" s="410" t="s">
        <v>294</v>
      </c>
      <c r="C4" s="328"/>
      <c r="D4" s="328"/>
      <c r="E4" s="328"/>
      <c r="F4" s="328"/>
      <c r="G4" s="328"/>
      <c r="H4" s="328"/>
      <c r="I4" s="328"/>
      <c r="J4" s="328"/>
      <c r="K4" s="328"/>
      <c r="L4" s="328"/>
      <c r="M4" s="328"/>
      <c r="N4" s="328"/>
      <c r="O4" s="328"/>
      <c r="P4" s="328"/>
      <c r="Q4" s="328"/>
      <c r="R4" s="304" t="s">
        <v>281</v>
      </c>
      <c r="S4" s="305"/>
      <c r="T4" s="306" t="s">
        <v>282</v>
      </c>
      <c r="U4" s="306" t="s">
        <v>283</v>
      </c>
      <c r="V4" s="306" t="s">
        <v>292</v>
      </c>
      <c r="W4" s="328"/>
      <c r="X4" s="328"/>
      <c r="Y4" s="328"/>
      <c r="Z4" s="328"/>
      <c r="AA4" s="328"/>
      <c r="AB4" s="328"/>
      <c r="AC4" s="294"/>
    </row>
    <row r="5" spans="1:60" ht="13">
      <c r="A5" s="328"/>
      <c r="B5" s="410" t="s">
        <v>295</v>
      </c>
      <c r="C5" s="328"/>
      <c r="D5" s="328"/>
      <c r="E5" s="328"/>
      <c r="F5" s="328"/>
      <c r="G5" s="328"/>
      <c r="H5" s="328"/>
      <c r="I5" s="328"/>
      <c r="J5" s="328"/>
      <c r="K5" s="328"/>
      <c r="L5" s="328"/>
      <c r="M5" s="328"/>
      <c r="N5" s="328"/>
      <c r="O5" s="328"/>
      <c r="P5" s="328"/>
      <c r="Q5" s="328"/>
      <c r="R5" s="310" t="s">
        <v>284</v>
      </c>
      <c r="S5" s="311"/>
      <c r="T5" s="312">
        <v>1.1000000238418579</v>
      </c>
      <c r="U5" s="290">
        <v>1.1000000238418579</v>
      </c>
      <c r="V5" s="290">
        <v>1.1000000238418579</v>
      </c>
      <c r="W5" s="328"/>
      <c r="X5" s="328"/>
      <c r="Y5" s="328"/>
      <c r="Z5" s="328"/>
      <c r="AA5" s="328"/>
      <c r="AB5" s="328"/>
      <c r="AC5" s="294"/>
    </row>
    <row r="6" spans="1:60">
      <c r="A6" s="328"/>
      <c r="B6" s="328"/>
      <c r="C6" s="328"/>
      <c r="D6" s="328"/>
      <c r="E6" s="328"/>
      <c r="F6" s="328"/>
      <c r="G6" s="328"/>
      <c r="H6" s="328"/>
      <c r="I6" s="328"/>
      <c r="J6" s="328"/>
      <c r="K6" s="328"/>
      <c r="L6" s="328"/>
      <c r="M6" s="328"/>
      <c r="N6" s="328"/>
      <c r="O6" s="328"/>
      <c r="P6" s="328"/>
      <c r="Q6" s="328"/>
      <c r="R6" s="314" t="s">
        <v>285</v>
      </c>
      <c r="S6" s="315"/>
      <c r="T6" s="316">
        <v>4</v>
      </c>
      <c r="U6" s="291">
        <v>300</v>
      </c>
      <c r="V6" s="291">
        <v>300</v>
      </c>
      <c r="W6" s="328"/>
      <c r="X6" s="328"/>
      <c r="Y6" s="328"/>
      <c r="Z6" s="328"/>
      <c r="AA6" s="328"/>
      <c r="AB6" s="328"/>
      <c r="AC6" s="294"/>
    </row>
    <row r="7" spans="1:60">
      <c r="A7" s="328"/>
      <c r="B7" s="328"/>
      <c r="C7" s="328"/>
      <c r="D7" s="328"/>
      <c r="E7" s="328"/>
      <c r="F7" s="328"/>
      <c r="G7" s="328"/>
      <c r="H7" s="328"/>
      <c r="I7" s="328"/>
      <c r="J7" s="328"/>
      <c r="K7" s="328"/>
      <c r="L7" s="328"/>
      <c r="M7" s="328"/>
      <c r="N7" s="328"/>
      <c r="O7" s="328"/>
      <c r="P7" s="328"/>
      <c r="Q7" s="328"/>
      <c r="R7" s="321" t="s">
        <v>286</v>
      </c>
      <c r="S7" s="322"/>
      <c r="T7" s="323">
        <v>1.6666699200868607E-2</v>
      </c>
      <c r="U7" s="293">
        <v>1.6999999934341758E-4</v>
      </c>
      <c r="V7" s="293">
        <v>1.6999999934341758E-4</v>
      </c>
      <c r="W7" s="328"/>
      <c r="X7" s="328"/>
      <c r="Y7" s="328"/>
      <c r="Z7" s="328"/>
      <c r="AA7" s="328"/>
      <c r="AB7" s="328"/>
      <c r="AC7" s="294"/>
    </row>
    <row r="8" spans="1:60" ht="21">
      <c r="A8" s="328"/>
      <c r="B8" s="329"/>
      <c r="C8" s="328"/>
      <c r="D8" s="297" t="s">
        <v>271</v>
      </c>
      <c r="E8" s="294"/>
      <c r="F8" s="294"/>
      <c r="G8" s="294"/>
      <c r="H8" s="294"/>
      <c r="I8" s="294"/>
      <c r="J8" s="294"/>
      <c r="K8" s="294"/>
      <c r="L8" s="294"/>
      <c r="M8" s="294"/>
      <c r="N8" s="294"/>
      <c r="O8" s="294"/>
      <c r="P8" s="294"/>
      <c r="Q8" s="294"/>
      <c r="R8" s="294"/>
      <c r="S8" s="294"/>
      <c r="T8" s="294"/>
      <c r="U8" s="294"/>
      <c r="V8" s="294"/>
      <c r="W8" s="294"/>
      <c r="X8" s="294"/>
      <c r="Y8" s="294"/>
      <c r="Z8" s="294"/>
      <c r="AA8" s="294"/>
      <c r="AB8" s="294"/>
      <c r="AC8" s="294"/>
    </row>
    <row r="9" spans="1:60" ht="13" thickBot="1">
      <c r="A9" s="328"/>
      <c r="B9" s="376" t="s">
        <v>293</v>
      </c>
      <c r="C9" s="328"/>
      <c r="D9" s="340">
        <v>2014</v>
      </c>
      <c r="E9" s="340">
        <v>2016</v>
      </c>
      <c r="F9" s="340">
        <v>2018</v>
      </c>
      <c r="G9" s="340">
        <v>2020</v>
      </c>
      <c r="H9" s="340">
        <v>2022</v>
      </c>
      <c r="I9" s="340">
        <v>2024</v>
      </c>
      <c r="J9" s="340">
        <v>2026</v>
      </c>
      <c r="K9" s="340">
        <v>2028</v>
      </c>
      <c r="L9" s="340">
        <v>2030</v>
      </c>
      <c r="M9" s="340">
        <v>2032</v>
      </c>
      <c r="N9" s="340">
        <v>2034</v>
      </c>
      <c r="O9" s="340">
        <v>2036</v>
      </c>
      <c r="P9" s="340">
        <v>2038</v>
      </c>
      <c r="Q9" s="340">
        <v>2040</v>
      </c>
      <c r="R9" s="340">
        <v>2042</v>
      </c>
      <c r="S9" s="340">
        <v>2044</v>
      </c>
      <c r="T9" s="340">
        <v>2046</v>
      </c>
      <c r="U9" s="340">
        <v>2048</v>
      </c>
      <c r="V9" s="341">
        <v>2050</v>
      </c>
      <c r="W9" s="294"/>
      <c r="X9" s="294"/>
      <c r="Y9" s="294"/>
      <c r="Z9" s="294"/>
      <c r="AA9" s="294"/>
      <c r="AB9" s="294"/>
      <c r="AC9" s="294"/>
    </row>
    <row r="10" spans="1:60" ht="15" customHeight="1">
      <c r="A10" s="328"/>
      <c r="B10" s="424" t="s">
        <v>273</v>
      </c>
      <c r="C10" s="342" t="s">
        <v>274</v>
      </c>
      <c r="D10" s="349">
        <v>3756.034423828125</v>
      </c>
      <c r="E10" s="343">
        <v>3303.0400390625</v>
      </c>
      <c r="F10" s="343">
        <v>3098.728271484375</v>
      </c>
      <c r="G10" s="343">
        <v>2894.41650390625</v>
      </c>
      <c r="H10" s="343">
        <v>2720.75146484375</v>
      </c>
      <c r="I10" s="343">
        <v>2547.086669921875</v>
      </c>
      <c r="J10" s="343">
        <v>2386.446533203125</v>
      </c>
      <c r="K10" s="343">
        <v>2238.831298828125</v>
      </c>
      <c r="L10" s="343">
        <v>2091.216064453125</v>
      </c>
      <c r="M10" s="343">
        <v>2059.84765625</v>
      </c>
      <c r="N10" s="343">
        <v>2028.4794921875</v>
      </c>
      <c r="O10" s="343">
        <v>1997.1112060546875</v>
      </c>
      <c r="P10" s="343">
        <v>1965.7430419921875</v>
      </c>
      <c r="Q10" s="343">
        <v>1934.374755859375</v>
      </c>
      <c r="R10" s="343">
        <v>1903.0064697265625</v>
      </c>
      <c r="S10" s="343">
        <v>1871.6383056640625</v>
      </c>
      <c r="T10" s="343">
        <v>1840.27001953125</v>
      </c>
      <c r="U10" s="343">
        <v>1808.90185546875</v>
      </c>
      <c r="V10" s="344">
        <v>1777.5335693359375</v>
      </c>
      <c r="W10" s="294"/>
      <c r="X10" s="294"/>
      <c r="Y10" s="294"/>
      <c r="Z10" s="294"/>
      <c r="AA10" s="294"/>
      <c r="AB10" s="294"/>
      <c r="AC10" s="294"/>
    </row>
    <row r="11" spans="1:60" ht="15" customHeight="1">
      <c r="A11" s="328"/>
      <c r="B11" s="425"/>
      <c r="C11" s="333" t="s">
        <v>275</v>
      </c>
      <c r="D11" s="350">
        <v>280</v>
      </c>
      <c r="E11" s="334">
        <v>260</v>
      </c>
      <c r="F11" s="334">
        <v>240</v>
      </c>
      <c r="G11" s="334">
        <v>220</v>
      </c>
      <c r="H11" s="334">
        <v>210</v>
      </c>
      <c r="I11" s="334">
        <v>200</v>
      </c>
      <c r="J11" s="334">
        <v>190</v>
      </c>
      <c r="K11" s="334">
        <v>190</v>
      </c>
      <c r="L11" s="334">
        <v>190</v>
      </c>
      <c r="M11" s="334">
        <v>190</v>
      </c>
      <c r="N11" s="334">
        <v>190</v>
      </c>
      <c r="O11" s="334">
        <v>190</v>
      </c>
      <c r="P11" s="334">
        <v>190</v>
      </c>
      <c r="Q11" s="334">
        <v>180</v>
      </c>
      <c r="R11" s="334">
        <v>180</v>
      </c>
      <c r="S11" s="334">
        <v>180</v>
      </c>
      <c r="T11" s="334">
        <v>180</v>
      </c>
      <c r="U11" s="334">
        <v>180</v>
      </c>
      <c r="V11" s="345">
        <v>180</v>
      </c>
      <c r="W11" s="294"/>
      <c r="X11" s="294"/>
      <c r="Y11" s="294"/>
      <c r="Z11" s="294"/>
      <c r="AA11" s="294"/>
      <c r="AB11" s="294"/>
      <c r="AC11" s="294"/>
    </row>
    <row r="12" spans="1:60" ht="15" customHeight="1">
      <c r="A12" s="328"/>
      <c r="B12" s="425"/>
      <c r="C12" s="217" t="s">
        <v>109</v>
      </c>
      <c r="D12" s="352">
        <v>0</v>
      </c>
      <c r="E12" s="327">
        <v>0</v>
      </c>
      <c r="F12" s="327">
        <v>0</v>
      </c>
      <c r="G12" s="327">
        <v>0</v>
      </c>
      <c r="H12" s="327">
        <v>0</v>
      </c>
      <c r="I12" s="327">
        <v>0</v>
      </c>
      <c r="J12" s="327">
        <v>0</v>
      </c>
      <c r="K12" s="327">
        <v>0</v>
      </c>
      <c r="L12" s="327">
        <v>0</v>
      </c>
      <c r="M12" s="327">
        <v>0</v>
      </c>
      <c r="N12" s="327">
        <v>0</v>
      </c>
      <c r="O12" s="327">
        <v>0</v>
      </c>
      <c r="P12" s="327">
        <v>0</v>
      </c>
      <c r="Q12" s="327">
        <v>0</v>
      </c>
      <c r="R12" s="327">
        <v>0</v>
      </c>
      <c r="S12" s="327">
        <v>0</v>
      </c>
      <c r="T12" s="327">
        <v>0</v>
      </c>
      <c r="U12" s="327">
        <v>0</v>
      </c>
      <c r="V12" s="353">
        <v>0</v>
      </c>
      <c r="W12" s="294"/>
      <c r="X12" s="294"/>
      <c r="Y12" s="294"/>
      <c r="Z12" s="294"/>
      <c r="AA12" s="294"/>
      <c r="AB12" s="294"/>
      <c r="AC12" s="294"/>
    </row>
    <row r="13" spans="1:60" ht="15" customHeight="1" thickBot="1">
      <c r="A13" s="328"/>
      <c r="B13" s="426"/>
      <c r="C13" s="346" t="s">
        <v>145</v>
      </c>
      <c r="D13" s="351">
        <v>0</v>
      </c>
      <c r="E13" s="347">
        <v>0</v>
      </c>
      <c r="F13" s="347">
        <v>0</v>
      </c>
      <c r="G13" s="347">
        <v>0</v>
      </c>
      <c r="H13" s="347">
        <v>0</v>
      </c>
      <c r="I13" s="347">
        <v>0</v>
      </c>
      <c r="J13" s="347">
        <v>0</v>
      </c>
      <c r="K13" s="347">
        <v>0</v>
      </c>
      <c r="L13" s="347">
        <v>0</v>
      </c>
      <c r="M13" s="347">
        <v>0</v>
      </c>
      <c r="N13" s="347">
        <v>0</v>
      </c>
      <c r="O13" s="347">
        <v>0</v>
      </c>
      <c r="P13" s="347">
        <v>0</v>
      </c>
      <c r="Q13" s="347">
        <v>0</v>
      </c>
      <c r="R13" s="347">
        <v>0</v>
      </c>
      <c r="S13" s="347">
        <v>0</v>
      </c>
      <c r="T13" s="347">
        <v>0</v>
      </c>
      <c r="U13" s="347">
        <v>0</v>
      </c>
      <c r="V13" s="348">
        <v>0</v>
      </c>
      <c r="W13" s="294"/>
      <c r="X13" s="294"/>
      <c r="Y13" s="294"/>
      <c r="Z13" s="294"/>
      <c r="AA13" s="294"/>
      <c r="AB13" s="294"/>
      <c r="AC13" s="294"/>
    </row>
    <row r="14" spans="1:60" s="287" customFormat="1" ht="15" customHeight="1">
      <c r="A14" s="328"/>
      <c r="B14" s="354"/>
      <c r="C14" s="339"/>
      <c r="D14" s="355"/>
      <c r="E14" s="355"/>
      <c r="F14" s="331"/>
      <c r="G14" s="331"/>
      <c r="H14" s="331"/>
      <c r="I14" s="331"/>
      <c r="J14" s="331"/>
      <c r="K14" s="331"/>
      <c r="L14" s="331"/>
      <c r="M14" s="331"/>
      <c r="N14" s="331"/>
      <c r="O14" s="331"/>
      <c r="P14" s="331"/>
      <c r="Q14" s="331"/>
      <c r="R14" s="331"/>
      <c r="S14" s="331"/>
      <c r="T14" s="331"/>
      <c r="U14" s="331"/>
      <c r="V14" s="331"/>
      <c r="W14" s="294"/>
      <c r="X14" s="294"/>
      <c r="Y14" s="294"/>
      <c r="Z14" s="294"/>
      <c r="AA14" s="294"/>
      <c r="AB14" s="294"/>
      <c r="AC14" s="294"/>
      <c r="AD14" s="294"/>
      <c r="AE14" s="294"/>
      <c r="AF14" s="294"/>
      <c r="AG14" s="294"/>
      <c r="AH14" s="294"/>
      <c r="AI14" s="294"/>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row>
    <row r="15" spans="1:60" ht="15" customHeight="1">
      <c r="A15" s="328"/>
      <c r="B15" s="295"/>
      <c r="C15" s="339"/>
      <c r="D15" s="331"/>
      <c r="E15" s="331"/>
      <c r="F15" s="331"/>
      <c r="G15" s="331"/>
      <c r="H15" s="331"/>
      <c r="I15" s="331"/>
      <c r="J15" s="331"/>
      <c r="K15" s="331"/>
      <c r="L15" s="331"/>
      <c r="M15" s="331"/>
      <c r="N15" s="331"/>
      <c r="O15" s="331"/>
      <c r="P15" s="331"/>
      <c r="Q15" s="331"/>
      <c r="R15" s="331"/>
      <c r="S15" s="331"/>
      <c r="T15" s="331"/>
      <c r="U15" s="331"/>
      <c r="V15" s="331"/>
      <c r="W15" s="294"/>
      <c r="X15" s="294"/>
      <c r="Y15" s="294"/>
      <c r="Z15" s="294"/>
      <c r="AA15" s="294"/>
      <c r="AB15" s="336"/>
      <c r="AC15" s="336"/>
    </row>
    <row r="16" spans="1:60" ht="15" customHeight="1" thickBot="1">
      <c r="A16" s="328"/>
      <c r="B16" s="376" t="s">
        <v>289</v>
      </c>
      <c r="C16" s="328"/>
      <c r="D16" s="340">
        <v>2014</v>
      </c>
      <c r="E16" s="340">
        <v>2016</v>
      </c>
      <c r="F16" s="340">
        <v>2018</v>
      </c>
      <c r="G16" s="340">
        <v>2020</v>
      </c>
      <c r="H16" s="340">
        <v>2022</v>
      </c>
      <c r="I16" s="340">
        <v>2024</v>
      </c>
      <c r="J16" s="340">
        <v>2026</v>
      </c>
      <c r="K16" s="340">
        <v>2028</v>
      </c>
      <c r="L16" s="340">
        <v>2030</v>
      </c>
      <c r="M16" s="340">
        <v>2032</v>
      </c>
      <c r="N16" s="340">
        <v>2034</v>
      </c>
      <c r="O16" s="340">
        <v>2036</v>
      </c>
      <c r="P16" s="340">
        <v>2038</v>
      </c>
      <c r="Q16" s="340">
        <v>2040</v>
      </c>
      <c r="R16" s="340">
        <v>2042</v>
      </c>
      <c r="S16" s="340">
        <v>2044</v>
      </c>
      <c r="T16" s="340">
        <v>2046</v>
      </c>
      <c r="U16" s="340">
        <v>2048</v>
      </c>
      <c r="V16" s="341">
        <v>2050</v>
      </c>
      <c r="W16" s="294"/>
      <c r="X16" s="294"/>
      <c r="Y16" s="294"/>
      <c r="Z16" s="294"/>
      <c r="AA16" s="294"/>
      <c r="AB16" s="294"/>
      <c r="AC16" s="294"/>
    </row>
    <row r="17" spans="1:60" ht="14">
      <c r="A17" s="328"/>
      <c r="B17" s="424" t="s">
        <v>58</v>
      </c>
      <c r="C17" s="342" t="s">
        <v>274</v>
      </c>
      <c r="D17" s="377">
        <v>4830.3999999999996</v>
      </c>
      <c r="E17" s="378">
        <v>4505.2</v>
      </c>
      <c r="F17" s="378">
        <v>4301.6000000000004</v>
      </c>
      <c r="G17" s="378">
        <v>4098</v>
      </c>
      <c r="H17" s="378">
        <v>3987.2</v>
      </c>
      <c r="I17" s="378">
        <v>3876.4</v>
      </c>
      <c r="J17" s="378">
        <v>3788</v>
      </c>
      <c r="K17" s="378">
        <v>3722</v>
      </c>
      <c r="L17" s="378">
        <v>3656</v>
      </c>
      <c r="M17" s="378">
        <v>3616.4</v>
      </c>
      <c r="N17" s="378">
        <v>3576.8</v>
      </c>
      <c r="O17" s="378">
        <v>3539</v>
      </c>
      <c r="P17" s="378">
        <v>3503</v>
      </c>
      <c r="Q17" s="378">
        <v>3467</v>
      </c>
      <c r="R17" s="378">
        <v>3434.6</v>
      </c>
      <c r="S17" s="378">
        <v>3402.2</v>
      </c>
      <c r="T17" s="378">
        <v>3371</v>
      </c>
      <c r="U17" s="378">
        <v>3341</v>
      </c>
      <c r="V17" s="379">
        <v>3311</v>
      </c>
      <c r="W17" s="294"/>
      <c r="X17" s="294"/>
      <c r="Y17" s="294"/>
      <c r="Z17" s="294"/>
      <c r="AA17" s="294"/>
      <c r="AB17" s="294"/>
      <c r="AC17" s="294"/>
    </row>
    <row r="18" spans="1:60" ht="15" customHeight="1">
      <c r="A18" s="328"/>
      <c r="B18" s="425"/>
      <c r="C18" s="333" t="s">
        <v>275</v>
      </c>
      <c r="D18" s="380">
        <v>180</v>
      </c>
      <c r="E18" s="334">
        <v>170</v>
      </c>
      <c r="F18" s="334">
        <v>160</v>
      </c>
      <c r="G18" s="334">
        <v>165</v>
      </c>
      <c r="H18" s="334">
        <v>150</v>
      </c>
      <c r="I18" s="334">
        <v>140</v>
      </c>
      <c r="J18" s="334">
        <v>130</v>
      </c>
      <c r="K18" s="334">
        <v>130</v>
      </c>
      <c r="L18" s="334">
        <v>130</v>
      </c>
      <c r="M18" s="334">
        <v>130</v>
      </c>
      <c r="N18" s="334">
        <v>130</v>
      </c>
      <c r="O18" s="334">
        <v>130</v>
      </c>
      <c r="P18" s="334">
        <v>130</v>
      </c>
      <c r="Q18" s="335">
        <v>120</v>
      </c>
      <c r="R18" s="335">
        <v>120</v>
      </c>
      <c r="S18" s="335">
        <v>120</v>
      </c>
      <c r="T18" s="335">
        <v>120</v>
      </c>
      <c r="U18" s="335">
        <v>120</v>
      </c>
      <c r="V18" s="381">
        <v>120</v>
      </c>
      <c r="W18" s="294"/>
      <c r="X18" s="294"/>
      <c r="Y18" s="294"/>
      <c r="Z18" s="294"/>
      <c r="AA18" s="294"/>
      <c r="AB18" s="294"/>
      <c r="AC18" s="294"/>
    </row>
    <row r="19" spans="1:60" ht="15" customHeight="1">
      <c r="A19" s="328"/>
      <c r="B19" s="425"/>
      <c r="C19" s="217" t="s">
        <v>109</v>
      </c>
      <c r="D19" s="382">
        <v>0</v>
      </c>
      <c r="E19" s="327">
        <v>0</v>
      </c>
      <c r="F19" s="327">
        <v>0</v>
      </c>
      <c r="G19" s="327">
        <v>0</v>
      </c>
      <c r="H19" s="327">
        <v>0</v>
      </c>
      <c r="I19" s="327">
        <v>0</v>
      </c>
      <c r="J19" s="327">
        <v>0</v>
      </c>
      <c r="K19" s="327">
        <v>0</v>
      </c>
      <c r="L19" s="327">
        <v>0</v>
      </c>
      <c r="M19" s="327">
        <v>0</v>
      </c>
      <c r="N19" s="327">
        <v>0</v>
      </c>
      <c r="O19" s="327">
        <v>0</v>
      </c>
      <c r="P19" s="327">
        <v>0</v>
      </c>
      <c r="Q19" s="327">
        <v>0</v>
      </c>
      <c r="R19" s="327">
        <v>0</v>
      </c>
      <c r="S19" s="327">
        <v>0</v>
      </c>
      <c r="T19" s="327">
        <v>0</v>
      </c>
      <c r="U19" s="327">
        <v>0</v>
      </c>
      <c r="V19" s="383">
        <v>0</v>
      </c>
      <c r="W19" s="294"/>
      <c r="X19" s="294"/>
      <c r="Y19" s="294"/>
      <c r="Z19" s="294"/>
      <c r="AA19" s="294"/>
      <c r="AB19" s="294"/>
      <c r="AC19" s="294"/>
    </row>
    <row r="20" spans="1:60" ht="15" customHeight="1" thickBot="1">
      <c r="A20" s="328"/>
      <c r="B20" s="426"/>
      <c r="C20" s="346" t="s">
        <v>145</v>
      </c>
      <c r="D20" s="384">
        <v>0</v>
      </c>
      <c r="E20" s="385">
        <v>0</v>
      </c>
      <c r="F20" s="385">
        <v>0</v>
      </c>
      <c r="G20" s="385">
        <v>0</v>
      </c>
      <c r="H20" s="385">
        <v>0</v>
      </c>
      <c r="I20" s="385">
        <v>0</v>
      </c>
      <c r="J20" s="385">
        <v>0</v>
      </c>
      <c r="K20" s="385">
        <v>0</v>
      </c>
      <c r="L20" s="385">
        <v>0</v>
      </c>
      <c r="M20" s="385">
        <v>0</v>
      </c>
      <c r="N20" s="385">
        <v>0</v>
      </c>
      <c r="O20" s="385">
        <v>0</v>
      </c>
      <c r="P20" s="385">
        <v>0</v>
      </c>
      <c r="Q20" s="385">
        <v>0</v>
      </c>
      <c r="R20" s="385">
        <v>0</v>
      </c>
      <c r="S20" s="385">
        <v>0</v>
      </c>
      <c r="T20" s="385">
        <v>0</v>
      </c>
      <c r="U20" s="385">
        <v>0</v>
      </c>
      <c r="V20" s="386">
        <v>0</v>
      </c>
      <c r="W20" s="294"/>
      <c r="X20" s="294"/>
      <c r="Y20" s="294"/>
      <c r="Z20" s="294"/>
      <c r="AA20" s="294"/>
      <c r="AB20" s="294"/>
      <c r="AC20" s="294"/>
    </row>
    <row r="21" spans="1:60" ht="14">
      <c r="A21" s="328"/>
      <c r="B21" s="295"/>
      <c r="C21" s="339"/>
      <c r="D21" s="331"/>
      <c r="E21" s="331"/>
      <c r="F21" s="331"/>
      <c r="G21" s="331"/>
      <c r="H21" s="331"/>
      <c r="I21" s="331"/>
      <c r="J21" s="331"/>
      <c r="K21" s="331"/>
      <c r="L21" s="331"/>
      <c r="M21" s="331"/>
      <c r="N21" s="331"/>
      <c r="O21" s="331"/>
      <c r="P21" s="331"/>
      <c r="Q21" s="331"/>
      <c r="R21" s="331"/>
      <c r="S21" s="331"/>
      <c r="T21" s="331"/>
      <c r="U21" s="331"/>
      <c r="V21" s="331"/>
      <c r="W21" s="294"/>
      <c r="X21" s="294"/>
      <c r="Y21" s="294"/>
      <c r="Z21" s="294"/>
      <c r="AA21" s="294"/>
      <c r="AB21" s="294"/>
      <c r="AC21" s="294"/>
    </row>
    <row r="22" spans="1:60" ht="21">
      <c r="A22" s="328"/>
      <c r="B22" s="295"/>
      <c r="C22" s="339"/>
      <c r="D22" s="297" t="s">
        <v>277</v>
      </c>
      <c r="E22" s="331"/>
      <c r="F22" s="331"/>
      <c r="G22" s="331"/>
      <c r="H22" s="331"/>
      <c r="I22" s="331"/>
      <c r="J22" s="331"/>
      <c r="K22" s="331"/>
      <c r="L22" s="331"/>
      <c r="M22" s="331"/>
      <c r="N22" s="331"/>
      <c r="O22" s="331"/>
      <c r="P22" s="331"/>
      <c r="Q22" s="331"/>
      <c r="R22" s="331"/>
      <c r="S22" s="331"/>
      <c r="T22" s="331"/>
      <c r="U22" s="331"/>
      <c r="V22" s="331"/>
      <c r="W22" s="294"/>
      <c r="X22" s="294"/>
      <c r="Y22" s="294"/>
      <c r="Z22" s="294"/>
      <c r="AA22" s="294"/>
      <c r="AB22" s="294"/>
      <c r="AC22" s="294"/>
    </row>
    <row r="23" spans="1:60" s="287" customFormat="1" ht="13" thickBot="1">
      <c r="A23" s="328"/>
      <c r="B23" s="330" t="s">
        <v>272</v>
      </c>
      <c r="C23" s="328"/>
      <c r="D23" s="340">
        <v>2014</v>
      </c>
      <c r="E23" s="340">
        <v>2016</v>
      </c>
      <c r="F23" s="340">
        <v>2018</v>
      </c>
      <c r="G23" s="340">
        <v>2020</v>
      </c>
      <c r="H23" s="340">
        <v>2022</v>
      </c>
      <c r="I23" s="340">
        <v>2024</v>
      </c>
      <c r="J23" s="340">
        <v>2026</v>
      </c>
      <c r="K23" s="340">
        <v>2028</v>
      </c>
      <c r="L23" s="340">
        <v>2030</v>
      </c>
      <c r="M23" s="340">
        <v>2032</v>
      </c>
      <c r="N23" s="340">
        <v>2034</v>
      </c>
      <c r="O23" s="340">
        <v>2036</v>
      </c>
      <c r="P23" s="340">
        <v>2038</v>
      </c>
      <c r="Q23" s="340">
        <v>2040</v>
      </c>
      <c r="R23" s="340">
        <v>2042</v>
      </c>
      <c r="S23" s="340">
        <v>2044</v>
      </c>
      <c r="T23" s="340">
        <v>2046</v>
      </c>
      <c r="U23" s="340">
        <v>2048</v>
      </c>
      <c r="V23" s="341">
        <v>2050</v>
      </c>
      <c r="W23" s="294"/>
      <c r="X23" s="294"/>
      <c r="Y23" s="294"/>
      <c r="Z23" s="294"/>
      <c r="AA23" s="294"/>
      <c r="AB23" s="294"/>
      <c r="AC23" s="294"/>
      <c r="AD23" s="294"/>
      <c r="AE23" s="294"/>
      <c r="AF23" s="294"/>
      <c r="AG23" s="294"/>
      <c r="AH23" s="294"/>
      <c r="AI23" s="294"/>
      <c r="AJ23" s="294"/>
      <c r="AK23" s="294"/>
      <c r="AL23" s="294"/>
      <c r="AM23" s="294"/>
      <c r="AN23" s="294"/>
      <c r="AO23" s="294"/>
      <c r="AP23" s="294"/>
      <c r="AQ23" s="294"/>
      <c r="AR23" s="294"/>
      <c r="AS23" s="294"/>
      <c r="AT23" s="294"/>
      <c r="AU23" s="294"/>
      <c r="AV23" s="294"/>
      <c r="AW23" s="294"/>
      <c r="AX23" s="294"/>
      <c r="AY23" s="294"/>
      <c r="AZ23" s="294"/>
      <c r="BA23" s="294"/>
      <c r="BB23" s="294"/>
      <c r="BC23" s="294"/>
      <c r="BD23" s="294"/>
      <c r="BE23" s="294"/>
      <c r="BF23" s="294"/>
      <c r="BG23" s="294"/>
      <c r="BH23" s="294"/>
    </row>
    <row r="24" spans="1:60" s="287" customFormat="1" ht="15" customHeight="1">
      <c r="A24" s="328"/>
      <c r="B24" s="424" t="s">
        <v>273</v>
      </c>
      <c r="C24" s="342" t="s">
        <v>274</v>
      </c>
      <c r="D24" s="337">
        <v>2649.861572265625</v>
      </c>
      <c r="E24" s="337">
        <v>2212.035888671875</v>
      </c>
      <c r="F24" s="337">
        <v>2075.208984375</v>
      </c>
      <c r="G24" s="337">
        <v>1938.3819580078125</v>
      </c>
      <c r="H24" s="337">
        <v>1860.8466796875</v>
      </c>
      <c r="I24" s="337">
        <v>1783.3114013671875</v>
      </c>
      <c r="J24" s="337">
        <v>1727.098388671875</v>
      </c>
      <c r="K24" s="337">
        <v>1692.20751953125</v>
      </c>
      <c r="L24" s="337">
        <v>1657.316650390625</v>
      </c>
      <c r="M24" s="337">
        <v>1649.030029296875</v>
      </c>
      <c r="N24" s="337">
        <v>1640.743408203125</v>
      </c>
      <c r="O24" s="337">
        <v>1632.4569091796875</v>
      </c>
      <c r="P24" s="337">
        <v>1624.1702880859375</v>
      </c>
      <c r="Q24" s="337">
        <v>1615.8836669921875</v>
      </c>
      <c r="R24" s="337">
        <v>1607.59716796875</v>
      </c>
      <c r="S24" s="337">
        <v>1599.310546875</v>
      </c>
      <c r="T24" s="337">
        <v>1591.02392578125</v>
      </c>
      <c r="U24" s="337">
        <v>1582.7373046875</v>
      </c>
      <c r="V24" s="338">
        <v>1574.4508056640625</v>
      </c>
      <c r="W24" s="294"/>
      <c r="X24" s="294"/>
      <c r="Y24" s="294"/>
      <c r="Z24" s="294"/>
      <c r="AA24" s="294"/>
      <c r="AB24" s="294"/>
      <c r="AC24" s="294"/>
      <c r="AD24" s="294"/>
      <c r="AE24" s="294"/>
      <c r="AF24" s="294"/>
      <c r="AG24" s="294"/>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294"/>
      <c r="BH24" s="294"/>
    </row>
    <row r="25" spans="1:60" s="287" customFormat="1" ht="15" customHeight="1">
      <c r="A25" s="328"/>
      <c r="B25" s="425"/>
      <c r="C25" s="333" t="s">
        <v>275</v>
      </c>
      <c r="D25" s="334">
        <v>180</v>
      </c>
      <c r="E25" s="334">
        <v>170</v>
      </c>
      <c r="F25" s="334">
        <v>160</v>
      </c>
      <c r="G25" s="334">
        <v>165</v>
      </c>
      <c r="H25" s="334">
        <v>150</v>
      </c>
      <c r="I25" s="334">
        <v>140</v>
      </c>
      <c r="J25" s="334">
        <v>130</v>
      </c>
      <c r="K25" s="334">
        <v>130</v>
      </c>
      <c r="L25" s="334">
        <v>130</v>
      </c>
      <c r="M25" s="334">
        <v>130</v>
      </c>
      <c r="N25" s="334">
        <v>130</v>
      </c>
      <c r="O25" s="334">
        <v>130</v>
      </c>
      <c r="P25" s="334">
        <v>130</v>
      </c>
      <c r="Q25" s="335">
        <v>120</v>
      </c>
      <c r="R25" s="335">
        <v>120</v>
      </c>
      <c r="S25" s="335">
        <v>120</v>
      </c>
      <c r="T25" s="335">
        <v>120</v>
      </c>
      <c r="U25" s="335">
        <v>120</v>
      </c>
      <c r="V25" s="335">
        <v>120</v>
      </c>
      <c r="W25" s="294"/>
      <c r="X25" s="294"/>
      <c r="Y25" s="294"/>
      <c r="Z25" s="294"/>
      <c r="AA25" s="294"/>
      <c r="AB25" s="294"/>
      <c r="AC25" s="294"/>
      <c r="AD25" s="294"/>
      <c r="AE25" s="294"/>
      <c r="AF25" s="294"/>
      <c r="AG25" s="294"/>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294"/>
      <c r="BH25" s="294"/>
    </row>
    <row r="26" spans="1:60" s="287" customFormat="1" ht="15" customHeight="1">
      <c r="A26" s="328"/>
      <c r="B26" s="425"/>
      <c r="C26" s="217" t="s">
        <v>109</v>
      </c>
      <c r="D26" s="352">
        <v>0</v>
      </c>
      <c r="E26" s="327">
        <v>0</v>
      </c>
      <c r="F26" s="327">
        <v>0</v>
      </c>
      <c r="G26" s="327">
        <v>0</v>
      </c>
      <c r="H26" s="327">
        <v>0</v>
      </c>
      <c r="I26" s="327">
        <v>0</v>
      </c>
      <c r="J26" s="327">
        <v>0</v>
      </c>
      <c r="K26" s="327">
        <v>0</v>
      </c>
      <c r="L26" s="327">
        <v>0</v>
      </c>
      <c r="M26" s="327">
        <v>0</v>
      </c>
      <c r="N26" s="327">
        <v>0</v>
      </c>
      <c r="O26" s="327">
        <v>0</v>
      </c>
      <c r="P26" s="327">
        <v>0</v>
      </c>
      <c r="Q26" s="327">
        <v>0</v>
      </c>
      <c r="R26" s="327">
        <v>0</v>
      </c>
      <c r="S26" s="327">
        <v>0</v>
      </c>
      <c r="T26" s="327">
        <v>0</v>
      </c>
      <c r="U26" s="327">
        <v>0</v>
      </c>
      <c r="V26" s="353">
        <v>0</v>
      </c>
      <c r="W26" s="294"/>
      <c r="X26" s="294"/>
      <c r="Y26" s="294"/>
      <c r="Z26" s="294"/>
      <c r="AA26" s="294"/>
      <c r="AB26" s="294"/>
      <c r="AC26" s="294"/>
      <c r="AD26" s="294"/>
      <c r="AE26" s="294"/>
      <c r="AF26" s="294"/>
      <c r="AG26" s="294"/>
      <c r="AH26" s="294"/>
      <c r="AI26" s="294"/>
      <c r="AJ26" s="294"/>
      <c r="AK26" s="294"/>
      <c r="AL26" s="294"/>
      <c r="AM26" s="294"/>
      <c r="AN26" s="294"/>
      <c r="AO26" s="294"/>
      <c r="AP26" s="294"/>
      <c r="AQ26" s="294"/>
      <c r="AR26" s="294"/>
      <c r="AS26" s="294"/>
      <c r="AT26" s="294"/>
      <c r="AU26" s="294"/>
      <c r="AV26" s="294"/>
      <c r="AW26" s="294"/>
      <c r="AX26" s="294"/>
      <c r="AY26" s="294"/>
      <c r="AZ26" s="294"/>
      <c r="BA26" s="294"/>
      <c r="BB26" s="294"/>
      <c r="BC26" s="294"/>
      <c r="BD26" s="294"/>
      <c r="BE26" s="294"/>
      <c r="BF26" s="294"/>
      <c r="BG26" s="294"/>
      <c r="BH26" s="294"/>
    </row>
    <row r="27" spans="1:60" s="287" customFormat="1" ht="15" customHeight="1" thickBot="1">
      <c r="A27" s="328"/>
      <c r="B27" s="426"/>
      <c r="C27" s="346" t="s">
        <v>145</v>
      </c>
      <c r="D27" s="351">
        <v>0</v>
      </c>
      <c r="E27" s="347">
        <v>0</v>
      </c>
      <c r="F27" s="347">
        <v>0</v>
      </c>
      <c r="G27" s="347">
        <v>0</v>
      </c>
      <c r="H27" s="347">
        <v>0</v>
      </c>
      <c r="I27" s="347">
        <v>0</v>
      </c>
      <c r="J27" s="347">
        <v>0</v>
      </c>
      <c r="K27" s="347">
        <v>0</v>
      </c>
      <c r="L27" s="347">
        <v>0</v>
      </c>
      <c r="M27" s="347">
        <v>0</v>
      </c>
      <c r="N27" s="347">
        <v>0</v>
      </c>
      <c r="O27" s="347">
        <v>0</v>
      </c>
      <c r="P27" s="347">
        <v>0</v>
      </c>
      <c r="Q27" s="347">
        <v>0</v>
      </c>
      <c r="R27" s="347">
        <v>0</v>
      </c>
      <c r="S27" s="347">
        <v>0</v>
      </c>
      <c r="T27" s="347">
        <v>0</v>
      </c>
      <c r="U27" s="347">
        <v>0</v>
      </c>
      <c r="V27" s="348">
        <v>0</v>
      </c>
      <c r="W27" s="294"/>
      <c r="X27" s="294"/>
      <c r="Y27" s="294"/>
      <c r="Z27" s="294"/>
      <c r="AA27" s="294"/>
      <c r="AB27" s="294"/>
      <c r="AC27" s="294"/>
      <c r="AD27" s="294"/>
      <c r="AE27" s="294"/>
      <c r="AF27" s="294"/>
      <c r="AG27" s="294"/>
      <c r="AH27" s="294"/>
      <c r="AI27" s="294"/>
      <c r="AJ27" s="294"/>
      <c r="AK27" s="294"/>
      <c r="AL27" s="294"/>
      <c r="AM27" s="294"/>
      <c r="AN27" s="294"/>
      <c r="AO27" s="294"/>
      <c r="AP27" s="294"/>
      <c r="AQ27" s="294"/>
      <c r="AR27" s="294"/>
      <c r="AS27" s="294"/>
      <c r="AT27" s="294"/>
      <c r="AU27" s="294"/>
      <c r="AV27" s="294"/>
      <c r="AW27" s="294"/>
      <c r="AX27" s="294"/>
      <c r="AY27" s="294"/>
      <c r="AZ27" s="294"/>
      <c r="BA27" s="294"/>
      <c r="BB27" s="294"/>
      <c r="BC27" s="294"/>
      <c r="BD27" s="294"/>
      <c r="BE27" s="294"/>
      <c r="BF27" s="294"/>
      <c r="BG27" s="294"/>
      <c r="BH27" s="294"/>
    </row>
    <row r="28" spans="1:60" s="287" customFormat="1" ht="15" customHeight="1">
      <c r="A28" s="328"/>
      <c r="B28" s="295"/>
      <c r="C28" s="339"/>
      <c r="D28" s="331"/>
      <c r="E28" s="331"/>
      <c r="F28" s="331"/>
      <c r="G28" s="331"/>
      <c r="H28" s="331"/>
      <c r="I28" s="331"/>
      <c r="J28" s="331"/>
      <c r="K28" s="331"/>
      <c r="L28" s="331"/>
      <c r="M28" s="331"/>
      <c r="N28" s="331"/>
      <c r="O28" s="331"/>
      <c r="P28" s="331"/>
      <c r="Q28" s="331"/>
      <c r="R28" s="331"/>
      <c r="S28" s="331"/>
      <c r="T28" s="331"/>
      <c r="U28" s="331"/>
      <c r="V28" s="331"/>
      <c r="W28" s="294"/>
      <c r="X28" s="294"/>
      <c r="Y28" s="294"/>
      <c r="Z28" s="294"/>
      <c r="AA28" s="294"/>
      <c r="AB28" s="336"/>
      <c r="AC28" s="336"/>
      <c r="AD28" s="294"/>
      <c r="AE28" s="294"/>
      <c r="AF28" s="294"/>
      <c r="AG28" s="294"/>
      <c r="AH28" s="294"/>
      <c r="AI28" s="294"/>
      <c r="AJ28" s="294"/>
      <c r="AK28" s="294"/>
      <c r="AL28" s="294"/>
      <c r="AM28" s="294"/>
      <c r="AN28" s="294"/>
      <c r="AO28" s="294"/>
      <c r="AP28" s="294"/>
      <c r="AQ28" s="294"/>
      <c r="AR28" s="294"/>
      <c r="AS28" s="294"/>
      <c r="AT28" s="294"/>
      <c r="AU28" s="294"/>
      <c r="AV28" s="294"/>
      <c r="AW28" s="294"/>
      <c r="AX28" s="294"/>
      <c r="AY28" s="294"/>
      <c r="AZ28" s="294"/>
      <c r="BA28" s="294"/>
      <c r="BB28" s="294"/>
      <c r="BC28" s="294"/>
      <c r="BD28" s="294"/>
      <c r="BE28" s="294"/>
      <c r="BF28" s="294"/>
      <c r="BG28" s="294"/>
      <c r="BH28" s="294"/>
    </row>
    <row r="29" spans="1:60" s="287" customFormat="1" ht="15" customHeight="1" thickBot="1">
      <c r="A29" s="328"/>
      <c r="B29" s="330" t="s">
        <v>289</v>
      </c>
      <c r="C29" s="328"/>
      <c r="D29" s="340">
        <v>2014</v>
      </c>
      <c r="E29" s="340">
        <v>2016</v>
      </c>
      <c r="F29" s="340">
        <v>2018</v>
      </c>
      <c r="G29" s="340">
        <v>2020</v>
      </c>
      <c r="H29" s="340">
        <v>2022</v>
      </c>
      <c r="I29" s="340">
        <v>2024</v>
      </c>
      <c r="J29" s="340">
        <v>2026</v>
      </c>
      <c r="K29" s="340">
        <v>2028</v>
      </c>
      <c r="L29" s="340">
        <v>2030</v>
      </c>
      <c r="M29" s="340">
        <v>2032</v>
      </c>
      <c r="N29" s="340">
        <v>2034</v>
      </c>
      <c r="O29" s="340">
        <v>2036</v>
      </c>
      <c r="P29" s="340">
        <v>2038</v>
      </c>
      <c r="Q29" s="340">
        <v>2040</v>
      </c>
      <c r="R29" s="340">
        <v>2042</v>
      </c>
      <c r="S29" s="340">
        <v>2044</v>
      </c>
      <c r="T29" s="340">
        <v>2046</v>
      </c>
      <c r="U29" s="340">
        <v>2048</v>
      </c>
      <c r="V29" s="341">
        <v>2050</v>
      </c>
      <c r="W29" s="294"/>
      <c r="X29" s="294"/>
      <c r="Y29" s="294"/>
      <c r="Z29" s="294"/>
      <c r="AA29" s="294"/>
      <c r="AB29" s="294"/>
      <c r="AC29" s="294"/>
      <c r="AD29" s="294"/>
      <c r="AE29" s="294"/>
      <c r="AF29" s="294"/>
      <c r="AG29" s="294"/>
      <c r="AH29" s="294"/>
      <c r="AI29" s="294"/>
      <c r="AJ29" s="294"/>
      <c r="AK29" s="294"/>
      <c r="AL29" s="294"/>
      <c r="AM29" s="294"/>
      <c r="AN29" s="294"/>
      <c r="AO29" s="294"/>
      <c r="AP29" s="294"/>
      <c r="AQ29" s="294"/>
      <c r="AR29" s="294"/>
      <c r="AS29" s="294"/>
      <c r="AT29" s="294"/>
      <c r="AU29" s="294"/>
      <c r="AV29" s="294"/>
      <c r="AW29" s="294"/>
      <c r="AX29" s="294"/>
      <c r="AY29" s="294"/>
      <c r="AZ29" s="294"/>
      <c r="BA29" s="294"/>
      <c r="BB29" s="294"/>
      <c r="BC29" s="294"/>
      <c r="BD29" s="294"/>
      <c r="BE29" s="294"/>
      <c r="BF29" s="294"/>
      <c r="BG29" s="294"/>
      <c r="BH29" s="294"/>
    </row>
    <row r="30" spans="1:60" s="287" customFormat="1" ht="14">
      <c r="A30" s="328"/>
      <c r="B30" s="424" t="s">
        <v>58</v>
      </c>
      <c r="C30" s="342" t="s">
        <v>274</v>
      </c>
      <c r="D30" s="377">
        <v>3979.6</v>
      </c>
      <c r="E30" s="378">
        <v>3795.8</v>
      </c>
      <c r="F30" s="378">
        <v>3633.4</v>
      </c>
      <c r="G30" s="378">
        <v>3471</v>
      </c>
      <c r="H30" s="378">
        <v>3380.2</v>
      </c>
      <c r="I30" s="378">
        <v>3289.4</v>
      </c>
      <c r="J30" s="378">
        <v>3219.6</v>
      </c>
      <c r="K30" s="378">
        <v>3170.8</v>
      </c>
      <c r="L30" s="378">
        <v>3122</v>
      </c>
      <c r="M30" s="378">
        <v>3086.4</v>
      </c>
      <c r="N30" s="378">
        <v>3050.8</v>
      </c>
      <c r="O30" s="378">
        <v>3017</v>
      </c>
      <c r="P30" s="378">
        <v>2985</v>
      </c>
      <c r="Q30" s="378">
        <v>2953</v>
      </c>
      <c r="R30" s="378">
        <v>2923.8</v>
      </c>
      <c r="S30" s="378">
        <v>2894.6</v>
      </c>
      <c r="T30" s="378">
        <v>2866.6</v>
      </c>
      <c r="U30" s="378">
        <v>2839.8</v>
      </c>
      <c r="V30" s="379">
        <v>2813</v>
      </c>
      <c r="W30" s="294"/>
      <c r="X30" s="294"/>
      <c r="Y30" s="294"/>
      <c r="Z30" s="294"/>
      <c r="AA30" s="294"/>
      <c r="AB30" s="294"/>
      <c r="AC30" s="294"/>
      <c r="AD30" s="294"/>
      <c r="AE30" s="294"/>
      <c r="AF30" s="294"/>
      <c r="AG30" s="294"/>
      <c r="AH30" s="294"/>
      <c r="AI30" s="294"/>
      <c r="AJ30" s="294"/>
      <c r="AK30" s="294"/>
      <c r="AL30" s="294"/>
      <c r="AM30" s="294"/>
      <c r="AN30" s="294"/>
      <c r="AO30" s="294"/>
      <c r="AP30" s="294"/>
      <c r="AQ30" s="294"/>
      <c r="AR30" s="294"/>
      <c r="AS30" s="294"/>
      <c r="AT30" s="294"/>
      <c r="AU30" s="294"/>
      <c r="AV30" s="294"/>
      <c r="AW30" s="294"/>
      <c r="AX30" s="294"/>
      <c r="AY30" s="294"/>
      <c r="AZ30" s="294"/>
      <c r="BA30" s="294"/>
      <c r="BB30" s="294"/>
      <c r="BC30" s="294"/>
      <c r="BD30" s="294"/>
      <c r="BE30" s="294"/>
      <c r="BF30" s="294"/>
      <c r="BG30" s="294"/>
      <c r="BH30" s="294"/>
    </row>
    <row r="31" spans="1:60" s="287" customFormat="1" ht="15" customHeight="1">
      <c r="A31" s="328"/>
      <c r="B31" s="425"/>
      <c r="C31" s="333" t="s">
        <v>275</v>
      </c>
      <c r="D31" s="380">
        <v>180</v>
      </c>
      <c r="E31" s="334">
        <v>170</v>
      </c>
      <c r="F31" s="334">
        <v>160</v>
      </c>
      <c r="G31" s="334">
        <v>165</v>
      </c>
      <c r="H31" s="334">
        <v>150</v>
      </c>
      <c r="I31" s="334">
        <v>140</v>
      </c>
      <c r="J31" s="334">
        <v>130</v>
      </c>
      <c r="K31" s="334">
        <v>130</v>
      </c>
      <c r="L31" s="334">
        <v>130</v>
      </c>
      <c r="M31" s="334">
        <v>130</v>
      </c>
      <c r="N31" s="334">
        <v>130</v>
      </c>
      <c r="O31" s="334">
        <v>130</v>
      </c>
      <c r="P31" s="334">
        <v>130</v>
      </c>
      <c r="Q31" s="335">
        <v>120</v>
      </c>
      <c r="R31" s="335">
        <v>120</v>
      </c>
      <c r="S31" s="335">
        <v>120</v>
      </c>
      <c r="T31" s="335">
        <v>120</v>
      </c>
      <c r="U31" s="335">
        <v>120</v>
      </c>
      <c r="V31" s="381">
        <v>120</v>
      </c>
      <c r="W31" s="294"/>
      <c r="X31" s="294"/>
      <c r="Y31" s="294"/>
      <c r="Z31" s="294"/>
      <c r="AA31" s="294"/>
      <c r="AB31" s="294"/>
      <c r="AC31" s="294"/>
      <c r="AD31" s="294"/>
      <c r="AE31" s="294"/>
      <c r="AF31" s="294"/>
      <c r="AG31" s="294"/>
      <c r="AH31" s="294"/>
      <c r="AI31" s="294"/>
      <c r="AJ31" s="294"/>
      <c r="AK31" s="294"/>
      <c r="AL31" s="294"/>
      <c r="AM31" s="294"/>
      <c r="AN31" s="294"/>
      <c r="AO31" s="294"/>
      <c r="AP31" s="294"/>
      <c r="AQ31" s="294"/>
      <c r="AR31" s="294"/>
      <c r="AS31" s="294"/>
      <c r="AT31" s="294"/>
      <c r="AU31" s="294"/>
      <c r="AV31" s="294"/>
      <c r="AW31" s="294"/>
      <c r="AX31" s="294"/>
      <c r="AY31" s="294"/>
      <c r="AZ31" s="294"/>
      <c r="BA31" s="294"/>
      <c r="BB31" s="294"/>
      <c r="BC31" s="294"/>
      <c r="BD31" s="294"/>
      <c r="BE31" s="294"/>
      <c r="BF31" s="294"/>
      <c r="BG31" s="294"/>
      <c r="BH31" s="294"/>
    </row>
    <row r="32" spans="1:60" s="287" customFormat="1" ht="15" customHeight="1">
      <c r="A32" s="328"/>
      <c r="B32" s="425"/>
      <c r="C32" s="217" t="s">
        <v>109</v>
      </c>
      <c r="D32" s="382">
        <v>0</v>
      </c>
      <c r="E32" s="327">
        <v>0</v>
      </c>
      <c r="F32" s="327">
        <v>0</v>
      </c>
      <c r="G32" s="327">
        <v>0</v>
      </c>
      <c r="H32" s="327">
        <v>0</v>
      </c>
      <c r="I32" s="327">
        <v>0</v>
      </c>
      <c r="J32" s="327">
        <v>0</v>
      </c>
      <c r="K32" s="327">
        <v>0</v>
      </c>
      <c r="L32" s="327">
        <v>0</v>
      </c>
      <c r="M32" s="327">
        <v>0</v>
      </c>
      <c r="N32" s="327">
        <v>0</v>
      </c>
      <c r="O32" s="327">
        <v>0</v>
      </c>
      <c r="P32" s="327">
        <v>0</v>
      </c>
      <c r="Q32" s="327">
        <v>0</v>
      </c>
      <c r="R32" s="327">
        <v>0</v>
      </c>
      <c r="S32" s="327">
        <v>0</v>
      </c>
      <c r="T32" s="327">
        <v>0</v>
      </c>
      <c r="U32" s="327">
        <v>0</v>
      </c>
      <c r="V32" s="383">
        <v>0</v>
      </c>
      <c r="W32" s="294"/>
      <c r="X32" s="294"/>
      <c r="Y32" s="294"/>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4"/>
      <c r="BE32" s="294"/>
      <c r="BF32" s="294"/>
      <c r="BG32" s="294"/>
      <c r="BH32" s="294"/>
    </row>
    <row r="33" spans="1:60" s="287" customFormat="1" ht="15" customHeight="1" thickBot="1">
      <c r="A33" s="328"/>
      <c r="B33" s="426"/>
      <c r="C33" s="346" t="s">
        <v>145</v>
      </c>
      <c r="D33" s="384">
        <v>0</v>
      </c>
      <c r="E33" s="385">
        <v>0</v>
      </c>
      <c r="F33" s="385">
        <v>0</v>
      </c>
      <c r="G33" s="385">
        <v>0</v>
      </c>
      <c r="H33" s="385">
        <v>0</v>
      </c>
      <c r="I33" s="385">
        <v>0</v>
      </c>
      <c r="J33" s="385">
        <v>0</v>
      </c>
      <c r="K33" s="385">
        <v>0</v>
      </c>
      <c r="L33" s="385">
        <v>0</v>
      </c>
      <c r="M33" s="385">
        <v>0</v>
      </c>
      <c r="N33" s="385">
        <v>0</v>
      </c>
      <c r="O33" s="385">
        <v>0</v>
      </c>
      <c r="P33" s="385">
        <v>0</v>
      </c>
      <c r="Q33" s="385">
        <v>0</v>
      </c>
      <c r="R33" s="385">
        <v>0</v>
      </c>
      <c r="S33" s="385">
        <v>0</v>
      </c>
      <c r="T33" s="385">
        <v>0</v>
      </c>
      <c r="U33" s="385">
        <v>0</v>
      </c>
      <c r="V33" s="386">
        <v>0</v>
      </c>
      <c r="W33" s="294"/>
      <c r="X33" s="294"/>
      <c r="Y33" s="294"/>
      <c r="Z33" s="294"/>
      <c r="AA33" s="294"/>
      <c r="AB33" s="294"/>
      <c r="AC33" s="294"/>
      <c r="AD33" s="294"/>
      <c r="AE33" s="294"/>
      <c r="AF33" s="294"/>
      <c r="AG33" s="294"/>
      <c r="AH33" s="294"/>
      <c r="AI33" s="294"/>
      <c r="AJ33" s="294"/>
      <c r="AK33" s="294"/>
      <c r="AL33" s="294"/>
      <c r="AM33" s="294"/>
      <c r="AN33" s="294"/>
      <c r="AO33" s="294"/>
      <c r="AP33" s="294"/>
      <c r="AQ33" s="294"/>
      <c r="AR33" s="294"/>
      <c r="AS33" s="294"/>
      <c r="AT33" s="294"/>
      <c r="AU33" s="294"/>
      <c r="AV33" s="294"/>
      <c r="AW33" s="294"/>
      <c r="AX33" s="294"/>
      <c r="AY33" s="294"/>
      <c r="AZ33" s="294"/>
      <c r="BA33" s="294"/>
      <c r="BB33" s="294"/>
      <c r="BC33" s="294"/>
      <c r="BD33" s="294"/>
      <c r="BE33" s="294"/>
      <c r="BF33" s="294"/>
      <c r="BG33" s="294"/>
      <c r="BH33" s="294"/>
    </row>
    <row r="34" spans="1:60" ht="14">
      <c r="A34" s="328"/>
      <c r="B34" s="295"/>
      <c r="C34" s="339"/>
      <c r="D34" s="331"/>
      <c r="E34" s="331"/>
      <c r="F34" s="331"/>
      <c r="G34" s="331"/>
      <c r="H34" s="331"/>
      <c r="I34" s="331"/>
      <c r="J34" s="331"/>
      <c r="K34" s="331"/>
      <c r="L34" s="331"/>
      <c r="M34" s="331"/>
      <c r="N34" s="331"/>
      <c r="O34" s="331"/>
      <c r="P34" s="331"/>
      <c r="Q34" s="331"/>
      <c r="R34" s="331"/>
      <c r="S34" s="331"/>
      <c r="T34" s="331"/>
      <c r="U34" s="331"/>
      <c r="V34" s="331"/>
      <c r="W34" s="294"/>
      <c r="X34" s="294"/>
      <c r="Y34" s="294"/>
      <c r="Z34" s="294"/>
      <c r="AA34" s="294"/>
      <c r="AB34" s="294"/>
      <c r="AC34" s="294"/>
    </row>
    <row r="35" spans="1:60" s="287" customFormat="1" ht="21">
      <c r="A35" s="328"/>
      <c r="B35" s="328"/>
      <c r="C35" s="328"/>
      <c r="D35" s="297" t="s">
        <v>288</v>
      </c>
      <c r="E35" s="299"/>
      <c r="F35" s="294"/>
      <c r="G35" s="294"/>
      <c r="H35" s="294"/>
      <c r="I35" s="294"/>
      <c r="J35" s="294"/>
      <c r="K35" s="294"/>
      <c r="L35" s="294"/>
      <c r="M35" s="294"/>
      <c r="N35" s="294"/>
      <c r="O35" s="294"/>
      <c r="P35" s="294"/>
      <c r="Q35" s="294"/>
      <c r="R35" s="294"/>
      <c r="S35" s="294"/>
      <c r="T35" s="294"/>
      <c r="U35" s="294"/>
      <c r="V35" s="294"/>
      <c r="W35" s="294"/>
      <c r="X35" s="294"/>
      <c r="Y35" s="294"/>
      <c r="Z35" s="294"/>
      <c r="AA35" s="294"/>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row>
    <row r="36" spans="1:60" s="287" customFormat="1" ht="13" thickBot="1">
      <c r="A36" s="328"/>
      <c r="B36" s="330" t="s">
        <v>272</v>
      </c>
      <c r="C36" s="328"/>
      <c r="D36" s="340">
        <v>2014</v>
      </c>
      <c r="E36" s="340">
        <v>2016</v>
      </c>
      <c r="F36" s="340">
        <v>2018</v>
      </c>
      <c r="G36" s="340">
        <v>2020</v>
      </c>
      <c r="H36" s="340">
        <v>2022</v>
      </c>
      <c r="I36" s="340">
        <v>2024</v>
      </c>
      <c r="J36" s="340">
        <v>2026</v>
      </c>
      <c r="K36" s="340">
        <v>2028</v>
      </c>
      <c r="L36" s="340">
        <v>2030</v>
      </c>
      <c r="M36" s="340">
        <v>2032</v>
      </c>
      <c r="N36" s="340">
        <v>2034</v>
      </c>
      <c r="O36" s="340">
        <v>2036</v>
      </c>
      <c r="P36" s="340">
        <v>2038</v>
      </c>
      <c r="Q36" s="340">
        <v>2040</v>
      </c>
      <c r="R36" s="340">
        <v>2042</v>
      </c>
      <c r="S36" s="340">
        <v>2044</v>
      </c>
      <c r="T36" s="340">
        <v>2046</v>
      </c>
      <c r="U36" s="340">
        <v>2048</v>
      </c>
      <c r="V36" s="341">
        <v>2050</v>
      </c>
      <c r="W36" s="294"/>
      <c r="X36" s="294"/>
      <c r="Y36" s="294"/>
      <c r="Z36" s="294"/>
      <c r="AA36" s="294"/>
      <c r="AB36" s="294"/>
      <c r="AC36" s="294"/>
      <c r="AD36" s="294"/>
      <c r="AE36" s="294"/>
      <c r="AF36" s="294"/>
      <c r="AG36" s="294"/>
      <c r="AH36" s="294"/>
      <c r="AI36" s="294"/>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row>
    <row r="37" spans="1:60" s="287" customFormat="1" ht="15" customHeight="1">
      <c r="A37" s="328"/>
      <c r="B37" s="424" t="s">
        <v>273</v>
      </c>
      <c r="C37" s="342" t="s">
        <v>274</v>
      </c>
      <c r="D37" s="337">
        <v>2649.861572265625</v>
      </c>
      <c r="E37" s="337">
        <v>2212.035888671875</v>
      </c>
      <c r="F37" s="337">
        <v>2075.208984375</v>
      </c>
      <c r="G37" s="337">
        <v>1938.3819580078125</v>
      </c>
      <c r="H37" s="337">
        <v>1860.8466796875</v>
      </c>
      <c r="I37" s="337">
        <v>1783.3114013671875</v>
      </c>
      <c r="J37" s="337">
        <v>1727.098388671875</v>
      </c>
      <c r="K37" s="337">
        <v>1692.20751953125</v>
      </c>
      <c r="L37" s="337">
        <v>1657.316650390625</v>
      </c>
      <c r="M37" s="337">
        <v>1649.030029296875</v>
      </c>
      <c r="N37" s="337">
        <v>1640.743408203125</v>
      </c>
      <c r="O37" s="337">
        <v>1632.4569091796875</v>
      </c>
      <c r="P37" s="337">
        <v>1624.1702880859375</v>
      </c>
      <c r="Q37" s="337">
        <v>1615.8836669921875</v>
      </c>
      <c r="R37" s="337">
        <v>1607.59716796875</v>
      </c>
      <c r="S37" s="337">
        <v>1599.310546875</v>
      </c>
      <c r="T37" s="337">
        <v>1591.02392578125</v>
      </c>
      <c r="U37" s="337">
        <v>1582.7373046875</v>
      </c>
      <c r="V37" s="338">
        <v>1574.4508056640625</v>
      </c>
      <c r="W37" s="294"/>
      <c r="X37" s="294"/>
      <c r="Y37" s="294"/>
      <c r="Z37" s="294"/>
      <c r="AA37" s="294"/>
      <c r="AB37" s="294"/>
      <c r="AC37" s="294"/>
      <c r="AD37" s="294"/>
      <c r="AE37" s="294"/>
      <c r="AF37" s="294"/>
      <c r="AG37" s="294"/>
      <c r="AH37" s="294"/>
      <c r="AI37" s="294"/>
      <c r="AJ37" s="294"/>
      <c r="AK37" s="294"/>
      <c r="AL37" s="294"/>
      <c r="AM37" s="294"/>
      <c r="AN37" s="294"/>
      <c r="AO37" s="294"/>
      <c r="AP37" s="294"/>
      <c r="AQ37" s="294"/>
      <c r="AR37" s="294"/>
      <c r="AS37" s="294"/>
      <c r="AT37" s="294"/>
      <c r="AU37" s="294"/>
      <c r="AV37" s="294"/>
      <c r="AW37" s="294"/>
      <c r="AX37" s="294"/>
      <c r="AY37" s="294"/>
      <c r="AZ37" s="294"/>
      <c r="BA37" s="294"/>
      <c r="BB37" s="294"/>
      <c r="BC37" s="294"/>
      <c r="BD37" s="294"/>
      <c r="BE37" s="294"/>
      <c r="BF37" s="294"/>
      <c r="BG37" s="294"/>
      <c r="BH37" s="294"/>
    </row>
    <row r="38" spans="1:60" s="287" customFormat="1" ht="15" customHeight="1">
      <c r="A38" s="328"/>
      <c r="B38" s="425"/>
      <c r="C38" s="333" t="s">
        <v>275</v>
      </c>
      <c r="D38" s="334">
        <v>180</v>
      </c>
      <c r="E38" s="334">
        <v>170</v>
      </c>
      <c r="F38" s="334">
        <v>160</v>
      </c>
      <c r="G38" s="334">
        <v>165</v>
      </c>
      <c r="H38" s="334">
        <v>150</v>
      </c>
      <c r="I38" s="334">
        <v>140</v>
      </c>
      <c r="J38" s="334">
        <v>130</v>
      </c>
      <c r="K38" s="334">
        <v>130</v>
      </c>
      <c r="L38" s="334">
        <v>130</v>
      </c>
      <c r="M38" s="334">
        <v>130</v>
      </c>
      <c r="N38" s="334">
        <v>130</v>
      </c>
      <c r="O38" s="334">
        <v>130</v>
      </c>
      <c r="P38" s="334">
        <v>130</v>
      </c>
      <c r="Q38" s="335">
        <v>120</v>
      </c>
      <c r="R38" s="335">
        <v>120</v>
      </c>
      <c r="S38" s="335">
        <v>120</v>
      </c>
      <c r="T38" s="335">
        <v>120</v>
      </c>
      <c r="U38" s="335">
        <v>120</v>
      </c>
      <c r="V38" s="335">
        <v>120</v>
      </c>
      <c r="W38" s="294"/>
      <c r="X38" s="294"/>
      <c r="Y38" s="294"/>
      <c r="Z38" s="294"/>
      <c r="AA38" s="294"/>
      <c r="AB38" s="294"/>
      <c r="AC38" s="294"/>
      <c r="AD38" s="294"/>
      <c r="AE38" s="294"/>
      <c r="AF38" s="294"/>
      <c r="AG38" s="294"/>
      <c r="AH38" s="294"/>
      <c r="AI38" s="294"/>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row>
    <row r="39" spans="1:60" s="287" customFormat="1" ht="15" customHeight="1">
      <c r="A39" s="328"/>
      <c r="B39" s="425"/>
      <c r="C39" s="217" t="s">
        <v>109</v>
      </c>
      <c r="D39" s="352">
        <v>0</v>
      </c>
      <c r="E39" s="327">
        <v>0</v>
      </c>
      <c r="F39" s="327">
        <v>0</v>
      </c>
      <c r="G39" s="327">
        <v>0</v>
      </c>
      <c r="H39" s="327">
        <v>0</v>
      </c>
      <c r="I39" s="327">
        <v>0</v>
      </c>
      <c r="J39" s="327">
        <v>0</v>
      </c>
      <c r="K39" s="327">
        <v>0</v>
      </c>
      <c r="L39" s="327">
        <v>0</v>
      </c>
      <c r="M39" s="327">
        <v>0</v>
      </c>
      <c r="N39" s="327">
        <v>0</v>
      </c>
      <c r="O39" s="327">
        <v>0</v>
      </c>
      <c r="P39" s="327">
        <v>0</v>
      </c>
      <c r="Q39" s="327">
        <v>0</v>
      </c>
      <c r="R39" s="327">
        <v>0</v>
      </c>
      <c r="S39" s="327">
        <v>0</v>
      </c>
      <c r="T39" s="327">
        <v>0</v>
      </c>
      <c r="U39" s="327">
        <v>0</v>
      </c>
      <c r="V39" s="353">
        <v>0</v>
      </c>
      <c r="W39" s="294"/>
      <c r="X39" s="294"/>
      <c r="Y39" s="294"/>
      <c r="Z39" s="294"/>
      <c r="AA39" s="294"/>
      <c r="AB39" s="294"/>
      <c r="AC39" s="294"/>
      <c r="AD39" s="294"/>
      <c r="AE39" s="294"/>
      <c r="AF39" s="294"/>
      <c r="AG39" s="294"/>
      <c r="AH39" s="294"/>
      <c r="AI39" s="294"/>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row>
    <row r="40" spans="1:60" s="287" customFormat="1" ht="15" customHeight="1" thickBot="1">
      <c r="A40" s="328"/>
      <c r="B40" s="426"/>
      <c r="C40" s="346" t="s">
        <v>145</v>
      </c>
      <c r="D40" s="351">
        <v>0</v>
      </c>
      <c r="E40" s="347">
        <v>0</v>
      </c>
      <c r="F40" s="347">
        <v>0</v>
      </c>
      <c r="G40" s="347">
        <v>0</v>
      </c>
      <c r="H40" s="347">
        <v>0</v>
      </c>
      <c r="I40" s="347">
        <v>0</v>
      </c>
      <c r="J40" s="347">
        <v>0</v>
      </c>
      <c r="K40" s="347">
        <v>0</v>
      </c>
      <c r="L40" s="347">
        <v>0</v>
      </c>
      <c r="M40" s="347">
        <v>0</v>
      </c>
      <c r="N40" s="347">
        <v>0</v>
      </c>
      <c r="O40" s="347">
        <v>0</v>
      </c>
      <c r="P40" s="347">
        <v>0</v>
      </c>
      <c r="Q40" s="347">
        <v>0</v>
      </c>
      <c r="R40" s="347">
        <v>0</v>
      </c>
      <c r="S40" s="347">
        <v>0</v>
      </c>
      <c r="T40" s="347">
        <v>0</v>
      </c>
      <c r="U40" s="347">
        <v>0</v>
      </c>
      <c r="V40" s="348">
        <v>0</v>
      </c>
      <c r="W40" s="294"/>
      <c r="X40" s="294"/>
      <c r="Y40" s="294"/>
      <c r="Z40" s="294"/>
      <c r="AA40" s="294"/>
      <c r="AB40" s="294"/>
      <c r="AC40" s="294"/>
      <c r="AD40" s="294"/>
      <c r="AE40" s="294"/>
      <c r="AF40" s="294"/>
      <c r="AG40" s="294"/>
      <c r="AH40" s="294"/>
      <c r="AI40" s="294"/>
      <c r="AJ40" s="294"/>
      <c r="AK40" s="294"/>
      <c r="AL40" s="294"/>
      <c r="AM40" s="294"/>
      <c r="AN40" s="294"/>
      <c r="AO40" s="294"/>
      <c r="AP40" s="294"/>
      <c r="AQ40" s="294"/>
      <c r="AR40" s="294"/>
      <c r="AS40" s="294"/>
      <c r="AT40" s="294"/>
      <c r="AU40" s="294"/>
      <c r="AV40" s="294"/>
      <c r="AW40" s="294"/>
      <c r="AX40" s="294"/>
      <c r="AY40" s="294"/>
      <c r="AZ40" s="294"/>
      <c r="BA40" s="294"/>
      <c r="BB40" s="294"/>
      <c r="BC40" s="294"/>
      <c r="BD40" s="294"/>
      <c r="BE40" s="294"/>
      <c r="BF40" s="294"/>
      <c r="BG40" s="294"/>
      <c r="BH40" s="294"/>
    </row>
    <row r="41" spans="1:60" s="287" customFormat="1" ht="15" customHeight="1">
      <c r="A41" s="328"/>
      <c r="B41" s="295"/>
      <c r="C41" s="339"/>
      <c r="D41" s="331"/>
      <c r="E41" s="331"/>
      <c r="F41" s="331"/>
      <c r="G41" s="331"/>
      <c r="H41" s="331"/>
      <c r="I41" s="331"/>
      <c r="J41" s="331"/>
      <c r="K41" s="331"/>
      <c r="L41" s="331"/>
      <c r="M41" s="331"/>
      <c r="N41" s="331"/>
      <c r="O41" s="331"/>
      <c r="P41" s="331"/>
      <c r="Q41" s="331"/>
      <c r="R41" s="331"/>
      <c r="S41" s="331"/>
      <c r="T41" s="331"/>
      <c r="U41" s="331"/>
      <c r="V41" s="331"/>
      <c r="W41" s="294"/>
      <c r="X41" s="294"/>
      <c r="Y41" s="294"/>
      <c r="Z41" s="294"/>
      <c r="AA41" s="294"/>
      <c r="AB41" s="336"/>
      <c r="AC41" s="336"/>
      <c r="AD41" s="294"/>
      <c r="AE41" s="294"/>
      <c r="AF41" s="294"/>
      <c r="AG41" s="294"/>
      <c r="AH41" s="294"/>
      <c r="AI41" s="294"/>
      <c r="AJ41" s="294"/>
      <c r="AK41" s="294"/>
      <c r="AL41" s="294"/>
      <c r="AM41" s="294"/>
      <c r="AN41" s="294"/>
      <c r="AO41" s="294"/>
      <c r="AP41" s="294"/>
      <c r="AQ41" s="294"/>
      <c r="AR41" s="294"/>
      <c r="AS41" s="294"/>
      <c r="AT41" s="294"/>
      <c r="AU41" s="294"/>
      <c r="AV41" s="294"/>
      <c r="AW41" s="294"/>
      <c r="AX41" s="294"/>
      <c r="AY41" s="294"/>
      <c r="AZ41" s="294"/>
      <c r="BA41" s="294"/>
      <c r="BB41" s="294"/>
      <c r="BC41" s="294"/>
      <c r="BD41" s="294"/>
      <c r="BE41" s="294"/>
      <c r="BF41" s="294"/>
      <c r="BG41" s="294"/>
      <c r="BH41" s="294"/>
    </row>
    <row r="42" spans="1:60" s="287" customFormat="1" ht="15" customHeight="1" thickBot="1">
      <c r="A42" s="328"/>
      <c r="B42" s="330" t="s">
        <v>289</v>
      </c>
      <c r="C42" s="328"/>
      <c r="D42" s="340">
        <v>2014</v>
      </c>
      <c r="E42" s="340">
        <v>2016</v>
      </c>
      <c r="F42" s="340">
        <v>2018</v>
      </c>
      <c r="G42" s="340">
        <v>2020</v>
      </c>
      <c r="H42" s="340">
        <v>2022</v>
      </c>
      <c r="I42" s="340">
        <v>2024</v>
      </c>
      <c r="J42" s="340">
        <v>2026</v>
      </c>
      <c r="K42" s="340">
        <v>2028</v>
      </c>
      <c r="L42" s="340">
        <v>2030</v>
      </c>
      <c r="M42" s="340">
        <v>2032</v>
      </c>
      <c r="N42" s="340">
        <v>2034</v>
      </c>
      <c r="O42" s="340">
        <v>2036</v>
      </c>
      <c r="P42" s="340">
        <v>2038</v>
      </c>
      <c r="Q42" s="340">
        <v>2040</v>
      </c>
      <c r="R42" s="340">
        <v>2042</v>
      </c>
      <c r="S42" s="340">
        <v>2044</v>
      </c>
      <c r="T42" s="340">
        <v>2046</v>
      </c>
      <c r="U42" s="340">
        <v>2048</v>
      </c>
      <c r="V42" s="341">
        <v>2050</v>
      </c>
      <c r="W42" s="294"/>
      <c r="X42" s="294"/>
      <c r="Y42" s="294"/>
      <c r="Z42" s="294"/>
      <c r="AA42" s="294"/>
      <c r="AB42" s="294"/>
      <c r="AC42" s="294"/>
      <c r="AD42" s="294"/>
      <c r="AE42" s="294"/>
      <c r="AF42" s="294"/>
      <c r="AG42" s="294"/>
      <c r="AH42" s="294"/>
      <c r="AI42" s="294"/>
      <c r="AJ42" s="294"/>
      <c r="AK42" s="294"/>
      <c r="AL42" s="294"/>
      <c r="AM42" s="294"/>
      <c r="AN42" s="294"/>
      <c r="AO42" s="294"/>
      <c r="AP42" s="294"/>
      <c r="AQ42" s="294"/>
      <c r="AR42" s="294"/>
      <c r="AS42" s="294"/>
      <c r="AT42" s="294"/>
      <c r="AU42" s="294"/>
      <c r="AV42" s="294"/>
      <c r="AW42" s="294"/>
      <c r="AX42" s="294"/>
      <c r="AY42" s="294"/>
      <c r="AZ42" s="294"/>
      <c r="BA42" s="294"/>
      <c r="BB42" s="294"/>
      <c r="BC42" s="294"/>
      <c r="BD42" s="294"/>
      <c r="BE42" s="294"/>
      <c r="BF42" s="294"/>
      <c r="BG42" s="294"/>
      <c r="BH42" s="294"/>
    </row>
    <row r="43" spans="1:60" s="287" customFormat="1" ht="14">
      <c r="A43" s="328"/>
      <c r="B43" s="424" t="s">
        <v>58</v>
      </c>
      <c r="C43" s="342" t="s">
        <v>274</v>
      </c>
      <c r="D43" s="377">
        <v>3979.6</v>
      </c>
      <c r="E43" s="378">
        <v>3795.8</v>
      </c>
      <c r="F43" s="378">
        <v>3633.4</v>
      </c>
      <c r="G43" s="378">
        <v>3471</v>
      </c>
      <c r="H43" s="378">
        <v>3380.2</v>
      </c>
      <c r="I43" s="378">
        <v>3289.4</v>
      </c>
      <c r="J43" s="378">
        <v>3219.6</v>
      </c>
      <c r="K43" s="378">
        <v>3170.8</v>
      </c>
      <c r="L43" s="378">
        <v>3122</v>
      </c>
      <c r="M43" s="378">
        <v>3086.4</v>
      </c>
      <c r="N43" s="378">
        <v>3050.8</v>
      </c>
      <c r="O43" s="378">
        <v>3017</v>
      </c>
      <c r="P43" s="378">
        <v>2985</v>
      </c>
      <c r="Q43" s="378">
        <v>2953</v>
      </c>
      <c r="R43" s="378">
        <v>2923.8</v>
      </c>
      <c r="S43" s="378">
        <v>2894.6</v>
      </c>
      <c r="T43" s="378">
        <v>2866.6</v>
      </c>
      <c r="U43" s="378">
        <v>2839.8</v>
      </c>
      <c r="V43" s="379">
        <v>2813</v>
      </c>
      <c r="W43" s="294"/>
      <c r="X43" s="294"/>
      <c r="Y43" s="294"/>
      <c r="Z43" s="294"/>
      <c r="AA43" s="294"/>
      <c r="AB43" s="294"/>
      <c r="AC43" s="294"/>
      <c r="AD43" s="294"/>
      <c r="AE43" s="294"/>
      <c r="AF43" s="294"/>
      <c r="AG43" s="294"/>
      <c r="AH43" s="294"/>
      <c r="AI43" s="294"/>
      <c r="AJ43" s="294"/>
      <c r="AK43" s="294"/>
      <c r="AL43" s="294"/>
      <c r="AM43" s="294"/>
      <c r="AN43" s="294"/>
      <c r="AO43" s="294"/>
      <c r="AP43" s="294"/>
      <c r="AQ43" s="294"/>
      <c r="AR43" s="294"/>
      <c r="AS43" s="294"/>
      <c r="AT43" s="294"/>
      <c r="AU43" s="294"/>
      <c r="AV43" s="294"/>
      <c r="AW43" s="294"/>
      <c r="AX43" s="294"/>
      <c r="AY43" s="294"/>
      <c r="AZ43" s="294"/>
      <c r="BA43" s="294"/>
      <c r="BB43" s="294"/>
      <c r="BC43" s="294"/>
      <c r="BD43" s="294"/>
      <c r="BE43" s="294"/>
      <c r="BF43" s="294"/>
      <c r="BG43" s="294"/>
      <c r="BH43" s="294"/>
    </row>
    <row r="44" spans="1:60" s="287" customFormat="1" ht="15" customHeight="1">
      <c r="A44" s="328"/>
      <c r="B44" s="425"/>
      <c r="C44" s="333" t="s">
        <v>275</v>
      </c>
      <c r="D44" s="380">
        <v>180</v>
      </c>
      <c r="E44" s="334">
        <v>170</v>
      </c>
      <c r="F44" s="334">
        <v>160</v>
      </c>
      <c r="G44" s="334">
        <v>165</v>
      </c>
      <c r="H44" s="334">
        <v>150</v>
      </c>
      <c r="I44" s="334">
        <v>140</v>
      </c>
      <c r="J44" s="334">
        <v>130</v>
      </c>
      <c r="K44" s="334">
        <v>130</v>
      </c>
      <c r="L44" s="334">
        <v>130</v>
      </c>
      <c r="M44" s="334">
        <v>130</v>
      </c>
      <c r="N44" s="334">
        <v>130</v>
      </c>
      <c r="O44" s="334">
        <v>130</v>
      </c>
      <c r="P44" s="334">
        <v>130</v>
      </c>
      <c r="Q44" s="335">
        <v>120</v>
      </c>
      <c r="R44" s="335">
        <v>120</v>
      </c>
      <c r="S44" s="335">
        <v>120</v>
      </c>
      <c r="T44" s="335">
        <v>120</v>
      </c>
      <c r="U44" s="335">
        <v>120</v>
      </c>
      <c r="V44" s="381">
        <v>120</v>
      </c>
      <c r="W44" s="294"/>
      <c r="X44" s="294"/>
      <c r="Y44" s="294"/>
      <c r="Z44" s="294"/>
      <c r="AA44" s="294"/>
      <c r="AB44" s="294"/>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D44" s="294"/>
      <c r="BE44" s="294"/>
      <c r="BF44" s="294"/>
      <c r="BG44" s="294"/>
      <c r="BH44" s="294"/>
    </row>
    <row r="45" spans="1:60" s="287" customFormat="1" ht="15" customHeight="1">
      <c r="A45" s="328"/>
      <c r="B45" s="425"/>
      <c r="C45" s="217" t="s">
        <v>109</v>
      </c>
      <c r="D45" s="382">
        <v>0</v>
      </c>
      <c r="E45" s="327">
        <v>0</v>
      </c>
      <c r="F45" s="327">
        <v>0</v>
      </c>
      <c r="G45" s="327">
        <v>0</v>
      </c>
      <c r="H45" s="327">
        <v>0</v>
      </c>
      <c r="I45" s="327">
        <v>0</v>
      </c>
      <c r="J45" s="327">
        <v>0</v>
      </c>
      <c r="K45" s="327">
        <v>0</v>
      </c>
      <c r="L45" s="327">
        <v>0</v>
      </c>
      <c r="M45" s="327">
        <v>0</v>
      </c>
      <c r="N45" s="327">
        <v>0</v>
      </c>
      <c r="O45" s="327">
        <v>0</v>
      </c>
      <c r="P45" s="327">
        <v>0</v>
      </c>
      <c r="Q45" s="327">
        <v>0</v>
      </c>
      <c r="R45" s="327">
        <v>0</v>
      </c>
      <c r="S45" s="327">
        <v>0</v>
      </c>
      <c r="T45" s="327">
        <v>0</v>
      </c>
      <c r="U45" s="327">
        <v>0</v>
      </c>
      <c r="V45" s="383">
        <v>0</v>
      </c>
      <c r="W45" s="294"/>
      <c r="X45" s="294"/>
      <c r="Y45" s="294"/>
      <c r="Z45" s="294"/>
      <c r="AA45" s="294"/>
      <c r="AB45" s="294"/>
      <c r="AC45" s="294"/>
      <c r="AD45" s="294"/>
      <c r="AE45" s="294"/>
      <c r="AF45" s="294"/>
      <c r="AG45" s="294"/>
      <c r="AH45" s="294"/>
      <c r="AI45" s="294"/>
      <c r="AJ45" s="294"/>
      <c r="AK45" s="294"/>
      <c r="AL45" s="294"/>
      <c r="AM45" s="294"/>
      <c r="AN45" s="294"/>
      <c r="AO45" s="294"/>
      <c r="AP45" s="294"/>
      <c r="AQ45" s="294"/>
      <c r="AR45" s="294"/>
      <c r="AS45" s="294"/>
      <c r="AT45" s="294"/>
      <c r="AU45" s="294"/>
      <c r="AV45" s="294"/>
      <c r="AW45" s="294"/>
      <c r="AX45" s="294"/>
      <c r="AY45" s="294"/>
      <c r="AZ45" s="294"/>
      <c r="BA45" s="294"/>
      <c r="BB45" s="294"/>
      <c r="BC45" s="294"/>
      <c r="BD45" s="294"/>
      <c r="BE45" s="294"/>
      <c r="BF45" s="294"/>
      <c r="BG45" s="294"/>
      <c r="BH45" s="294"/>
    </row>
    <row r="46" spans="1:60" s="287" customFormat="1" ht="15" customHeight="1" thickBot="1">
      <c r="A46" s="328"/>
      <c r="B46" s="426"/>
      <c r="C46" s="346" t="s">
        <v>145</v>
      </c>
      <c r="D46" s="384">
        <v>0</v>
      </c>
      <c r="E46" s="385">
        <v>0</v>
      </c>
      <c r="F46" s="385">
        <v>0</v>
      </c>
      <c r="G46" s="385">
        <v>0</v>
      </c>
      <c r="H46" s="385">
        <v>0</v>
      </c>
      <c r="I46" s="385">
        <v>0</v>
      </c>
      <c r="J46" s="385">
        <v>0</v>
      </c>
      <c r="K46" s="385">
        <v>0</v>
      </c>
      <c r="L46" s="385">
        <v>0</v>
      </c>
      <c r="M46" s="385">
        <v>0</v>
      </c>
      <c r="N46" s="385">
        <v>0</v>
      </c>
      <c r="O46" s="385">
        <v>0</v>
      </c>
      <c r="P46" s="385">
        <v>0</v>
      </c>
      <c r="Q46" s="385">
        <v>0</v>
      </c>
      <c r="R46" s="385">
        <v>0</v>
      </c>
      <c r="S46" s="385">
        <v>0</v>
      </c>
      <c r="T46" s="385">
        <v>0</v>
      </c>
      <c r="U46" s="385">
        <v>0</v>
      </c>
      <c r="V46" s="386">
        <v>0</v>
      </c>
      <c r="W46" s="294"/>
      <c r="X46" s="294"/>
      <c r="Y46" s="294"/>
      <c r="Z46" s="294"/>
      <c r="AA46" s="294"/>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c r="BA46" s="294"/>
      <c r="BB46" s="294"/>
      <c r="BC46" s="294"/>
      <c r="BD46" s="294"/>
      <c r="BE46" s="294"/>
      <c r="BF46" s="294"/>
      <c r="BG46" s="294"/>
      <c r="BH46" s="294"/>
    </row>
    <row r="47" spans="1:60" s="287" customFormat="1" ht="15" customHeight="1">
      <c r="A47" s="328"/>
      <c r="B47" s="328"/>
      <c r="C47" s="328"/>
      <c r="D47" s="297"/>
      <c r="E47" s="299"/>
      <c r="F47" s="294"/>
      <c r="G47" s="294"/>
      <c r="H47" s="294"/>
      <c r="I47" s="294"/>
      <c r="J47" s="294"/>
      <c r="K47" s="294"/>
      <c r="L47" s="294"/>
      <c r="M47" s="294"/>
      <c r="N47" s="294"/>
      <c r="O47" s="294"/>
      <c r="P47" s="294"/>
      <c r="Q47" s="294"/>
      <c r="R47" s="294"/>
      <c r="S47" s="294"/>
      <c r="T47" s="294"/>
      <c r="U47" s="294"/>
      <c r="V47" s="294"/>
      <c r="W47" s="294"/>
      <c r="X47" s="294"/>
      <c r="Y47" s="294"/>
      <c r="Z47" s="294"/>
      <c r="AA47" s="294"/>
      <c r="AB47" s="294"/>
      <c r="AC47" s="294"/>
      <c r="AD47" s="294"/>
      <c r="AE47" s="294"/>
      <c r="AF47" s="294"/>
      <c r="AG47" s="294"/>
      <c r="AH47" s="294"/>
      <c r="AI47" s="294"/>
      <c r="AJ47" s="294"/>
      <c r="AK47" s="294"/>
      <c r="AL47" s="294"/>
      <c r="AM47" s="294"/>
      <c r="AN47" s="294"/>
      <c r="AO47" s="294"/>
      <c r="AP47" s="294"/>
      <c r="AQ47" s="294"/>
      <c r="AR47" s="294"/>
      <c r="AS47" s="294"/>
      <c r="AT47" s="294"/>
      <c r="AU47" s="294"/>
      <c r="AV47" s="294"/>
      <c r="AW47" s="294"/>
      <c r="AX47" s="294"/>
      <c r="AY47" s="294"/>
      <c r="AZ47" s="294"/>
      <c r="BA47" s="294"/>
      <c r="BB47" s="294"/>
      <c r="BC47" s="294"/>
      <c r="BD47" s="294"/>
      <c r="BE47" s="294"/>
      <c r="BF47" s="294"/>
      <c r="BG47" s="294"/>
      <c r="BH47" s="294"/>
    </row>
    <row r="48" spans="1:60" ht="21">
      <c r="A48" s="294"/>
      <c r="B48" s="294"/>
      <c r="C48" s="297"/>
      <c r="D48" s="297" t="s">
        <v>278</v>
      </c>
      <c r="E48" s="294"/>
      <c r="F48" s="318"/>
      <c r="G48" s="300"/>
      <c r="H48" s="318"/>
      <c r="I48" s="318"/>
      <c r="J48" s="294"/>
      <c r="K48" s="294"/>
      <c r="L48" s="294"/>
      <c r="M48" s="294"/>
      <c r="N48" s="294"/>
      <c r="O48" s="294"/>
      <c r="P48" s="294"/>
      <c r="Q48" s="294"/>
      <c r="R48" s="294"/>
      <c r="S48" s="294"/>
      <c r="T48" s="294"/>
      <c r="U48" s="294"/>
      <c r="V48" s="294"/>
      <c r="W48" s="294"/>
      <c r="X48" s="294"/>
      <c r="Y48" s="294"/>
      <c r="Z48" s="294"/>
      <c r="AA48" s="294"/>
      <c r="AB48" s="294"/>
      <c r="AC48" s="294"/>
    </row>
    <row r="49" spans="1:29" ht="13" thickBot="1">
      <c r="A49" s="294"/>
      <c r="B49" s="294"/>
      <c r="C49" s="294"/>
      <c r="D49" s="413">
        <v>2014</v>
      </c>
      <c r="E49" s="413">
        <v>2016</v>
      </c>
      <c r="F49" s="413">
        <v>2018</v>
      </c>
      <c r="G49" s="413">
        <v>2020</v>
      </c>
      <c r="H49" s="413">
        <v>2022</v>
      </c>
      <c r="I49" s="413">
        <v>2024</v>
      </c>
      <c r="J49" s="413">
        <v>2026</v>
      </c>
      <c r="K49" s="413">
        <v>2028</v>
      </c>
      <c r="L49" s="413">
        <v>2030</v>
      </c>
      <c r="M49" s="413">
        <v>2032</v>
      </c>
      <c r="N49" s="413">
        <v>2034</v>
      </c>
      <c r="O49" s="413">
        <v>2036</v>
      </c>
      <c r="P49" s="413">
        <v>2038</v>
      </c>
      <c r="Q49" s="413">
        <v>2040</v>
      </c>
      <c r="R49" s="413">
        <v>2042</v>
      </c>
      <c r="S49" s="413">
        <v>2044</v>
      </c>
      <c r="T49" s="413">
        <v>2046</v>
      </c>
      <c r="U49" s="413">
        <v>2048</v>
      </c>
      <c r="V49" s="414">
        <v>2050</v>
      </c>
      <c r="W49" s="294"/>
      <c r="X49" s="294"/>
      <c r="Y49" s="294"/>
      <c r="Z49" s="294"/>
      <c r="AA49" s="294"/>
      <c r="AB49" s="294"/>
      <c r="AC49" s="294"/>
    </row>
    <row r="50" spans="1:29" ht="15">
      <c r="A50" s="294"/>
      <c r="B50" s="294"/>
      <c r="C50" s="411" t="s">
        <v>278</v>
      </c>
      <c r="D50" s="415">
        <v>0.20000000298023224</v>
      </c>
      <c r="E50" s="416">
        <v>0.20000000298023224</v>
      </c>
      <c r="F50" s="416">
        <v>0.20000000298023224</v>
      </c>
      <c r="G50" s="416">
        <v>0.20000000298023224</v>
      </c>
      <c r="H50" s="416">
        <v>0.15000000596046448</v>
      </c>
      <c r="I50" s="416">
        <v>0.15000000596046448</v>
      </c>
      <c r="J50" s="416">
        <v>0.15000000596046448</v>
      </c>
      <c r="K50" s="416">
        <v>0.15000000596046448</v>
      </c>
      <c r="L50" s="416">
        <v>0.15000000596046448</v>
      </c>
      <c r="M50" s="416">
        <v>0.15000000596046448</v>
      </c>
      <c r="N50" s="416">
        <v>0.15000000596046448</v>
      </c>
      <c r="O50" s="416">
        <v>0.15000000596046448</v>
      </c>
      <c r="P50" s="416">
        <v>0.15000000596046448</v>
      </c>
      <c r="Q50" s="416">
        <v>0.10000000149011612</v>
      </c>
      <c r="R50" s="416">
        <v>0.10000000149011612</v>
      </c>
      <c r="S50" s="416">
        <v>0.10000000149011612</v>
      </c>
      <c r="T50" s="416">
        <v>0.10000000149011612</v>
      </c>
      <c r="U50" s="416">
        <v>0.10000000149011612</v>
      </c>
      <c r="V50" s="417">
        <v>0.10000000149011612</v>
      </c>
      <c r="W50" s="294"/>
      <c r="X50" s="294"/>
      <c r="Y50" s="294"/>
      <c r="Z50" s="294"/>
      <c r="AA50" s="294"/>
      <c r="AB50" s="294"/>
      <c r="AC50" s="294"/>
    </row>
    <row r="51" spans="1:29" ht="25" thickBot="1">
      <c r="A51" s="294"/>
      <c r="B51" s="294"/>
      <c r="C51" s="412" t="s">
        <v>279</v>
      </c>
      <c r="D51" s="418">
        <v>0.10999999940395355</v>
      </c>
      <c r="E51" s="419">
        <v>0.10999999940395355</v>
      </c>
      <c r="F51" s="419">
        <v>0.10999999940395355</v>
      </c>
      <c r="G51" s="419">
        <v>0.10999999940395355</v>
      </c>
      <c r="H51" s="419">
        <v>0.10999999940395355</v>
      </c>
      <c r="I51" s="419">
        <v>0.10999999940395355</v>
      </c>
      <c r="J51" s="419">
        <v>0.10999999940395355</v>
      </c>
      <c r="K51" s="419">
        <v>0.10999999940395355</v>
      </c>
      <c r="L51" s="419">
        <v>0.10999999940395355</v>
      </c>
      <c r="M51" s="419">
        <v>0.10999999940395355</v>
      </c>
      <c r="N51" s="419">
        <v>0.10999999940395355</v>
      </c>
      <c r="O51" s="419">
        <v>0.10999999940395355</v>
      </c>
      <c r="P51" s="419">
        <v>0.10999999940395355</v>
      </c>
      <c r="Q51" s="419">
        <v>0.10999999940395355</v>
      </c>
      <c r="R51" s="419">
        <v>0.10999999940395355</v>
      </c>
      <c r="S51" s="419">
        <v>0.10999999940395355</v>
      </c>
      <c r="T51" s="419">
        <v>0.10999999940395355</v>
      </c>
      <c r="U51" s="419">
        <v>0.10999999940395355</v>
      </c>
      <c r="V51" s="420">
        <v>0.10999999940395355</v>
      </c>
      <c r="W51" s="294"/>
      <c r="X51" s="294"/>
      <c r="Y51" s="294"/>
      <c r="Z51" s="294"/>
      <c r="AA51" s="294"/>
      <c r="AB51" s="294"/>
      <c r="AC51" s="294"/>
    </row>
    <row r="52" spans="1:29">
      <c r="A52" s="294"/>
      <c r="B52" s="294"/>
      <c r="C52" s="294"/>
      <c r="D52" s="332"/>
      <c r="E52" s="332"/>
      <c r="F52" s="332"/>
      <c r="G52" s="332"/>
      <c r="H52" s="332"/>
      <c r="I52" s="332"/>
      <c r="J52" s="332"/>
      <c r="K52" s="332"/>
      <c r="L52" s="332"/>
      <c r="M52" s="332"/>
      <c r="N52" s="332"/>
      <c r="O52" s="332"/>
      <c r="P52" s="332"/>
      <c r="Q52" s="332"/>
      <c r="R52" s="332"/>
      <c r="S52" s="332"/>
      <c r="T52" s="332"/>
      <c r="U52" s="332"/>
      <c r="V52" s="332"/>
      <c r="W52" s="294"/>
      <c r="X52" s="294"/>
      <c r="Y52" s="294"/>
      <c r="Z52" s="294"/>
      <c r="AA52" s="294"/>
      <c r="AB52" s="294"/>
      <c r="AC52" s="294"/>
    </row>
    <row r="53" spans="1:29">
      <c r="A53" s="294"/>
      <c r="B53" s="294"/>
      <c r="G53" s="294"/>
      <c r="H53" s="294"/>
      <c r="I53" s="294"/>
      <c r="J53" s="294"/>
      <c r="K53" s="298"/>
      <c r="L53" s="298"/>
      <c r="M53" s="298"/>
      <c r="N53" s="298"/>
      <c r="O53" s="298"/>
      <c r="P53" s="298"/>
      <c r="Q53" s="298"/>
      <c r="R53" s="294"/>
      <c r="S53" s="294"/>
      <c r="T53" s="294"/>
      <c r="U53" s="294"/>
      <c r="V53" s="294"/>
      <c r="W53" s="294"/>
      <c r="X53" s="294"/>
      <c r="Y53" s="294"/>
      <c r="Z53" s="294"/>
      <c r="AA53" s="294"/>
      <c r="AB53" s="294"/>
      <c r="AC53" s="294"/>
    </row>
    <row r="54" spans="1:29" ht="15">
      <c r="A54" s="294"/>
      <c r="B54" s="294"/>
      <c r="G54" s="307"/>
      <c r="H54" s="308"/>
      <c r="I54" s="295"/>
      <c r="J54" s="295"/>
      <c r="K54" s="295"/>
      <c r="L54" s="295"/>
      <c r="M54" s="295"/>
      <c r="N54" s="309"/>
      <c r="O54" s="309"/>
      <c r="P54" s="298"/>
      <c r="Q54" s="298"/>
      <c r="R54" s="294"/>
      <c r="S54" s="294"/>
      <c r="T54" s="294"/>
      <c r="U54" s="294"/>
      <c r="V54" s="294"/>
      <c r="W54" s="294"/>
      <c r="X54" s="294"/>
      <c r="Y54" s="294"/>
      <c r="Z54" s="294"/>
      <c r="AA54" s="294"/>
      <c r="AB54" s="294"/>
      <c r="AC54" s="294"/>
    </row>
    <row r="55" spans="1:29" ht="14">
      <c r="A55" s="294"/>
      <c r="B55" s="294"/>
      <c r="G55" s="288"/>
      <c r="H55" s="295"/>
      <c r="I55" s="295"/>
      <c r="J55" s="295"/>
      <c r="K55" s="295"/>
      <c r="L55" s="295"/>
      <c r="M55" s="295"/>
      <c r="N55" s="298"/>
      <c r="O55" s="292"/>
      <c r="P55" s="313"/>
      <c r="Q55" s="313"/>
      <c r="R55" s="301"/>
      <c r="S55" s="301"/>
      <c r="T55" s="301"/>
      <c r="U55" s="301"/>
      <c r="V55" s="301"/>
      <c r="W55" s="294"/>
      <c r="X55" s="294"/>
      <c r="Y55" s="294"/>
      <c r="Z55" s="294"/>
      <c r="AA55" s="294"/>
      <c r="AB55" s="294"/>
      <c r="AC55" s="294"/>
    </row>
    <row r="56" spans="1:29" ht="14">
      <c r="A56" s="294"/>
      <c r="B56" s="294"/>
      <c r="G56" s="289"/>
      <c r="H56" s="317"/>
      <c r="I56" s="303"/>
      <c r="J56" s="303"/>
      <c r="K56" s="324"/>
      <c r="L56" s="325"/>
      <c r="M56" s="320"/>
      <c r="N56" s="298"/>
      <c r="O56" s="289"/>
      <c r="P56" s="319"/>
      <c r="Q56" s="319"/>
      <c r="R56" s="302"/>
      <c r="S56" s="302"/>
      <c r="T56" s="302"/>
      <c r="U56" s="302"/>
      <c r="V56" s="302"/>
      <c r="W56" s="294"/>
      <c r="X56" s="294"/>
      <c r="Y56" s="294"/>
      <c r="Z56" s="294"/>
      <c r="AA56" s="294"/>
      <c r="AB56" s="294"/>
      <c r="AC56" s="294"/>
    </row>
    <row r="57" spans="1:29" ht="14">
      <c r="A57" s="294"/>
      <c r="B57" s="294"/>
      <c r="G57" s="288"/>
      <c r="H57" s="326"/>
      <c r="I57" s="303"/>
      <c r="J57" s="303"/>
      <c r="K57" s="324"/>
      <c r="L57" s="325"/>
      <c r="M57" s="298"/>
      <c r="N57" s="298"/>
      <c r="O57" s="289"/>
      <c r="P57" s="324"/>
      <c r="Q57" s="324"/>
      <c r="R57" s="303"/>
      <c r="S57" s="303"/>
      <c r="T57" s="303"/>
      <c r="U57" s="303"/>
      <c r="V57" s="303"/>
      <c r="W57" s="294"/>
      <c r="X57" s="294"/>
      <c r="Y57" s="294"/>
      <c r="Z57" s="294"/>
      <c r="AA57" s="294"/>
      <c r="AB57" s="294"/>
      <c r="AC57" s="294"/>
    </row>
    <row r="58" spans="1:29">
      <c r="A58" s="294"/>
      <c r="B58" s="294"/>
      <c r="C58" s="294"/>
      <c r="D58" s="294"/>
      <c r="E58" s="294"/>
      <c r="F58" s="294"/>
      <c r="G58" s="294"/>
      <c r="H58" s="294"/>
      <c r="I58" s="294"/>
      <c r="J58" s="294"/>
      <c r="K58" s="294"/>
      <c r="L58" s="294"/>
      <c r="M58" s="294"/>
      <c r="N58" s="294"/>
      <c r="O58" s="294"/>
      <c r="P58" s="294"/>
      <c r="Q58" s="294"/>
      <c r="R58" s="294"/>
      <c r="S58" s="294"/>
      <c r="T58" s="294"/>
      <c r="U58" s="294"/>
      <c r="V58" s="294"/>
      <c r="W58" s="294"/>
      <c r="X58" s="294"/>
      <c r="Y58" s="294"/>
      <c r="Z58" s="294"/>
      <c r="AA58" s="294"/>
      <c r="AB58" s="294"/>
      <c r="AC58" s="294"/>
    </row>
    <row r="59" spans="1:29">
      <c r="A59" s="294"/>
      <c r="B59" s="294"/>
      <c r="C59" s="294"/>
      <c r="D59" s="294"/>
      <c r="E59" s="294"/>
      <c r="F59" s="294"/>
      <c r="G59" s="294"/>
      <c r="H59" s="294"/>
      <c r="I59" s="294"/>
      <c r="J59" s="294"/>
      <c r="K59" s="294"/>
      <c r="L59" s="294"/>
      <c r="M59" s="294"/>
      <c r="N59" s="294"/>
      <c r="O59" s="294"/>
      <c r="P59" s="294"/>
      <c r="Q59" s="294"/>
      <c r="R59" s="294"/>
      <c r="S59" s="294"/>
      <c r="T59" s="294"/>
      <c r="U59" s="294"/>
      <c r="V59" s="294"/>
      <c r="W59" s="294"/>
      <c r="X59" s="294"/>
      <c r="Y59" s="294"/>
      <c r="Z59" s="303"/>
      <c r="AA59" s="294"/>
      <c r="AB59" s="294"/>
      <c r="AC59" s="294"/>
    </row>
    <row r="60" spans="1:29">
      <c r="A60" s="294"/>
      <c r="B60" s="294"/>
      <c r="C60" s="294"/>
      <c r="D60" s="294"/>
      <c r="E60" s="294"/>
      <c r="F60" s="294"/>
      <c r="G60" s="294"/>
      <c r="H60" s="294"/>
      <c r="I60" s="294"/>
      <c r="J60" s="294"/>
      <c r="K60" s="294"/>
      <c r="L60" s="294"/>
      <c r="M60" s="294"/>
      <c r="N60" s="294"/>
      <c r="O60" s="294"/>
      <c r="P60" s="294"/>
      <c r="Q60" s="294"/>
      <c r="R60" s="294"/>
      <c r="S60" s="294"/>
      <c r="T60" s="294"/>
      <c r="U60" s="294"/>
      <c r="V60" s="294"/>
      <c r="W60" s="294"/>
      <c r="X60" s="294"/>
      <c r="Y60" s="294"/>
      <c r="Z60" s="303"/>
      <c r="AA60" s="294"/>
      <c r="AB60" s="294"/>
      <c r="AC60" s="294"/>
    </row>
    <row r="61" spans="1:29">
      <c r="A61" s="294"/>
      <c r="B61" s="294"/>
      <c r="C61" s="294"/>
      <c r="D61" s="294"/>
      <c r="E61" s="294"/>
      <c r="F61" s="294"/>
      <c r="G61" s="294"/>
      <c r="H61" s="294"/>
      <c r="I61" s="294"/>
      <c r="J61" s="294"/>
      <c r="K61" s="294"/>
      <c r="L61" s="294"/>
      <c r="M61" s="294"/>
      <c r="N61" s="294"/>
      <c r="O61" s="294"/>
      <c r="P61" s="294"/>
      <c r="Q61" s="294"/>
      <c r="R61" s="294"/>
      <c r="S61" s="294"/>
      <c r="T61" s="294"/>
      <c r="U61" s="294"/>
      <c r="V61" s="294"/>
      <c r="W61" s="294"/>
      <c r="X61" s="294"/>
      <c r="Y61" s="294"/>
      <c r="Z61" s="294"/>
      <c r="AA61" s="294"/>
      <c r="AB61" s="294"/>
      <c r="AC61" s="294"/>
    </row>
    <row r="62" spans="1:29">
      <c r="A62" s="294"/>
      <c r="B62" s="294"/>
      <c r="C62" s="294"/>
      <c r="D62" s="294"/>
      <c r="E62" s="294"/>
      <c r="F62" s="294"/>
      <c r="G62" s="294"/>
      <c r="H62" s="294"/>
      <c r="I62" s="294"/>
      <c r="J62" s="294"/>
      <c r="K62" s="294"/>
      <c r="L62" s="294"/>
      <c r="M62" s="294"/>
      <c r="N62" s="294"/>
      <c r="O62" s="294"/>
      <c r="P62" s="294"/>
      <c r="Q62" s="294"/>
      <c r="R62" s="294"/>
      <c r="S62" s="294"/>
      <c r="T62" s="294"/>
      <c r="U62" s="294"/>
      <c r="V62" s="294"/>
      <c r="W62" s="294"/>
      <c r="X62" s="294"/>
      <c r="Y62" s="294"/>
      <c r="Z62" s="294"/>
      <c r="AA62" s="294"/>
      <c r="AB62" s="294"/>
      <c r="AC62" s="294"/>
    </row>
    <row r="63" spans="1:29">
      <c r="A63" s="294"/>
      <c r="B63" s="294"/>
      <c r="C63" s="294"/>
      <c r="D63" s="294"/>
      <c r="E63" s="294"/>
      <c r="F63" s="294"/>
      <c r="G63" s="294"/>
      <c r="H63" s="294"/>
      <c r="I63" s="294"/>
      <c r="J63" s="294"/>
      <c r="K63" s="294"/>
      <c r="L63" s="294"/>
      <c r="M63" s="294"/>
      <c r="N63" s="294"/>
      <c r="O63" s="294"/>
      <c r="P63" s="294"/>
      <c r="Q63" s="294"/>
      <c r="R63" s="294"/>
      <c r="S63" s="294"/>
      <c r="T63" s="294"/>
      <c r="U63" s="294"/>
      <c r="V63" s="294"/>
      <c r="W63" s="294"/>
      <c r="X63" s="294"/>
      <c r="Y63" s="294"/>
      <c r="Z63" s="294"/>
      <c r="AA63" s="294"/>
      <c r="AB63" s="294"/>
      <c r="AC63" s="294"/>
    </row>
    <row r="64" spans="1:29">
      <c r="A64" s="294"/>
      <c r="B64" s="294"/>
      <c r="C64" s="294"/>
      <c r="D64" s="294"/>
      <c r="E64" s="294"/>
      <c r="F64" s="294"/>
      <c r="G64" s="294"/>
      <c r="H64" s="294"/>
      <c r="I64" s="294"/>
      <c r="J64" s="294"/>
      <c r="K64" s="294"/>
      <c r="L64" s="294"/>
      <c r="M64" s="294"/>
      <c r="N64" s="294"/>
      <c r="O64" s="294"/>
      <c r="P64" s="294"/>
      <c r="Q64" s="294"/>
      <c r="R64" s="294"/>
      <c r="S64" s="294"/>
      <c r="T64" s="294"/>
      <c r="U64" s="294"/>
      <c r="V64" s="294"/>
      <c r="W64" s="294"/>
      <c r="X64" s="294"/>
      <c r="Y64" s="294"/>
      <c r="Z64" s="294"/>
      <c r="AA64" s="294"/>
      <c r="AB64" s="294"/>
      <c r="AC64" s="294"/>
    </row>
    <row r="65" spans="1:29">
      <c r="A65" s="294"/>
      <c r="B65" s="294"/>
      <c r="C65" s="294"/>
      <c r="D65" s="294"/>
      <c r="E65" s="294"/>
      <c r="F65" s="294"/>
      <c r="G65" s="294"/>
      <c r="H65" s="294"/>
      <c r="I65" s="294"/>
      <c r="J65" s="294"/>
      <c r="K65" s="294"/>
      <c r="L65" s="294"/>
      <c r="M65" s="294"/>
      <c r="N65" s="294"/>
      <c r="O65" s="294"/>
      <c r="P65" s="294"/>
      <c r="Q65" s="294"/>
      <c r="R65" s="294"/>
      <c r="S65" s="294"/>
      <c r="T65" s="294"/>
      <c r="U65" s="294"/>
      <c r="V65" s="294"/>
      <c r="W65" s="294"/>
      <c r="X65" s="294"/>
      <c r="Y65" s="294"/>
      <c r="Z65" s="294"/>
      <c r="AA65" s="294"/>
      <c r="AB65" s="294"/>
      <c r="AC65" s="294"/>
    </row>
    <row r="66" spans="1:29">
      <c r="A66" s="294"/>
      <c r="B66" s="294"/>
      <c r="C66" s="294"/>
      <c r="D66" s="294"/>
      <c r="E66" s="294"/>
      <c r="F66" s="294"/>
      <c r="G66" s="294"/>
      <c r="H66" s="294"/>
      <c r="I66" s="294"/>
      <c r="J66" s="294"/>
      <c r="K66" s="294"/>
      <c r="L66" s="294"/>
      <c r="M66" s="294"/>
      <c r="N66" s="294"/>
      <c r="O66" s="294"/>
      <c r="P66" s="294"/>
      <c r="Q66" s="294"/>
      <c r="R66" s="294"/>
      <c r="S66" s="294"/>
      <c r="T66" s="294"/>
      <c r="U66" s="294"/>
      <c r="V66" s="294"/>
      <c r="W66" s="294"/>
      <c r="X66" s="294"/>
      <c r="Y66" s="294"/>
      <c r="Z66" s="294"/>
      <c r="AA66" s="294"/>
      <c r="AB66" s="294"/>
      <c r="AC66" s="294"/>
    </row>
    <row r="67" spans="1:29">
      <c r="A67" s="294"/>
      <c r="B67" s="294"/>
      <c r="C67" s="294"/>
      <c r="D67" s="303"/>
      <c r="E67" s="303"/>
      <c r="F67" s="303"/>
      <c r="G67" s="303"/>
      <c r="H67" s="303"/>
      <c r="I67" s="303"/>
      <c r="J67" s="303"/>
      <c r="K67" s="303"/>
      <c r="L67" s="303"/>
      <c r="M67" s="303"/>
      <c r="N67" s="303"/>
      <c r="O67" s="303"/>
      <c r="P67" s="303"/>
      <c r="Q67" s="303"/>
      <c r="R67" s="303"/>
      <c r="S67" s="303"/>
      <c r="T67" s="303"/>
      <c r="U67" s="303"/>
      <c r="V67" s="303"/>
      <c r="W67" s="294"/>
      <c r="X67" s="294"/>
      <c r="Y67" s="294"/>
      <c r="Z67" s="294"/>
      <c r="AA67" s="294"/>
      <c r="AB67" s="294"/>
      <c r="AC67" s="294"/>
    </row>
    <row r="68" spans="1:29">
      <c r="A68" s="294"/>
      <c r="B68" s="294"/>
      <c r="C68" s="294"/>
      <c r="D68" s="303"/>
      <c r="E68" s="303"/>
      <c r="F68" s="303"/>
      <c r="G68" s="303"/>
      <c r="H68" s="303"/>
      <c r="I68" s="303"/>
      <c r="J68" s="303"/>
      <c r="K68" s="303"/>
      <c r="L68" s="303"/>
      <c r="M68" s="303"/>
      <c r="N68" s="303"/>
      <c r="O68" s="303"/>
      <c r="P68" s="303"/>
      <c r="Q68" s="303"/>
      <c r="R68" s="303"/>
      <c r="S68" s="303"/>
      <c r="T68" s="303"/>
      <c r="U68" s="303"/>
      <c r="V68" s="303"/>
      <c r="W68" s="294"/>
      <c r="X68" s="294"/>
      <c r="Y68" s="294"/>
      <c r="Z68" s="294"/>
      <c r="AA68" s="294"/>
      <c r="AB68" s="294"/>
      <c r="AC68" s="294"/>
    </row>
    <row r="69" spans="1:29">
      <c r="A69" s="294"/>
      <c r="B69" s="294"/>
      <c r="C69" s="294"/>
      <c r="D69" s="303"/>
      <c r="E69" s="303"/>
      <c r="F69" s="303"/>
      <c r="G69" s="303"/>
      <c r="H69" s="303"/>
      <c r="I69" s="303"/>
      <c r="J69" s="303"/>
      <c r="K69" s="303"/>
      <c r="L69" s="303"/>
      <c r="M69" s="303"/>
      <c r="N69" s="303"/>
      <c r="O69" s="303"/>
      <c r="P69" s="303"/>
      <c r="Q69" s="303"/>
      <c r="R69" s="303"/>
      <c r="S69" s="303"/>
      <c r="T69" s="303"/>
      <c r="U69" s="303"/>
      <c r="V69" s="303"/>
      <c r="W69" s="294"/>
      <c r="X69" s="294"/>
      <c r="Y69" s="294"/>
      <c r="Z69" s="294"/>
      <c r="AA69" s="294"/>
      <c r="AB69" s="294"/>
      <c r="AC69" s="294"/>
    </row>
    <row r="70" spans="1:29">
      <c r="A70" s="294"/>
      <c r="B70" s="294"/>
      <c r="C70" s="294"/>
      <c r="D70" s="303"/>
      <c r="E70" s="303"/>
      <c r="F70" s="303"/>
      <c r="G70" s="303"/>
      <c r="H70" s="303"/>
      <c r="I70" s="303"/>
      <c r="J70" s="303"/>
      <c r="K70" s="303"/>
      <c r="L70" s="303"/>
      <c r="M70" s="303"/>
      <c r="N70" s="303"/>
      <c r="O70" s="303"/>
      <c r="P70" s="303"/>
      <c r="Q70" s="303"/>
      <c r="R70" s="303"/>
      <c r="S70" s="303"/>
      <c r="T70" s="303"/>
      <c r="U70" s="303"/>
      <c r="V70" s="303"/>
      <c r="W70" s="294"/>
      <c r="X70" s="294"/>
      <c r="Y70" s="294"/>
      <c r="Z70" s="294"/>
      <c r="AA70" s="294"/>
      <c r="AB70" s="294"/>
      <c r="AC70" s="294"/>
    </row>
    <row r="71" spans="1:29">
      <c r="A71" s="294"/>
      <c r="B71" s="294"/>
      <c r="C71" s="294"/>
      <c r="D71" s="294"/>
      <c r="E71" s="294"/>
      <c r="F71" s="294"/>
      <c r="G71" s="294"/>
      <c r="H71" s="294"/>
      <c r="I71" s="294"/>
      <c r="J71" s="294"/>
      <c r="K71" s="294"/>
      <c r="L71" s="294"/>
      <c r="M71" s="294"/>
      <c r="N71" s="294"/>
      <c r="O71" s="294"/>
      <c r="P71" s="294"/>
      <c r="Q71" s="294"/>
      <c r="R71" s="294"/>
      <c r="S71" s="294"/>
      <c r="T71" s="294"/>
      <c r="U71" s="294"/>
      <c r="V71" s="294"/>
      <c r="W71" s="294"/>
      <c r="X71" s="294"/>
      <c r="Y71" s="294"/>
      <c r="Z71" s="294"/>
      <c r="AA71" s="294"/>
      <c r="AB71" s="294"/>
      <c r="AC71" s="294"/>
    </row>
    <row r="72" spans="1:29">
      <c r="A72" s="294"/>
      <c r="B72" s="294"/>
      <c r="C72" s="294"/>
      <c r="D72" s="294"/>
      <c r="E72" s="294"/>
      <c r="F72" s="294"/>
      <c r="G72" s="294"/>
      <c r="H72" s="294"/>
      <c r="I72" s="294"/>
      <c r="J72" s="294"/>
      <c r="K72" s="294"/>
      <c r="L72" s="294"/>
      <c r="M72" s="294"/>
      <c r="N72" s="294"/>
      <c r="O72" s="294"/>
      <c r="P72" s="294"/>
      <c r="Q72" s="294"/>
      <c r="R72" s="294"/>
      <c r="S72" s="294"/>
      <c r="T72" s="294"/>
      <c r="U72" s="294"/>
      <c r="V72" s="294"/>
      <c r="W72" s="294"/>
      <c r="X72" s="294"/>
      <c r="Y72" s="294"/>
      <c r="Z72" s="294"/>
      <c r="AA72" s="294"/>
      <c r="AB72" s="294"/>
      <c r="AC72" s="294"/>
    </row>
    <row r="73" spans="1:29">
      <c r="A73" s="294"/>
      <c r="B73" s="294"/>
      <c r="C73" s="294"/>
      <c r="D73" s="294"/>
      <c r="E73" s="294"/>
      <c r="F73" s="294"/>
      <c r="G73" s="294"/>
      <c r="H73" s="294"/>
      <c r="I73" s="294"/>
      <c r="J73" s="294"/>
      <c r="K73" s="294"/>
      <c r="L73" s="294"/>
      <c r="M73" s="294"/>
      <c r="N73" s="294"/>
      <c r="O73" s="294"/>
      <c r="P73" s="294"/>
      <c r="Q73" s="294"/>
      <c r="R73" s="294"/>
      <c r="S73" s="294"/>
      <c r="T73" s="294"/>
      <c r="U73" s="294"/>
      <c r="V73" s="294"/>
      <c r="W73" s="294"/>
      <c r="X73" s="294"/>
      <c r="Y73" s="294"/>
      <c r="Z73" s="294"/>
      <c r="AA73" s="294"/>
      <c r="AB73" s="294"/>
      <c r="AC73" s="294"/>
    </row>
    <row r="74" spans="1:29">
      <c r="A74" s="294"/>
      <c r="B74" s="294"/>
      <c r="C74" s="294"/>
      <c r="D74" s="294"/>
      <c r="E74" s="294"/>
      <c r="F74" s="294"/>
      <c r="G74" s="294"/>
      <c r="H74" s="294"/>
      <c r="I74" s="294"/>
      <c r="J74" s="294"/>
      <c r="K74" s="294"/>
      <c r="L74" s="294"/>
      <c r="M74" s="294"/>
      <c r="N74" s="294"/>
      <c r="O74" s="294"/>
      <c r="P74" s="294"/>
      <c r="Q74" s="294"/>
      <c r="R74" s="294"/>
      <c r="S74" s="294"/>
      <c r="T74" s="294"/>
      <c r="U74" s="294"/>
      <c r="V74" s="294"/>
      <c r="W74" s="294"/>
      <c r="X74" s="294"/>
      <c r="Y74" s="294"/>
      <c r="Z74" s="294"/>
      <c r="AA74" s="294"/>
      <c r="AB74" s="294"/>
      <c r="AC74" s="294"/>
    </row>
    <row r="75" spans="1:29">
      <c r="A75" s="294"/>
      <c r="B75" s="294"/>
      <c r="C75" s="294"/>
      <c r="D75" s="294"/>
      <c r="E75" s="294"/>
      <c r="F75" s="294"/>
      <c r="G75" s="294"/>
      <c r="H75" s="294"/>
      <c r="I75" s="294"/>
      <c r="J75" s="294"/>
      <c r="K75" s="294"/>
      <c r="L75" s="294"/>
      <c r="M75" s="294"/>
      <c r="N75" s="294"/>
      <c r="O75" s="294"/>
      <c r="P75" s="294"/>
      <c r="Q75" s="294"/>
      <c r="R75" s="294"/>
      <c r="S75" s="294"/>
      <c r="T75" s="294"/>
      <c r="U75" s="294"/>
      <c r="V75" s="294"/>
      <c r="W75" s="294"/>
      <c r="X75" s="294"/>
      <c r="Y75" s="294"/>
      <c r="Z75" s="294"/>
      <c r="AA75" s="294"/>
      <c r="AB75" s="294"/>
      <c r="AC75" s="294"/>
    </row>
    <row r="76" spans="1:29">
      <c r="A76" s="294"/>
      <c r="B76" s="294"/>
      <c r="C76" s="294"/>
      <c r="D76" s="294"/>
      <c r="E76" s="294"/>
      <c r="F76" s="294"/>
      <c r="G76" s="294"/>
      <c r="H76" s="294"/>
      <c r="I76" s="294"/>
      <c r="J76" s="294"/>
      <c r="K76" s="294"/>
      <c r="L76" s="294"/>
      <c r="M76" s="294"/>
      <c r="N76" s="294"/>
      <c r="O76" s="294"/>
      <c r="P76" s="294"/>
      <c r="Q76" s="294"/>
      <c r="R76" s="294"/>
      <c r="S76" s="294"/>
      <c r="T76" s="294"/>
      <c r="U76" s="294"/>
      <c r="V76" s="294"/>
      <c r="W76" s="294"/>
      <c r="X76" s="294"/>
      <c r="Y76" s="294"/>
      <c r="Z76" s="294"/>
      <c r="AA76" s="294"/>
      <c r="AB76" s="294"/>
      <c r="AC76" s="294"/>
    </row>
    <row r="77" spans="1:29">
      <c r="A77" s="294"/>
      <c r="B77" s="294"/>
      <c r="C77" s="294"/>
      <c r="D77" s="294"/>
      <c r="E77" s="294"/>
      <c r="F77" s="294"/>
      <c r="G77" s="294"/>
      <c r="H77" s="294"/>
      <c r="I77" s="294"/>
      <c r="J77" s="294"/>
      <c r="K77" s="294"/>
      <c r="L77" s="294"/>
      <c r="M77" s="294"/>
      <c r="N77" s="294"/>
      <c r="O77" s="294"/>
      <c r="P77" s="294"/>
      <c r="Q77" s="294"/>
      <c r="R77" s="294"/>
      <c r="S77" s="294"/>
      <c r="T77" s="294"/>
      <c r="U77" s="294"/>
      <c r="V77" s="294"/>
      <c r="W77" s="294"/>
      <c r="X77" s="294"/>
      <c r="Y77" s="294"/>
      <c r="Z77" s="294"/>
      <c r="AA77" s="294"/>
      <c r="AB77" s="294"/>
      <c r="AC77" s="294"/>
    </row>
    <row r="78" spans="1:29">
      <c r="A78" s="294"/>
      <c r="B78" s="294"/>
      <c r="C78" s="294"/>
      <c r="D78" s="294"/>
      <c r="E78" s="294"/>
      <c r="F78" s="294"/>
      <c r="G78" s="294"/>
      <c r="H78" s="294"/>
      <c r="I78" s="294"/>
      <c r="J78" s="294"/>
      <c r="K78" s="294"/>
      <c r="L78" s="294"/>
      <c r="M78" s="294"/>
      <c r="N78" s="294"/>
      <c r="O78" s="294"/>
      <c r="P78" s="294"/>
      <c r="Q78" s="294"/>
      <c r="R78" s="294"/>
      <c r="S78" s="294"/>
      <c r="T78" s="294"/>
      <c r="U78" s="294"/>
      <c r="V78" s="294"/>
      <c r="W78" s="294"/>
      <c r="X78" s="294"/>
      <c r="Y78" s="294"/>
      <c r="Z78" s="294"/>
      <c r="AA78" s="294"/>
      <c r="AB78" s="294"/>
      <c r="AC78" s="294"/>
    </row>
    <row r="79" spans="1:29">
      <c r="A79" s="294"/>
      <c r="B79" s="294"/>
      <c r="C79" s="294"/>
      <c r="D79" s="294"/>
      <c r="E79" s="294"/>
      <c r="F79" s="294"/>
      <c r="G79" s="294"/>
      <c r="H79" s="294"/>
      <c r="I79" s="294"/>
      <c r="J79" s="294"/>
      <c r="K79" s="294"/>
      <c r="L79" s="294"/>
      <c r="M79" s="294"/>
      <c r="N79" s="294"/>
      <c r="O79" s="294"/>
      <c r="P79" s="294"/>
      <c r="Q79" s="294"/>
      <c r="R79" s="294"/>
      <c r="S79" s="294"/>
      <c r="T79" s="294"/>
      <c r="U79" s="294"/>
      <c r="V79" s="294"/>
      <c r="W79" s="294"/>
      <c r="X79" s="294"/>
      <c r="Y79" s="294"/>
      <c r="Z79" s="294"/>
      <c r="AA79" s="294"/>
      <c r="AB79" s="294"/>
      <c r="AC79" s="294"/>
    </row>
    <row r="80" spans="1:29">
      <c r="A80" s="294"/>
      <c r="B80" s="294"/>
      <c r="C80" s="294"/>
      <c r="D80" s="294"/>
      <c r="E80" s="294"/>
      <c r="F80" s="294"/>
      <c r="G80" s="294"/>
      <c r="H80" s="294"/>
      <c r="I80" s="294"/>
      <c r="J80" s="294"/>
      <c r="K80" s="294"/>
      <c r="L80" s="294"/>
      <c r="M80" s="294"/>
      <c r="N80" s="294"/>
      <c r="O80" s="294"/>
      <c r="P80" s="294"/>
      <c r="Q80" s="294"/>
      <c r="R80" s="294"/>
      <c r="S80" s="294"/>
      <c r="T80" s="294"/>
      <c r="U80" s="294"/>
      <c r="V80" s="294"/>
      <c r="W80" s="294"/>
      <c r="X80" s="294"/>
      <c r="Y80" s="294"/>
      <c r="Z80" s="294"/>
      <c r="AA80" s="294"/>
      <c r="AB80" s="294"/>
      <c r="AC80" s="294"/>
    </row>
    <row r="81" spans="1:29">
      <c r="A81" s="294"/>
      <c r="B81" s="294"/>
      <c r="C81" s="294"/>
      <c r="D81" s="294"/>
      <c r="E81" s="294"/>
      <c r="F81" s="294"/>
      <c r="G81" s="294"/>
      <c r="H81" s="294"/>
      <c r="I81" s="294"/>
      <c r="J81" s="294"/>
      <c r="K81" s="294"/>
      <c r="L81" s="294"/>
      <c r="M81" s="294"/>
      <c r="N81" s="294"/>
      <c r="O81" s="294"/>
      <c r="P81" s="294"/>
      <c r="Q81" s="294"/>
      <c r="R81" s="294"/>
      <c r="S81" s="294"/>
      <c r="T81" s="294"/>
      <c r="U81" s="294"/>
      <c r="V81" s="294"/>
      <c r="W81" s="294"/>
      <c r="X81" s="294"/>
      <c r="Y81" s="294"/>
      <c r="Z81" s="294"/>
      <c r="AA81" s="294"/>
      <c r="AB81" s="294"/>
      <c r="AC81" s="294"/>
    </row>
    <row r="82" spans="1:29">
      <c r="A82" s="294"/>
      <c r="B82" s="294"/>
      <c r="C82" s="294"/>
      <c r="D82" s="294"/>
      <c r="E82" s="294"/>
      <c r="F82" s="294"/>
      <c r="G82" s="294"/>
      <c r="H82" s="294"/>
      <c r="I82" s="294"/>
      <c r="J82" s="294"/>
      <c r="K82" s="294"/>
      <c r="L82" s="294"/>
      <c r="M82" s="294"/>
      <c r="N82" s="294"/>
      <c r="O82" s="294"/>
      <c r="P82" s="294"/>
      <c r="Q82" s="294"/>
      <c r="R82" s="294"/>
      <c r="S82" s="294"/>
      <c r="T82" s="294"/>
      <c r="U82" s="294"/>
      <c r="V82" s="294"/>
      <c r="W82" s="294"/>
      <c r="X82" s="294"/>
      <c r="Y82" s="294"/>
      <c r="Z82" s="294"/>
      <c r="AA82" s="294"/>
      <c r="AB82" s="294"/>
      <c r="AC82" s="294"/>
    </row>
    <row r="83" spans="1:29">
      <c r="A83" s="294"/>
      <c r="B83" s="294"/>
      <c r="C83" s="294"/>
      <c r="D83" s="294"/>
      <c r="E83" s="294"/>
      <c r="F83" s="294"/>
      <c r="G83" s="294"/>
      <c r="H83" s="294"/>
      <c r="I83" s="294"/>
      <c r="J83" s="294"/>
      <c r="K83" s="294"/>
      <c r="L83" s="294"/>
      <c r="M83" s="294"/>
      <c r="N83" s="294"/>
      <c r="O83" s="294"/>
      <c r="P83" s="294"/>
      <c r="Q83" s="294"/>
      <c r="R83" s="294"/>
      <c r="S83" s="294"/>
      <c r="T83" s="294"/>
      <c r="U83" s="294"/>
      <c r="V83" s="294"/>
      <c r="W83" s="294"/>
      <c r="X83" s="294"/>
      <c r="Y83" s="294"/>
      <c r="Z83" s="294"/>
      <c r="AA83" s="294"/>
      <c r="AB83" s="294"/>
      <c r="AC83" s="294"/>
    </row>
    <row r="84" spans="1:29">
      <c r="A84" s="294"/>
      <c r="B84" s="294"/>
      <c r="C84" s="294"/>
      <c r="D84" s="294"/>
      <c r="E84" s="294"/>
      <c r="F84" s="294"/>
      <c r="G84" s="294"/>
      <c r="H84" s="294"/>
      <c r="I84" s="294"/>
      <c r="J84" s="294"/>
      <c r="K84" s="294"/>
      <c r="L84" s="294"/>
      <c r="M84" s="294"/>
      <c r="N84" s="294"/>
      <c r="O84" s="294"/>
      <c r="P84" s="294"/>
      <c r="Q84" s="294"/>
      <c r="R84" s="294"/>
      <c r="S84" s="294"/>
      <c r="T84" s="294"/>
      <c r="U84" s="294"/>
      <c r="V84" s="294"/>
      <c r="W84" s="294"/>
      <c r="X84" s="294"/>
      <c r="Y84" s="294"/>
      <c r="Z84" s="294"/>
      <c r="AA84" s="294"/>
      <c r="AB84" s="294"/>
      <c r="AC84" s="294"/>
    </row>
    <row r="85" spans="1:29">
      <c r="A85" s="294"/>
      <c r="B85" s="294"/>
      <c r="C85" s="294"/>
      <c r="D85" s="294"/>
      <c r="E85" s="294"/>
      <c r="F85" s="294"/>
      <c r="G85" s="294"/>
      <c r="H85" s="294"/>
      <c r="I85" s="294"/>
      <c r="J85" s="294"/>
      <c r="K85" s="294"/>
      <c r="L85" s="294"/>
      <c r="M85" s="294"/>
      <c r="N85" s="294"/>
      <c r="O85" s="294"/>
      <c r="P85" s="294"/>
      <c r="Q85" s="294"/>
      <c r="R85" s="294"/>
      <c r="S85" s="294"/>
      <c r="T85" s="294"/>
      <c r="U85" s="294"/>
      <c r="V85" s="294"/>
      <c r="W85" s="294"/>
      <c r="X85" s="294"/>
      <c r="Y85" s="294"/>
      <c r="Z85" s="294"/>
      <c r="AA85" s="294"/>
      <c r="AB85" s="294"/>
      <c r="AC85" s="294"/>
    </row>
    <row r="86" spans="1:29">
      <c r="A86" s="294"/>
      <c r="B86" s="294"/>
      <c r="C86" s="294"/>
      <c r="D86" s="294"/>
      <c r="E86" s="294"/>
      <c r="F86" s="294"/>
      <c r="G86" s="294"/>
      <c r="H86" s="294"/>
      <c r="I86" s="294"/>
      <c r="J86" s="294"/>
      <c r="K86" s="294"/>
      <c r="L86" s="294"/>
      <c r="M86" s="294"/>
      <c r="N86" s="294"/>
      <c r="O86" s="294"/>
      <c r="P86" s="294"/>
      <c r="Q86" s="294"/>
      <c r="R86" s="294"/>
      <c r="S86" s="294"/>
      <c r="T86" s="294"/>
      <c r="U86" s="294"/>
      <c r="V86" s="294"/>
      <c r="W86" s="294"/>
      <c r="X86" s="294"/>
      <c r="Y86" s="294"/>
      <c r="Z86" s="294"/>
      <c r="AA86" s="294"/>
      <c r="AB86" s="294"/>
      <c r="AC86" s="294"/>
    </row>
    <row r="87" spans="1:29">
      <c r="A87" s="294"/>
      <c r="B87" s="294"/>
      <c r="C87" s="294"/>
      <c r="D87" s="294"/>
      <c r="E87" s="294"/>
      <c r="F87" s="294"/>
      <c r="G87" s="294"/>
      <c r="H87" s="294"/>
      <c r="I87" s="294"/>
      <c r="J87" s="294"/>
      <c r="K87" s="294"/>
      <c r="L87" s="294"/>
      <c r="M87" s="294"/>
      <c r="N87" s="294"/>
      <c r="O87" s="294"/>
      <c r="P87" s="294"/>
      <c r="Q87" s="294"/>
      <c r="R87" s="294"/>
      <c r="S87" s="294"/>
      <c r="T87" s="294"/>
      <c r="U87" s="294"/>
      <c r="V87" s="294"/>
      <c r="W87" s="294"/>
      <c r="X87" s="294"/>
      <c r="Y87" s="294"/>
      <c r="Z87" s="294"/>
      <c r="AA87" s="294"/>
      <c r="AB87" s="294"/>
      <c r="AC87" s="294"/>
    </row>
    <row r="88" spans="1:29">
      <c r="A88" s="294"/>
      <c r="B88" s="294"/>
      <c r="C88" s="294"/>
      <c r="D88" s="294"/>
      <c r="E88" s="294"/>
      <c r="F88" s="294"/>
      <c r="G88" s="294"/>
      <c r="H88" s="294"/>
      <c r="I88" s="294"/>
      <c r="J88" s="294"/>
      <c r="K88" s="294"/>
      <c r="L88" s="294"/>
      <c r="M88" s="294"/>
      <c r="N88" s="294"/>
      <c r="O88" s="294"/>
      <c r="P88" s="294"/>
      <c r="Q88" s="294"/>
      <c r="R88" s="294"/>
      <c r="S88" s="294"/>
      <c r="T88" s="294"/>
      <c r="U88" s="294"/>
      <c r="V88" s="294"/>
      <c r="W88" s="294"/>
      <c r="X88" s="294"/>
      <c r="Y88" s="294"/>
      <c r="Z88" s="294"/>
      <c r="AA88" s="294"/>
      <c r="AB88" s="294"/>
      <c r="AC88" s="294"/>
    </row>
    <row r="89" spans="1:29">
      <c r="A89" s="294"/>
      <c r="B89" s="294"/>
      <c r="C89" s="294"/>
      <c r="D89" s="294"/>
      <c r="E89" s="294"/>
      <c r="F89" s="294"/>
      <c r="G89" s="294"/>
      <c r="H89" s="294"/>
      <c r="I89" s="294"/>
      <c r="J89" s="294"/>
      <c r="K89" s="294"/>
      <c r="L89" s="294"/>
      <c r="M89" s="294"/>
      <c r="N89" s="294"/>
      <c r="O89" s="294"/>
      <c r="P89" s="294"/>
      <c r="Q89" s="294"/>
      <c r="R89" s="294"/>
      <c r="S89" s="294"/>
      <c r="T89" s="294"/>
      <c r="U89" s="294"/>
      <c r="V89" s="294"/>
      <c r="W89" s="294"/>
      <c r="X89" s="294"/>
      <c r="Y89" s="294"/>
      <c r="Z89" s="294"/>
      <c r="AA89" s="294"/>
      <c r="AB89" s="294"/>
      <c r="AC89" s="294"/>
    </row>
    <row r="90" spans="1:29">
      <c r="A90" s="294"/>
      <c r="B90" s="294"/>
      <c r="C90" s="294"/>
      <c r="D90" s="294"/>
      <c r="E90" s="294"/>
      <c r="F90" s="294"/>
      <c r="G90" s="294"/>
      <c r="H90" s="294"/>
      <c r="I90" s="294"/>
      <c r="J90" s="294"/>
      <c r="K90" s="294"/>
      <c r="L90" s="294"/>
      <c r="M90" s="294"/>
      <c r="N90" s="294"/>
      <c r="O90" s="294"/>
      <c r="P90" s="294"/>
      <c r="Q90" s="294"/>
      <c r="R90" s="294"/>
      <c r="S90" s="294"/>
      <c r="T90" s="294"/>
      <c r="U90" s="294"/>
      <c r="V90" s="294"/>
      <c r="W90" s="294"/>
      <c r="X90" s="294"/>
      <c r="Y90" s="294"/>
      <c r="Z90" s="294"/>
      <c r="AA90" s="294"/>
      <c r="AB90" s="294"/>
      <c r="AC90" s="294"/>
    </row>
    <row r="91" spans="1:29">
      <c r="A91" s="294"/>
      <c r="B91" s="294"/>
      <c r="C91" s="294"/>
      <c r="D91" s="294"/>
      <c r="E91" s="294"/>
      <c r="F91" s="294"/>
      <c r="G91" s="294"/>
      <c r="H91" s="294"/>
      <c r="I91" s="294"/>
      <c r="J91" s="294"/>
      <c r="K91" s="294"/>
      <c r="L91" s="294"/>
      <c r="M91" s="294"/>
      <c r="N91" s="294"/>
      <c r="O91" s="294"/>
      <c r="P91" s="294"/>
      <c r="Q91" s="294"/>
      <c r="R91" s="294"/>
      <c r="S91" s="294"/>
      <c r="T91" s="294"/>
      <c r="U91" s="294"/>
      <c r="V91" s="294"/>
      <c r="W91" s="294"/>
      <c r="X91" s="294"/>
      <c r="Y91" s="294"/>
      <c r="Z91" s="294"/>
      <c r="AA91" s="294"/>
      <c r="AB91" s="294"/>
      <c r="AC91" s="294"/>
    </row>
    <row r="92" spans="1:29">
      <c r="A92" s="294"/>
      <c r="B92" s="294"/>
      <c r="C92" s="294"/>
      <c r="D92" s="294"/>
      <c r="E92" s="294"/>
      <c r="F92" s="294"/>
      <c r="G92" s="294"/>
      <c r="H92" s="294"/>
      <c r="I92" s="294"/>
      <c r="J92" s="294"/>
      <c r="K92" s="294"/>
      <c r="L92" s="294"/>
      <c r="M92" s="294"/>
      <c r="N92" s="294"/>
      <c r="O92" s="294"/>
      <c r="P92" s="294"/>
      <c r="Q92" s="294"/>
      <c r="R92" s="294"/>
      <c r="S92" s="294"/>
      <c r="T92" s="294"/>
      <c r="U92" s="294"/>
      <c r="V92" s="294"/>
      <c r="W92" s="294"/>
      <c r="X92" s="294"/>
      <c r="Y92" s="294"/>
      <c r="Z92" s="294"/>
      <c r="AA92" s="294"/>
      <c r="AB92" s="294"/>
      <c r="AC92" s="294"/>
    </row>
    <row r="93" spans="1:29">
      <c r="A93" s="294"/>
      <c r="B93" s="294"/>
      <c r="C93" s="294"/>
      <c r="D93" s="294"/>
      <c r="E93" s="294"/>
      <c r="F93" s="294"/>
      <c r="G93" s="294"/>
      <c r="H93" s="294"/>
      <c r="I93" s="294"/>
      <c r="J93" s="294"/>
      <c r="K93" s="294"/>
      <c r="L93" s="294"/>
      <c r="M93" s="294"/>
      <c r="N93" s="294"/>
      <c r="O93" s="294"/>
      <c r="P93" s="294"/>
      <c r="Q93" s="294"/>
      <c r="R93" s="294"/>
      <c r="S93" s="294"/>
      <c r="T93" s="294"/>
      <c r="U93" s="294"/>
      <c r="V93" s="294"/>
      <c r="W93" s="294"/>
      <c r="X93" s="294"/>
      <c r="Y93" s="294"/>
      <c r="Z93" s="294"/>
      <c r="AA93" s="294"/>
      <c r="AB93" s="294"/>
      <c r="AC93" s="294"/>
    </row>
    <row r="94" spans="1:29">
      <c r="A94" s="294"/>
      <c r="B94" s="294"/>
      <c r="C94" s="294"/>
      <c r="D94" s="294"/>
      <c r="E94" s="294"/>
      <c r="F94" s="294"/>
      <c r="G94" s="294"/>
      <c r="H94" s="294"/>
      <c r="I94" s="294"/>
      <c r="J94" s="294"/>
      <c r="K94" s="294"/>
      <c r="L94" s="294"/>
      <c r="M94" s="294"/>
      <c r="N94" s="294"/>
      <c r="O94" s="294"/>
      <c r="P94" s="294"/>
      <c r="Q94" s="294"/>
      <c r="R94" s="294"/>
      <c r="S94" s="294"/>
      <c r="T94" s="294"/>
      <c r="U94" s="294"/>
      <c r="V94" s="294"/>
      <c r="W94" s="294"/>
      <c r="X94" s="294"/>
      <c r="Y94" s="294"/>
      <c r="Z94" s="294"/>
      <c r="AA94" s="294"/>
      <c r="AB94" s="294"/>
      <c r="AC94" s="294"/>
    </row>
    <row r="95" spans="1:29">
      <c r="A95" s="294"/>
      <c r="B95" s="294"/>
      <c r="C95" s="294"/>
      <c r="D95" s="294"/>
      <c r="E95" s="294"/>
      <c r="F95" s="294"/>
      <c r="G95" s="294"/>
      <c r="H95" s="294"/>
      <c r="I95" s="294"/>
      <c r="J95" s="294"/>
      <c r="K95" s="294"/>
      <c r="L95" s="294"/>
      <c r="M95" s="294"/>
      <c r="N95" s="294"/>
      <c r="O95" s="294"/>
      <c r="P95" s="294"/>
      <c r="Q95" s="294"/>
      <c r="R95" s="294"/>
      <c r="S95" s="294"/>
      <c r="T95" s="294"/>
      <c r="U95" s="294"/>
      <c r="V95" s="294"/>
      <c r="W95" s="294"/>
      <c r="X95" s="294"/>
      <c r="Y95" s="294"/>
      <c r="Z95" s="294"/>
      <c r="AA95" s="294"/>
      <c r="AB95" s="294"/>
      <c r="AC95" s="294"/>
    </row>
    <row r="96" spans="1:29">
      <c r="A96" s="294"/>
      <c r="B96" s="294"/>
      <c r="C96" s="294"/>
      <c r="D96" s="294"/>
      <c r="E96" s="294"/>
      <c r="F96" s="294"/>
      <c r="G96" s="294"/>
      <c r="H96" s="294"/>
      <c r="I96" s="294"/>
      <c r="J96" s="294"/>
      <c r="K96" s="294"/>
      <c r="L96" s="294"/>
      <c r="M96" s="294"/>
      <c r="N96" s="294"/>
      <c r="O96" s="294"/>
      <c r="P96" s="294"/>
      <c r="Q96" s="294"/>
      <c r="R96" s="294"/>
      <c r="S96" s="294"/>
      <c r="T96" s="294"/>
      <c r="U96" s="294"/>
      <c r="V96" s="294"/>
      <c r="W96" s="294"/>
      <c r="X96" s="294"/>
      <c r="Y96" s="294"/>
      <c r="Z96" s="294"/>
      <c r="AA96" s="294"/>
      <c r="AB96" s="294"/>
      <c r="AC96" s="294"/>
    </row>
    <row r="97" spans="1:29">
      <c r="A97" s="294"/>
      <c r="B97" s="294"/>
      <c r="C97" s="294"/>
      <c r="D97" s="294"/>
      <c r="E97" s="294"/>
      <c r="F97" s="294"/>
      <c r="G97" s="294"/>
      <c r="H97" s="294"/>
      <c r="I97" s="294"/>
      <c r="J97" s="294"/>
      <c r="K97" s="294"/>
      <c r="L97" s="294"/>
      <c r="M97" s="294"/>
      <c r="N97" s="294"/>
      <c r="O97" s="294"/>
      <c r="P97" s="294"/>
      <c r="Q97" s="294"/>
      <c r="R97" s="294"/>
      <c r="S97" s="294"/>
      <c r="T97" s="294"/>
      <c r="U97" s="294"/>
      <c r="V97" s="294"/>
      <c r="W97" s="294"/>
      <c r="X97" s="294"/>
      <c r="Y97" s="294"/>
      <c r="Z97" s="294"/>
      <c r="AA97" s="294"/>
      <c r="AB97" s="294"/>
      <c r="AC97" s="294"/>
    </row>
    <row r="98" spans="1:29">
      <c r="A98" s="294"/>
      <c r="B98" s="294"/>
      <c r="C98" s="294"/>
      <c r="D98" s="294"/>
      <c r="E98" s="294"/>
      <c r="F98" s="294"/>
      <c r="G98" s="294"/>
      <c r="H98" s="294"/>
      <c r="I98" s="294"/>
      <c r="J98" s="294"/>
      <c r="K98" s="294"/>
      <c r="L98" s="294"/>
      <c r="M98" s="294"/>
      <c r="N98" s="294"/>
      <c r="O98" s="294"/>
      <c r="P98" s="294"/>
      <c r="Q98" s="294"/>
      <c r="R98" s="294"/>
      <c r="S98" s="294"/>
      <c r="T98" s="294"/>
      <c r="U98" s="294"/>
      <c r="V98" s="294"/>
      <c r="W98" s="294"/>
      <c r="X98" s="294"/>
      <c r="Y98" s="294"/>
      <c r="Z98" s="294"/>
      <c r="AA98" s="294"/>
      <c r="AB98" s="294"/>
      <c r="AC98" s="294"/>
    </row>
    <row r="99" spans="1:29">
      <c r="B99" s="294"/>
      <c r="C99" s="294"/>
      <c r="D99" s="294"/>
      <c r="E99" s="294"/>
      <c r="F99" s="294"/>
      <c r="G99" s="294"/>
      <c r="H99" s="294"/>
      <c r="I99" s="294"/>
      <c r="J99" s="294"/>
      <c r="K99" s="294"/>
      <c r="L99" s="294"/>
      <c r="M99" s="294"/>
      <c r="N99" s="294"/>
      <c r="O99" s="294"/>
      <c r="P99" s="294"/>
      <c r="Q99" s="294"/>
      <c r="R99" s="294"/>
      <c r="S99" s="294"/>
      <c r="T99" s="294"/>
      <c r="U99" s="294"/>
      <c r="V99" s="294"/>
    </row>
    <row r="100" spans="1:29">
      <c r="B100" s="294"/>
      <c r="C100" s="294"/>
      <c r="D100" s="294"/>
      <c r="E100" s="294"/>
      <c r="F100" s="294"/>
      <c r="G100" s="294"/>
      <c r="H100" s="294"/>
      <c r="I100" s="294"/>
      <c r="J100" s="294"/>
      <c r="K100" s="294"/>
      <c r="L100" s="294"/>
      <c r="M100" s="294"/>
      <c r="N100" s="294"/>
      <c r="O100" s="294"/>
      <c r="P100" s="294"/>
      <c r="Q100" s="294"/>
      <c r="R100" s="294"/>
      <c r="S100" s="294"/>
      <c r="T100" s="294"/>
      <c r="U100" s="294"/>
      <c r="V100" s="294"/>
    </row>
    <row r="101" spans="1:29">
      <c r="B101" s="294"/>
      <c r="C101" s="294"/>
      <c r="D101" s="294"/>
      <c r="E101" s="294"/>
      <c r="F101" s="294"/>
      <c r="G101" s="294"/>
      <c r="H101" s="294"/>
      <c r="I101" s="294"/>
      <c r="J101" s="294"/>
      <c r="K101" s="294"/>
      <c r="L101" s="294"/>
      <c r="M101" s="294"/>
      <c r="N101" s="294"/>
      <c r="O101" s="294"/>
      <c r="P101" s="294"/>
      <c r="Q101" s="294"/>
      <c r="R101" s="294"/>
      <c r="S101" s="294"/>
      <c r="T101" s="294"/>
      <c r="U101" s="294"/>
      <c r="V101" s="294"/>
    </row>
    <row r="102" spans="1:29">
      <c r="B102" s="294"/>
      <c r="C102" s="294"/>
      <c r="D102" s="294"/>
      <c r="E102" s="294"/>
      <c r="F102" s="294"/>
      <c r="G102" s="294"/>
      <c r="H102" s="294"/>
      <c r="I102" s="294"/>
      <c r="J102" s="294"/>
      <c r="K102" s="294"/>
      <c r="L102" s="294"/>
      <c r="M102" s="294"/>
      <c r="N102" s="294"/>
      <c r="O102" s="294"/>
      <c r="P102" s="294"/>
      <c r="Q102" s="294"/>
      <c r="R102" s="294"/>
      <c r="S102" s="294"/>
      <c r="T102" s="294"/>
      <c r="U102" s="294"/>
      <c r="V102" s="294"/>
    </row>
    <row r="103" spans="1:29">
      <c r="B103" s="294"/>
      <c r="C103" s="294"/>
      <c r="D103" s="294"/>
      <c r="E103" s="294"/>
      <c r="F103" s="294"/>
      <c r="G103" s="294"/>
      <c r="H103" s="294"/>
      <c r="I103" s="294"/>
      <c r="J103" s="294"/>
      <c r="K103" s="294"/>
      <c r="L103" s="294"/>
      <c r="M103" s="294"/>
      <c r="N103" s="294"/>
      <c r="O103" s="294"/>
      <c r="P103" s="294"/>
      <c r="Q103" s="294"/>
      <c r="R103" s="294"/>
      <c r="S103" s="294"/>
      <c r="T103" s="294"/>
      <c r="U103" s="294"/>
      <c r="V103" s="294"/>
    </row>
    <row r="104" spans="1:29">
      <c r="B104" s="294"/>
      <c r="C104" s="294"/>
      <c r="D104" s="294"/>
      <c r="E104" s="294"/>
      <c r="F104" s="294"/>
      <c r="G104" s="294"/>
      <c r="H104" s="294"/>
      <c r="I104" s="294"/>
      <c r="J104" s="294"/>
      <c r="K104" s="294"/>
      <c r="L104" s="294"/>
      <c r="M104" s="294"/>
      <c r="N104" s="294"/>
      <c r="O104" s="294"/>
      <c r="P104" s="294"/>
      <c r="Q104" s="294"/>
      <c r="R104" s="294"/>
      <c r="S104" s="294"/>
      <c r="T104" s="294"/>
      <c r="U104" s="294"/>
      <c r="V104" s="294"/>
    </row>
    <row r="105" spans="1:29">
      <c r="B105" s="294"/>
      <c r="C105" s="294"/>
      <c r="D105" s="294"/>
      <c r="E105" s="294"/>
      <c r="F105" s="294"/>
      <c r="G105" s="294"/>
      <c r="H105" s="294"/>
      <c r="I105" s="294"/>
      <c r="J105" s="294"/>
      <c r="K105" s="294"/>
      <c r="L105" s="294"/>
      <c r="M105" s="294"/>
      <c r="N105" s="294"/>
      <c r="O105" s="294"/>
      <c r="P105" s="294"/>
      <c r="Q105" s="294"/>
      <c r="R105" s="294"/>
      <c r="S105" s="294"/>
      <c r="T105" s="294"/>
      <c r="U105" s="294"/>
      <c r="V105" s="294"/>
    </row>
    <row r="106" spans="1:29">
      <c r="B106" s="294"/>
      <c r="C106" s="294"/>
      <c r="D106" s="294"/>
      <c r="E106" s="294"/>
      <c r="F106" s="294"/>
      <c r="G106" s="294"/>
      <c r="H106" s="294"/>
      <c r="I106" s="294"/>
      <c r="J106" s="294"/>
      <c r="K106" s="294"/>
      <c r="L106" s="294"/>
      <c r="M106" s="294"/>
      <c r="N106" s="294"/>
      <c r="O106" s="294"/>
      <c r="P106" s="294"/>
      <c r="Q106" s="294"/>
      <c r="R106" s="294"/>
      <c r="S106" s="294"/>
      <c r="T106" s="294"/>
      <c r="U106" s="294"/>
      <c r="V106" s="294"/>
    </row>
    <row r="107" spans="1:29">
      <c r="B107" s="294"/>
      <c r="C107" s="294"/>
      <c r="D107" s="294"/>
      <c r="E107" s="294"/>
      <c r="F107" s="294"/>
      <c r="G107" s="294"/>
      <c r="H107" s="294"/>
      <c r="I107" s="294"/>
      <c r="J107" s="294"/>
      <c r="K107" s="294"/>
      <c r="L107" s="294"/>
      <c r="M107" s="294"/>
      <c r="N107" s="294"/>
      <c r="O107" s="294"/>
      <c r="P107" s="294"/>
      <c r="Q107" s="294"/>
      <c r="R107" s="294"/>
      <c r="S107" s="294"/>
      <c r="T107" s="294"/>
      <c r="U107" s="294"/>
      <c r="V107" s="294"/>
    </row>
    <row r="108" spans="1:29">
      <c r="B108" s="294"/>
      <c r="C108" s="294"/>
      <c r="D108" s="294"/>
      <c r="E108" s="294"/>
      <c r="F108" s="294"/>
      <c r="G108" s="294"/>
      <c r="H108" s="294"/>
      <c r="I108" s="294"/>
      <c r="J108" s="294"/>
      <c r="K108" s="294"/>
      <c r="L108" s="294"/>
      <c r="M108" s="294"/>
      <c r="N108" s="294"/>
      <c r="O108" s="294"/>
      <c r="P108" s="294"/>
      <c r="Q108" s="294"/>
      <c r="R108" s="294"/>
      <c r="S108" s="294"/>
      <c r="T108" s="294"/>
      <c r="U108" s="294"/>
      <c r="V108" s="294"/>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21"/>
  <sheetViews>
    <sheetView workbookViewId="0">
      <selection activeCell="C26" sqref="C26"/>
    </sheetView>
  </sheetViews>
  <sheetFormatPr baseColWidth="10" defaultColWidth="8.83203125" defaultRowHeight="12" x14ac:dyDescent="0"/>
  <cols>
    <col min="1" max="1" width="3.5" style="272" customWidth="1"/>
    <col min="2" max="2" width="26.6640625" style="272" customWidth="1"/>
    <col min="3" max="3" width="15.33203125" style="272" customWidth="1"/>
    <col min="4" max="5" width="8.83203125" style="272"/>
    <col min="6" max="14" width="6.33203125" style="272" bestFit="1" customWidth="1"/>
    <col min="15" max="15" width="8.83203125" style="272"/>
    <col min="16" max="16" width="7.1640625" style="272" customWidth="1"/>
    <col min="17" max="19" width="6.33203125" style="272" bestFit="1" customWidth="1"/>
    <col min="20" max="20" width="7.5" style="272" customWidth="1"/>
    <col min="21" max="21" width="6.33203125" style="272" bestFit="1" customWidth="1"/>
    <col min="22" max="28" width="4.5" style="272" bestFit="1" customWidth="1"/>
    <col min="29" max="16384" width="8.83203125" style="272"/>
  </cols>
  <sheetData>
    <row r="2" spans="2:28" ht="26">
      <c r="B2" s="356" t="s">
        <v>290</v>
      </c>
    </row>
    <row r="4" spans="2:28" ht="17">
      <c r="P4" s="361" t="s">
        <v>259</v>
      </c>
      <c r="Q4" s="362"/>
      <c r="R4" s="362"/>
      <c r="S4" s="362"/>
      <c r="T4" s="363" t="s">
        <v>291</v>
      </c>
      <c r="U4" s="359"/>
    </row>
    <row r="6" spans="2:28" ht="13" thickBot="1">
      <c r="B6" s="357"/>
      <c r="C6" s="371">
        <v>2014</v>
      </c>
      <c r="D6" s="371">
        <v>2016</v>
      </c>
      <c r="E6" s="371">
        <v>2018</v>
      </c>
      <c r="F6" s="371">
        <v>2020</v>
      </c>
      <c r="G6" s="371">
        <v>2022</v>
      </c>
      <c r="H6" s="371">
        <v>2024</v>
      </c>
      <c r="I6" s="371">
        <v>2026</v>
      </c>
      <c r="J6" s="371">
        <v>2028</v>
      </c>
      <c r="K6" s="371">
        <v>2030</v>
      </c>
      <c r="L6" s="371">
        <v>2032</v>
      </c>
      <c r="M6" s="371">
        <v>2034</v>
      </c>
      <c r="N6" s="371">
        <v>2036</v>
      </c>
      <c r="O6" s="371">
        <v>2038</v>
      </c>
      <c r="P6" s="371">
        <v>2040</v>
      </c>
      <c r="Q6" s="371">
        <v>2042</v>
      </c>
      <c r="R6" s="371">
        <v>2044</v>
      </c>
      <c r="S6" s="371">
        <v>2046</v>
      </c>
      <c r="T6" s="371">
        <v>2048</v>
      </c>
      <c r="U6" s="372">
        <v>2050</v>
      </c>
      <c r="W6" s="359"/>
      <c r="X6" s="359"/>
      <c r="Y6" s="359"/>
      <c r="Z6" s="359"/>
    </row>
    <row r="7" spans="2:28">
      <c r="B7" s="387" t="s">
        <v>267</v>
      </c>
      <c r="C7" s="390">
        <v>0.15</v>
      </c>
      <c r="D7" s="391">
        <v>0.16</v>
      </c>
      <c r="E7" s="391">
        <v>0.16</v>
      </c>
      <c r="F7" s="391">
        <v>0.17</v>
      </c>
      <c r="G7" s="391">
        <v>0.17</v>
      </c>
      <c r="H7" s="391">
        <v>0.18</v>
      </c>
      <c r="I7" s="391">
        <v>0.18</v>
      </c>
      <c r="J7" s="391">
        <v>0.19</v>
      </c>
      <c r="K7" s="391">
        <v>0.19</v>
      </c>
      <c r="L7" s="391">
        <v>0.2</v>
      </c>
      <c r="M7" s="391">
        <v>0.2</v>
      </c>
      <c r="N7" s="391">
        <v>0.21</v>
      </c>
      <c r="O7" s="391">
        <v>0.21</v>
      </c>
      <c r="P7" s="391">
        <v>0.22</v>
      </c>
      <c r="Q7" s="391">
        <v>0.22</v>
      </c>
      <c r="R7" s="391">
        <v>0.22</v>
      </c>
      <c r="S7" s="391">
        <v>0.22</v>
      </c>
      <c r="T7" s="391">
        <v>0.22</v>
      </c>
      <c r="U7" s="392">
        <v>0.22</v>
      </c>
      <c r="Z7" s="359"/>
    </row>
    <row r="8" spans="2:28">
      <c r="B8" s="388" t="s">
        <v>268</v>
      </c>
      <c r="C8" s="393">
        <v>0.15</v>
      </c>
      <c r="D8" s="373">
        <v>0.15</v>
      </c>
      <c r="E8" s="373">
        <v>0.15</v>
      </c>
      <c r="F8" s="373">
        <v>0.15</v>
      </c>
      <c r="G8" s="373">
        <v>0.15</v>
      </c>
      <c r="H8" s="373">
        <v>0.15</v>
      </c>
      <c r="I8" s="373">
        <v>0.15</v>
      </c>
      <c r="J8" s="373">
        <v>0.15</v>
      </c>
      <c r="K8" s="373">
        <v>0.15</v>
      </c>
      <c r="L8" s="373">
        <v>0.15</v>
      </c>
      <c r="M8" s="373">
        <v>0.15</v>
      </c>
      <c r="N8" s="373">
        <v>0.15</v>
      </c>
      <c r="O8" s="373">
        <v>0.15</v>
      </c>
      <c r="P8" s="373">
        <v>0.15</v>
      </c>
      <c r="Q8" s="373">
        <v>0.15</v>
      </c>
      <c r="R8" s="373">
        <v>0.15</v>
      </c>
      <c r="S8" s="373">
        <v>0.15</v>
      </c>
      <c r="T8" s="373">
        <v>0.15</v>
      </c>
      <c r="U8" s="394">
        <v>0.15</v>
      </c>
      <c r="Z8" s="359"/>
    </row>
    <row r="9" spans="2:28">
      <c r="B9" s="388" t="s">
        <v>269</v>
      </c>
      <c r="C9" s="395">
        <v>13.942593694229627</v>
      </c>
      <c r="D9" s="374">
        <v>14.872099940511603</v>
      </c>
      <c r="E9" s="374">
        <v>14.872099940511603</v>
      </c>
      <c r="F9" s="374">
        <v>15.801606186793579</v>
      </c>
      <c r="G9" s="374">
        <v>15.801606186793579</v>
      </c>
      <c r="H9" s="374">
        <v>16.731112433075552</v>
      </c>
      <c r="I9" s="374">
        <v>16.731112433075552</v>
      </c>
      <c r="J9" s="374">
        <v>17.66061867935753</v>
      </c>
      <c r="K9" s="374">
        <v>17.66061867935753</v>
      </c>
      <c r="L9" s="374">
        <v>18.590124925639504</v>
      </c>
      <c r="M9" s="374">
        <v>18.590124925639504</v>
      </c>
      <c r="N9" s="374">
        <v>19.519631171921478</v>
      </c>
      <c r="O9" s="374">
        <v>19.519631171921478</v>
      </c>
      <c r="P9" s="374">
        <v>20.449137418203453</v>
      </c>
      <c r="Q9" s="374">
        <v>20.449137418203453</v>
      </c>
      <c r="R9" s="374">
        <v>20.449137418203453</v>
      </c>
      <c r="S9" s="374">
        <v>20.449137418203453</v>
      </c>
      <c r="T9" s="374">
        <v>20.449137418203453</v>
      </c>
      <c r="U9" s="396">
        <v>20.449137418203453</v>
      </c>
      <c r="Z9" s="359"/>
    </row>
    <row r="10" spans="2:28">
      <c r="B10" s="388" t="s">
        <v>270</v>
      </c>
      <c r="C10" s="395">
        <v>13.942593694229627</v>
      </c>
      <c r="D10" s="374">
        <v>13.942593694229627</v>
      </c>
      <c r="E10" s="374">
        <v>13.942593694229627</v>
      </c>
      <c r="F10" s="374">
        <v>13.942593694229627</v>
      </c>
      <c r="G10" s="374">
        <v>13.942593694229627</v>
      </c>
      <c r="H10" s="374">
        <v>13.942593694229627</v>
      </c>
      <c r="I10" s="374">
        <v>13.942593694229627</v>
      </c>
      <c r="J10" s="374">
        <v>13.942593694229627</v>
      </c>
      <c r="K10" s="374">
        <v>13.942593694229627</v>
      </c>
      <c r="L10" s="374">
        <v>13.942593694229627</v>
      </c>
      <c r="M10" s="374">
        <v>13.942593694229627</v>
      </c>
      <c r="N10" s="374">
        <v>13.942593694229627</v>
      </c>
      <c r="O10" s="374">
        <v>13.942593694229627</v>
      </c>
      <c r="P10" s="374">
        <v>13.942593694229627</v>
      </c>
      <c r="Q10" s="374">
        <v>13.942593694229627</v>
      </c>
      <c r="R10" s="374">
        <v>13.942593694229627</v>
      </c>
      <c r="S10" s="374">
        <v>13.942593694229627</v>
      </c>
      <c r="T10" s="374">
        <v>13.942593694229627</v>
      </c>
      <c r="U10" s="396">
        <v>13.942593694229627</v>
      </c>
      <c r="Z10" s="359"/>
    </row>
    <row r="11" spans="2:28" ht="12.75" customHeight="1" thickBot="1">
      <c r="B11" s="389" t="s">
        <v>276</v>
      </c>
      <c r="C11" s="397">
        <v>10</v>
      </c>
      <c r="D11" s="398">
        <v>20</v>
      </c>
      <c r="E11" s="398">
        <v>20</v>
      </c>
      <c r="F11" s="398">
        <v>20</v>
      </c>
      <c r="G11" s="398">
        <v>20</v>
      </c>
      <c r="H11" s="398">
        <v>20</v>
      </c>
      <c r="I11" s="398">
        <v>20</v>
      </c>
      <c r="J11" s="398">
        <v>20</v>
      </c>
      <c r="K11" s="398">
        <v>20</v>
      </c>
      <c r="L11" s="398">
        <v>20</v>
      </c>
      <c r="M11" s="398">
        <v>20</v>
      </c>
      <c r="N11" s="398">
        <v>20</v>
      </c>
      <c r="O11" s="398">
        <v>20</v>
      </c>
      <c r="P11" s="398">
        <v>20</v>
      </c>
      <c r="Q11" s="398">
        <v>20</v>
      </c>
      <c r="R11" s="398">
        <v>20</v>
      </c>
      <c r="S11" s="398">
        <v>20</v>
      </c>
      <c r="T11" s="398">
        <v>20</v>
      </c>
      <c r="U11" s="399">
        <v>20</v>
      </c>
      <c r="Z11" s="359"/>
    </row>
    <row r="12" spans="2:28">
      <c r="D12" s="357"/>
      <c r="E12" s="357"/>
      <c r="F12" s="357"/>
      <c r="G12" s="360"/>
      <c r="H12" s="360"/>
      <c r="I12" s="360"/>
      <c r="J12" s="360"/>
      <c r="K12" s="360"/>
      <c r="L12" s="360"/>
      <c r="M12" s="360"/>
      <c r="N12" s="360"/>
      <c r="O12" s="360"/>
      <c r="P12" s="360"/>
      <c r="Q12" s="360"/>
      <c r="R12" s="360"/>
      <c r="S12" s="360"/>
      <c r="T12" s="360"/>
      <c r="U12" s="360"/>
      <c r="V12" s="360"/>
      <c r="W12" s="360"/>
      <c r="X12" s="360"/>
      <c r="Y12" s="360"/>
      <c r="Z12" s="359"/>
    </row>
    <row r="13" spans="2:28" ht="21">
      <c r="B13" s="358" t="s">
        <v>297</v>
      </c>
      <c r="C13" s="364"/>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row>
    <row r="14" spans="2:28" ht="13" thickBot="1"/>
    <row r="15" spans="2:28" ht="13" thickBot="1">
      <c r="B15" s="387" t="s">
        <v>296</v>
      </c>
      <c r="C15" s="400">
        <v>5.0000000000000001E-3</v>
      </c>
    </row>
    <row r="18" spans="2:28">
      <c r="B18" s="401" t="s">
        <v>298</v>
      </c>
    </row>
    <row r="19" spans="2:28" ht="13" thickBot="1"/>
    <row r="20" spans="2:28">
      <c r="B20" s="367" t="s">
        <v>2</v>
      </c>
      <c r="C20" s="369">
        <v>1</v>
      </c>
      <c r="D20" s="369">
        <v>2</v>
      </c>
      <c r="E20" s="369">
        <v>3</v>
      </c>
      <c r="F20" s="369">
        <v>4</v>
      </c>
      <c r="G20" s="369">
        <v>5</v>
      </c>
      <c r="H20" s="369">
        <v>6</v>
      </c>
      <c r="I20" s="369">
        <v>7</v>
      </c>
      <c r="J20" s="369">
        <v>8</v>
      </c>
      <c r="K20" s="369">
        <v>9</v>
      </c>
      <c r="L20" s="369">
        <v>10</v>
      </c>
      <c r="M20" s="369">
        <v>11</v>
      </c>
      <c r="N20" s="369">
        <v>12</v>
      </c>
      <c r="O20" s="369">
        <v>13</v>
      </c>
      <c r="P20" s="369">
        <v>14</v>
      </c>
      <c r="Q20" s="369">
        <v>15</v>
      </c>
      <c r="R20" s="369">
        <v>16</v>
      </c>
      <c r="S20" s="369">
        <v>17</v>
      </c>
      <c r="T20" s="369">
        <v>18</v>
      </c>
      <c r="U20" s="369">
        <v>19</v>
      </c>
      <c r="V20" s="369">
        <v>20</v>
      </c>
      <c r="W20" s="369">
        <v>21</v>
      </c>
      <c r="X20" s="369">
        <v>22</v>
      </c>
      <c r="Y20" s="369">
        <v>23</v>
      </c>
      <c r="Z20" s="369">
        <v>24</v>
      </c>
      <c r="AA20" s="369">
        <v>25</v>
      </c>
      <c r="AB20" s="370">
        <v>26</v>
      </c>
    </row>
    <row r="21" spans="2:28" ht="13" thickBot="1">
      <c r="B21" s="368" t="s">
        <v>287</v>
      </c>
      <c r="C21" s="365">
        <v>1</v>
      </c>
      <c r="D21" s="366">
        <f>C21*(1-$C$15)</f>
        <v>0.995</v>
      </c>
      <c r="E21" s="366">
        <f t="shared" ref="E21:AB21" si="0">D21*(1-$C$15)</f>
        <v>0.99002500000000004</v>
      </c>
      <c r="F21" s="366">
        <f t="shared" si="0"/>
        <v>0.98507487500000002</v>
      </c>
      <c r="G21" s="366">
        <f t="shared" si="0"/>
        <v>0.98014950062500006</v>
      </c>
      <c r="H21" s="366">
        <f t="shared" si="0"/>
        <v>0.97524875312187509</v>
      </c>
      <c r="I21" s="366">
        <f t="shared" si="0"/>
        <v>0.97037250935626573</v>
      </c>
      <c r="J21" s="366">
        <f t="shared" si="0"/>
        <v>0.96552064680948435</v>
      </c>
      <c r="K21" s="366">
        <f t="shared" si="0"/>
        <v>0.96069304357543694</v>
      </c>
      <c r="L21" s="366">
        <f t="shared" si="0"/>
        <v>0.95588957835755972</v>
      </c>
      <c r="M21" s="366">
        <f t="shared" si="0"/>
        <v>0.95111013046577186</v>
      </c>
      <c r="N21" s="366">
        <f t="shared" si="0"/>
        <v>0.94635457981344295</v>
      </c>
      <c r="O21" s="366">
        <f t="shared" si="0"/>
        <v>0.94162280691437572</v>
      </c>
      <c r="P21" s="366">
        <f t="shared" si="0"/>
        <v>0.93691469287980389</v>
      </c>
      <c r="Q21" s="366">
        <f t="shared" si="0"/>
        <v>0.9322301194154049</v>
      </c>
      <c r="R21" s="366">
        <f t="shared" si="0"/>
        <v>0.92756896881832784</v>
      </c>
      <c r="S21" s="366">
        <f t="shared" si="0"/>
        <v>0.92293112397423616</v>
      </c>
      <c r="T21" s="366">
        <f t="shared" si="0"/>
        <v>0.91831646835436498</v>
      </c>
      <c r="U21" s="366">
        <f t="shared" si="0"/>
        <v>0.91372488601259316</v>
      </c>
      <c r="V21" s="366">
        <f t="shared" si="0"/>
        <v>0.90915626158253016</v>
      </c>
      <c r="W21" s="366">
        <f t="shared" si="0"/>
        <v>0.90461048027461755</v>
      </c>
      <c r="X21" s="366">
        <f t="shared" si="0"/>
        <v>0.90008742787324447</v>
      </c>
      <c r="Y21" s="366">
        <f t="shared" si="0"/>
        <v>0.89558699073387826</v>
      </c>
      <c r="Z21" s="366">
        <f t="shared" si="0"/>
        <v>0.89110905578020883</v>
      </c>
      <c r="AA21" s="366">
        <f t="shared" si="0"/>
        <v>0.88665351050130781</v>
      </c>
      <c r="AB21" s="366">
        <f t="shared" si="0"/>
        <v>0.8822202429488013</v>
      </c>
    </row>
  </sheetData>
  <dataValidations disablePrompts="1" count="1">
    <dataValidation type="list" allowBlank="1" showInputMessage="1" showErrorMessage="1" sqref="T4">
      <formula1>"No Tech Change, Slow Tech Change,Ref. Tech Change, Fast Tech Change"</formula1>
    </dataValidation>
  </dataValidation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13" zoomScale="85" zoomScaleNormal="85" zoomScalePageLayoutView="85" workbookViewId="0">
      <selection activeCell="C2" sqref="C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75"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15"/>
      <c r="D6" s="180" t="s">
        <v>107</v>
      </c>
      <c r="E6" s="181">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36" t="s">
        <v>53</v>
      </c>
      <c r="D9" s="437"/>
      <c r="E9" s="275" t="s">
        <v>149</v>
      </c>
      <c r="F9" s="195" t="s">
        <v>150</v>
      </c>
      <c r="G9" s="144"/>
      <c r="H9" s="242"/>
      <c r="I9" s="242"/>
      <c r="J9" s="427" t="s">
        <v>135</v>
      </c>
      <c r="K9" s="428"/>
      <c r="L9" s="429"/>
      <c r="M9" s="173"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91" t="s">
        <v>130</v>
      </c>
      <c r="D10" s="191"/>
      <c r="E10" s="276">
        <v>15</v>
      </c>
      <c r="F10" s="196">
        <v>15</v>
      </c>
      <c r="G10" s="144"/>
      <c r="H10" s="145"/>
      <c r="I10" s="145"/>
      <c r="J10" s="182" t="s">
        <v>2</v>
      </c>
      <c r="K10" s="182" t="s">
        <v>142</v>
      </c>
      <c r="L10" s="182" t="s">
        <v>68</v>
      </c>
      <c r="M10" s="174"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91" t="s">
        <v>131</v>
      </c>
      <c r="D11" s="191"/>
      <c r="E11" s="277">
        <v>0.06</v>
      </c>
      <c r="F11" s="198">
        <v>0.06</v>
      </c>
      <c r="G11" s="144"/>
      <c r="H11" s="158"/>
      <c r="I11" s="158"/>
      <c r="J11" s="183">
        <v>1</v>
      </c>
      <c r="K11" s="184">
        <v>0.2</v>
      </c>
      <c r="L11" s="18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91" t="s">
        <v>132</v>
      </c>
      <c r="D12" s="191"/>
      <c r="E12" s="277">
        <v>0.2</v>
      </c>
      <c r="F12" s="198">
        <v>0.2</v>
      </c>
      <c r="G12" s="144"/>
      <c r="H12" s="158"/>
      <c r="I12" s="158"/>
      <c r="J12" s="186">
        <v>2</v>
      </c>
      <c r="K12" s="172">
        <v>0.32</v>
      </c>
      <c r="L12" s="18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91" t="s">
        <v>133</v>
      </c>
      <c r="D13" s="191"/>
      <c r="E13" s="277">
        <v>0.1</v>
      </c>
      <c r="F13" s="198">
        <v>0.1</v>
      </c>
      <c r="G13" s="144"/>
      <c r="H13" s="158"/>
      <c r="I13" s="158"/>
      <c r="J13" s="186">
        <v>3</v>
      </c>
      <c r="K13" s="172">
        <v>0.192</v>
      </c>
      <c r="L13" s="18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91" t="s">
        <v>55</v>
      </c>
      <c r="D14" s="192"/>
      <c r="E14" s="278">
        <v>0.33</v>
      </c>
      <c r="F14" s="199">
        <v>0.33</v>
      </c>
      <c r="G14" s="144"/>
      <c r="H14" s="158"/>
      <c r="I14" s="158"/>
      <c r="J14" s="186">
        <v>4</v>
      </c>
      <c r="K14" s="172">
        <v>0.1152</v>
      </c>
      <c r="L14" s="18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9"/>
      <c r="G15" s="155"/>
      <c r="H15" s="158"/>
      <c r="I15" s="158"/>
      <c r="J15" s="186">
        <v>5</v>
      </c>
      <c r="K15" s="172">
        <v>0.1152</v>
      </c>
      <c r="L15" s="18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44"/>
      <c r="C16" s="144"/>
      <c r="D16" s="144"/>
      <c r="E16" s="144"/>
      <c r="F16" s="144"/>
      <c r="G16" s="79"/>
      <c r="H16" s="79"/>
      <c r="I16" s="19"/>
      <c r="J16" s="186">
        <v>6</v>
      </c>
      <c r="K16" s="172">
        <v>5.7599999999999998E-2</v>
      </c>
      <c r="L16" s="187">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52"/>
      <c r="C17" s="438" t="s">
        <v>54</v>
      </c>
      <c r="D17" s="439"/>
      <c r="E17" s="200" t="s">
        <v>149</v>
      </c>
      <c r="F17" s="201" t="s">
        <v>150</v>
      </c>
      <c r="G17" s="116"/>
      <c r="H17" s="116"/>
      <c r="I17" s="78"/>
      <c r="J17" s="186">
        <v>7</v>
      </c>
      <c r="K17" s="175">
        <v>0</v>
      </c>
      <c r="L17" s="187">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44"/>
      <c r="C18" s="193" t="s">
        <v>134</v>
      </c>
      <c r="D18" s="193"/>
      <c r="E18" s="202">
        <v>20</v>
      </c>
      <c r="F18" s="203">
        <v>20</v>
      </c>
      <c r="G18" s="21"/>
      <c r="H18" s="21"/>
      <c r="I18" s="78"/>
      <c r="J18" s="186">
        <v>8</v>
      </c>
      <c r="K18" s="175">
        <v>0</v>
      </c>
      <c r="L18" s="187">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44"/>
      <c r="C19" s="193" t="s">
        <v>131</v>
      </c>
      <c r="D19" s="193"/>
      <c r="E19" s="197">
        <v>0.06</v>
      </c>
      <c r="F19" s="198">
        <v>0.05</v>
      </c>
      <c r="G19" s="100"/>
      <c r="H19" s="100"/>
      <c r="I19" s="78"/>
      <c r="J19" s="186">
        <v>9</v>
      </c>
      <c r="K19" s="175">
        <v>0</v>
      </c>
      <c r="L19" s="18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44"/>
      <c r="C20" s="193" t="s">
        <v>132</v>
      </c>
      <c r="D20" s="194"/>
      <c r="E20" s="197">
        <v>1</v>
      </c>
      <c r="F20" s="198">
        <v>0</v>
      </c>
      <c r="G20" s="21"/>
      <c r="H20" s="21"/>
      <c r="I20" s="78"/>
      <c r="J20" s="186">
        <v>10</v>
      </c>
      <c r="K20" s="175">
        <v>0</v>
      </c>
      <c r="L20" s="18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44"/>
      <c r="C21" s="193" t="s">
        <v>133</v>
      </c>
      <c r="D21" s="194"/>
      <c r="E21" s="197">
        <v>0.12</v>
      </c>
      <c r="F21" s="198">
        <v>0.1</v>
      </c>
      <c r="G21" s="21"/>
      <c r="H21" s="21"/>
      <c r="I21" s="168"/>
      <c r="J21" s="186">
        <v>11</v>
      </c>
      <c r="K21" s="175">
        <v>0</v>
      </c>
      <c r="L21" s="18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44"/>
      <c r="C22" s="193" t="s">
        <v>55</v>
      </c>
      <c r="D22" s="194"/>
      <c r="E22" s="197">
        <v>0.35</v>
      </c>
      <c r="F22" s="198">
        <v>0</v>
      </c>
      <c r="G22" s="21"/>
      <c r="H22" s="21"/>
      <c r="I22" s="78"/>
      <c r="J22" s="186">
        <v>12</v>
      </c>
      <c r="K22" s="175">
        <v>0</v>
      </c>
      <c r="L22" s="18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44"/>
      <c r="C23" s="193" t="s">
        <v>100</v>
      </c>
      <c r="D23" s="194"/>
      <c r="E23" s="204">
        <v>25</v>
      </c>
      <c r="F23" s="205">
        <v>25</v>
      </c>
      <c r="G23" s="163"/>
      <c r="H23" s="163"/>
      <c r="I23" s="169"/>
      <c r="J23" s="186">
        <v>13</v>
      </c>
      <c r="K23" s="175">
        <v>0</v>
      </c>
      <c r="L23" s="18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44"/>
      <c r="C24" s="144"/>
      <c r="D24" s="144"/>
      <c r="E24" s="144"/>
      <c r="F24" s="144"/>
      <c r="G24" s="144"/>
      <c r="H24" s="144"/>
      <c r="I24" s="170"/>
      <c r="J24" s="186">
        <v>14</v>
      </c>
      <c r="K24" s="175">
        <v>0</v>
      </c>
      <c r="L24" s="18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44"/>
      <c r="C25" s="144"/>
      <c r="D25" s="144"/>
      <c r="E25" s="144"/>
      <c r="F25" s="144"/>
      <c r="G25" s="144"/>
      <c r="H25" s="144"/>
      <c r="I25" s="160"/>
      <c r="J25" s="186">
        <v>15</v>
      </c>
      <c r="K25" s="175">
        <v>0</v>
      </c>
      <c r="L25" s="18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51"/>
      <c r="C26" s="440" t="s">
        <v>136</v>
      </c>
      <c r="D26" s="441"/>
      <c r="E26" s="206" t="s">
        <v>149</v>
      </c>
      <c r="F26" s="207" t="s">
        <v>150</v>
      </c>
      <c r="G26" s="153"/>
      <c r="H26" s="153"/>
      <c r="I26" s="155"/>
      <c r="J26" s="186">
        <v>16</v>
      </c>
      <c r="K26" s="175">
        <v>0</v>
      </c>
      <c r="L26" s="18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93" t="s">
        <v>134</v>
      </c>
      <c r="D27" s="193"/>
      <c r="E27" s="202">
        <v>20</v>
      </c>
      <c r="F27" s="203">
        <v>20</v>
      </c>
      <c r="G27" s="21"/>
      <c r="H27" s="21"/>
      <c r="I27" s="161"/>
      <c r="J27" s="186">
        <v>17</v>
      </c>
      <c r="K27" s="175">
        <v>0</v>
      </c>
      <c r="L27" s="18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93" t="s">
        <v>131</v>
      </c>
      <c r="D28" s="193"/>
      <c r="E28" s="197">
        <v>0.06</v>
      </c>
      <c r="F28" s="198">
        <v>0.05</v>
      </c>
      <c r="G28" s="155"/>
      <c r="H28" s="155"/>
      <c r="I28" s="161"/>
      <c r="J28" s="186">
        <v>18</v>
      </c>
      <c r="K28" s="175">
        <v>0</v>
      </c>
      <c r="L28" s="18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93" t="s">
        <v>132</v>
      </c>
      <c r="D29" s="194"/>
      <c r="E29" s="197">
        <v>1</v>
      </c>
      <c r="F29" s="198">
        <v>1</v>
      </c>
      <c r="G29" s="155"/>
      <c r="H29" s="155"/>
      <c r="I29" s="161"/>
      <c r="J29" s="186">
        <v>19</v>
      </c>
      <c r="K29" s="175">
        <v>0</v>
      </c>
      <c r="L29" s="18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93" t="s">
        <v>133</v>
      </c>
      <c r="D30" s="194"/>
      <c r="E30" s="197">
        <v>0.12</v>
      </c>
      <c r="F30" s="198">
        <v>0.1</v>
      </c>
      <c r="G30" s="162"/>
      <c r="H30" s="162"/>
      <c r="I30" s="161"/>
      <c r="J30" s="188">
        <v>20</v>
      </c>
      <c r="K30" s="189">
        <v>0</v>
      </c>
      <c r="L30" s="19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93" t="s">
        <v>55</v>
      </c>
      <c r="D31" s="194"/>
      <c r="E31" s="197">
        <v>0.35</v>
      </c>
      <c r="F31" s="198">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93" t="s">
        <v>100</v>
      </c>
      <c r="D32" s="194"/>
      <c r="E32" s="204">
        <v>25</v>
      </c>
      <c r="F32" s="205">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9"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32"/>
      <c r="D35" s="430" t="s">
        <v>120</v>
      </c>
      <c r="E35" s="431"/>
      <c r="F35" s="432" t="s">
        <v>121</v>
      </c>
      <c r="G35" s="433"/>
      <c r="H35" s="434" t="s">
        <v>122</v>
      </c>
      <c r="I35" s="43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33" t="s">
        <v>2</v>
      </c>
      <c r="D36" s="234" t="s">
        <v>163</v>
      </c>
      <c r="E36" s="234" t="s">
        <v>164</v>
      </c>
      <c r="F36" s="234" t="s">
        <v>163</v>
      </c>
      <c r="G36" s="234" t="s">
        <v>164</v>
      </c>
      <c r="H36" s="234" t="s">
        <v>163</v>
      </c>
      <c r="I36" s="235"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36">
        <v>0</v>
      </c>
      <c r="D37" s="237">
        <v>0.9</v>
      </c>
      <c r="E37" s="237">
        <v>0.9</v>
      </c>
      <c r="F37" s="237">
        <v>0.9</v>
      </c>
      <c r="G37" s="237">
        <v>0.9</v>
      </c>
      <c r="H37" s="237">
        <v>0.9</v>
      </c>
      <c r="I37" s="23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36">
        <v>1</v>
      </c>
      <c r="D38" s="237">
        <v>0.62</v>
      </c>
      <c r="E38" s="237">
        <v>0.62</v>
      </c>
      <c r="F38" s="237">
        <v>0.62</v>
      </c>
      <c r="G38" s="237">
        <v>0.62</v>
      </c>
      <c r="H38" s="237">
        <v>0.62</v>
      </c>
      <c r="I38" s="23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36">
        <v>2</v>
      </c>
      <c r="D39" s="237">
        <v>0.3</v>
      </c>
      <c r="E39" s="237">
        <v>0.3</v>
      </c>
      <c r="F39" s="237">
        <v>0.3</v>
      </c>
      <c r="G39" s="237">
        <v>0.3</v>
      </c>
      <c r="H39" s="237">
        <v>0.3</v>
      </c>
      <c r="I39" s="23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36">
        <v>3</v>
      </c>
      <c r="D40" s="237">
        <v>0.18</v>
      </c>
      <c r="E40" s="237">
        <v>0.18</v>
      </c>
      <c r="F40" s="237">
        <v>0.18</v>
      </c>
      <c r="G40" s="237">
        <v>0.18</v>
      </c>
      <c r="H40" s="237">
        <v>0.18</v>
      </c>
      <c r="I40" s="23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36">
        <v>4</v>
      </c>
      <c r="D41" s="237">
        <v>0.13999999999999999</v>
      </c>
      <c r="E41" s="237">
        <v>0.13999999999999999</v>
      </c>
      <c r="F41" s="237">
        <v>0.13999999999999999</v>
      </c>
      <c r="G41" s="237">
        <v>0.13999999999999999</v>
      </c>
      <c r="H41" s="237">
        <v>0.13999999999999999</v>
      </c>
      <c r="I41" s="23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36">
        <v>5</v>
      </c>
      <c r="D42" s="237">
        <v>0.1</v>
      </c>
      <c r="E42" s="237">
        <v>0.1</v>
      </c>
      <c r="F42" s="237">
        <v>0.1</v>
      </c>
      <c r="G42" s="237">
        <v>0.1</v>
      </c>
      <c r="H42" s="237">
        <v>0.1</v>
      </c>
      <c r="I42" s="23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36">
        <v>6</v>
      </c>
      <c r="D43" s="237">
        <v>0.08</v>
      </c>
      <c r="E43" s="237">
        <v>0.08</v>
      </c>
      <c r="F43" s="237">
        <v>0.08</v>
      </c>
      <c r="G43" s="237">
        <v>0.08</v>
      </c>
      <c r="H43" s="237">
        <v>0.08</v>
      </c>
      <c r="I43" s="23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36">
        <v>7</v>
      </c>
      <c r="D44" s="237">
        <v>6.5000000000000002E-2</v>
      </c>
      <c r="E44" s="237">
        <v>6.5000000000000002E-2</v>
      </c>
      <c r="F44" s="237">
        <v>6.5000000000000002E-2</v>
      </c>
      <c r="G44" s="237">
        <v>6.5000000000000002E-2</v>
      </c>
      <c r="H44" s="237">
        <v>6.5000000000000002E-2</v>
      </c>
      <c r="I44" s="23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36">
        <v>8</v>
      </c>
      <c r="D45" s="237">
        <v>0.05</v>
      </c>
      <c r="E45" s="237">
        <v>0.05</v>
      </c>
      <c r="F45" s="237">
        <v>0.05</v>
      </c>
      <c r="G45" s="237">
        <v>0.05</v>
      </c>
      <c r="H45" s="237">
        <v>0.05</v>
      </c>
      <c r="I45" s="23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36">
        <v>9</v>
      </c>
      <c r="D46" s="237">
        <v>0.05</v>
      </c>
      <c r="E46" s="237">
        <v>0.05</v>
      </c>
      <c r="F46" s="237">
        <v>0.05</v>
      </c>
      <c r="G46" s="237">
        <v>0.05</v>
      </c>
      <c r="H46" s="237">
        <v>0.05</v>
      </c>
      <c r="I46" s="23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36">
        <v>10</v>
      </c>
      <c r="D47" s="237">
        <v>0.04</v>
      </c>
      <c r="E47" s="237">
        <v>0.04</v>
      </c>
      <c r="F47" s="237">
        <v>0.04</v>
      </c>
      <c r="G47" s="237">
        <v>0.04</v>
      </c>
      <c r="H47" s="237">
        <v>0.04</v>
      </c>
      <c r="I47" s="23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36">
        <v>11</v>
      </c>
      <c r="D48" s="237">
        <v>3.7999999999999999E-2</v>
      </c>
      <c r="E48" s="237">
        <v>3.7999999999999999E-2</v>
      </c>
      <c r="F48" s="237">
        <v>3.7999999999999999E-2</v>
      </c>
      <c r="G48" s="237">
        <v>3.7999999999999999E-2</v>
      </c>
      <c r="H48" s="237">
        <v>3.7999999999999999E-2</v>
      </c>
      <c r="I48" s="23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36">
        <v>12</v>
      </c>
      <c r="D49" s="237">
        <v>3.5999999999999997E-2</v>
      </c>
      <c r="E49" s="237">
        <v>3.5999999999999997E-2</v>
      </c>
      <c r="F49" s="237">
        <v>3.5999999999999997E-2</v>
      </c>
      <c r="G49" s="237">
        <v>3.5999999999999997E-2</v>
      </c>
      <c r="H49" s="237">
        <v>3.5999999999999997E-2</v>
      </c>
      <c r="I49" s="23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36">
        <v>13</v>
      </c>
      <c r="D50" s="237">
        <v>3.3999999999999996E-2</v>
      </c>
      <c r="E50" s="237">
        <v>3.3999999999999996E-2</v>
      </c>
      <c r="F50" s="237">
        <v>3.3999999999999996E-2</v>
      </c>
      <c r="G50" s="237">
        <v>3.3999999999999996E-2</v>
      </c>
      <c r="H50" s="237">
        <v>3.3999999999999996E-2</v>
      </c>
      <c r="I50" s="23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36">
        <v>14</v>
      </c>
      <c r="D51" s="237">
        <v>3.2000000000000001E-2</v>
      </c>
      <c r="E51" s="237">
        <v>3.2000000000000001E-2</v>
      </c>
      <c r="F51" s="237">
        <v>3.2000000000000001E-2</v>
      </c>
      <c r="G51" s="237">
        <v>3.2000000000000001E-2</v>
      </c>
      <c r="H51" s="237">
        <v>3.2000000000000001E-2</v>
      </c>
      <c r="I51" s="23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36">
        <v>15</v>
      </c>
      <c r="D52" s="237">
        <v>0.03</v>
      </c>
      <c r="E52" s="237">
        <v>0.03</v>
      </c>
      <c r="F52" s="237">
        <v>0.03</v>
      </c>
      <c r="G52" s="237">
        <v>0.03</v>
      </c>
      <c r="H52" s="237">
        <v>0.03</v>
      </c>
      <c r="I52" s="23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36">
        <v>16</v>
      </c>
      <c r="D53" s="237">
        <v>2.7999999999999997E-2</v>
      </c>
      <c r="E53" s="237">
        <v>2.7999999999999997E-2</v>
      </c>
      <c r="F53" s="237">
        <v>2.7999999999999997E-2</v>
      </c>
      <c r="G53" s="237">
        <v>2.7999999999999997E-2</v>
      </c>
      <c r="H53" s="237">
        <v>2.7999999999999997E-2</v>
      </c>
      <c r="I53" s="23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36">
        <v>17</v>
      </c>
      <c r="D54" s="237">
        <v>2.6000000000000002E-2</v>
      </c>
      <c r="E54" s="237">
        <v>2.6000000000000002E-2</v>
      </c>
      <c r="F54" s="237">
        <v>2.6000000000000002E-2</v>
      </c>
      <c r="G54" s="237">
        <v>2.6000000000000002E-2</v>
      </c>
      <c r="H54" s="237">
        <v>2.6000000000000002E-2</v>
      </c>
      <c r="I54" s="23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36">
        <v>18</v>
      </c>
      <c r="D55" s="237">
        <v>2.4E-2</v>
      </c>
      <c r="E55" s="237">
        <v>2.4E-2</v>
      </c>
      <c r="F55" s="237">
        <v>2.4E-2</v>
      </c>
      <c r="G55" s="237">
        <v>2.4E-2</v>
      </c>
      <c r="H55" s="237">
        <v>2.4E-2</v>
      </c>
      <c r="I55" s="23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36">
        <v>19</v>
      </c>
      <c r="D56" s="237">
        <v>2.2000000000000002E-2</v>
      </c>
      <c r="E56" s="237">
        <v>2.2000000000000002E-2</v>
      </c>
      <c r="F56" s="237">
        <v>2.2000000000000002E-2</v>
      </c>
      <c r="G56" s="237">
        <v>2.2000000000000002E-2</v>
      </c>
      <c r="H56" s="237">
        <v>2.2000000000000002E-2</v>
      </c>
      <c r="I56" s="23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36">
        <v>20</v>
      </c>
      <c r="D57" s="237">
        <v>0.02</v>
      </c>
      <c r="E57" s="237">
        <v>0.02</v>
      </c>
      <c r="F57" s="237">
        <v>0.02</v>
      </c>
      <c r="G57" s="237">
        <v>0.02</v>
      </c>
      <c r="H57" s="237">
        <v>0.02</v>
      </c>
      <c r="I57" s="23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36">
        <v>21</v>
      </c>
      <c r="D58" s="237">
        <v>1.7999999999999999E-2</v>
      </c>
      <c r="E58" s="237">
        <v>1.7999999999999999E-2</v>
      </c>
      <c r="F58" s="237">
        <v>1.7999999999999999E-2</v>
      </c>
      <c r="G58" s="237">
        <v>1.7999999999999999E-2</v>
      </c>
      <c r="H58" s="237">
        <v>1.7999999999999999E-2</v>
      </c>
      <c r="I58" s="23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36">
        <v>22</v>
      </c>
      <c r="D59" s="237">
        <v>1.6E-2</v>
      </c>
      <c r="E59" s="237">
        <v>1.6E-2</v>
      </c>
      <c r="F59" s="237">
        <v>1.6E-2</v>
      </c>
      <c r="G59" s="237">
        <v>1.6E-2</v>
      </c>
      <c r="H59" s="237">
        <v>1.6E-2</v>
      </c>
      <c r="I59" s="23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36">
        <v>23</v>
      </c>
      <c r="D60" s="237">
        <v>1.3999999999999999E-2</v>
      </c>
      <c r="E60" s="237">
        <v>1.3999999999999999E-2</v>
      </c>
      <c r="F60" s="237">
        <v>1.3999999999999999E-2</v>
      </c>
      <c r="G60" s="237">
        <v>1.3999999999999999E-2</v>
      </c>
      <c r="H60" s="237">
        <v>1.3999999999999999E-2</v>
      </c>
      <c r="I60" s="23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36">
        <v>24</v>
      </c>
      <c r="D61" s="237">
        <v>1.2E-2</v>
      </c>
      <c r="E61" s="237">
        <v>1.2E-2</v>
      </c>
      <c r="F61" s="237">
        <v>1.2E-2</v>
      </c>
      <c r="G61" s="237">
        <v>1.2E-2</v>
      </c>
      <c r="H61" s="237">
        <v>1.2E-2</v>
      </c>
      <c r="I61" s="23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36">
        <v>25</v>
      </c>
      <c r="D62" s="237">
        <v>0.01</v>
      </c>
      <c r="E62" s="237">
        <v>0.01</v>
      </c>
      <c r="F62" s="237">
        <v>0.01</v>
      </c>
      <c r="G62" s="237">
        <v>0.01</v>
      </c>
      <c r="H62" s="237">
        <v>0.01</v>
      </c>
      <c r="I62" s="23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36">
        <v>26</v>
      </c>
      <c r="D63" s="237">
        <v>8.0000000000000002E-3</v>
      </c>
      <c r="E63" s="237">
        <v>8.0000000000000002E-3</v>
      </c>
      <c r="F63" s="237">
        <v>8.0000000000000002E-3</v>
      </c>
      <c r="G63" s="237">
        <v>8.0000000000000002E-3</v>
      </c>
      <c r="H63" s="237">
        <v>8.0000000000000002E-3</v>
      </c>
      <c r="I63" s="23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36">
        <v>27</v>
      </c>
      <c r="D64" s="237">
        <v>6.0000000000000001E-3</v>
      </c>
      <c r="E64" s="237">
        <v>6.0000000000000001E-3</v>
      </c>
      <c r="F64" s="237">
        <v>6.0000000000000001E-3</v>
      </c>
      <c r="G64" s="237">
        <v>6.0000000000000001E-3</v>
      </c>
      <c r="H64" s="237">
        <v>6.0000000000000001E-3</v>
      </c>
      <c r="I64" s="23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36">
        <v>28</v>
      </c>
      <c r="D65" s="237">
        <v>4.0000000000000001E-3</v>
      </c>
      <c r="E65" s="237">
        <v>4.0000000000000001E-3</v>
      </c>
      <c r="F65" s="237">
        <v>4.0000000000000001E-3</v>
      </c>
      <c r="G65" s="237">
        <v>4.0000000000000001E-3</v>
      </c>
      <c r="H65" s="237">
        <v>4.0000000000000001E-3</v>
      </c>
      <c r="I65" s="23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36">
        <v>29</v>
      </c>
      <c r="D66" s="237">
        <v>2E-3</v>
      </c>
      <c r="E66" s="237">
        <v>2E-3</v>
      </c>
      <c r="F66" s="237">
        <v>2E-3</v>
      </c>
      <c r="G66" s="237">
        <v>2E-3</v>
      </c>
      <c r="H66" s="237">
        <v>2E-3</v>
      </c>
      <c r="I66" s="23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9">
        <v>30</v>
      </c>
      <c r="D67" s="240">
        <v>0</v>
      </c>
      <c r="E67" s="240">
        <v>0</v>
      </c>
      <c r="F67" s="240">
        <v>0</v>
      </c>
      <c r="G67" s="240">
        <v>0</v>
      </c>
      <c r="H67" s="240">
        <v>0</v>
      </c>
      <c r="I67" s="24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0" zoomScaleNormal="80" zoomScalePageLayoutView="80" workbookViewId="0">
      <selection activeCell="D2" sqref="D2"/>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75"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9">
        <v>2014</v>
      </c>
      <c r="D7" s="220">
        <v>2016</v>
      </c>
      <c r="E7" s="220">
        <v>2018</v>
      </c>
      <c r="F7" s="220">
        <v>2020</v>
      </c>
      <c r="G7" s="220">
        <v>2022</v>
      </c>
      <c r="H7" s="220">
        <v>2024</v>
      </c>
      <c r="I7" s="220">
        <v>2026</v>
      </c>
      <c r="J7" s="220">
        <v>2028</v>
      </c>
      <c r="K7" s="220">
        <v>2030</v>
      </c>
      <c r="L7" s="220">
        <v>2032</v>
      </c>
      <c r="M7" s="220">
        <v>2034</v>
      </c>
      <c r="N7" s="220">
        <v>2036</v>
      </c>
      <c r="O7" s="220">
        <v>2038</v>
      </c>
      <c r="P7" s="220">
        <v>2040</v>
      </c>
      <c r="Q7" s="220">
        <v>2042</v>
      </c>
      <c r="R7" s="220">
        <v>2044</v>
      </c>
      <c r="S7" s="220">
        <v>2046</v>
      </c>
      <c r="T7" s="220">
        <v>2048</v>
      </c>
      <c r="U7" s="22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64" t="s">
        <v>127</v>
      </c>
      <c r="C8" s="222">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3">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76" t="s">
        <v>146</v>
      </c>
      <c r="C9" s="222">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3">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64" t="s">
        <v>57</v>
      </c>
      <c r="C10" s="224">
        <v>0</v>
      </c>
      <c r="D10" s="218">
        <v>0</v>
      </c>
      <c r="E10" s="218">
        <v>0</v>
      </c>
      <c r="F10" s="218">
        <v>0</v>
      </c>
      <c r="G10" s="218">
        <v>20</v>
      </c>
      <c r="H10" s="218">
        <v>20</v>
      </c>
      <c r="I10" s="218">
        <v>20</v>
      </c>
      <c r="J10" s="218">
        <v>20</v>
      </c>
      <c r="K10" s="218">
        <v>30</v>
      </c>
      <c r="L10" s="218">
        <v>30</v>
      </c>
      <c r="M10" s="218">
        <v>30</v>
      </c>
      <c r="N10" s="218">
        <v>30</v>
      </c>
      <c r="O10" s="218">
        <v>40</v>
      </c>
      <c r="P10" s="218">
        <v>40</v>
      </c>
      <c r="Q10" s="218">
        <v>40</v>
      </c>
      <c r="R10" s="218">
        <v>40</v>
      </c>
      <c r="S10" s="218">
        <v>50</v>
      </c>
      <c r="T10" s="218">
        <v>50</v>
      </c>
      <c r="U10" s="225">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64" t="s">
        <v>160</v>
      </c>
      <c r="C11" s="279">
        <v>1</v>
      </c>
      <c r="D11" s="280">
        <v>1.0249999999999999</v>
      </c>
      <c r="E11" s="280">
        <v>1.0506249999999999</v>
      </c>
      <c r="F11" s="280">
        <v>1.0768906249999999</v>
      </c>
      <c r="G11" s="280">
        <v>1.1038128906249998</v>
      </c>
      <c r="H11" s="280">
        <v>1.1314082128906247</v>
      </c>
      <c r="I11" s="280">
        <v>1.1596934182128902</v>
      </c>
      <c r="J11" s="280">
        <v>1.1886857536682123</v>
      </c>
      <c r="K11" s="280">
        <v>1.2184028975099175</v>
      </c>
      <c r="L11" s="280">
        <v>1.2488629699476652</v>
      </c>
      <c r="M11" s="280">
        <v>1.2800845441963566</v>
      </c>
      <c r="N11" s="280">
        <v>1.3120866578012655</v>
      </c>
      <c r="O11" s="280">
        <v>1.3448888242462971</v>
      </c>
      <c r="P11" s="280">
        <v>1.3785110448524545</v>
      </c>
      <c r="Q11" s="280">
        <v>1.4129738209737657</v>
      </c>
      <c r="R11" s="280">
        <v>1.4482981664981096</v>
      </c>
      <c r="S11" s="280">
        <v>1.4845056206605622</v>
      </c>
      <c r="T11" s="280">
        <v>1.5216182611770761</v>
      </c>
      <c r="U11" s="28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64" t="s">
        <v>161</v>
      </c>
      <c r="C12" s="279">
        <v>1</v>
      </c>
      <c r="D12" s="280">
        <v>1.0249999999999999</v>
      </c>
      <c r="E12" s="280">
        <v>1.0506249999999999</v>
      </c>
      <c r="F12" s="280">
        <v>1.0768906249999999</v>
      </c>
      <c r="G12" s="280">
        <v>1.1038128906249998</v>
      </c>
      <c r="H12" s="280">
        <v>1.1314082128906247</v>
      </c>
      <c r="I12" s="280">
        <v>1.1596934182128902</v>
      </c>
      <c r="J12" s="280">
        <v>1.1886857536682123</v>
      </c>
      <c r="K12" s="280">
        <v>1.2184028975099175</v>
      </c>
      <c r="L12" s="280">
        <v>1.2488629699476652</v>
      </c>
      <c r="M12" s="280">
        <v>1.2800845441963566</v>
      </c>
      <c r="N12" s="280">
        <v>1.3120866578012655</v>
      </c>
      <c r="O12" s="280">
        <v>1.3448888242462971</v>
      </c>
      <c r="P12" s="280">
        <v>1.3785110448524545</v>
      </c>
      <c r="Q12" s="280">
        <v>1.4129738209737657</v>
      </c>
      <c r="R12" s="280">
        <v>1.4482981664981096</v>
      </c>
      <c r="S12" s="280">
        <v>1.4845056206605622</v>
      </c>
      <c r="T12" s="280">
        <v>1.5216182611770761</v>
      </c>
      <c r="U12" s="28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64" t="s">
        <v>162</v>
      </c>
      <c r="C13" s="282">
        <v>1</v>
      </c>
      <c r="D13" s="280">
        <v>1.0249999999999999</v>
      </c>
      <c r="E13" s="280">
        <v>1.0506249999999999</v>
      </c>
      <c r="F13" s="280">
        <v>1.0768906249999999</v>
      </c>
      <c r="G13" s="280">
        <v>1.1038128906249998</v>
      </c>
      <c r="H13" s="280">
        <v>1.1314082128906247</v>
      </c>
      <c r="I13" s="280">
        <v>1.1596934182128902</v>
      </c>
      <c r="J13" s="280">
        <v>1.1886857536682123</v>
      </c>
      <c r="K13" s="280">
        <v>1.2184028975099175</v>
      </c>
      <c r="L13" s="280">
        <v>1.2488629699476652</v>
      </c>
      <c r="M13" s="280">
        <v>1.2800845441963566</v>
      </c>
      <c r="N13" s="280">
        <v>1.3120866578012655</v>
      </c>
      <c r="O13" s="280">
        <v>1.3448888242462971</v>
      </c>
      <c r="P13" s="280">
        <v>1.3785110448524545</v>
      </c>
      <c r="Q13" s="280">
        <v>1.4129738209737657</v>
      </c>
      <c r="R13" s="280">
        <v>1.4482981664981096</v>
      </c>
      <c r="S13" s="280">
        <v>1.4845056206605622</v>
      </c>
      <c r="T13" s="280">
        <v>1.5216182611770761</v>
      </c>
      <c r="U13" s="28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9" t="s">
        <v>263</v>
      </c>
      <c r="C14" s="283">
        <v>1.0249999999999999</v>
      </c>
      <c r="D14" s="284">
        <v>1.0249999999999999</v>
      </c>
      <c r="E14" s="284">
        <v>1.0249999999999999</v>
      </c>
      <c r="F14" s="284">
        <v>1.0249999999999999</v>
      </c>
      <c r="G14" s="284">
        <v>1.0249999999999999</v>
      </c>
      <c r="H14" s="284">
        <v>1.0249999999999999</v>
      </c>
      <c r="I14" s="284">
        <v>1.0249999999999999</v>
      </c>
      <c r="J14" s="284">
        <v>1.0249999999999999</v>
      </c>
      <c r="K14" s="284">
        <v>1.0249999999999999</v>
      </c>
      <c r="L14" s="284">
        <v>1.0249999999999999</v>
      </c>
      <c r="M14" s="284">
        <v>1.0249999999999999</v>
      </c>
      <c r="N14" s="284">
        <v>1.0249999999999999</v>
      </c>
      <c r="O14" s="284">
        <v>1.0249999999999999</v>
      </c>
      <c r="P14" s="284">
        <v>1.0249999999999999</v>
      </c>
      <c r="Q14" s="284">
        <v>1.0249999999999999</v>
      </c>
      <c r="R14" s="284">
        <v>1.0249999999999999</v>
      </c>
      <c r="S14" s="284">
        <v>1.0249999999999999</v>
      </c>
      <c r="T14" s="284">
        <v>1.0249999999999999</v>
      </c>
      <c r="U14" s="28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04"/>
      <c r="C16" s="105"/>
      <c r="D16" s="106"/>
      <c r="E16" s="105"/>
      <c r="F16" s="87"/>
      <c r="G16" s="108"/>
      <c r="H16" s="87"/>
      <c r="I16" s="81"/>
      <c r="J16" s="81"/>
      <c r="K16" s="35"/>
      <c r="L16" s="35"/>
      <c r="M16" s="35"/>
      <c r="N16" s="35"/>
      <c r="O16" s="35"/>
      <c r="P16" s="35"/>
      <c r="Q16" s="35"/>
      <c r="R16" s="35"/>
      <c r="S16" s="35"/>
      <c r="T16" s="35"/>
      <c r="U16" s="35"/>
      <c r="V16" s="35"/>
      <c r="W16" s="35"/>
      <c r="X16" s="243"/>
      <c r="Y16" s="245" t="s">
        <v>227</v>
      </c>
      <c r="Z16" s="245"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4"/>
      <c r="C17" s="105"/>
      <c r="D17" s="106"/>
      <c r="E17" s="105"/>
      <c r="F17" s="87"/>
      <c r="G17" s="87"/>
      <c r="H17" s="87"/>
      <c r="I17" s="81"/>
      <c r="J17" s="81"/>
      <c r="K17" s="35"/>
      <c r="L17" s="35"/>
      <c r="M17" s="35"/>
      <c r="N17" s="35"/>
      <c r="O17" s="35"/>
      <c r="P17" s="35"/>
      <c r="Q17" s="35"/>
      <c r="R17" s="35"/>
      <c r="S17" s="35"/>
      <c r="T17" s="35"/>
      <c r="U17" s="35"/>
      <c r="V17" s="35"/>
      <c r="W17" s="35"/>
      <c r="X17" s="164" t="s">
        <v>177</v>
      </c>
      <c r="Y17" s="244">
        <v>2.744201934324435E-4</v>
      </c>
      <c r="Z17" s="24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4"/>
      <c r="C18" s="105"/>
      <c r="D18" s="106"/>
      <c r="E18" s="105"/>
      <c r="F18" s="87"/>
      <c r="G18" s="87"/>
      <c r="H18" s="87"/>
      <c r="I18" s="81"/>
      <c r="J18" s="81"/>
      <c r="K18" s="35"/>
      <c r="L18" s="35"/>
      <c r="M18" s="35"/>
      <c r="N18" s="35"/>
      <c r="O18" s="35"/>
      <c r="P18" s="35"/>
      <c r="Q18" s="35"/>
      <c r="R18" s="35"/>
      <c r="S18" s="35"/>
      <c r="T18" s="35"/>
      <c r="U18" s="35"/>
      <c r="V18" s="35"/>
      <c r="W18" s="35"/>
      <c r="X18" s="164" t="s">
        <v>180</v>
      </c>
      <c r="Y18" s="244">
        <v>2.8579410620991442E-4</v>
      </c>
      <c r="Z18" s="24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4"/>
      <c r="C19" s="105"/>
      <c r="D19" s="106"/>
      <c r="E19" s="105"/>
      <c r="F19" s="87"/>
      <c r="G19" s="87"/>
      <c r="H19" s="87"/>
      <c r="I19" s="81"/>
      <c r="J19" s="81"/>
      <c r="K19" s="35"/>
      <c r="L19" s="35"/>
      <c r="M19" s="35"/>
      <c r="N19" s="35"/>
      <c r="O19" s="35"/>
      <c r="P19" s="35"/>
      <c r="Q19" s="35"/>
      <c r="R19" s="35"/>
      <c r="S19" s="35"/>
      <c r="T19" s="35"/>
      <c r="U19" s="35"/>
      <c r="V19" s="35"/>
      <c r="W19" s="35"/>
      <c r="X19" s="164" t="s">
        <v>179</v>
      </c>
      <c r="Y19" s="244">
        <v>4.7716993008320446E-4</v>
      </c>
      <c r="Z19" s="24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4"/>
      <c r="C20" s="105"/>
      <c r="D20" s="106"/>
      <c r="E20" s="105"/>
      <c r="F20" s="87"/>
      <c r="G20" s="87"/>
      <c r="H20" s="87"/>
      <c r="I20" s="81"/>
      <c r="J20" s="81"/>
      <c r="K20" s="35"/>
      <c r="L20" s="35"/>
      <c r="M20" s="35"/>
      <c r="N20" s="35"/>
      <c r="O20" s="35"/>
      <c r="P20" s="35"/>
      <c r="Q20" s="35"/>
      <c r="R20" s="35"/>
      <c r="S20" s="35"/>
      <c r="T20" s="35"/>
      <c r="U20" s="35"/>
      <c r="V20" s="35"/>
      <c r="W20" s="35"/>
      <c r="X20" s="164" t="s">
        <v>181</v>
      </c>
      <c r="Y20" s="244">
        <v>2.0499097618064069E-4</v>
      </c>
      <c r="Z20" s="24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4"/>
      <c r="C21" s="105"/>
      <c r="D21" s="106"/>
      <c r="E21" s="105"/>
      <c r="F21" s="87"/>
      <c r="G21" s="87"/>
      <c r="H21" s="87"/>
      <c r="I21" s="81"/>
      <c r="J21" s="81"/>
      <c r="K21" s="35"/>
      <c r="L21" s="35"/>
      <c r="M21" s="35"/>
      <c r="N21" s="35"/>
      <c r="O21" s="35"/>
      <c r="P21" s="35"/>
      <c r="Q21" s="35"/>
      <c r="R21" s="35"/>
      <c r="S21" s="35"/>
      <c r="T21" s="35"/>
      <c r="U21" s="35"/>
      <c r="V21" s="35"/>
      <c r="W21" s="35"/>
      <c r="X21" s="164" t="s">
        <v>182</v>
      </c>
      <c r="Y21" s="244">
        <v>7.3634398159432295E-4</v>
      </c>
      <c r="Z21" s="24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4"/>
      <c r="C22" s="105"/>
      <c r="D22" s="106"/>
      <c r="E22" s="105"/>
      <c r="F22" s="87"/>
      <c r="G22" s="87"/>
      <c r="H22" s="87"/>
      <c r="I22" s="81"/>
      <c r="J22" s="81"/>
      <c r="K22" s="35"/>
      <c r="L22" s="35"/>
      <c r="M22" s="35"/>
      <c r="N22" s="35"/>
      <c r="O22" s="35"/>
      <c r="P22" s="35"/>
      <c r="Q22" s="35"/>
      <c r="R22" s="35"/>
      <c r="S22" s="35"/>
      <c r="T22" s="35"/>
      <c r="U22" s="35"/>
      <c r="V22" s="35"/>
      <c r="W22" s="35"/>
      <c r="X22" s="164" t="s">
        <v>183</v>
      </c>
      <c r="Y22" s="244">
        <v>1.5933500996702843E-4</v>
      </c>
      <c r="Z22" s="24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244">
        <v>5.0685048336163163E-4</v>
      </c>
      <c r="Z23" s="24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4"/>
      <c r="C24" s="105"/>
      <c r="D24" s="106"/>
      <c r="E24" s="105"/>
      <c r="F24" s="90"/>
      <c r="G24" s="90"/>
      <c r="H24" s="87"/>
      <c r="I24" s="81"/>
      <c r="J24" s="81"/>
      <c r="K24" s="35"/>
      <c r="L24" s="35"/>
      <c r="M24" s="35"/>
      <c r="N24" s="35"/>
      <c r="O24" s="35"/>
      <c r="P24" s="35"/>
      <c r="Q24" s="35"/>
      <c r="R24" s="35"/>
      <c r="S24" s="35"/>
      <c r="T24" s="35"/>
      <c r="U24" s="35"/>
      <c r="V24" s="35"/>
      <c r="W24" s="35"/>
      <c r="X24" s="164" t="s">
        <v>184</v>
      </c>
      <c r="Y24" s="244">
        <v>8.3442486284763834E-4</v>
      </c>
      <c r="Z24" s="24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4"/>
      <c r="C25" s="105"/>
      <c r="D25" s="106"/>
      <c r="E25" s="105"/>
      <c r="F25" s="88"/>
      <c r="G25" s="88"/>
      <c r="H25" s="87"/>
      <c r="I25" s="81"/>
      <c r="J25" s="81"/>
      <c r="K25" s="35"/>
      <c r="L25" s="35"/>
      <c r="M25" s="35"/>
      <c r="N25" s="35"/>
      <c r="O25" s="35"/>
      <c r="P25" s="35"/>
      <c r="Q25" s="35"/>
      <c r="R25" s="35"/>
      <c r="S25" s="35"/>
      <c r="T25" s="35"/>
      <c r="U25" s="35"/>
      <c r="V25" s="35"/>
      <c r="W25" s="35"/>
      <c r="X25" s="164" t="s">
        <v>185</v>
      </c>
      <c r="Y25" s="244">
        <v>4.5283915436484851E-4</v>
      </c>
      <c r="Z25" s="24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4"/>
      <c r="C26" s="105"/>
      <c r="D26" s="106"/>
      <c r="E26" s="105"/>
      <c r="F26" s="87"/>
      <c r="G26" s="87"/>
      <c r="H26" s="87"/>
      <c r="I26" s="81"/>
      <c r="J26" s="81"/>
      <c r="K26" s="35"/>
      <c r="L26" s="35"/>
      <c r="M26" s="35"/>
      <c r="N26" s="35"/>
      <c r="O26" s="35"/>
      <c r="P26" s="35"/>
      <c r="Q26" s="35"/>
      <c r="R26" s="35"/>
      <c r="S26" s="35"/>
      <c r="T26" s="35"/>
      <c r="U26" s="35"/>
      <c r="V26" s="35"/>
      <c r="W26" s="35"/>
      <c r="X26" s="164" t="s">
        <v>186</v>
      </c>
      <c r="Y26" s="244">
        <v>3.486895207898603E-4</v>
      </c>
      <c r="Z26" s="24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4"/>
      <c r="C27" s="105"/>
      <c r="D27" s="106"/>
      <c r="E27" s="105"/>
      <c r="F27" s="87"/>
      <c r="G27" s="87"/>
      <c r="H27" s="87"/>
      <c r="I27" s="81"/>
      <c r="J27" s="81"/>
      <c r="K27" s="35"/>
      <c r="L27" s="35"/>
      <c r="M27" s="35"/>
      <c r="N27" s="35"/>
      <c r="O27" s="35"/>
      <c r="P27" s="35"/>
      <c r="Q27" s="35"/>
      <c r="R27" s="35"/>
      <c r="S27" s="35"/>
      <c r="T27" s="35"/>
      <c r="U27" s="35"/>
      <c r="V27" s="35"/>
      <c r="W27" s="35"/>
      <c r="X27" s="164" t="s">
        <v>191</v>
      </c>
      <c r="Y27" s="244">
        <v>6.1012381532656111E-4</v>
      </c>
      <c r="Z27" s="24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4"/>
      <c r="C28" s="105"/>
      <c r="D28" s="106"/>
      <c r="E28" s="105"/>
      <c r="F28" s="87"/>
      <c r="G28" s="87"/>
      <c r="H28" s="87"/>
      <c r="I28" s="81"/>
      <c r="J28" s="81"/>
      <c r="K28" s="35"/>
      <c r="L28" s="35"/>
      <c r="M28" s="35"/>
      <c r="N28" s="35"/>
      <c r="O28" s="35"/>
      <c r="P28" s="35"/>
      <c r="Q28" s="35"/>
      <c r="R28" s="35"/>
      <c r="S28" s="35"/>
      <c r="T28" s="35"/>
      <c r="U28" s="35"/>
      <c r="V28" s="35"/>
      <c r="W28" s="35"/>
      <c r="X28" s="164" t="s">
        <v>188</v>
      </c>
      <c r="Y28" s="244">
        <v>3.9139311155092061E-5</v>
      </c>
      <c r="Z28" s="24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4"/>
      <c r="C29" s="105"/>
      <c r="D29" s="106"/>
      <c r="E29" s="105"/>
      <c r="F29" s="87"/>
      <c r="G29" s="87"/>
      <c r="H29" s="87"/>
      <c r="I29" s="81"/>
      <c r="J29" s="81"/>
      <c r="K29" s="35"/>
      <c r="L29" s="35"/>
      <c r="M29" s="35"/>
      <c r="N29" s="35"/>
      <c r="O29" s="35"/>
      <c r="P29" s="35"/>
      <c r="Q29" s="35"/>
      <c r="R29" s="35"/>
      <c r="S29" s="35"/>
      <c r="T29" s="35"/>
      <c r="U29" s="35"/>
      <c r="V29" s="35"/>
      <c r="W29" s="35"/>
      <c r="X29" s="164" t="s">
        <v>189</v>
      </c>
      <c r="Y29" s="244">
        <v>3.2453938138303045E-4</v>
      </c>
      <c r="Z29" s="24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04"/>
      <c r="C30" s="105"/>
      <c r="D30" s="106"/>
      <c r="E30" s="105"/>
      <c r="F30" s="87"/>
      <c r="G30" s="87"/>
      <c r="H30" s="87"/>
      <c r="I30" s="81"/>
      <c r="J30" s="81"/>
      <c r="K30" s="35"/>
      <c r="L30" s="35"/>
      <c r="M30" s="35"/>
      <c r="N30" s="35"/>
      <c r="O30" s="35"/>
      <c r="P30" s="35"/>
      <c r="Q30" s="35"/>
      <c r="R30" s="35"/>
      <c r="S30" s="35"/>
      <c r="T30" s="35"/>
      <c r="U30" s="35"/>
      <c r="V30" s="35"/>
      <c r="W30" s="35"/>
      <c r="X30" s="164" t="s">
        <v>190</v>
      </c>
      <c r="Y30" s="244">
        <v>7.9415196034054991E-4</v>
      </c>
      <c r="Z30" s="24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04"/>
      <c r="C31" s="105"/>
      <c r="D31" s="106"/>
      <c r="E31" s="105"/>
      <c r="F31" s="88"/>
      <c r="G31" s="88"/>
      <c r="H31" s="88"/>
      <c r="I31" s="82"/>
      <c r="J31" s="82"/>
      <c r="K31" s="28"/>
      <c r="L31" s="28"/>
      <c r="M31" s="28"/>
      <c r="N31" s="28"/>
      <c r="O31" s="28"/>
      <c r="P31" s="28"/>
      <c r="Q31" s="28"/>
      <c r="R31" s="28"/>
      <c r="S31" s="28"/>
      <c r="T31" s="28"/>
      <c r="U31" s="28"/>
      <c r="V31" s="28"/>
      <c r="W31" s="28"/>
      <c r="X31" s="164" t="s">
        <v>192</v>
      </c>
      <c r="Y31" s="244">
        <v>3.2602707909398565E-4</v>
      </c>
      <c r="Z31" s="24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04"/>
      <c r="C32" s="105"/>
      <c r="D32" s="106"/>
      <c r="E32" s="105"/>
      <c r="F32" s="109"/>
      <c r="G32" s="109"/>
      <c r="H32" s="109"/>
      <c r="I32" s="83"/>
      <c r="J32" s="83"/>
      <c r="K32" s="80"/>
      <c r="L32" s="80"/>
      <c r="M32" s="80"/>
      <c r="N32" s="80"/>
      <c r="O32" s="80"/>
      <c r="P32" s="80"/>
      <c r="Q32" s="80"/>
      <c r="R32" s="80"/>
      <c r="S32" s="80"/>
      <c r="T32" s="80"/>
      <c r="U32" s="80"/>
      <c r="V32" s="80"/>
      <c r="W32" s="80"/>
      <c r="X32" s="164" t="s">
        <v>193</v>
      </c>
      <c r="Y32" s="244">
        <v>8.465955465067626E-4</v>
      </c>
      <c r="Z32" s="24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04"/>
      <c r="C33" s="105"/>
      <c r="D33" s="106"/>
      <c r="E33" s="105"/>
      <c r="F33" s="103"/>
      <c r="G33" s="103"/>
      <c r="H33" s="103"/>
      <c r="I33" s="84"/>
      <c r="J33" s="84"/>
      <c r="K33" s="37"/>
      <c r="L33" s="37"/>
      <c r="M33" s="37"/>
      <c r="N33" s="37"/>
      <c r="O33" s="37"/>
      <c r="P33" s="37"/>
      <c r="Q33" s="37"/>
      <c r="R33" s="37"/>
      <c r="S33" s="37"/>
      <c r="T33" s="37"/>
      <c r="U33" s="37"/>
      <c r="V33" s="37"/>
      <c r="W33" s="37"/>
      <c r="X33" s="164" t="s">
        <v>194</v>
      </c>
      <c r="Y33" s="244">
        <v>3.0858219124592655E-4</v>
      </c>
      <c r="Z33" s="24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04"/>
      <c r="C34" s="105"/>
      <c r="D34" s="106"/>
      <c r="E34" s="105"/>
      <c r="F34" s="103"/>
      <c r="G34" s="103"/>
      <c r="H34" s="103"/>
      <c r="I34" s="84"/>
      <c r="J34" s="84"/>
      <c r="K34" s="37"/>
      <c r="L34" s="37"/>
      <c r="M34" s="37"/>
      <c r="N34" s="37"/>
      <c r="O34" s="37"/>
      <c r="P34" s="37"/>
      <c r="Q34" s="37"/>
      <c r="R34" s="37"/>
      <c r="S34" s="37"/>
      <c r="T34" s="37"/>
      <c r="U34" s="37"/>
      <c r="V34" s="37"/>
      <c r="W34" s="37"/>
      <c r="X34" s="164" t="s">
        <v>197</v>
      </c>
      <c r="Y34" s="244">
        <v>2.7443623595127412E-4</v>
      </c>
      <c r="Z34" s="24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04"/>
      <c r="C35" s="105"/>
      <c r="D35" s="106"/>
      <c r="E35" s="105"/>
      <c r="F35" s="103"/>
      <c r="G35" s="103"/>
      <c r="H35" s="103"/>
      <c r="I35" s="84"/>
      <c r="J35" s="84"/>
      <c r="K35" s="37"/>
      <c r="L35" s="37"/>
      <c r="M35" s="285"/>
      <c r="N35" s="37"/>
      <c r="O35" s="37"/>
      <c r="P35" s="37"/>
      <c r="Q35" s="37"/>
      <c r="R35" s="37"/>
      <c r="S35" s="37"/>
      <c r="T35" s="37"/>
      <c r="U35" s="37"/>
      <c r="V35" s="37"/>
      <c r="W35" s="37"/>
      <c r="X35" s="164" t="s">
        <v>196</v>
      </c>
      <c r="Y35" s="244">
        <v>5.3598020242062749E-4</v>
      </c>
      <c r="Z35" s="24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04"/>
      <c r="C36" s="105"/>
      <c r="D36" s="106"/>
      <c r="E36" s="105"/>
      <c r="F36" s="103"/>
      <c r="G36" s="103"/>
      <c r="H36" s="103"/>
      <c r="I36" s="84"/>
      <c r="J36" s="84"/>
      <c r="K36" s="37"/>
      <c r="L36" s="37"/>
      <c r="M36" s="37"/>
      <c r="N36" s="37"/>
      <c r="O36" s="37"/>
      <c r="P36" s="37"/>
      <c r="Q36" s="37"/>
      <c r="R36" s="37"/>
      <c r="S36" s="37"/>
      <c r="T36" s="37"/>
      <c r="U36" s="37"/>
      <c r="V36" s="37"/>
      <c r="W36" s="37"/>
      <c r="X36" s="164" t="s">
        <v>195</v>
      </c>
      <c r="Y36" s="244">
        <v>2.0322708687071074E-4</v>
      </c>
      <c r="Z36" s="24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04"/>
      <c r="C37" s="105"/>
      <c r="D37" s="106"/>
      <c r="E37" s="105"/>
      <c r="F37" s="103"/>
      <c r="G37" s="103"/>
      <c r="H37" s="103"/>
      <c r="I37" s="84"/>
      <c r="J37" s="84"/>
      <c r="K37" s="37"/>
      <c r="L37" s="37"/>
      <c r="M37" s="37"/>
      <c r="N37" s="37"/>
      <c r="O37" s="37"/>
      <c r="P37" s="37"/>
      <c r="Q37" s="37"/>
      <c r="R37" s="37"/>
      <c r="S37" s="37"/>
      <c r="T37" s="37"/>
      <c r="U37" s="37"/>
      <c r="V37" s="37"/>
      <c r="W37" s="37"/>
      <c r="X37" s="164" t="s">
        <v>198</v>
      </c>
      <c r="Y37" s="244">
        <v>5.0054878730029545E-4</v>
      </c>
      <c r="Z37" s="24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04"/>
      <c r="C38" s="105"/>
      <c r="D38" s="106"/>
      <c r="E38" s="105"/>
      <c r="F38" s="103"/>
      <c r="G38" s="103"/>
      <c r="H38" s="103"/>
      <c r="I38" s="84"/>
      <c r="J38" s="84"/>
      <c r="K38" s="37"/>
      <c r="L38" s="37"/>
      <c r="M38" s="37"/>
      <c r="N38" s="37"/>
      <c r="O38" s="37"/>
      <c r="P38" s="37"/>
      <c r="Q38" s="37"/>
      <c r="R38" s="37"/>
      <c r="S38" s="37"/>
      <c r="T38" s="37"/>
      <c r="U38" s="37"/>
      <c r="V38" s="37"/>
      <c r="W38" s="37"/>
      <c r="X38" s="164" t="s">
        <v>199</v>
      </c>
      <c r="Y38" s="244">
        <v>5.4427544121789305E-4</v>
      </c>
      <c r="Z38" s="24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04"/>
      <c r="C39" s="105"/>
      <c r="D39" s="106"/>
      <c r="E39" s="105"/>
      <c r="F39" s="103"/>
      <c r="G39" s="103"/>
      <c r="H39" s="103"/>
      <c r="I39" s="84"/>
      <c r="J39" s="84"/>
      <c r="K39" s="37"/>
      <c r="L39" s="37"/>
      <c r="M39" s="37"/>
      <c r="N39" s="37"/>
      <c r="O39" s="37"/>
      <c r="P39" s="37"/>
      <c r="Q39" s="37"/>
      <c r="R39" s="37"/>
      <c r="S39" s="37"/>
      <c r="T39" s="37"/>
      <c r="U39" s="37"/>
      <c r="V39" s="37"/>
      <c r="W39" s="37"/>
      <c r="X39" s="164" t="s">
        <v>201</v>
      </c>
      <c r="Y39" s="244">
        <v>6.8060201713878701E-4</v>
      </c>
      <c r="Z39" s="24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04"/>
      <c r="C40" s="105"/>
      <c r="D40" s="106"/>
      <c r="E40" s="105"/>
      <c r="F40" s="103"/>
      <c r="G40" s="103"/>
      <c r="H40" s="103"/>
      <c r="I40" s="84"/>
      <c r="J40" s="84"/>
      <c r="K40" s="37"/>
      <c r="L40" s="37"/>
      <c r="M40" s="37"/>
      <c r="N40" s="37"/>
      <c r="O40" s="37"/>
      <c r="P40" s="37"/>
      <c r="Q40" s="37"/>
      <c r="R40" s="37"/>
      <c r="S40" s="37"/>
      <c r="T40" s="37"/>
      <c r="U40" s="37"/>
      <c r="V40" s="37"/>
      <c r="W40" s="37"/>
      <c r="X40" s="164" t="s">
        <v>200</v>
      </c>
      <c r="Y40" s="244">
        <v>3.457177533004125E-4</v>
      </c>
      <c r="Z40" s="24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04"/>
      <c r="C41" s="105"/>
      <c r="D41" s="106"/>
      <c r="E41" s="105"/>
      <c r="F41" s="87"/>
      <c r="G41" s="87"/>
      <c r="H41" s="87"/>
      <c r="I41" s="81"/>
      <c r="J41" s="81"/>
      <c r="K41" s="35"/>
      <c r="L41" s="35"/>
      <c r="M41" s="35"/>
      <c r="N41" s="35"/>
      <c r="O41" s="35"/>
      <c r="P41" s="35"/>
      <c r="Q41" s="35"/>
      <c r="R41" s="35"/>
      <c r="S41" s="35"/>
      <c r="T41" s="35"/>
      <c r="U41" s="35"/>
      <c r="V41" s="35"/>
      <c r="W41" s="35"/>
      <c r="X41" s="164" t="s">
        <v>202</v>
      </c>
      <c r="Y41" s="244">
        <v>2.7139739187690266E-4</v>
      </c>
      <c r="Z41" s="24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04"/>
      <c r="C42" s="105"/>
      <c r="D42" s="106"/>
      <c r="E42" s="105"/>
      <c r="F42" s="87"/>
      <c r="G42" s="87"/>
      <c r="H42" s="87"/>
      <c r="I42" s="81"/>
      <c r="J42" s="81"/>
      <c r="K42" s="35"/>
      <c r="L42" s="35"/>
      <c r="M42" s="35"/>
      <c r="N42" s="35"/>
      <c r="O42" s="35"/>
      <c r="P42" s="35"/>
      <c r="Q42" s="35"/>
      <c r="R42" s="35"/>
      <c r="S42" s="35"/>
      <c r="T42" s="35"/>
      <c r="U42" s="35"/>
      <c r="V42" s="35"/>
      <c r="W42" s="35"/>
      <c r="X42" s="164" t="s">
        <v>209</v>
      </c>
      <c r="Y42" s="244">
        <v>4.6005555553392324E-4</v>
      </c>
      <c r="Z42" s="24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04"/>
      <c r="C43" s="105"/>
      <c r="D43" s="106"/>
      <c r="E43" s="105"/>
      <c r="F43" s="87"/>
      <c r="G43" s="87"/>
      <c r="H43" s="87"/>
      <c r="I43" s="81"/>
      <c r="J43" s="81"/>
      <c r="K43" s="35"/>
      <c r="L43" s="35"/>
      <c r="M43" s="35"/>
      <c r="N43" s="35"/>
      <c r="O43" s="35"/>
      <c r="P43" s="35"/>
      <c r="Q43" s="35"/>
      <c r="R43" s="35"/>
      <c r="S43" s="35"/>
      <c r="T43" s="35"/>
      <c r="U43" s="35"/>
      <c r="V43" s="35"/>
      <c r="W43" s="35"/>
      <c r="X43" s="164" t="s">
        <v>210</v>
      </c>
      <c r="Y43" s="244">
        <v>7.7706033252806421E-4</v>
      </c>
      <c r="Z43" s="24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04"/>
      <c r="C44" s="105"/>
      <c r="D44" s="106"/>
      <c r="E44" s="105"/>
      <c r="F44" s="89"/>
      <c r="G44" s="89"/>
      <c r="H44" s="89"/>
      <c r="I44" s="35"/>
      <c r="J44" s="35"/>
      <c r="K44" s="35"/>
      <c r="L44" s="35"/>
      <c r="M44" s="35"/>
      <c r="N44" s="35"/>
      <c r="O44" s="35"/>
      <c r="P44" s="35"/>
      <c r="Q44" s="35"/>
      <c r="R44" s="35"/>
      <c r="S44" s="35"/>
      <c r="T44" s="35"/>
      <c r="U44" s="35"/>
      <c r="V44" s="35"/>
      <c r="W44" s="35"/>
      <c r="X44" s="164" t="s">
        <v>203</v>
      </c>
      <c r="Y44" s="244">
        <v>6.5903358116509451E-4</v>
      </c>
      <c r="Z44" s="24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04"/>
      <c r="C45" s="105"/>
      <c r="D45" s="106"/>
      <c r="E45" s="105"/>
      <c r="F45" s="89"/>
      <c r="G45" s="89"/>
      <c r="H45" s="89"/>
      <c r="I45" s="35"/>
      <c r="J45" s="35"/>
      <c r="K45" s="35"/>
      <c r="L45" s="35"/>
      <c r="M45" s="35"/>
      <c r="N45" s="35"/>
      <c r="O45" s="35"/>
      <c r="P45" s="35"/>
      <c r="Q45" s="35"/>
      <c r="R45" s="35"/>
      <c r="S45" s="35"/>
      <c r="T45" s="35"/>
      <c r="U45" s="35"/>
      <c r="V45" s="35"/>
      <c r="W45" s="35"/>
      <c r="X45" s="164" t="s">
        <v>205</v>
      </c>
      <c r="Y45" s="244">
        <v>1.3708824581532242E-4</v>
      </c>
      <c r="Z45" s="24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04"/>
      <c r="C46" s="105"/>
      <c r="D46" s="106"/>
      <c r="E46" s="105"/>
      <c r="F46" s="89"/>
      <c r="G46" s="89"/>
      <c r="H46" s="89"/>
      <c r="I46" s="35"/>
      <c r="J46" s="35"/>
      <c r="K46" s="35"/>
      <c r="L46" s="35"/>
      <c r="M46" s="35"/>
      <c r="N46" s="35"/>
      <c r="O46" s="35"/>
      <c r="P46" s="35"/>
      <c r="Q46" s="35"/>
      <c r="R46" s="35"/>
      <c r="S46" s="35"/>
      <c r="T46" s="35"/>
      <c r="U46" s="35"/>
      <c r="V46" s="35"/>
      <c r="W46" s="35"/>
      <c r="X46" s="164" t="s">
        <v>206</v>
      </c>
      <c r="Y46" s="244">
        <v>2.4826092420676649E-4</v>
      </c>
      <c r="Z46" s="24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04"/>
      <c r="C47" s="105"/>
      <c r="D47" s="106"/>
      <c r="E47" s="105"/>
      <c r="F47" s="89"/>
      <c r="G47" s="89"/>
      <c r="H47" s="89"/>
      <c r="I47" s="35"/>
      <c r="J47" s="35"/>
      <c r="K47" s="35"/>
      <c r="L47" s="35"/>
      <c r="M47" s="35"/>
      <c r="N47" s="35"/>
      <c r="O47" s="35"/>
      <c r="P47" s="35"/>
      <c r="Q47" s="35"/>
      <c r="R47" s="35"/>
      <c r="S47" s="35"/>
      <c r="T47" s="35"/>
      <c r="U47" s="35"/>
      <c r="V47" s="35"/>
      <c r="W47" s="35"/>
      <c r="X47" s="164" t="s">
        <v>207</v>
      </c>
      <c r="Y47" s="244">
        <v>6.5123632733018436E-4</v>
      </c>
      <c r="Z47" s="24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04"/>
      <c r="C48" s="105"/>
      <c r="D48" s="106"/>
      <c r="E48" s="105"/>
      <c r="F48" s="89"/>
      <c r="G48" s="89"/>
      <c r="H48" s="89"/>
      <c r="I48" s="35"/>
      <c r="J48" s="35"/>
      <c r="K48" s="35"/>
      <c r="L48" s="35"/>
      <c r="M48" s="35"/>
      <c r="N48" s="35"/>
      <c r="O48" s="35"/>
      <c r="P48" s="35"/>
      <c r="Q48" s="35"/>
      <c r="R48" s="35"/>
      <c r="S48" s="35"/>
      <c r="T48" s="35"/>
      <c r="U48" s="35"/>
      <c r="V48" s="35"/>
      <c r="W48" s="35"/>
      <c r="X48" s="164" t="s">
        <v>204</v>
      </c>
      <c r="Y48" s="244">
        <v>4.4027318096914698E-4</v>
      </c>
      <c r="Z48" s="24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04"/>
      <c r="C49" s="105"/>
      <c r="D49" s="106"/>
      <c r="E49" s="105"/>
      <c r="F49" s="89"/>
      <c r="G49" s="89"/>
      <c r="H49" s="89"/>
      <c r="I49" s="35"/>
      <c r="J49" s="35"/>
      <c r="K49" s="35"/>
      <c r="L49" s="35"/>
      <c r="M49" s="35"/>
      <c r="N49" s="35"/>
      <c r="O49" s="35"/>
      <c r="P49" s="35"/>
      <c r="Q49" s="35"/>
      <c r="R49" s="35"/>
      <c r="S49" s="35"/>
      <c r="T49" s="35"/>
      <c r="U49" s="35"/>
      <c r="V49" s="35"/>
      <c r="W49" s="35"/>
      <c r="X49" s="164" t="s">
        <v>208</v>
      </c>
      <c r="Y49" s="244">
        <v>1.931816909789435E-4</v>
      </c>
      <c r="Z49" s="24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04"/>
      <c r="C50" s="105"/>
      <c r="D50" s="106"/>
      <c r="E50" s="105"/>
      <c r="F50" s="89"/>
      <c r="G50" s="89"/>
      <c r="H50" s="89"/>
      <c r="I50" s="35"/>
      <c r="J50" s="35"/>
      <c r="K50" s="35"/>
      <c r="L50" s="35"/>
      <c r="M50" s="35"/>
      <c r="N50" s="35"/>
      <c r="O50" s="35"/>
      <c r="P50" s="35"/>
      <c r="Q50" s="35"/>
      <c r="R50" s="35"/>
      <c r="S50" s="35"/>
      <c r="T50" s="35"/>
      <c r="U50" s="35"/>
      <c r="V50" s="35"/>
      <c r="W50" s="35"/>
      <c r="X50" s="164" t="s">
        <v>211</v>
      </c>
      <c r="Y50" s="244">
        <v>7.0176185178426537E-4</v>
      </c>
      <c r="Z50" s="24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04"/>
      <c r="C51" s="105"/>
      <c r="D51" s="106"/>
      <c r="E51" s="105"/>
      <c r="F51" s="89"/>
      <c r="G51" s="89"/>
      <c r="H51" s="89"/>
      <c r="I51" s="35"/>
      <c r="J51" s="35"/>
      <c r="K51" s="35"/>
      <c r="L51" s="35"/>
      <c r="M51" s="35"/>
      <c r="N51" s="35"/>
      <c r="O51" s="35"/>
      <c r="P51" s="35"/>
      <c r="Q51" s="35"/>
      <c r="R51" s="35"/>
      <c r="S51" s="35"/>
      <c r="T51" s="35"/>
      <c r="U51" s="35"/>
      <c r="V51" s="35"/>
      <c r="W51" s="35"/>
      <c r="X51" s="164" t="s">
        <v>212</v>
      </c>
      <c r="Y51" s="244">
        <v>3.7480116346849359E-4</v>
      </c>
      <c r="Z51" s="24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04"/>
      <c r="C52" s="105"/>
      <c r="D52" s="106"/>
      <c r="E52" s="105"/>
      <c r="F52" s="89"/>
      <c r="G52" s="89"/>
      <c r="H52" s="89"/>
      <c r="I52" s="35"/>
      <c r="J52" s="35"/>
      <c r="K52" s="35"/>
      <c r="L52" s="35"/>
      <c r="M52" s="35"/>
      <c r="N52" s="35"/>
      <c r="O52" s="35"/>
      <c r="P52" s="35"/>
      <c r="Q52" s="35"/>
      <c r="R52" s="35"/>
      <c r="S52" s="35"/>
      <c r="T52" s="35"/>
      <c r="U52" s="35"/>
      <c r="V52" s="35"/>
      <c r="W52" s="35"/>
      <c r="X52" s="164" t="s">
        <v>213</v>
      </c>
      <c r="Y52" s="244">
        <v>1.2706954449993432E-4</v>
      </c>
      <c r="Z52" s="24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04"/>
      <c r="C53" s="105"/>
      <c r="D53" s="106"/>
      <c r="E53" s="105"/>
      <c r="F53" s="89"/>
      <c r="G53" s="89"/>
      <c r="H53" s="89"/>
      <c r="I53" s="35"/>
      <c r="J53" s="35"/>
      <c r="K53" s="35"/>
      <c r="L53" s="35"/>
      <c r="M53" s="35"/>
      <c r="N53" s="35"/>
      <c r="O53" s="35"/>
      <c r="P53" s="35"/>
      <c r="Q53" s="35"/>
      <c r="R53" s="35"/>
      <c r="S53" s="35"/>
      <c r="T53" s="35"/>
      <c r="U53" s="35"/>
      <c r="V53" s="35"/>
      <c r="W53" s="35"/>
      <c r="X53" s="164" t="s">
        <v>214</v>
      </c>
      <c r="Y53" s="244">
        <v>4.3552522745260029E-4</v>
      </c>
      <c r="Z53" s="24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04"/>
      <c r="C54" s="105"/>
      <c r="D54" s="106"/>
      <c r="E54" s="105"/>
      <c r="F54" s="89"/>
      <c r="G54" s="89"/>
      <c r="H54" s="89"/>
      <c r="I54" s="35"/>
      <c r="J54" s="35"/>
      <c r="K54" s="35"/>
      <c r="L54" s="35"/>
      <c r="M54" s="35"/>
      <c r="N54" s="35"/>
      <c r="O54" s="35"/>
      <c r="P54" s="35"/>
      <c r="Q54" s="35"/>
      <c r="R54" s="35"/>
      <c r="S54" s="35"/>
      <c r="T54" s="35"/>
      <c r="U54" s="35"/>
      <c r="V54" s="35"/>
      <c r="W54" s="35"/>
      <c r="X54" s="164" t="s">
        <v>215</v>
      </c>
      <c r="Y54" s="244">
        <v>3.7217229024403897E-4</v>
      </c>
      <c r="Z54" s="24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04"/>
      <c r="C55" s="105"/>
      <c r="D55" s="106"/>
      <c r="E55" s="105"/>
      <c r="F55" s="89"/>
      <c r="G55" s="89"/>
      <c r="H55" s="89"/>
      <c r="I55" s="35"/>
      <c r="J55" s="35"/>
      <c r="K55" s="35"/>
      <c r="L55" s="35"/>
      <c r="M55" s="35"/>
      <c r="N55" s="35"/>
      <c r="O55" s="35"/>
      <c r="P55" s="35"/>
      <c r="Q55" s="35"/>
      <c r="R55" s="35"/>
      <c r="S55" s="35"/>
      <c r="T55" s="35"/>
      <c r="U55" s="35"/>
      <c r="V55" s="35"/>
      <c r="W55" s="35"/>
      <c r="X55" s="164" t="s">
        <v>216</v>
      </c>
      <c r="Y55" s="244">
        <v>2.3421760822486782E-4</v>
      </c>
      <c r="Z55" s="24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04"/>
      <c r="C56" s="105"/>
      <c r="D56" s="106"/>
      <c r="E56" s="105"/>
      <c r="F56" s="89"/>
      <c r="G56" s="89"/>
      <c r="H56" s="89"/>
      <c r="I56" s="35"/>
      <c r="J56" s="35"/>
      <c r="K56" s="35"/>
      <c r="L56" s="35"/>
      <c r="M56" s="35"/>
      <c r="N56" s="35"/>
      <c r="O56" s="35"/>
      <c r="P56" s="35"/>
      <c r="Q56" s="35"/>
      <c r="R56" s="35"/>
      <c r="S56" s="35"/>
      <c r="T56" s="35"/>
      <c r="U56" s="35"/>
      <c r="V56" s="35"/>
      <c r="W56" s="35"/>
      <c r="X56" s="164" t="s">
        <v>217</v>
      </c>
      <c r="Y56" s="244">
        <v>3.9218138779391148E-4</v>
      </c>
      <c r="Z56" s="24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04"/>
      <c r="C57" s="105"/>
      <c r="D57" s="106"/>
      <c r="E57" s="105"/>
      <c r="F57" s="89"/>
      <c r="G57" s="89"/>
      <c r="H57" s="89"/>
      <c r="I57" s="35"/>
      <c r="J57" s="35"/>
      <c r="K57" s="35"/>
      <c r="L57" s="35"/>
      <c r="M57" s="35"/>
      <c r="N57" s="35"/>
      <c r="O57" s="35"/>
      <c r="P57" s="35"/>
      <c r="Q57" s="35"/>
      <c r="R57" s="35"/>
      <c r="S57" s="35"/>
      <c r="T57" s="35"/>
      <c r="U57" s="35"/>
      <c r="V57" s="35"/>
      <c r="W57" s="35"/>
      <c r="X57" s="164" t="s">
        <v>218</v>
      </c>
      <c r="Y57" s="244">
        <v>2.51710742463223E-4</v>
      </c>
      <c r="Z57" s="24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04"/>
      <c r="C58" s="105"/>
      <c r="D58" s="106"/>
      <c r="E58" s="105"/>
      <c r="F58" s="89"/>
      <c r="G58" s="89"/>
      <c r="H58" s="89"/>
      <c r="I58" s="35"/>
      <c r="J58" s="35"/>
      <c r="K58" s="35"/>
      <c r="L58" s="35"/>
      <c r="M58" s="35"/>
      <c r="N58" s="35"/>
      <c r="O58" s="35"/>
      <c r="P58" s="35"/>
      <c r="Q58" s="35"/>
      <c r="R58" s="35"/>
      <c r="S58" s="35"/>
      <c r="T58" s="35"/>
      <c r="U58" s="35"/>
      <c r="V58" s="35"/>
      <c r="W58" s="35"/>
      <c r="X58" s="164" t="s">
        <v>219</v>
      </c>
      <c r="Y58" s="244">
        <v>4.9438144200333368E-4</v>
      </c>
      <c r="Z58" s="24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04"/>
      <c r="C59" s="105"/>
      <c r="D59" s="106"/>
      <c r="E59" s="105"/>
      <c r="F59" s="89"/>
      <c r="G59" s="89"/>
      <c r="H59" s="89"/>
      <c r="I59" s="35"/>
      <c r="J59" s="35"/>
      <c r="K59" s="35"/>
      <c r="L59" s="35"/>
      <c r="M59" s="35"/>
      <c r="N59" s="35"/>
      <c r="O59" s="35"/>
      <c r="P59" s="35"/>
      <c r="Q59" s="35"/>
      <c r="R59" s="35"/>
      <c r="S59" s="35"/>
      <c r="T59" s="35"/>
      <c r="U59" s="35"/>
      <c r="V59" s="35"/>
      <c r="W59" s="35"/>
      <c r="X59" s="164" t="s">
        <v>220</v>
      </c>
      <c r="Y59" s="244">
        <v>7.6676322767228755E-4</v>
      </c>
      <c r="Z59" s="24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04"/>
      <c r="C60" s="105"/>
      <c r="D60" s="106"/>
      <c r="E60" s="105"/>
      <c r="F60" s="89"/>
      <c r="G60" s="89"/>
      <c r="H60" s="89"/>
      <c r="I60" s="35"/>
      <c r="J60" s="35"/>
      <c r="K60" s="35"/>
      <c r="L60" s="35"/>
      <c r="M60" s="35"/>
      <c r="N60" s="35"/>
      <c r="O60" s="35"/>
      <c r="P60" s="35"/>
      <c r="Q60" s="35"/>
      <c r="R60" s="35"/>
      <c r="S60" s="35"/>
      <c r="T60" s="35"/>
      <c r="U60" s="35"/>
      <c r="V60" s="35"/>
      <c r="W60" s="35"/>
      <c r="X60" s="164" t="s">
        <v>222</v>
      </c>
      <c r="Y60" s="244">
        <v>3.3864707385370345E-4</v>
      </c>
      <c r="Z60" s="24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04"/>
      <c r="C61" s="105"/>
      <c r="D61" s="106"/>
      <c r="E61" s="105"/>
      <c r="F61" s="89"/>
      <c r="G61" s="89"/>
      <c r="H61" s="89"/>
      <c r="I61" s="35"/>
      <c r="J61" s="35"/>
      <c r="K61" s="35"/>
      <c r="L61" s="35"/>
      <c r="M61" s="35"/>
      <c r="N61" s="35"/>
      <c r="O61" s="35"/>
      <c r="P61" s="35"/>
      <c r="Q61" s="35"/>
      <c r="R61" s="35"/>
      <c r="S61" s="35"/>
      <c r="T61" s="35"/>
      <c r="U61" s="35"/>
      <c r="V61" s="35"/>
      <c r="W61" s="35"/>
      <c r="X61" s="164" t="s">
        <v>221</v>
      </c>
      <c r="Y61" s="244">
        <v>0</v>
      </c>
      <c r="Z61" s="24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04"/>
      <c r="C62" s="105"/>
      <c r="D62" s="106"/>
      <c r="E62" s="105"/>
      <c r="F62" s="89"/>
      <c r="G62" s="89"/>
      <c r="H62" s="89"/>
      <c r="I62" s="35"/>
      <c r="J62" s="35"/>
      <c r="K62" s="35"/>
      <c r="L62" s="35"/>
      <c r="M62" s="35"/>
      <c r="N62" s="35"/>
      <c r="O62" s="35"/>
      <c r="P62" s="35"/>
      <c r="Q62" s="35"/>
      <c r="R62" s="35"/>
      <c r="S62" s="35"/>
      <c r="T62" s="35"/>
      <c r="U62" s="35"/>
      <c r="V62" s="35"/>
      <c r="W62" s="35"/>
      <c r="X62" s="164" t="s">
        <v>223</v>
      </c>
      <c r="Y62" s="244">
        <v>2.2923348213669437E-5</v>
      </c>
      <c r="Z62" s="24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04"/>
      <c r="C63" s="105"/>
      <c r="D63" s="106"/>
      <c r="E63" s="105"/>
      <c r="F63" s="89"/>
      <c r="G63" s="89"/>
      <c r="H63" s="89"/>
      <c r="I63" s="35"/>
      <c r="J63" s="35"/>
      <c r="K63" s="35"/>
      <c r="L63" s="35"/>
      <c r="M63" s="35"/>
      <c r="N63" s="35"/>
      <c r="O63" s="35"/>
      <c r="P63" s="35"/>
      <c r="Q63" s="35"/>
      <c r="R63" s="35"/>
      <c r="S63" s="35"/>
      <c r="T63" s="35"/>
      <c r="U63" s="35"/>
      <c r="V63" s="35"/>
      <c r="W63" s="35"/>
      <c r="X63" s="164" t="s">
        <v>225</v>
      </c>
      <c r="Y63" s="244">
        <v>5.8465338475716154E-4</v>
      </c>
      <c r="Z63" s="24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04"/>
      <c r="C64" s="105"/>
      <c r="D64" s="106"/>
      <c r="E64" s="105"/>
      <c r="F64" s="89"/>
      <c r="G64" s="89"/>
      <c r="H64" s="89"/>
      <c r="I64" s="35"/>
      <c r="J64" s="35"/>
      <c r="K64" s="35"/>
      <c r="L64" s="35"/>
      <c r="M64" s="35"/>
      <c r="N64" s="35"/>
      <c r="O64" s="35"/>
      <c r="P64" s="35"/>
      <c r="Q64" s="35"/>
      <c r="R64" s="35"/>
      <c r="S64" s="35"/>
      <c r="T64" s="35"/>
      <c r="U64" s="35"/>
      <c r="V64" s="35"/>
      <c r="W64" s="35"/>
      <c r="X64" s="164" t="s">
        <v>224</v>
      </c>
      <c r="Y64" s="244">
        <v>8.3039048317398809E-4</v>
      </c>
      <c r="Z64" s="24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04"/>
      <c r="C65" s="105"/>
      <c r="D65" s="106"/>
      <c r="E65" s="105"/>
      <c r="F65" s="89"/>
      <c r="G65" s="89"/>
      <c r="H65" s="89"/>
      <c r="I65" s="35"/>
      <c r="J65" s="35"/>
      <c r="K65" s="35"/>
      <c r="L65" s="35"/>
      <c r="M65" s="35"/>
      <c r="N65" s="35"/>
      <c r="O65" s="35"/>
      <c r="P65" s="35"/>
      <c r="Q65" s="35"/>
      <c r="R65" s="35"/>
      <c r="S65" s="35"/>
      <c r="T65" s="35"/>
      <c r="U65" s="35"/>
      <c r="V65" s="35"/>
      <c r="W65" s="35"/>
      <c r="X65" s="164" t="s">
        <v>226</v>
      </c>
      <c r="Y65" s="244">
        <v>7.5840059121394163E-4</v>
      </c>
      <c r="Z65" s="24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60" zoomScaleNormal="60" zoomScalePageLayoutView="60" workbookViewId="0">
      <selection activeCell="L45" sqref="L45"/>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17"/>
      <c r="B2" s="33"/>
      <c r="C2" s="33"/>
      <c r="D2" s="266" t="s">
        <v>117</v>
      </c>
      <c r="E2" s="117"/>
      <c r="F2" s="117"/>
      <c r="G2" s="117"/>
      <c r="H2" s="117"/>
      <c r="I2" s="33"/>
      <c r="J2" s="33"/>
      <c r="K2" s="30"/>
      <c r="L2" s="33"/>
      <c r="M2" s="266" t="s">
        <v>151</v>
      </c>
      <c r="N2" s="117"/>
      <c r="O2" s="117"/>
      <c r="P2" s="117"/>
      <c r="Q2" s="117"/>
      <c r="R2" s="33"/>
      <c r="S2" s="33"/>
      <c r="T2" s="33"/>
      <c r="U2" s="33"/>
      <c r="V2" s="117"/>
      <c r="W2" s="117"/>
      <c r="X2" s="117"/>
      <c r="Y2" s="117"/>
      <c r="Z2" s="117"/>
      <c r="AA2" s="272"/>
      <c r="AB2" s="272"/>
      <c r="AC2" s="272"/>
      <c r="AD2" s="272"/>
      <c r="AE2" s="272"/>
      <c r="AF2" s="144"/>
      <c r="AG2" s="144"/>
      <c r="AH2" s="269"/>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17"/>
      <c r="B3" s="33"/>
      <c r="C3" s="33"/>
      <c r="D3" s="33"/>
      <c r="E3" s="117"/>
      <c r="F3" s="33"/>
      <c r="G3" s="117"/>
      <c r="H3" s="117"/>
      <c r="I3" s="30"/>
      <c r="J3" s="33"/>
      <c r="K3" s="117"/>
      <c r="L3" s="33"/>
      <c r="M3" s="116" t="s">
        <v>152</v>
      </c>
      <c r="N3" s="116"/>
      <c r="O3" s="116"/>
      <c r="P3" s="216" t="b">
        <v>1</v>
      </c>
      <c r="Q3" s="274" t="s">
        <v>252</v>
      </c>
      <c r="R3" s="33"/>
      <c r="S3" s="33"/>
      <c r="T3" s="33"/>
      <c r="U3" s="33"/>
      <c r="V3" s="117"/>
      <c r="W3" s="117"/>
      <c r="X3" s="117"/>
      <c r="Y3" s="117"/>
      <c r="Z3" s="117"/>
      <c r="AA3" s="272"/>
      <c r="AB3" s="272"/>
      <c r="AC3" s="272"/>
      <c r="AD3" s="272"/>
      <c r="AE3" s="272"/>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17"/>
      <c r="B4" s="33"/>
      <c r="C4" s="165" t="s">
        <v>260</v>
      </c>
      <c r="D4" s="33"/>
      <c r="E4" s="117"/>
      <c r="F4" s="33"/>
      <c r="G4" s="117"/>
      <c r="H4" s="117"/>
      <c r="I4" s="30"/>
      <c r="J4" s="33"/>
      <c r="K4" s="117"/>
      <c r="L4" s="33"/>
      <c r="M4" s="208" t="s">
        <v>248</v>
      </c>
      <c r="N4" s="116"/>
      <c r="O4" s="116"/>
      <c r="P4" s="209">
        <v>2014</v>
      </c>
      <c r="Q4" s="265" t="s">
        <v>153</v>
      </c>
      <c r="R4" s="33"/>
      <c r="S4" s="33"/>
      <c r="T4" s="33"/>
      <c r="U4" s="33"/>
      <c r="V4" s="117"/>
      <c r="W4" s="117"/>
      <c r="X4" s="117"/>
      <c r="Y4" s="117"/>
      <c r="Z4" s="117"/>
      <c r="AA4" s="272"/>
      <c r="AB4" s="272"/>
      <c r="AC4" s="272"/>
      <c r="AD4" s="272"/>
      <c r="AE4" s="272"/>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17"/>
      <c r="B5" s="33"/>
      <c r="C5" s="165" t="s">
        <v>261</v>
      </c>
      <c r="D5" s="33"/>
      <c r="E5" s="117"/>
      <c r="F5" s="33"/>
      <c r="G5" s="117"/>
      <c r="H5" s="117"/>
      <c r="I5" s="30"/>
      <c r="J5" s="33"/>
      <c r="K5" s="117"/>
      <c r="L5" s="33"/>
      <c r="M5" s="116" t="s">
        <v>247</v>
      </c>
      <c r="N5" s="116"/>
      <c r="O5" s="268"/>
      <c r="P5" s="216" t="b">
        <v>0</v>
      </c>
      <c r="Q5" s="273" t="s">
        <v>251</v>
      </c>
      <c r="R5" s="120"/>
      <c r="S5" s="33"/>
      <c r="T5" s="33"/>
      <c r="U5" s="33"/>
      <c r="V5" s="117"/>
      <c r="W5" s="117"/>
      <c r="X5" s="117"/>
      <c r="Y5" s="117"/>
      <c r="Z5" s="117"/>
      <c r="AA5" s="272"/>
      <c r="AB5" s="272"/>
      <c r="AC5" s="272"/>
      <c r="AD5" s="272"/>
      <c r="AE5" s="272"/>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17"/>
      <c r="B6" s="33"/>
      <c r="C6" s="165" t="s">
        <v>262</v>
      </c>
      <c r="D6" s="33"/>
      <c r="E6" s="117"/>
      <c r="F6" s="33"/>
      <c r="G6" s="117"/>
      <c r="H6" s="117"/>
      <c r="I6" s="117"/>
      <c r="J6" s="117"/>
      <c r="K6" s="33"/>
      <c r="L6" s="33"/>
      <c r="M6" s="208" t="s">
        <v>249</v>
      </c>
      <c r="N6" s="120"/>
      <c r="O6" s="120"/>
      <c r="P6" s="271" t="s">
        <v>240</v>
      </c>
      <c r="Q6" s="270" t="s">
        <v>250</v>
      </c>
      <c r="R6" s="120"/>
      <c r="S6" s="117"/>
      <c r="T6" s="117"/>
      <c r="U6" s="117"/>
      <c r="V6" s="117"/>
      <c r="W6" s="117"/>
      <c r="X6" s="117"/>
      <c r="Y6" s="117"/>
      <c r="Z6" s="117"/>
      <c r="AA6" s="272"/>
      <c r="AB6" s="272"/>
      <c r="AC6" s="272"/>
      <c r="AD6" s="272"/>
      <c r="AE6" s="272"/>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17"/>
      <c r="B7" s="159"/>
      <c r="C7" s="118"/>
      <c r="D7" s="119"/>
      <c r="E7" s="166" t="s">
        <v>124</v>
      </c>
      <c r="F7" s="167" t="s">
        <v>246</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17"/>
      <c r="B8" s="144"/>
      <c r="C8" s="118"/>
      <c r="D8" s="119"/>
      <c r="E8" s="210" t="s">
        <v>125</v>
      </c>
      <c r="F8" s="213"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17"/>
      <c r="B9" s="144"/>
      <c r="C9" s="118"/>
      <c r="D9" s="119"/>
      <c r="E9" s="211" t="s">
        <v>126</v>
      </c>
      <c r="F9" s="214"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17"/>
      <c r="B10" s="144"/>
      <c r="C10" s="118"/>
      <c r="D10" s="119"/>
      <c r="E10" s="211" t="s">
        <v>138</v>
      </c>
      <c r="F10" s="214"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17"/>
      <c r="B11" s="144"/>
      <c r="C11" s="118"/>
      <c r="D11" s="119"/>
      <c r="E11" s="212" t="s">
        <v>139</v>
      </c>
      <c r="F11" s="215"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5" customHeight="1" thickBot="1">
      <c r="A13" s="141"/>
      <c r="B13" s="31" t="s">
        <v>245</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c r="A14" s="117"/>
      <c r="B14" s="251"/>
      <c r="C14" s="252" t="s">
        <v>118</v>
      </c>
      <c r="D14" s="253"/>
      <c r="E14" s="253"/>
      <c r="F14" s="253"/>
      <c r="G14" s="253"/>
      <c r="H14" s="253"/>
      <c r="I14" s="253"/>
      <c r="J14" s="253"/>
      <c r="K14" s="253"/>
      <c r="L14" s="252" t="s">
        <v>123</v>
      </c>
      <c r="M14" s="253"/>
      <c r="N14" s="253"/>
      <c r="O14" s="253"/>
      <c r="P14" s="253"/>
      <c r="Q14" s="253"/>
      <c r="R14" s="253"/>
      <c r="S14" s="253"/>
      <c r="T14" s="253"/>
      <c r="U14" s="252" t="s">
        <v>119</v>
      </c>
      <c r="V14" s="253"/>
      <c r="W14" s="253"/>
      <c r="X14" s="253"/>
      <c r="Y14" s="253"/>
      <c r="Z14" s="253"/>
      <c r="AA14" s="253"/>
      <c r="AB14" s="253"/>
      <c r="AC14" s="253"/>
      <c r="AD14" s="252" t="s">
        <v>229</v>
      </c>
      <c r="AE14" s="253"/>
      <c r="AF14" s="254"/>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17"/>
      <c r="B15" s="255"/>
      <c r="C15" s="443" t="s">
        <v>120</v>
      </c>
      <c r="D15" s="442"/>
      <c r="E15" s="442"/>
      <c r="F15" s="442" t="s">
        <v>121</v>
      </c>
      <c r="G15" s="442"/>
      <c r="H15" s="442"/>
      <c r="I15" s="442" t="s">
        <v>122</v>
      </c>
      <c r="J15" s="444"/>
      <c r="K15" s="444"/>
      <c r="L15" s="443" t="s">
        <v>120</v>
      </c>
      <c r="M15" s="442"/>
      <c r="N15" s="442"/>
      <c r="O15" s="442" t="s">
        <v>121</v>
      </c>
      <c r="P15" s="442"/>
      <c r="Q15" s="442"/>
      <c r="R15" s="442" t="s">
        <v>122</v>
      </c>
      <c r="S15" s="444"/>
      <c r="T15" s="444"/>
      <c r="U15" s="443" t="s">
        <v>120</v>
      </c>
      <c r="V15" s="442"/>
      <c r="W15" s="442"/>
      <c r="X15" s="442" t="s">
        <v>121</v>
      </c>
      <c r="Y15" s="442"/>
      <c r="Z15" s="442"/>
      <c r="AA15" s="442" t="s">
        <v>122</v>
      </c>
      <c r="AB15" s="442"/>
      <c r="AC15" s="442"/>
      <c r="AD15" s="246" t="s">
        <v>120</v>
      </c>
      <c r="AE15" s="247" t="s">
        <v>121</v>
      </c>
      <c r="AF15" s="256"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17"/>
      <c r="B16" s="257" t="s">
        <v>110</v>
      </c>
      <c r="C16" s="226" t="s">
        <v>111</v>
      </c>
      <c r="D16" s="227" t="s">
        <v>112</v>
      </c>
      <c r="E16" s="227" t="s">
        <v>113</v>
      </c>
      <c r="F16" s="228" t="s">
        <v>111</v>
      </c>
      <c r="G16" s="227" t="s">
        <v>112</v>
      </c>
      <c r="H16" s="227" t="s">
        <v>113</v>
      </c>
      <c r="I16" s="228" t="s">
        <v>111</v>
      </c>
      <c r="J16" s="227" t="s">
        <v>112</v>
      </c>
      <c r="K16" s="227" t="s">
        <v>113</v>
      </c>
      <c r="L16" s="229" t="s">
        <v>114</v>
      </c>
      <c r="M16" s="227" t="s">
        <v>115</v>
      </c>
      <c r="N16" s="230" t="s">
        <v>113</v>
      </c>
      <c r="O16" s="231" t="s">
        <v>114</v>
      </c>
      <c r="P16" s="227" t="s">
        <v>115</v>
      </c>
      <c r="Q16" s="227" t="s">
        <v>113</v>
      </c>
      <c r="R16" s="228" t="s">
        <v>114</v>
      </c>
      <c r="S16" s="227" t="s">
        <v>115</v>
      </c>
      <c r="T16" s="230" t="s">
        <v>113</v>
      </c>
      <c r="U16" s="229" t="s">
        <v>116</v>
      </c>
      <c r="V16" s="227" t="s">
        <v>112</v>
      </c>
      <c r="W16" s="230" t="s">
        <v>113</v>
      </c>
      <c r="X16" s="231" t="s">
        <v>116</v>
      </c>
      <c r="Y16" s="227" t="s">
        <v>112</v>
      </c>
      <c r="Z16" s="227" t="s">
        <v>113</v>
      </c>
      <c r="AA16" s="228" t="s">
        <v>116</v>
      </c>
      <c r="AB16" s="227" t="s">
        <v>112</v>
      </c>
      <c r="AC16" s="227" t="s">
        <v>113</v>
      </c>
      <c r="AD16" s="248" t="s">
        <v>230</v>
      </c>
      <c r="AE16" s="249" t="s">
        <v>230</v>
      </c>
      <c r="AF16" s="258" t="s">
        <v>230</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17"/>
      <c r="B17" s="259" t="s">
        <v>177</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60"/>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17"/>
      <c r="B18" s="259" t="s">
        <v>178</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60"/>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17"/>
      <c r="B19" s="259" t="s">
        <v>179</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60"/>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17"/>
      <c r="B20" s="259" t="s">
        <v>180</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60"/>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17"/>
      <c r="B21" s="259" t="s">
        <v>181</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60"/>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17"/>
      <c r="B22" s="259" t="s">
        <v>182</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60"/>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17"/>
      <c r="B23" s="259" t="s">
        <v>183</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60"/>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17"/>
      <c r="B24" s="259" t="s">
        <v>184</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60"/>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17"/>
      <c r="B25" s="259"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60"/>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17"/>
      <c r="B26" s="259" t="s">
        <v>185</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60"/>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17"/>
      <c r="B27" s="259" t="s">
        <v>186</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60"/>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17"/>
      <c r="B28" s="259" t="s">
        <v>187</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60"/>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17"/>
      <c r="B29" s="259" t="s">
        <v>188</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60"/>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17"/>
      <c r="B30" s="259" t="s">
        <v>189</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60"/>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17"/>
      <c r="B31" s="259" t="s">
        <v>190</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60"/>
      <c r="AG31" s="147" t="s">
        <v>16</v>
      </c>
      <c r="AH31" s="125"/>
      <c r="AI31" s="125"/>
      <c r="AJ31" s="250"/>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17"/>
      <c r="B32" s="259" t="s">
        <v>191</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60"/>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17"/>
      <c r="B33" s="259" t="s">
        <v>192</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60"/>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17"/>
      <c r="B34" s="259" t="s">
        <v>193</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60"/>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17"/>
      <c r="B35" s="259" t="s">
        <v>194</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60"/>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17"/>
      <c r="B36" s="259" t="s">
        <v>195</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60"/>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17"/>
      <c r="B37" s="259" t="s">
        <v>196</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60"/>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17"/>
      <c r="B38" s="259" t="s">
        <v>197</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60"/>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17"/>
      <c r="B39" s="259" t="s">
        <v>198</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60"/>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17"/>
      <c r="B40" s="259" t="s">
        <v>199</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60"/>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17"/>
      <c r="B41" s="259" t="s">
        <v>200</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60"/>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17"/>
      <c r="B42" s="259" t="s">
        <v>201</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60"/>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17"/>
      <c r="B43" s="259" t="s">
        <v>202</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60"/>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17"/>
      <c r="B44" s="259" t="s">
        <v>203</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60"/>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17"/>
      <c r="B45" s="259" t="s">
        <v>204</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60"/>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17"/>
      <c r="B46" s="259" t="s">
        <v>205</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60"/>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17"/>
      <c r="B47" s="259" t="s">
        <v>206</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60"/>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17"/>
      <c r="B48" s="259" t="s">
        <v>207</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60"/>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17"/>
      <c r="B49" s="259" t="s">
        <v>208</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60"/>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17"/>
      <c r="B50" s="259" t="s">
        <v>209</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60"/>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17"/>
      <c r="B51" s="259" t="s">
        <v>210</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60"/>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17"/>
      <c r="B52" s="259" t="s">
        <v>211</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60"/>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17"/>
      <c r="B53" s="259" t="s">
        <v>212</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60"/>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17"/>
      <c r="B54" s="259" t="s">
        <v>213</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60"/>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17"/>
      <c r="B55" s="259" t="s">
        <v>214</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60"/>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17"/>
      <c r="B56" s="259" t="s">
        <v>215</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60"/>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17"/>
      <c r="B57" s="259" t="s">
        <v>216</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60"/>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17"/>
      <c r="B58" s="259" t="s">
        <v>217</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60"/>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17"/>
      <c r="B59" s="259" t="s">
        <v>218</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60"/>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17"/>
      <c r="B60" s="259" t="s">
        <v>219</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60"/>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17"/>
      <c r="B61" s="259" t="s">
        <v>220</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60"/>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17"/>
      <c r="B62" s="259" t="s">
        <v>221</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60"/>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17"/>
      <c r="B63" s="259" t="s">
        <v>222</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60"/>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17"/>
      <c r="B64" s="259" t="s">
        <v>223</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60"/>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17"/>
      <c r="B65" s="259" t="s">
        <v>224</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60"/>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20"/>
      <c r="B66" s="259" t="s">
        <v>225</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60"/>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20"/>
      <c r="B67" s="261" t="s">
        <v>226</v>
      </c>
      <c r="C67" s="126"/>
      <c r="D67" s="262"/>
      <c r="E67" s="123"/>
      <c r="F67" s="124"/>
      <c r="G67" s="262"/>
      <c r="H67" s="123"/>
      <c r="I67" s="124"/>
      <c r="J67" s="262"/>
      <c r="K67" s="122"/>
      <c r="L67" s="262"/>
      <c r="M67" s="262"/>
      <c r="N67" s="262"/>
      <c r="O67" s="262"/>
      <c r="P67" s="262"/>
      <c r="Q67" s="262"/>
      <c r="R67" s="262"/>
      <c r="S67" s="262"/>
      <c r="T67" s="262"/>
      <c r="U67" s="262"/>
      <c r="V67" s="262"/>
      <c r="W67" s="262"/>
      <c r="X67" s="262"/>
      <c r="Y67" s="262"/>
      <c r="Z67" s="262"/>
      <c r="AA67" s="262"/>
      <c r="AB67" s="262"/>
      <c r="AC67" s="262"/>
      <c r="AD67" s="262"/>
      <c r="AE67" s="262"/>
      <c r="AF67" s="263"/>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67"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67" t="s">
        <v>234</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67" t="s">
        <v>236</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67" t="s">
        <v>176</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67" t="s">
        <v>235</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67" t="s">
        <v>231</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67" t="s">
        <v>237</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67" t="s">
        <v>232</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67" t="s">
        <v>238</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67" t="s">
        <v>233</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67" t="s">
        <v>239</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67" t="s">
        <v>240</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67" t="s">
        <v>241</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topLeftCell="A5" workbookViewId="0">
      <selection activeCell="Q40" sqref="Q40"/>
    </sheetView>
  </sheetViews>
  <sheetFormatPr baseColWidth="10" defaultColWidth="8.83203125" defaultRowHeight="12" x14ac:dyDescent="0"/>
  <cols>
    <col min="1" max="16384" width="8.83203125" style="272"/>
  </cols>
  <sheetData>
    <row r="17" spans="21:21">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2014-09-20T03:12:10Z</dcterms:modified>
</cp:coreProperties>
</file>