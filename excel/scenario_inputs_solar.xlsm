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380" yWindow="0" windowWidth="38400" windowHeight="21140" tabRatio="782" activeTab="6"/>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Main!$E$150:$E$152</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28" authorId="1">
      <text>
        <r>
          <rPr>
            <b/>
            <sz val="9"/>
            <color indexed="81"/>
            <rFont val="Tahoma"/>
            <family val="2"/>
          </rPr>
          <t>Ben Sigrin - NREL:</t>
        </r>
        <r>
          <rPr>
            <sz val="9"/>
            <color indexed="81"/>
            <rFont val="Tahoma"/>
            <family val="2"/>
          </rPr>
          <t xml:space="preserve">
Not sure what this will be yet, but we want a switch here for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<sst xmlns="http://schemas.openxmlformats.org/spreadsheetml/2006/main" count="1093" uniqueCount="345">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</sst>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2925800"/>
        <c:axId val="-2083362936"/>
      </c:scatterChart>
      <c:valAx>
        <c:axId val="211292580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3362936"/>
        <c:crosses val="autoZero"/>
        <c:crossBetween val="midCat"/>
      </c:valAx>
      <c:valAx>
        <c:axId val="-20833629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29258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83456760"/>
        <c:axId val="-2083408760"/>
      </c:scatterChart>
      <c:valAx>
        <c:axId val="-208345676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3408760"/>
        <c:crosses val="autoZero"/>
        <c:crossBetween val="midCat"/>
      </c:valAx>
      <c:valAx>
        <c:axId val="-20834087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34567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6"/>
  <sheetViews>
    <sheetView workbookViewId="0">
      <selection activeCell="D11" sqref="D11:D29"/>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69</v>
      </c>
      <c r="D11" s="351" t="s">
        <v>8</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140</v>
      </c>
      <c r="D13" s="353"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287</v>
      </c>
      <c r="D14" s="353" t="s">
        <v>288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65</v>
      </c>
      <c r="D17" s="352" t="s">
        <v>299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9" t="s">
        <v>66</v>
      </c>
      <c r="D20" s="352" t="s">
        <v>299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49" t="s">
        <v>158</v>
      </c>
      <c r="D23" s="352" t="s">
        <v>299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509"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509"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509" t="s">
        <v>62</v>
      </c>
      <c r="D26" s="352"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170"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509" t="s">
        <v>286</v>
      </c>
      <c r="D28" s="352" t="s">
        <v>284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 thickBot="1">
      <c r="A29" s="21"/>
      <c r="B29" s="21"/>
      <c r="C29" s="511" t="s">
        <v>289</v>
      </c>
      <c r="D29" s="365">
        <v>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thickTop="1">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17"/>
      <c r="F141" s="2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9"/>
      <c r="F142" s="19"/>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7" t="s">
        <v>3</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1" t="s">
        <v>103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82</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19"/>
      <c r="B146" s="21"/>
      <c r="C146" s="21"/>
      <c r="D146" s="21"/>
      <c r="E146" s="90" t="s">
        <v>83</v>
      </c>
      <c r="F146" s="61"/>
      <c r="G146" s="18"/>
      <c r="H146" s="21"/>
      <c r="I146" s="19"/>
      <c r="J146" s="21"/>
      <c r="K146" s="61"/>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90" t="s">
        <v>84</v>
      </c>
      <c r="F147" s="61"/>
      <c r="G147" s="21"/>
      <c r="H147" s="19"/>
      <c r="I147" s="67"/>
      <c r="J147" s="67"/>
      <c r="K147" s="67"/>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104</v>
      </c>
      <c r="F148" s="61"/>
      <c r="G148" s="66"/>
      <c r="H148" s="19"/>
      <c r="I148" s="61"/>
      <c r="J148" s="61"/>
      <c r="K148" s="61"/>
      <c r="L148" s="67"/>
      <c r="M148" s="46"/>
      <c r="N148" s="46"/>
      <c r="O148" s="46"/>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67"/>
      <c r="D149" s="19"/>
      <c r="E149" s="61"/>
      <c r="F149" s="61"/>
      <c r="G149" s="88"/>
      <c r="H149" s="67"/>
      <c r="I149" s="61" t="s">
        <v>108</v>
      </c>
      <c r="J149" s="67" t="s">
        <v>4</v>
      </c>
      <c r="K149" s="61" t="s">
        <v>78</v>
      </c>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19"/>
      <c r="D150" s="19"/>
      <c r="E150" s="61" t="s">
        <v>86</v>
      </c>
      <c r="F150" s="61"/>
      <c r="G150" s="89" t="s">
        <v>68</v>
      </c>
      <c r="H150" s="61"/>
      <c r="I150" s="61" t="s">
        <v>58</v>
      </c>
      <c r="J150" s="67" t="s">
        <v>5</v>
      </c>
      <c r="K150" s="61" t="s">
        <v>79</v>
      </c>
      <c r="L150" s="19"/>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61" t="s">
        <v>60</v>
      </c>
      <c r="F151" s="91"/>
      <c r="G151" s="89" t="s">
        <v>58</v>
      </c>
      <c r="H151" s="61"/>
      <c r="I151" s="61"/>
      <c r="J151" s="67" t="s">
        <v>6</v>
      </c>
      <c r="K151" s="61"/>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61</v>
      </c>
      <c r="F152" s="91"/>
      <c r="G152" s="88"/>
      <c r="H152" s="61"/>
      <c r="I152" s="61"/>
      <c r="J152" s="67" t="s">
        <v>7</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94"/>
      <c r="F153" s="91"/>
      <c r="G153" s="88"/>
      <c r="H153" s="61"/>
      <c r="I153" s="67"/>
      <c r="J153" s="67" t="s">
        <v>8</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91" t="s">
        <v>245</v>
      </c>
      <c r="F154" s="91"/>
      <c r="G154" s="88"/>
      <c r="H154" s="61"/>
      <c r="I154" s="67"/>
      <c r="J154" s="67" t="s">
        <v>0</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91" t="s">
        <v>246</v>
      </c>
      <c r="F155" s="91"/>
      <c r="G155" s="89" t="s">
        <v>86</v>
      </c>
      <c r="H155" s="67"/>
      <c r="I155" s="67"/>
      <c r="J155" s="67" t="s">
        <v>9</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1" t="s">
        <v>247</v>
      </c>
      <c r="F156" s="91"/>
      <c r="G156" s="89" t="s">
        <v>60</v>
      </c>
      <c r="H156" s="67"/>
      <c r="I156" s="93"/>
      <c r="J156" s="67" t="s">
        <v>10</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248</v>
      </c>
      <c r="F157" s="91"/>
      <c r="G157" s="92" t="s">
        <v>67</v>
      </c>
      <c r="H157" s="67"/>
      <c r="I157" s="93"/>
      <c r="J157" s="67" t="s">
        <v>170</v>
      </c>
      <c r="K157" s="9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F158" s="91"/>
      <c r="G158" s="92" t="s">
        <v>61</v>
      </c>
      <c r="H158" s="67"/>
      <c r="I158" s="93"/>
      <c r="J158" s="67" t="s">
        <v>12</v>
      </c>
      <c r="K158" s="9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c r="F159" s="91"/>
      <c r="G159" s="61"/>
      <c r="H159" s="93"/>
      <c r="I159" s="93"/>
      <c r="J159" s="67" t="s">
        <v>13</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59</v>
      </c>
      <c r="F160" s="91"/>
      <c r="G160" s="61"/>
      <c r="H160" s="93"/>
      <c r="I160" s="93"/>
      <c r="J160" s="67" t="s">
        <v>14</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91" t="s">
        <v>64</v>
      </c>
      <c r="F161" s="91"/>
      <c r="G161" s="61"/>
      <c r="H161" s="93"/>
      <c r="I161" s="93"/>
      <c r="J161" s="67" t="s">
        <v>15</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61"/>
      <c r="G162" s="61"/>
      <c r="H162" s="93"/>
      <c r="I162" s="93"/>
      <c r="J162" s="67" t="s">
        <v>16</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88</v>
      </c>
      <c r="F163" s="61"/>
      <c r="G163" s="61"/>
      <c r="H163" s="93"/>
      <c r="I163" s="93"/>
      <c r="J163" s="67" t="s">
        <v>17</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t="s">
        <v>89</v>
      </c>
      <c r="F164" s="61"/>
      <c r="G164" s="61"/>
      <c r="H164" s="93"/>
      <c r="I164" s="93"/>
      <c r="J164" s="67" t="s">
        <v>18</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c r="F165" s="61"/>
      <c r="G165" s="61"/>
      <c r="H165" s="93"/>
      <c r="I165" s="93"/>
      <c r="J165" s="67" t="s">
        <v>19</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93"/>
      <c r="I166" s="93"/>
      <c r="J166" s="67" t="s">
        <v>20</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85</v>
      </c>
      <c r="F167" s="61"/>
      <c r="G167" s="61"/>
      <c r="H167" s="93"/>
      <c r="I167" s="91"/>
      <c r="J167" s="67" t="s">
        <v>21</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90" t="s">
        <v>96</v>
      </c>
      <c r="F168" s="61"/>
      <c r="G168" s="61"/>
      <c r="H168" s="93"/>
      <c r="I168" s="91"/>
      <c r="J168" s="67" t="s">
        <v>22</v>
      </c>
      <c r="K168" s="9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95" t="s">
        <v>87</v>
      </c>
      <c r="F169" s="61"/>
      <c r="G169" s="61"/>
      <c r="H169" s="67"/>
      <c r="I169" s="91"/>
      <c r="J169" s="67" t="s">
        <v>23</v>
      </c>
      <c r="K169" s="9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c r="F170" s="61"/>
      <c r="G170" s="61"/>
      <c r="H170" s="67"/>
      <c r="I170" s="91"/>
      <c r="J170" s="67" t="s">
        <v>24</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172</v>
      </c>
      <c r="F171" s="61"/>
      <c r="G171" s="61"/>
      <c r="H171" s="61"/>
      <c r="I171" s="91"/>
      <c r="J171" s="67" t="s">
        <v>25</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171</v>
      </c>
      <c r="F172" s="61"/>
      <c r="G172" s="61"/>
      <c r="H172" s="61"/>
      <c r="I172" s="91"/>
      <c r="J172" s="67" t="s">
        <v>26</v>
      </c>
      <c r="K172" s="9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173</v>
      </c>
      <c r="F173" s="61"/>
      <c r="G173" s="61"/>
      <c r="H173" s="61"/>
      <c r="I173" s="91"/>
      <c r="J173" s="67" t="s">
        <v>27</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154</v>
      </c>
      <c r="F174" s="61"/>
      <c r="G174" s="61"/>
      <c r="H174" s="61"/>
      <c r="I174" s="61"/>
      <c r="J174" s="67" t="s">
        <v>28</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c r="F175" s="61"/>
      <c r="G175" s="61"/>
      <c r="H175" s="61"/>
      <c r="I175" s="61"/>
      <c r="J175" s="67" t="s">
        <v>29</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106</v>
      </c>
      <c r="F176" s="61"/>
      <c r="G176" s="61"/>
      <c r="H176" s="61"/>
      <c r="I176" s="61"/>
      <c r="J176" s="67" t="s">
        <v>30</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74</v>
      </c>
      <c r="F177" s="61"/>
      <c r="G177" s="61"/>
      <c r="H177" s="61"/>
      <c r="I177" s="61"/>
      <c r="J177" s="67" t="s">
        <v>31</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105</v>
      </c>
      <c r="F178" s="61"/>
      <c r="G178" s="61"/>
      <c r="H178" s="61"/>
      <c r="I178" s="61"/>
      <c r="J178" s="67" t="s">
        <v>32</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c r="F179" s="61"/>
      <c r="G179" s="61"/>
      <c r="H179" s="61"/>
      <c r="I179" s="61"/>
      <c r="J179" s="67" t="s">
        <v>33</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106</v>
      </c>
      <c r="F180" s="61"/>
      <c r="G180" s="61"/>
      <c r="H180" s="61"/>
      <c r="I180" s="61"/>
      <c r="J180" s="67" t="s">
        <v>34</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74</v>
      </c>
      <c r="F181" s="61"/>
      <c r="G181" s="61"/>
      <c r="H181" s="61"/>
      <c r="I181" s="61"/>
      <c r="J181" s="67" t="s">
        <v>35</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105</v>
      </c>
      <c r="F182" s="61"/>
      <c r="G182" s="61"/>
      <c r="H182" s="61"/>
      <c r="I182" s="61"/>
      <c r="J182" s="67" t="s">
        <v>36</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c r="F183" s="61"/>
      <c r="G183" s="61"/>
      <c r="H183" s="61"/>
      <c r="I183" s="61"/>
      <c r="J183" s="67" t="s">
        <v>37</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38</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75</v>
      </c>
      <c r="F185" s="61"/>
      <c r="G185" s="61"/>
      <c r="H185" s="61"/>
      <c r="I185" s="61"/>
      <c r="J185" s="67" t="s">
        <v>39</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74</v>
      </c>
      <c r="F186" s="61"/>
      <c r="G186" s="61"/>
      <c r="H186" s="61"/>
      <c r="I186" s="61"/>
      <c r="J186" s="67" t="s">
        <v>40</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41</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77</v>
      </c>
      <c r="F188" s="61"/>
      <c r="G188" s="61"/>
      <c r="H188" s="61"/>
      <c r="I188" s="61"/>
      <c r="J188" s="67" t="s">
        <v>42</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76</v>
      </c>
      <c r="F189" s="61"/>
      <c r="G189" s="61"/>
      <c r="H189" s="61"/>
      <c r="I189" s="61"/>
      <c r="J189" s="67" t="s">
        <v>43</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44</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80</v>
      </c>
      <c r="F191" s="61"/>
      <c r="G191" s="61"/>
      <c r="H191" s="61"/>
      <c r="I191" s="61"/>
      <c r="J191" s="67" t="s">
        <v>45</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46</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87</v>
      </c>
      <c r="F193" s="61"/>
      <c r="G193" s="61"/>
      <c r="H193" s="61"/>
      <c r="I193" s="61"/>
      <c r="J193" s="67" t="s">
        <v>47</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c r="F194" s="61"/>
      <c r="G194" s="61"/>
      <c r="H194" s="61"/>
      <c r="I194" s="61"/>
      <c r="J194" s="67" t="s">
        <v>48</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91</v>
      </c>
      <c r="F195" s="61"/>
      <c r="G195" s="61"/>
      <c r="H195" s="61"/>
      <c r="I195" s="61"/>
      <c r="J195" s="67" t="s">
        <v>49</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90</v>
      </c>
      <c r="F196" s="61"/>
      <c r="G196" s="61"/>
      <c r="H196" s="61"/>
      <c r="I196" s="61"/>
      <c r="J196" s="67" t="s">
        <v>50</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51</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93</v>
      </c>
      <c r="F198" s="61"/>
      <c r="G198" s="61"/>
      <c r="H198" s="61"/>
      <c r="I198" s="61"/>
      <c r="J198" s="67" t="s">
        <v>52</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95</v>
      </c>
      <c r="F199" s="61"/>
      <c r="G199" s="61"/>
      <c r="H199" s="61"/>
      <c r="I199" s="61"/>
      <c r="J199" s="61"/>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92</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c r="F201" s="61"/>
      <c r="G201" s="61"/>
      <c r="H201" s="61"/>
      <c r="I201" s="61"/>
      <c r="J201" s="98">
        <v>2010</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97</v>
      </c>
      <c r="F202" s="61"/>
      <c r="G202" s="61"/>
      <c r="H202" s="61"/>
      <c r="I202" s="61"/>
      <c r="J202" s="98">
        <f>J201+2</f>
        <v>2012</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t="s">
        <v>99</v>
      </c>
      <c r="F203" s="61"/>
      <c r="G203" s="61"/>
      <c r="H203" s="61"/>
      <c r="I203" s="61"/>
      <c r="J203" s="98">
        <f t="shared" ref="J203:J221" si="0">J202+2</f>
        <v>2014</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c r="F204" s="61"/>
      <c r="G204" s="61"/>
      <c r="H204" s="61"/>
      <c r="I204" s="61"/>
      <c r="J204" s="98">
        <f t="shared" si="0"/>
        <v>2016</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98">
        <f t="shared" si="0"/>
        <v>2018</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7" t="s">
        <v>98</v>
      </c>
      <c r="F206" s="61"/>
      <c r="G206" s="61"/>
      <c r="H206" s="61"/>
      <c r="I206" s="61"/>
      <c r="J206" s="98">
        <f t="shared" si="0"/>
        <v>2020</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t="s">
        <v>58</v>
      </c>
      <c r="F207" s="61"/>
      <c r="G207" s="61"/>
      <c r="H207" s="61"/>
      <c r="I207" s="61"/>
      <c r="J207" s="98">
        <f t="shared" si="0"/>
        <v>2022</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90" t="s">
        <v>84</v>
      </c>
      <c r="F208" s="61"/>
      <c r="G208" s="61"/>
      <c r="H208" s="61"/>
      <c r="I208" s="61"/>
      <c r="J208" s="98">
        <f t="shared" si="0"/>
        <v>2024</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c r="F209" s="61"/>
      <c r="G209" s="61"/>
      <c r="H209" s="61"/>
      <c r="I209" s="61"/>
      <c r="J209" s="98">
        <f t="shared" si="0"/>
        <v>2026</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98">
        <f t="shared" si="0"/>
        <v>2028</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284</v>
      </c>
      <c r="F211" s="61"/>
      <c r="G211" s="61"/>
      <c r="H211" s="61"/>
      <c r="I211" s="61"/>
      <c r="J211" s="98">
        <f t="shared" si="0"/>
        <v>2030</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285</v>
      </c>
      <c r="F212" s="61"/>
      <c r="G212" s="61"/>
      <c r="H212" s="61"/>
      <c r="I212" s="61"/>
      <c r="J212" s="98">
        <f t="shared" si="0"/>
        <v>2032</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2034</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8">
        <f t="shared" si="0"/>
        <v>2036</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c r="F215" s="61"/>
      <c r="G215" s="61"/>
      <c r="H215" s="61"/>
      <c r="I215" s="61"/>
      <c r="J215" s="98">
        <f t="shared" si="0"/>
        <v>2038</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2040</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165</v>
      </c>
      <c r="F217" s="61"/>
      <c r="G217" s="61"/>
      <c r="H217" s="61"/>
      <c r="I217" s="61"/>
      <c r="J217" s="98">
        <f t="shared" si="0"/>
        <v>2042</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166</v>
      </c>
      <c r="F218" s="61"/>
      <c r="G218" s="61"/>
      <c r="H218" s="61"/>
      <c r="I218" s="61"/>
      <c r="J218" s="98">
        <f t="shared" si="0"/>
        <v>2044</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167</v>
      </c>
      <c r="F219" s="61"/>
      <c r="G219" s="61"/>
      <c r="H219" s="61"/>
      <c r="I219" s="61"/>
      <c r="J219" s="98">
        <f t="shared" si="0"/>
        <v>2046</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168</v>
      </c>
      <c r="F220" s="61"/>
      <c r="G220" s="61"/>
      <c r="H220" s="61"/>
      <c r="I220" s="61"/>
      <c r="J220" s="98">
        <f t="shared" si="0"/>
        <v>2048</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169</v>
      </c>
      <c r="F221" s="61"/>
      <c r="G221" s="61"/>
      <c r="H221" s="61"/>
      <c r="I221" s="61"/>
      <c r="J221" s="98">
        <f t="shared" si="0"/>
        <v>2050</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c r="F222" s="61"/>
      <c r="G222" s="61"/>
      <c r="H222" s="61"/>
      <c r="I222" s="61"/>
      <c r="J222" s="61"/>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v>
      </c>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0.1</v>
      </c>
      <c r="F224" s="61"/>
      <c r="G224" s="61"/>
      <c r="H224" s="61"/>
      <c r="I224" s="61"/>
      <c r="J224" s="61" t="s">
        <v>299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0.2</v>
      </c>
      <c r="F225" s="61"/>
      <c r="G225" s="61"/>
      <c r="H225" s="61"/>
      <c r="I225" s="61"/>
      <c r="J225" s="61" t="s">
        <v>300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0.3</v>
      </c>
      <c r="F226" s="61"/>
      <c r="G226" s="61"/>
      <c r="H226" s="61"/>
      <c r="I226" s="61"/>
      <c r="J226" s="61" t="s">
        <v>301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0.4</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0.5</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0.6</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0.7</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0.8</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0.9</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1</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5"/>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5"/>
      <c r="J290" s="65"/>
      <c r="K290" s="65"/>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33"/>
      <c r="G342" s="65"/>
      <c r="H342" s="65"/>
      <c r="I342" s="65"/>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33"/>
      <c r="G1239" s="33"/>
      <c r="H1239" s="33"/>
      <c r="I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row>
    <row r="1243" spans="1:50">
      <c r="A1243" s="1"/>
      <c r="E1243" s="1"/>
      <c r="G1243" s="33"/>
      <c r="H1243" s="33"/>
    </row>
    <row r="1244" spans="1:50">
      <c r="A1244" s="1"/>
      <c r="E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sheetData>
  <phoneticPr fontId="5" type="noConversion"/>
  <dataValidations count="11">
    <dataValidation type="list" allowBlank="1" showInputMessage="1" showErrorMessage="1" sqref="D27">
      <formula1>"No Carbon Price, Price Based On State Carbon Intensity, Price Based On NG Offset"</formula1>
    </dataValidation>
    <dataValidation type="list" allowBlank="1" showInputMessage="1" showErrorMessage="1" sqref="D23 D20 D17">
      <formula1>$J$224:$J$226</formula1>
    </dataValidation>
    <dataValidation type="list" allowBlank="1" showInputMessage="1" showErrorMessage="1" sqref="D15 D18 D21 D24">
      <formula1>"AEO2014, No Growth, User Defined"</formula1>
    </dataValidation>
    <dataValidation type="list" allowBlank="1" showInputMessage="1" showErrorMessage="1" sqref="D11">
      <formula1>$J$149:$J$198</formula1>
    </dataValidation>
    <dataValidation type="list" allowBlank="1" showInputMessage="1" showErrorMessage="1" sqref="D13">
      <formula1>$E$171:$E$174</formula1>
    </dataValidation>
    <dataValidation type="list" allowBlank="1" showInputMessage="1" showErrorMessage="1" sqref="D12">
      <formula1>$J$203:$J$221</formula1>
    </dataValidation>
    <dataValidation type="list" allowBlank="1" showInputMessage="1" showErrorMessage="1" sqref="D28">
      <formula1>$E$211:$E$212</formula1>
    </dataValidation>
    <dataValidation type="list" allowBlank="1" showInputMessage="1" showErrorMessage="1" sqref="D16">
      <formula1>$E$217:$E$221</formula1>
    </dataValidation>
    <dataValidation type="list" allowBlank="1" showInputMessage="1" showErrorMessage="1" sqref="D26">
      <formula1>$E$154:$E$157</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 thickBot="1">
      <c r="A4" s="283"/>
      <c r="B4" s="354" t="s">
        <v>279</v>
      </c>
      <c r="C4" s="283"/>
      <c r="D4" s="283"/>
      <c r="E4" s="283"/>
      <c r="F4" s="283"/>
      <c r="G4" s="283"/>
      <c r="H4" s="283"/>
      <c r="I4" s="283"/>
      <c r="J4" s="283"/>
      <c r="K4" s="283"/>
      <c r="L4" s="283"/>
      <c r="M4" s="283"/>
      <c r="N4" s="283"/>
      <c r="O4" s="283"/>
      <c r="P4" s="283"/>
      <c r="Q4" s="283"/>
      <c r="R4" s="270" t="s">
        <v>267</v>
      </c>
      <c r="S4" s="271"/>
      <c r="T4" s="375" t="s">
        <v>268</v>
      </c>
      <c r="U4" s="375" t="s">
        <v>269</v>
      </c>
      <c r="V4" s="375" t="s">
        <v>278</v>
      </c>
      <c r="W4" s="283"/>
      <c r="X4" s="283"/>
      <c r="Y4" s="283"/>
      <c r="Z4" s="283"/>
      <c r="AA4" s="283"/>
      <c r="AB4" s="283"/>
      <c r="AC4" s="260"/>
    </row>
    <row r="5" spans="1:60" ht="13">
      <c r="A5" s="283"/>
      <c r="B5" s="354" t="s">
        <v>280</v>
      </c>
      <c r="C5" s="283"/>
      <c r="D5" s="283"/>
      <c r="E5" s="283"/>
      <c r="F5" s="283"/>
      <c r="G5" s="283"/>
      <c r="H5" s="283"/>
      <c r="I5" s="283"/>
      <c r="J5" s="283"/>
      <c r="K5" s="283"/>
      <c r="L5" s="283"/>
      <c r="M5" s="283"/>
      <c r="N5" s="283"/>
      <c r="O5" s="283"/>
      <c r="P5" s="283"/>
      <c r="Q5" s="283"/>
      <c r="R5" s="273" t="s">
        <v>270</v>
      </c>
      <c r="S5" s="372"/>
      <c r="T5" s="376">
        <v>1.1000000238418579</v>
      </c>
      <c r="U5" s="377">
        <v>1.1000000238418579</v>
      </c>
      <c r="V5" s="378">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271</v>
      </c>
      <c r="S6" s="373"/>
      <c r="T6" s="379">
        <v>4</v>
      </c>
      <c r="U6" s="258">
        <v>300</v>
      </c>
      <c r="V6" s="380">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272</v>
      </c>
      <c r="S7" s="374"/>
      <c r="T7" s="381">
        <v>1.6666699200868607E-2</v>
      </c>
      <c r="U7" s="382">
        <v>1.6999999934341758E-4</v>
      </c>
      <c r="V7" s="383">
        <v>1.6999999934341758E-4</v>
      </c>
      <c r="W7" s="283"/>
      <c r="X7" s="283"/>
      <c r="Y7" s="283"/>
      <c r="Z7" s="283"/>
      <c r="AA7" s="283"/>
      <c r="AB7" s="283"/>
      <c r="AC7" s="260"/>
    </row>
    <row r="8" spans="1:60" ht="21">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294</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22" t="s">
        <v>259</v>
      </c>
      <c r="C10" s="297" t="s">
        <v>260</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c r="A11" s="283"/>
      <c r="B11" s="523"/>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23"/>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24"/>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22"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c r="A18" s="283"/>
      <c r="B18" s="523"/>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c r="A19" s="283"/>
      <c r="B19" s="523"/>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24"/>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294</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22"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23"/>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23"/>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24"/>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22"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23"/>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23"/>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24"/>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22" t="s">
        <v>259</v>
      </c>
      <c r="C37" s="297" t="s">
        <v>260</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23"/>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23"/>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24"/>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22"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23"/>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23"/>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24"/>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baseColWidth="10" defaultColWidth="8.83203125" defaultRowHeight="12" x14ac:dyDescent="0"/>
  <cols>
    <col min="1" max="1" width="3.5" style="243" customWidth="1"/>
    <col min="2" max="2" width="30" style="243" customWidth="1"/>
    <col min="3" max="3" width="20.5" style="243" customWidth="1"/>
    <col min="4" max="4" width="21" style="243" customWidth="1"/>
    <col min="5"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276</v>
      </c>
    </row>
    <row r="4" spans="2:28" ht="17">
      <c r="P4" s="311" t="s">
        <v>249</v>
      </c>
      <c r="Q4" s="312"/>
      <c r="R4" s="312"/>
      <c r="S4" s="312"/>
      <c r="T4" s="313" t="s">
        <v>277</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292</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c r="B8" s="337" t="s">
        <v>293</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c r="B9" s="337" t="s">
        <v>290</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 thickBot="1">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291</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281</v>
      </c>
      <c r="C15" s="344">
        <v>5.0000000000000001E-3</v>
      </c>
    </row>
    <row r="18" spans="2:28">
      <c r="B18" s="345" t="s">
        <v>283</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2" customHeight="1">
      <c r="B24" s="447" t="s">
        <v>340</v>
      </c>
    </row>
    <row r="25" spans="2:28" ht="31" thickBot="1">
      <c r="C25" s="515" t="s">
        <v>341</v>
      </c>
      <c r="D25" s="515" t="s">
        <v>342</v>
      </c>
      <c r="F25" s="525" t="s">
        <v>343</v>
      </c>
      <c r="G25" s="525"/>
      <c r="H25" s="525"/>
      <c r="I25" s="525"/>
      <c r="J25" s="525"/>
    </row>
    <row r="26" spans="2:28" ht="16" customHeight="1" thickTop="1">
      <c r="B26" s="513" t="s">
        <v>120</v>
      </c>
      <c r="C26" s="516">
        <v>0.85</v>
      </c>
      <c r="D26" s="517">
        <v>0.5</v>
      </c>
      <c r="F26" s="525"/>
      <c r="G26" s="525"/>
      <c r="H26" s="525"/>
      <c r="I26" s="525"/>
      <c r="J26" s="525"/>
    </row>
    <row r="27" spans="2:28" ht="15">
      <c r="B27" s="510" t="s">
        <v>121</v>
      </c>
      <c r="C27" s="518">
        <v>0.25</v>
      </c>
      <c r="D27" s="519">
        <v>0.1</v>
      </c>
      <c r="F27" s="525"/>
      <c r="G27" s="525"/>
      <c r="H27" s="525"/>
      <c r="I27" s="525"/>
      <c r="J27" s="525"/>
    </row>
    <row r="28" spans="2:28" ht="16" thickBot="1">
      <c r="B28" s="514" t="s">
        <v>122</v>
      </c>
      <c r="C28" s="520">
        <v>0.25</v>
      </c>
      <c r="D28" s="521">
        <v>0.1</v>
      </c>
      <c r="F28" s="525"/>
      <c r="G28" s="525"/>
      <c r="H28" s="525"/>
      <c r="I28" s="525"/>
      <c r="J28" s="525"/>
    </row>
    <row r="29" spans="2:28" ht="13" thickTop="1">
      <c r="F29" s="512"/>
      <c r="G29" s="512"/>
      <c r="H29" s="512"/>
      <c r="I29" s="512"/>
    </row>
    <row r="36" spans="4:4">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5" t="s">
        <v>53</v>
      </c>
      <c r="D9" s="536"/>
      <c r="E9" s="245" t="s">
        <v>149</v>
      </c>
      <c r="F9" s="186" t="s">
        <v>150</v>
      </c>
      <c r="G9" s="135"/>
      <c r="H9" s="233"/>
      <c r="I9" s="233"/>
      <c r="J9" s="526" t="s">
        <v>135</v>
      </c>
      <c r="K9" s="527"/>
      <c r="L9" s="528"/>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37" t="s">
        <v>54</v>
      </c>
      <c r="D17" s="538"/>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39" t="s">
        <v>136</v>
      </c>
      <c r="D26" s="540"/>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29" t="s">
        <v>120</v>
      </c>
      <c r="E35" s="530"/>
      <c r="F35" s="531" t="s">
        <v>121</v>
      </c>
      <c r="G35" s="532"/>
      <c r="H35" s="533" t="s">
        <v>122</v>
      </c>
      <c r="I35" s="5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226</v>
      </c>
      <c r="Z16" s="38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295</v>
      </c>
      <c r="D31" s="109"/>
      <c r="E31" s="109"/>
      <c r="F31" s="109"/>
      <c r="G31" s="85"/>
      <c r="H31" s="85"/>
      <c r="I31" s="81"/>
      <c r="J31" s="81"/>
      <c r="K31" s="35"/>
      <c r="L31" s="35"/>
      <c r="M31" s="35"/>
      <c r="N31" s="400"/>
      <c r="O31" s="135" t="s">
        <v>297</v>
      </c>
      <c r="P31" s="35"/>
      <c r="Q31" s="35"/>
      <c r="R31" s="35"/>
      <c r="S31" s="35"/>
      <c r="T31" s="35"/>
      <c r="U31" s="35"/>
      <c r="V31" s="35"/>
      <c r="W31" s="28"/>
      <c r="X31" s="235" t="s">
        <v>191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2"/>
      <c r="C32" s="541" t="s">
        <v>296</v>
      </c>
      <c r="D32" s="541"/>
      <c r="E32" s="541"/>
      <c r="F32" s="542"/>
      <c r="G32" s="207">
        <v>2020</v>
      </c>
      <c r="H32" s="85"/>
      <c r="I32" s="81"/>
      <c r="J32" s="81"/>
      <c r="K32" s="35"/>
      <c r="L32" s="35"/>
      <c r="M32" s="35"/>
      <c r="N32" s="35"/>
      <c r="O32" s="35"/>
      <c r="P32" s="35"/>
      <c r="Q32" s="35"/>
      <c r="R32" s="35"/>
      <c r="S32" s="35"/>
      <c r="T32" s="35"/>
      <c r="U32" s="35"/>
      <c r="V32" s="35"/>
      <c r="W32" s="80"/>
      <c r="X32" s="235" t="s">
        <v>192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2"/>
      <c r="C33" s="101"/>
      <c r="D33" s="102"/>
      <c r="E33" s="101"/>
      <c r="F33" s="86"/>
      <c r="G33" s="86"/>
      <c r="H33" s="86"/>
      <c r="I33" s="82"/>
      <c r="J33" s="82"/>
      <c r="K33" s="28"/>
      <c r="L33" s="28"/>
      <c r="M33" s="28"/>
      <c r="N33" s="28"/>
      <c r="O33" s="28"/>
      <c r="P33" s="28"/>
      <c r="Q33" s="28"/>
      <c r="R33" s="28"/>
      <c r="S33" s="28"/>
      <c r="T33" s="28"/>
      <c r="U33" s="28"/>
      <c r="V33" s="28"/>
      <c r="W33" s="37"/>
      <c r="X33" s="235" t="s">
        <v>193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5" t="s">
        <v>298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3"/>
      <c r="C35" s="397" t="s">
        <v>176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3"/>
      <c r="C36" s="397" t="s">
        <v>178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3"/>
      <c r="C37" s="399" t="s">
        <v>179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3"/>
      <c r="C38" s="399" t="s">
        <v>180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3"/>
      <c r="C39" s="399" t="s">
        <v>181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3"/>
      <c r="C40" s="399" t="s">
        <v>182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200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3"/>
      <c r="C41" s="399" t="s">
        <v>183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201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3"/>
      <c r="C43" s="397" t="s">
        <v>184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3"/>
      <c r="C44" s="397" t="s">
        <v>185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3"/>
      <c r="C45" s="397" t="s">
        <v>187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3"/>
      <c r="C46" s="397" t="s">
        <v>188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3"/>
      <c r="C47" s="399" t="s">
        <v>189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3"/>
      <c r="C48" s="397" t="s">
        <v>190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3"/>
      <c r="C49" s="397" t="s">
        <v>191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3"/>
      <c r="C50" s="397" t="s">
        <v>192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210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3"/>
      <c r="C51" s="397" t="s">
        <v>193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211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3"/>
      <c r="C52" s="399" t="s">
        <v>194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3"/>
      <c r="C53" s="399" t="s">
        <v>195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3"/>
      <c r="C54" s="397" t="s">
        <v>196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3"/>
      <c r="C55" s="399" t="s">
        <v>197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3"/>
      <c r="C56" s="397" t="s">
        <v>198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3"/>
      <c r="C57" s="397" t="s">
        <v>199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3"/>
      <c r="C58" s="397" t="s">
        <v>200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3"/>
      <c r="C59" s="397" t="s">
        <v>201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3"/>
      <c r="C60" s="397" t="s">
        <v>202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220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3"/>
      <c r="C61" s="397" t="s">
        <v>203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221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3"/>
      <c r="C62" s="397" t="s">
        <v>204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3"/>
      <c r="C63" s="399" t="s">
        <v>205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3"/>
      <c r="C64" s="399" t="s">
        <v>206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3"/>
      <c r="C65" s="399" t="s">
        <v>207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3"/>
      <c r="C66" s="399" t="s">
        <v>208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3"/>
      <c r="C67" s="399" t="s">
        <v>209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3"/>
      <c r="C68" s="399" t="s">
        <v>210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3"/>
      <c r="C69" s="397" t="s">
        <v>211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4"/>
      <c r="C70" s="399" t="s">
        <v>212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5"/>
      <c r="C71" s="399" t="s">
        <v>213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5"/>
      <c r="C72" s="399" t="s">
        <v>214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5"/>
      <c r="C73" s="397" t="s">
        <v>215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5"/>
      <c r="C74" s="397" t="s">
        <v>216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5"/>
      <c r="C75" s="397" t="s">
        <v>217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5"/>
      <c r="C76" s="399" t="s">
        <v>218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5"/>
      <c r="C77" s="399" t="s">
        <v>219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5"/>
      <c r="C78" s="397" t="s">
        <v>220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6"/>
      <c r="C79" s="399" t="s">
        <v>221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6"/>
      <c r="C80" s="397" t="s">
        <v>222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6"/>
      <c r="C81" s="397" t="s">
        <v>223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6"/>
      <c r="C82" s="397" t="s">
        <v>224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6"/>
      <c r="C83" s="398" t="s">
        <v>225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6"/>
      <c r="C86" s="31" t="s">
        <v>302</v>
      </c>
      <c r="D86" s="423"/>
      <c r="E86" s="423"/>
      <c r="F86" s="423"/>
      <c r="G86" s="35"/>
      <c r="H86" s="35"/>
      <c r="I86" s="35"/>
      <c r="J86" s="31" t="s">
        <v>316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7" t="s">
        <v>298</v>
      </c>
      <c r="D87" s="428" t="s">
        <v>303</v>
      </c>
      <c r="E87" s="428" t="s">
        <v>304</v>
      </c>
      <c r="F87" s="428" t="s">
        <v>305</v>
      </c>
      <c r="G87" s="35"/>
      <c r="H87" s="35"/>
      <c r="I87" s="243"/>
      <c r="J87" s="442"/>
      <c r="K87" s="443" t="s">
        <v>120</v>
      </c>
      <c r="L87" s="444" t="s">
        <v>314</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18"/>
      <c r="C88" s="424" t="s">
        <v>177</v>
      </c>
      <c r="D88" s="425">
        <v>0.18</v>
      </c>
      <c r="E88" s="425">
        <v>0.15</v>
      </c>
      <c r="F88" s="426">
        <v>0.17</v>
      </c>
      <c r="G88" s="35"/>
      <c r="H88" s="35"/>
      <c r="I88" s="243"/>
      <c r="J88" s="440" t="s">
        <v>306</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18"/>
      <c r="C89" s="416" t="s">
        <v>176</v>
      </c>
      <c r="D89" s="419">
        <v>0.11</v>
      </c>
      <c r="E89" s="419">
        <v>0.11</v>
      </c>
      <c r="F89" s="420">
        <v>0.06</v>
      </c>
      <c r="G89" s="35"/>
      <c r="H89" s="35"/>
      <c r="I89" s="243"/>
      <c r="J89" s="429" t="s">
        <v>307</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18"/>
      <c r="C90" s="416" t="s">
        <v>179</v>
      </c>
      <c r="D90" s="419">
        <v>0.09</v>
      </c>
      <c r="E90" s="419">
        <v>0.08</v>
      </c>
      <c r="F90" s="420">
        <v>0.06</v>
      </c>
      <c r="G90" s="35"/>
      <c r="H90" s="35"/>
      <c r="I90" s="243"/>
      <c r="J90" s="429" t="s">
        <v>308</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18"/>
      <c r="C91" s="416" t="s">
        <v>178</v>
      </c>
      <c r="D91" s="419">
        <v>0.11</v>
      </c>
      <c r="E91" s="419">
        <v>0.1</v>
      </c>
      <c r="F91" s="420">
        <v>7.0000000000000007E-2</v>
      </c>
      <c r="G91" s="35"/>
      <c r="H91" s="35"/>
      <c r="I91" s="243"/>
      <c r="J91" s="429" t="s">
        <v>309</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18"/>
      <c r="C92" s="416" t="s">
        <v>180</v>
      </c>
      <c r="D92" s="419">
        <v>0.15</v>
      </c>
      <c r="E92" s="419">
        <v>0.13</v>
      </c>
      <c r="F92" s="420">
        <v>0.1</v>
      </c>
      <c r="G92" s="35"/>
      <c r="H92" s="35"/>
      <c r="I92" s="243"/>
      <c r="J92" s="429" t="s">
        <v>310</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18"/>
      <c r="C93" s="416" t="s">
        <v>181</v>
      </c>
      <c r="D93" s="419">
        <v>0.11</v>
      </c>
      <c r="E93" s="419">
        <v>0.09</v>
      </c>
      <c r="F93" s="420">
        <v>7.0000000000000007E-2</v>
      </c>
      <c r="G93" s="35"/>
      <c r="H93" s="35"/>
      <c r="I93" s="243"/>
      <c r="J93" s="429" t="s">
        <v>311</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18"/>
      <c r="C94" s="416" t="s">
        <v>182</v>
      </c>
      <c r="D94" s="419">
        <v>0.17</v>
      </c>
      <c r="E94" s="419">
        <v>0.15</v>
      </c>
      <c r="F94" s="420">
        <v>0.13</v>
      </c>
      <c r="G94" s="35"/>
      <c r="H94" s="35"/>
      <c r="I94" s="243"/>
      <c r="J94" s="429" t="s">
        <v>312</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18"/>
      <c r="C95" s="416" t="s">
        <v>11</v>
      </c>
      <c r="D95" s="419">
        <v>0.12</v>
      </c>
      <c r="E95" s="419">
        <v>0.12</v>
      </c>
      <c r="F95" s="420">
        <v>0.05</v>
      </c>
      <c r="G95" s="35"/>
      <c r="H95" s="35"/>
      <c r="I95" s="243"/>
      <c r="J95" s="429" t="s">
        <v>313</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18"/>
      <c r="C96" s="416" t="s">
        <v>183</v>
      </c>
      <c r="D96" s="419">
        <v>0.14000000000000001</v>
      </c>
      <c r="E96" s="419">
        <v>0.1</v>
      </c>
      <c r="F96" s="420">
        <v>0.08</v>
      </c>
      <c r="G96" s="35"/>
      <c r="H96" s="35"/>
      <c r="I96" s="243"/>
      <c r="J96" s="430" t="s">
        <v>317</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18"/>
      <c r="C97" s="416" t="s">
        <v>184</v>
      </c>
      <c r="D97" s="419">
        <v>0.11</v>
      </c>
      <c r="E97" s="419">
        <v>0.1</v>
      </c>
      <c r="F97" s="420">
        <v>0.08</v>
      </c>
      <c r="G97" s="35"/>
      <c r="H97" s="35"/>
      <c r="I97" s="243"/>
      <c r="J97" s="439" t="s">
        <v>315</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18"/>
      <c r="C98" s="416" t="s">
        <v>185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18"/>
      <c r="C99" s="416" t="s">
        <v>186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18"/>
      <c r="C100" s="416" t="s">
        <v>190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18"/>
      <c r="C101" s="416" t="s">
        <v>187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18"/>
      <c r="C102" s="416" t="s">
        <v>188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18"/>
      <c r="C103" s="416" t="s">
        <v>189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18"/>
      <c r="C104" s="416" t="s">
        <v>191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18"/>
      <c r="C105" s="416" t="s">
        <v>192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18"/>
      <c r="C106" s="416" t="s">
        <v>193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18"/>
      <c r="C107" s="416" t="s">
        <v>196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18"/>
      <c r="C108" s="416" t="s">
        <v>195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18"/>
      <c r="C109" s="416" t="s">
        <v>194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18"/>
      <c r="C110" s="416" t="s">
        <v>197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18"/>
      <c r="C111" s="416" t="s">
        <v>198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18"/>
      <c r="C112" s="416" t="s">
        <v>200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18"/>
      <c r="C113" s="416" t="s">
        <v>199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18"/>
      <c r="C114" s="416" t="s">
        <v>201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18"/>
      <c r="C115" s="416" t="s">
        <v>208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18"/>
      <c r="C116" s="416" t="s">
        <v>209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18"/>
      <c r="C117" s="416" t="s">
        <v>202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18"/>
      <c r="C118" s="416" t="s">
        <v>204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18"/>
      <c r="C119" s="416" t="s">
        <v>205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18"/>
      <c r="C120" s="416" t="s">
        <v>206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18"/>
      <c r="C121" s="416" t="s">
        <v>203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18"/>
      <c r="C122" s="416" t="s">
        <v>207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18"/>
      <c r="C123" s="416" t="s">
        <v>210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18"/>
      <c r="C124" s="416" t="s">
        <v>211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18"/>
      <c r="C125" s="416" t="s">
        <v>212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18"/>
      <c r="C126" s="416" t="s">
        <v>213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18"/>
      <c r="C127" s="416" t="s">
        <v>214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18"/>
      <c r="C128" s="416" t="s">
        <v>215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18"/>
      <c r="C129" s="416" t="s">
        <v>216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18"/>
      <c r="C130" s="416" t="s">
        <v>217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18"/>
      <c r="C131" s="416" t="s">
        <v>218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18"/>
      <c r="C132" s="416" t="s">
        <v>219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18"/>
      <c r="C133" s="416" t="s">
        <v>221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18"/>
      <c r="C134" s="416" t="s">
        <v>220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18"/>
      <c r="C135" s="416" t="s">
        <v>222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18"/>
      <c r="C136" s="416" t="s">
        <v>224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18"/>
      <c r="C137" s="416" t="s">
        <v>223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18"/>
      <c r="C138" s="417" t="s">
        <v>225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252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90"/>
      <c r="C14" s="491" t="s">
        <v>118</v>
      </c>
      <c r="D14" s="492"/>
      <c r="E14" s="492"/>
      <c r="F14" s="492"/>
      <c r="G14" s="492"/>
      <c r="H14" s="492"/>
      <c r="I14" s="492"/>
      <c r="J14" s="492"/>
      <c r="K14" s="492"/>
      <c r="L14" s="491" t="s">
        <v>123</v>
      </c>
      <c r="M14" s="492"/>
      <c r="N14" s="492"/>
      <c r="O14" s="492"/>
      <c r="P14" s="492"/>
      <c r="Q14" s="492"/>
      <c r="R14" s="492"/>
      <c r="S14" s="492"/>
      <c r="T14" s="492"/>
      <c r="U14" s="491" t="s">
        <v>119</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4"/>
      <c r="C15" s="543" t="s">
        <v>120</v>
      </c>
      <c r="D15" s="544"/>
      <c r="E15" s="544"/>
      <c r="F15" s="544" t="s">
        <v>121</v>
      </c>
      <c r="G15" s="544"/>
      <c r="H15" s="544"/>
      <c r="I15" s="544" t="s">
        <v>122</v>
      </c>
      <c r="J15" s="546"/>
      <c r="K15" s="546"/>
      <c r="L15" s="543" t="s">
        <v>120</v>
      </c>
      <c r="M15" s="544"/>
      <c r="N15" s="544"/>
      <c r="O15" s="544" t="s">
        <v>121</v>
      </c>
      <c r="P15" s="544"/>
      <c r="Q15" s="544"/>
      <c r="R15" s="544" t="s">
        <v>122</v>
      </c>
      <c r="S15" s="546"/>
      <c r="T15" s="546"/>
      <c r="U15" s="543" t="s">
        <v>120</v>
      </c>
      <c r="V15" s="544"/>
      <c r="W15" s="544"/>
      <c r="X15" s="544" t="s">
        <v>121</v>
      </c>
      <c r="Y15" s="544"/>
      <c r="Z15" s="544"/>
      <c r="AA15" s="544" t="s">
        <v>122</v>
      </c>
      <c r="AB15" s="544"/>
      <c r="AC15" s="545"/>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5"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6"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144</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225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5" t="b">
        <v>1</v>
      </c>
      <c r="F173" s="504"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5" t="b">
        <v>0</v>
      </c>
      <c r="F174" s="504"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5"/>
      <c r="F175" s="504"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4"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4"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4"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4"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4"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4"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4"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workbookViewId="0">
      <selection activeCell="B12" sqref="B12"/>
    </sheetView>
  </sheetViews>
  <sheetFormatPr baseColWidth="10" defaultRowHeight="12" x14ac:dyDescent="0"/>
  <cols>
    <col min="1" max="1" width="10.83203125" style="446"/>
    <col min="2" max="2" width="15.1640625" style="446" customWidth="1"/>
    <col min="3" max="3" width="32.5" style="446" customWidth="1"/>
    <col min="4" max="4" width="10.83203125" style="446"/>
    <col min="5" max="5" width="6.1640625" style="446" bestFit="1" customWidth="1"/>
    <col min="6" max="9" width="15.5" style="446" customWidth="1"/>
    <col min="10" max="10" width="14.6640625" style="446" customWidth="1"/>
    <col min="11" max="17" width="15.5" style="446" customWidth="1"/>
    <col min="18" max="18" width="15" style="446" customWidth="1"/>
    <col min="19" max="19" width="15.33203125" style="446" customWidth="1"/>
    <col min="20" max="20" width="7.1640625" style="446" customWidth="1"/>
    <col min="21" max="21" width="47.33203125" style="446" customWidth="1"/>
    <col min="22" max="23" width="20.33203125" style="446" customWidth="1"/>
    <col min="24" max="16384" width="10.83203125" style="446"/>
  </cols>
  <sheetData>
    <row r="2" spans="2:19" ht="32">
      <c r="B2" s="445" t="s">
        <v>318</v>
      </c>
    </row>
    <row r="5" spans="2:19" ht="18" customHeight="1">
      <c r="B5" s="447" t="s">
        <v>328</v>
      </c>
      <c r="C5" s="453" t="s">
        <v>325</v>
      </c>
      <c r="H5" s="469"/>
    </row>
    <row r="6" spans="2:19" ht="18">
      <c r="E6" s="447" t="str">
        <f>C5 &amp; " Scenario"</f>
        <v>Full Everywhere Scenario</v>
      </c>
    </row>
    <row r="7" spans="2:19" ht="27" thickBot="1">
      <c r="B7" s="447" t="s">
        <v>322</v>
      </c>
      <c r="C7" s="262"/>
      <c r="F7" s="547" t="s">
        <v>120</v>
      </c>
      <c r="G7" s="548"/>
      <c r="H7" s="548"/>
      <c r="I7" s="549"/>
      <c r="J7" s="547" t="s">
        <v>121</v>
      </c>
      <c r="K7" s="548"/>
      <c r="L7" s="548"/>
      <c r="M7" s="549"/>
      <c r="N7" s="547" t="s">
        <v>122</v>
      </c>
      <c r="O7" s="548"/>
      <c r="P7" s="548"/>
      <c r="Q7" s="549"/>
    </row>
    <row r="8" spans="2:19" ht="50" customHeight="1" thickTop="1" thickBot="1">
      <c r="B8" s="448" t="s">
        <v>124</v>
      </c>
      <c r="C8" s="449" t="s">
        <v>338</v>
      </c>
      <c r="E8" s="454" t="s">
        <v>298</v>
      </c>
      <c r="F8" s="454" t="s">
        <v>319</v>
      </c>
      <c r="G8" s="455" t="s">
        <v>336</v>
      </c>
      <c r="H8" s="455" t="s">
        <v>320</v>
      </c>
      <c r="I8" s="456" t="s">
        <v>321</v>
      </c>
      <c r="J8" s="454" t="s">
        <v>319</v>
      </c>
      <c r="K8" s="455" t="s">
        <v>336</v>
      </c>
      <c r="L8" s="455" t="s">
        <v>320</v>
      </c>
      <c r="M8" s="456" t="s">
        <v>321</v>
      </c>
      <c r="N8" s="454" t="s">
        <v>319</v>
      </c>
      <c r="O8" s="455" t="s">
        <v>336</v>
      </c>
      <c r="P8" s="455" t="s">
        <v>320</v>
      </c>
      <c r="Q8" s="456" t="s">
        <v>321</v>
      </c>
      <c r="R8" s="454" t="s">
        <v>330</v>
      </c>
      <c r="S8" s="456" t="s">
        <v>329</v>
      </c>
    </row>
    <row r="9" spans="2:19" ht="18">
      <c r="B9" s="471" t="s">
        <v>125</v>
      </c>
      <c r="C9" s="472" t="b">
        <v>1</v>
      </c>
      <c r="E9" s="463" t="s">
        <v>177</v>
      </c>
      <c r="F9" s="466" t="s">
        <v>332</v>
      </c>
      <c r="G9" s="458" t="s">
        <v>332</v>
      </c>
      <c r="H9" s="458">
        <v>0</v>
      </c>
      <c r="I9" s="483">
        <v>0</v>
      </c>
      <c r="J9" s="466" t="s">
        <v>332</v>
      </c>
      <c r="K9" s="458" t="s">
        <v>332</v>
      </c>
      <c r="L9" s="458">
        <v>0</v>
      </c>
      <c r="M9" s="485">
        <v>0</v>
      </c>
      <c r="N9" s="457" t="s">
        <v>332</v>
      </c>
      <c r="O9" s="458" t="s">
        <v>332</v>
      </c>
      <c r="P9" s="458">
        <v>0</v>
      </c>
      <c r="Q9" s="485">
        <v>0</v>
      </c>
      <c r="R9" s="477">
        <v>2014</v>
      </c>
      <c r="S9" s="478">
        <v>2050</v>
      </c>
    </row>
    <row r="10" spans="2:19" ht="18">
      <c r="B10" s="473" t="s">
        <v>126</v>
      </c>
      <c r="C10" s="474" t="b">
        <v>1</v>
      </c>
      <c r="E10" s="464" t="s">
        <v>176</v>
      </c>
      <c r="F10" s="467" t="s">
        <v>332</v>
      </c>
      <c r="G10" s="460" t="s">
        <v>332</v>
      </c>
      <c r="H10" s="460">
        <v>0</v>
      </c>
      <c r="I10" s="484">
        <v>0</v>
      </c>
      <c r="J10" s="467" t="s">
        <v>332</v>
      </c>
      <c r="K10" s="460" t="s">
        <v>332</v>
      </c>
      <c r="L10" s="460">
        <v>0</v>
      </c>
      <c r="M10" s="486">
        <v>0</v>
      </c>
      <c r="N10" s="459" t="s">
        <v>332</v>
      </c>
      <c r="O10" s="460" t="s">
        <v>332</v>
      </c>
      <c r="P10" s="460">
        <v>0</v>
      </c>
      <c r="Q10" s="486">
        <v>0</v>
      </c>
      <c r="R10" s="479">
        <v>2014</v>
      </c>
      <c r="S10" s="480">
        <v>2050</v>
      </c>
    </row>
    <row r="11" spans="2:19" ht="18">
      <c r="B11" s="473" t="s">
        <v>344</v>
      </c>
      <c r="C11" s="474" t="b">
        <v>1</v>
      </c>
      <c r="E11" s="464" t="s">
        <v>179</v>
      </c>
      <c r="F11" s="467" t="s">
        <v>332</v>
      </c>
      <c r="G11" s="460" t="s">
        <v>332</v>
      </c>
      <c r="H11" s="460">
        <v>0</v>
      </c>
      <c r="I11" s="484">
        <v>0</v>
      </c>
      <c r="J11" s="467" t="s">
        <v>332</v>
      </c>
      <c r="K11" s="460" t="s">
        <v>332</v>
      </c>
      <c r="L11" s="460">
        <v>0</v>
      </c>
      <c r="M11" s="486">
        <v>0</v>
      </c>
      <c r="N11" s="459" t="s">
        <v>332</v>
      </c>
      <c r="O11" s="460" t="s">
        <v>332</v>
      </c>
      <c r="P11" s="460">
        <v>0</v>
      </c>
      <c r="Q11" s="486">
        <v>0</v>
      </c>
      <c r="R11" s="479">
        <v>2014</v>
      </c>
      <c r="S11" s="480">
        <v>2050</v>
      </c>
    </row>
    <row r="12" spans="2:19" ht="19" thickBot="1">
      <c r="B12" s="475" t="s">
        <v>139</v>
      </c>
      <c r="C12" s="476" t="b">
        <v>1</v>
      </c>
      <c r="E12" s="464" t="s">
        <v>178</v>
      </c>
      <c r="F12" s="467" t="s">
        <v>332</v>
      </c>
      <c r="G12" s="460" t="s">
        <v>332</v>
      </c>
      <c r="H12" s="460">
        <v>0</v>
      </c>
      <c r="I12" s="484">
        <v>0</v>
      </c>
      <c r="J12" s="467" t="s">
        <v>332</v>
      </c>
      <c r="K12" s="460" t="s">
        <v>332</v>
      </c>
      <c r="L12" s="460">
        <v>0</v>
      </c>
      <c r="M12" s="486">
        <v>0</v>
      </c>
      <c r="N12" s="459" t="s">
        <v>332</v>
      </c>
      <c r="O12" s="460" t="s">
        <v>332</v>
      </c>
      <c r="P12" s="460">
        <v>0</v>
      </c>
      <c r="Q12" s="486">
        <v>0</v>
      </c>
      <c r="R12" s="479">
        <v>2014</v>
      </c>
      <c r="S12" s="480">
        <v>2050</v>
      </c>
    </row>
    <row r="13" spans="2:19" ht="13" thickTop="1">
      <c r="E13" s="464" t="s">
        <v>180</v>
      </c>
      <c r="F13" s="467" t="s">
        <v>332</v>
      </c>
      <c r="G13" s="460" t="s">
        <v>332</v>
      </c>
      <c r="H13" s="460">
        <v>0</v>
      </c>
      <c r="I13" s="484">
        <v>0</v>
      </c>
      <c r="J13" s="467" t="s">
        <v>332</v>
      </c>
      <c r="K13" s="460" t="s">
        <v>332</v>
      </c>
      <c r="L13" s="460">
        <v>0</v>
      </c>
      <c r="M13" s="486">
        <v>0</v>
      </c>
      <c r="N13" s="459" t="s">
        <v>332</v>
      </c>
      <c r="O13" s="460" t="s">
        <v>332</v>
      </c>
      <c r="P13" s="460">
        <v>0</v>
      </c>
      <c r="Q13" s="486">
        <v>0</v>
      </c>
      <c r="R13" s="479">
        <v>2014</v>
      </c>
      <c r="S13" s="480">
        <v>2050</v>
      </c>
    </row>
    <row r="14" spans="2:19" ht="12" customHeight="1">
      <c r="B14" s="552" t="s">
        <v>339</v>
      </c>
      <c r="C14" s="552"/>
      <c r="E14" s="464" t="s">
        <v>181</v>
      </c>
      <c r="F14" s="467" t="s">
        <v>332</v>
      </c>
      <c r="G14" s="460" t="s">
        <v>332</v>
      </c>
      <c r="H14" s="460">
        <v>0</v>
      </c>
      <c r="I14" s="484">
        <v>0</v>
      </c>
      <c r="J14" s="467" t="s">
        <v>332</v>
      </c>
      <c r="K14" s="460" t="s">
        <v>332</v>
      </c>
      <c r="L14" s="460">
        <v>0</v>
      </c>
      <c r="M14" s="486">
        <v>0</v>
      </c>
      <c r="N14" s="459" t="s">
        <v>332</v>
      </c>
      <c r="O14" s="460" t="s">
        <v>332</v>
      </c>
      <c r="P14" s="460">
        <v>0</v>
      </c>
      <c r="Q14" s="486">
        <v>0</v>
      </c>
      <c r="R14" s="479">
        <v>2014</v>
      </c>
      <c r="S14" s="480">
        <v>2050</v>
      </c>
    </row>
    <row r="15" spans="2:19" ht="12" customHeight="1">
      <c r="B15" s="552"/>
      <c r="C15" s="552"/>
      <c r="E15" s="464" t="s">
        <v>182</v>
      </c>
      <c r="F15" s="467" t="s">
        <v>332</v>
      </c>
      <c r="G15" s="460" t="s">
        <v>332</v>
      </c>
      <c r="H15" s="460">
        <v>0</v>
      </c>
      <c r="I15" s="484">
        <v>0</v>
      </c>
      <c r="J15" s="467" t="s">
        <v>332</v>
      </c>
      <c r="K15" s="460" t="s">
        <v>332</v>
      </c>
      <c r="L15" s="460">
        <v>0</v>
      </c>
      <c r="M15" s="486">
        <v>0</v>
      </c>
      <c r="N15" s="459" t="s">
        <v>332</v>
      </c>
      <c r="O15" s="460" t="s">
        <v>332</v>
      </c>
      <c r="P15" s="460">
        <v>0</v>
      </c>
      <c r="Q15" s="486">
        <v>0</v>
      </c>
      <c r="R15" s="479">
        <v>2014</v>
      </c>
      <c r="S15" s="480">
        <v>2050</v>
      </c>
    </row>
    <row r="16" spans="2:19" ht="12" customHeight="1">
      <c r="B16" s="552"/>
      <c r="C16" s="552"/>
      <c r="E16" s="464" t="s">
        <v>11</v>
      </c>
      <c r="F16" s="467" t="s">
        <v>332</v>
      </c>
      <c r="G16" s="460" t="s">
        <v>332</v>
      </c>
      <c r="H16" s="460">
        <v>0</v>
      </c>
      <c r="I16" s="484">
        <v>0</v>
      </c>
      <c r="J16" s="467" t="s">
        <v>332</v>
      </c>
      <c r="K16" s="460" t="s">
        <v>332</v>
      </c>
      <c r="L16" s="460">
        <v>0</v>
      </c>
      <c r="M16" s="486">
        <v>0</v>
      </c>
      <c r="N16" s="459" t="s">
        <v>332</v>
      </c>
      <c r="O16" s="460" t="s">
        <v>332</v>
      </c>
      <c r="P16" s="460">
        <v>0</v>
      </c>
      <c r="Q16" s="486">
        <v>0</v>
      </c>
      <c r="R16" s="479">
        <v>2014</v>
      </c>
      <c r="S16" s="480">
        <v>2050</v>
      </c>
    </row>
    <row r="17" spans="2:19" ht="12" customHeight="1">
      <c r="B17" s="552"/>
      <c r="C17" s="552"/>
      <c r="E17" s="464" t="s">
        <v>183</v>
      </c>
      <c r="F17" s="467" t="s">
        <v>332</v>
      </c>
      <c r="G17" s="460" t="s">
        <v>332</v>
      </c>
      <c r="H17" s="460">
        <v>0</v>
      </c>
      <c r="I17" s="484">
        <v>0</v>
      </c>
      <c r="J17" s="467" t="s">
        <v>332</v>
      </c>
      <c r="K17" s="460" t="s">
        <v>332</v>
      </c>
      <c r="L17" s="460">
        <v>0</v>
      </c>
      <c r="M17" s="486">
        <v>0</v>
      </c>
      <c r="N17" s="459" t="s">
        <v>332</v>
      </c>
      <c r="O17" s="460" t="s">
        <v>332</v>
      </c>
      <c r="P17" s="460">
        <v>0</v>
      </c>
      <c r="Q17" s="486">
        <v>0</v>
      </c>
      <c r="R17" s="479">
        <v>2014</v>
      </c>
      <c r="S17" s="480">
        <v>2050</v>
      </c>
    </row>
    <row r="18" spans="2:19" ht="13" customHeight="1">
      <c r="B18" s="552"/>
      <c r="C18" s="552"/>
      <c r="E18" s="464" t="s">
        <v>184</v>
      </c>
      <c r="F18" s="467" t="s">
        <v>332</v>
      </c>
      <c r="G18" s="460" t="s">
        <v>332</v>
      </c>
      <c r="H18" s="460">
        <v>0</v>
      </c>
      <c r="I18" s="484">
        <v>0</v>
      </c>
      <c r="J18" s="467" t="s">
        <v>332</v>
      </c>
      <c r="K18" s="460" t="s">
        <v>332</v>
      </c>
      <c r="L18" s="460">
        <v>0</v>
      </c>
      <c r="M18" s="486">
        <v>0</v>
      </c>
      <c r="N18" s="459" t="s">
        <v>332</v>
      </c>
      <c r="O18" s="460" t="s">
        <v>332</v>
      </c>
      <c r="P18" s="460">
        <v>0</v>
      </c>
      <c r="Q18" s="486">
        <v>0</v>
      </c>
      <c r="R18" s="479">
        <v>2014</v>
      </c>
      <c r="S18" s="480">
        <v>2050</v>
      </c>
    </row>
    <row r="19" spans="2:19" ht="12" customHeight="1">
      <c r="B19" s="552"/>
      <c r="C19" s="552"/>
      <c r="E19" s="464" t="s">
        <v>185</v>
      </c>
      <c r="F19" s="467" t="s">
        <v>332</v>
      </c>
      <c r="G19" s="460" t="s">
        <v>332</v>
      </c>
      <c r="H19" s="460">
        <v>0</v>
      </c>
      <c r="I19" s="484">
        <v>0</v>
      </c>
      <c r="J19" s="467" t="s">
        <v>332</v>
      </c>
      <c r="K19" s="460" t="s">
        <v>332</v>
      </c>
      <c r="L19" s="460">
        <v>0</v>
      </c>
      <c r="M19" s="486">
        <v>0</v>
      </c>
      <c r="N19" s="459" t="s">
        <v>332</v>
      </c>
      <c r="O19" s="460" t="s">
        <v>332</v>
      </c>
      <c r="P19" s="460">
        <v>0</v>
      </c>
      <c r="Q19" s="486">
        <v>0</v>
      </c>
      <c r="R19" s="479">
        <v>2014</v>
      </c>
      <c r="S19" s="480">
        <v>2050</v>
      </c>
    </row>
    <row r="20" spans="2:19" ht="12" customHeight="1">
      <c r="B20" s="552"/>
      <c r="C20" s="552"/>
      <c r="E20" s="464" t="s">
        <v>186</v>
      </c>
      <c r="F20" s="467" t="s">
        <v>332</v>
      </c>
      <c r="G20" s="460" t="s">
        <v>332</v>
      </c>
      <c r="H20" s="460">
        <v>0</v>
      </c>
      <c r="I20" s="484">
        <v>0</v>
      </c>
      <c r="J20" s="467" t="s">
        <v>332</v>
      </c>
      <c r="K20" s="460" t="s">
        <v>332</v>
      </c>
      <c r="L20" s="460">
        <v>0</v>
      </c>
      <c r="M20" s="486">
        <v>0</v>
      </c>
      <c r="N20" s="459" t="s">
        <v>332</v>
      </c>
      <c r="O20" s="460" t="s">
        <v>332</v>
      </c>
      <c r="P20" s="460">
        <v>0</v>
      </c>
      <c r="Q20" s="486">
        <v>0</v>
      </c>
      <c r="R20" s="479">
        <v>2014</v>
      </c>
      <c r="S20" s="480">
        <v>2050</v>
      </c>
    </row>
    <row r="21" spans="2:19" ht="12" customHeight="1">
      <c r="B21" s="552"/>
      <c r="C21" s="552"/>
      <c r="E21" s="464" t="s">
        <v>190</v>
      </c>
      <c r="F21" s="467" t="s">
        <v>332</v>
      </c>
      <c r="G21" s="460" t="s">
        <v>332</v>
      </c>
      <c r="H21" s="460">
        <v>0</v>
      </c>
      <c r="I21" s="484">
        <v>0</v>
      </c>
      <c r="J21" s="467" t="s">
        <v>332</v>
      </c>
      <c r="K21" s="460" t="s">
        <v>332</v>
      </c>
      <c r="L21" s="460">
        <v>0</v>
      </c>
      <c r="M21" s="486">
        <v>0</v>
      </c>
      <c r="N21" s="459" t="s">
        <v>332</v>
      </c>
      <c r="O21" s="460" t="s">
        <v>332</v>
      </c>
      <c r="P21" s="460">
        <v>0</v>
      </c>
      <c r="Q21" s="486">
        <v>0</v>
      </c>
      <c r="R21" s="479">
        <v>2014</v>
      </c>
      <c r="S21" s="480">
        <v>2050</v>
      </c>
    </row>
    <row r="22" spans="2:19" ht="12" customHeight="1">
      <c r="B22" s="552"/>
      <c r="C22" s="552"/>
      <c r="E22" s="464" t="s">
        <v>187</v>
      </c>
      <c r="F22" s="467" t="s">
        <v>332</v>
      </c>
      <c r="G22" s="460" t="s">
        <v>332</v>
      </c>
      <c r="H22" s="460">
        <v>0</v>
      </c>
      <c r="I22" s="484">
        <v>0</v>
      </c>
      <c r="J22" s="467" t="s">
        <v>332</v>
      </c>
      <c r="K22" s="460" t="s">
        <v>332</v>
      </c>
      <c r="L22" s="460">
        <v>0</v>
      </c>
      <c r="M22" s="486">
        <v>0</v>
      </c>
      <c r="N22" s="459" t="s">
        <v>332</v>
      </c>
      <c r="O22" s="460" t="s">
        <v>332</v>
      </c>
      <c r="P22" s="460">
        <v>0</v>
      </c>
      <c r="Q22" s="486">
        <v>0</v>
      </c>
      <c r="R22" s="479">
        <v>2014</v>
      </c>
      <c r="S22" s="480">
        <v>2050</v>
      </c>
    </row>
    <row r="23" spans="2:19" ht="12" customHeight="1">
      <c r="B23" s="552"/>
      <c r="C23" s="552"/>
      <c r="E23" s="464" t="s">
        <v>188</v>
      </c>
      <c r="F23" s="467" t="s">
        <v>332</v>
      </c>
      <c r="G23" s="460" t="s">
        <v>332</v>
      </c>
      <c r="H23" s="460">
        <v>0</v>
      </c>
      <c r="I23" s="484">
        <v>0</v>
      </c>
      <c r="J23" s="467" t="s">
        <v>332</v>
      </c>
      <c r="K23" s="460" t="s">
        <v>332</v>
      </c>
      <c r="L23" s="460">
        <v>0</v>
      </c>
      <c r="M23" s="486">
        <v>0</v>
      </c>
      <c r="N23" s="459" t="s">
        <v>332</v>
      </c>
      <c r="O23" s="460" t="s">
        <v>332</v>
      </c>
      <c r="P23" s="460">
        <v>0</v>
      </c>
      <c r="Q23" s="486">
        <v>0</v>
      </c>
      <c r="R23" s="479">
        <v>2014</v>
      </c>
      <c r="S23" s="480">
        <v>2050</v>
      </c>
    </row>
    <row r="24" spans="2:19" ht="12" customHeight="1">
      <c r="B24" s="552"/>
      <c r="C24" s="552"/>
      <c r="E24" s="464" t="s">
        <v>189</v>
      </c>
      <c r="F24" s="467" t="s">
        <v>332</v>
      </c>
      <c r="G24" s="460" t="s">
        <v>332</v>
      </c>
      <c r="H24" s="460">
        <v>0</v>
      </c>
      <c r="I24" s="484">
        <v>0</v>
      </c>
      <c r="J24" s="467" t="s">
        <v>332</v>
      </c>
      <c r="K24" s="460" t="s">
        <v>332</v>
      </c>
      <c r="L24" s="460">
        <v>0</v>
      </c>
      <c r="M24" s="486">
        <v>0</v>
      </c>
      <c r="N24" s="459" t="s">
        <v>332</v>
      </c>
      <c r="O24" s="460" t="s">
        <v>332</v>
      </c>
      <c r="P24" s="460">
        <v>0</v>
      </c>
      <c r="Q24" s="486">
        <v>0</v>
      </c>
      <c r="R24" s="479">
        <v>2014</v>
      </c>
      <c r="S24" s="480">
        <v>2050</v>
      </c>
    </row>
    <row r="25" spans="2:19" ht="12" customHeight="1">
      <c r="B25" s="552"/>
      <c r="C25" s="552"/>
      <c r="E25" s="464" t="s">
        <v>191</v>
      </c>
      <c r="F25" s="467" t="s">
        <v>332</v>
      </c>
      <c r="G25" s="460" t="s">
        <v>332</v>
      </c>
      <c r="H25" s="460">
        <v>0</v>
      </c>
      <c r="I25" s="484">
        <v>0</v>
      </c>
      <c r="J25" s="467" t="s">
        <v>332</v>
      </c>
      <c r="K25" s="460" t="s">
        <v>332</v>
      </c>
      <c r="L25" s="460">
        <v>0</v>
      </c>
      <c r="M25" s="486">
        <v>0</v>
      </c>
      <c r="N25" s="459" t="s">
        <v>332</v>
      </c>
      <c r="O25" s="460" t="s">
        <v>332</v>
      </c>
      <c r="P25" s="460">
        <v>0</v>
      </c>
      <c r="Q25" s="486">
        <v>0</v>
      </c>
      <c r="R25" s="479">
        <v>2014</v>
      </c>
      <c r="S25" s="480">
        <v>2050</v>
      </c>
    </row>
    <row r="26" spans="2:19" ht="12" customHeight="1">
      <c r="B26" s="552"/>
      <c r="C26" s="552"/>
      <c r="E26" s="464" t="s">
        <v>192</v>
      </c>
      <c r="F26" s="467" t="s">
        <v>332</v>
      </c>
      <c r="G26" s="460" t="s">
        <v>332</v>
      </c>
      <c r="H26" s="460">
        <v>0</v>
      </c>
      <c r="I26" s="484">
        <v>0</v>
      </c>
      <c r="J26" s="467" t="s">
        <v>332</v>
      </c>
      <c r="K26" s="460" t="s">
        <v>332</v>
      </c>
      <c r="L26" s="460">
        <v>0</v>
      </c>
      <c r="M26" s="486">
        <v>0</v>
      </c>
      <c r="N26" s="459" t="s">
        <v>332</v>
      </c>
      <c r="O26" s="460" t="s">
        <v>332</v>
      </c>
      <c r="P26" s="460">
        <v>0</v>
      </c>
      <c r="Q26" s="486">
        <v>0</v>
      </c>
      <c r="R26" s="479">
        <v>2014</v>
      </c>
      <c r="S26" s="480">
        <v>2050</v>
      </c>
    </row>
    <row r="27" spans="2:19" ht="12" customHeight="1">
      <c r="B27" s="552"/>
      <c r="C27" s="552"/>
      <c r="E27" s="464" t="s">
        <v>193</v>
      </c>
      <c r="F27" s="467" t="s">
        <v>332</v>
      </c>
      <c r="G27" s="460" t="s">
        <v>332</v>
      </c>
      <c r="H27" s="460">
        <v>0</v>
      </c>
      <c r="I27" s="484">
        <v>0</v>
      </c>
      <c r="J27" s="467" t="s">
        <v>332</v>
      </c>
      <c r="K27" s="460" t="s">
        <v>332</v>
      </c>
      <c r="L27" s="460">
        <v>0</v>
      </c>
      <c r="M27" s="486">
        <v>0</v>
      </c>
      <c r="N27" s="459" t="s">
        <v>332</v>
      </c>
      <c r="O27" s="460" t="s">
        <v>332</v>
      </c>
      <c r="P27" s="460">
        <v>0</v>
      </c>
      <c r="Q27" s="486">
        <v>0</v>
      </c>
      <c r="R27" s="479">
        <v>2014</v>
      </c>
      <c r="S27" s="480">
        <v>2050</v>
      </c>
    </row>
    <row r="28" spans="2:19" ht="12" customHeight="1">
      <c r="B28" s="552"/>
      <c r="C28" s="552"/>
      <c r="E28" s="464" t="s">
        <v>196</v>
      </c>
      <c r="F28" s="467" t="s">
        <v>332</v>
      </c>
      <c r="G28" s="460" t="s">
        <v>332</v>
      </c>
      <c r="H28" s="460">
        <v>0</v>
      </c>
      <c r="I28" s="484">
        <v>0</v>
      </c>
      <c r="J28" s="467" t="s">
        <v>332</v>
      </c>
      <c r="K28" s="460" t="s">
        <v>332</v>
      </c>
      <c r="L28" s="460">
        <v>0</v>
      </c>
      <c r="M28" s="486">
        <v>0</v>
      </c>
      <c r="N28" s="459" t="s">
        <v>332</v>
      </c>
      <c r="O28" s="460" t="s">
        <v>332</v>
      </c>
      <c r="P28" s="460">
        <v>0</v>
      </c>
      <c r="Q28" s="486">
        <v>0</v>
      </c>
      <c r="R28" s="479">
        <v>2014</v>
      </c>
      <c r="S28" s="480">
        <v>2050</v>
      </c>
    </row>
    <row r="29" spans="2:19" ht="12" customHeight="1">
      <c r="B29" s="552"/>
      <c r="C29" s="552"/>
      <c r="E29" s="464" t="s">
        <v>195</v>
      </c>
      <c r="F29" s="467" t="s">
        <v>332</v>
      </c>
      <c r="G29" s="460" t="s">
        <v>332</v>
      </c>
      <c r="H29" s="460">
        <v>0</v>
      </c>
      <c r="I29" s="484">
        <v>0</v>
      </c>
      <c r="J29" s="467" t="s">
        <v>332</v>
      </c>
      <c r="K29" s="460" t="s">
        <v>332</v>
      </c>
      <c r="L29" s="460">
        <v>0</v>
      </c>
      <c r="M29" s="486">
        <v>0</v>
      </c>
      <c r="N29" s="459" t="s">
        <v>332</v>
      </c>
      <c r="O29" s="460" t="s">
        <v>332</v>
      </c>
      <c r="P29" s="460">
        <v>0</v>
      </c>
      <c r="Q29" s="486">
        <v>0</v>
      </c>
      <c r="R29" s="479">
        <v>2014</v>
      </c>
      <c r="S29" s="480">
        <v>2050</v>
      </c>
    </row>
    <row r="30" spans="2:19" ht="12" customHeight="1">
      <c r="B30" s="552"/>
      <c r="C30" s="552"/>
      <c r="E30" s="464" t="s">
        <v>194</v>
      </c>
      <c r="F30" s="467" t="s">
        <v>332</v>
      </c>
      <c r="G30" s="460" t="s">
        <v>332</v>
      </c>
      <c r="H30" s="460">
        <v>0</v>
      </c>
      <c r="I30" s="484">
        <v>0</v>
      </c>
      <c r="J30" s="467" t="s">
        <v>332</v>
      </c>
      <c r="K30" s="460" t="s">
        <v>332</v>
      </c>
      <c r="L30" s="460">
        <v>0</v>
      </c>
      <c r="M30" s="486">
        <v>0</v>
      </c>
      <c r="N30" s="459" t="s">
        <v>332</v>
      </c>
      <c r="O30" s="460" t="s">
        <v>332</v>
      </c>
      <c r="P30" s="460">
        <v>0</v>
      </c>
      <c r="Q30" s="486">
        <v>0</v>
      </c>
      <c r="R30" s="479">
        <v>2014</v>
      </c>
      <c r="S30" s="480">
        <v>2050</v>
      </c>
    </row>
    <row r="31" spans="2:19" ht="12" customHeight="1">
      <c r="B31" s="552"/>
      <c r="C31" s="552"/>
      <c r="E31" s="464" t="s">
        <v>197</v>
      </c>
      <c r="F31" s="467" t="s">
        <v>332</v>
      </c>
      <c r="G31" s="460" t="s">
        <v>332</v>
      </c>
      <c r="H31" s="460">
        <v>0</v>
      </c>
      <c r="I31" s="484">
        <v>0</v>
      </c>
      <c r="J31" s="467" t="s">
        <v>332</v>
      </c>
      <c r="K31" s="460" t="s">
        <v>332</v>
      </c>
      <c r="L31" s="460">
        <v>0</v>
      </c>
      <c r="M31" s="486">
        <v>0</v>
      </c>
      <c r="N31" s="459" t="s">
        <v>332</v>
      </c>
      <c r="O31" s="460" t="s">
        <v>332</v>
      </c>
      <c r="P31" s="460">
        <v>0</v>
      </c>
      <c r="Q31" s="486">
        <v>0</v>
      </c>
      <c r="R31" s="479">
        <v>2014</v>
      </c>
      <c r="S31" s="480">
        <v>2050</v>
      </c>
    </row>
    <row r="32" spans="2:19" ht="12" customHeight="1">
      <c r="B32" s="552"/>
      <c r="C32" s="552"/>
      <c r="E32" s="464" t="s">
        <v>198</v>
      </c>
      <c r="F32" s="467" t="s">
        <v>332</v>
      </c>
      <c r="G32" s="460" t="s">
        <v>332</v>
      </c>
      <c r="H32" s="460">
        <v>0</v>
      </c>
      <c r="I32" s="484">
        <v>0</v>
      </c>
      <c r="J32" s="467" t="s">
        <v>332</v>
      </c>
      <c r="K32" s="460" t="s">
        <v>332</v>
      </c>
      <c r="L32" s="460">
        <v>0</v>
      </c>
      <c r="M32" s="486">
        <v>0</v>
      </c>
      <c r="N32" s="459" t="s">
        <v>332</v>
      </c>
      <c r="O32" s="460" t="s">
        <v>332</v>
      </c>
      <c r="P32" s="460">
        <v>0</v>
      </c>
      <c r="Q32" s="486">
        <v>0</v>
      </c>
      <c r="R32" s="479">
        <v>2014</v>
      </c>
      <c r="S32" s="480">
        <v>2050</v>
      </c>
    </row>
    <row r="33" spans="2:19" ht="12" customHeight="1">
      <c r="B33" s="552"/>
      <c r="C33" s="552"/>
      <c r="E33" s="464" t="s">
        <v>200</v>
      </c>
      <c r="F33" s="467" t="s">
        <v>332</v>
      </c>
      <c r="G33" s="460" t="s">
        <v>332</v>
      </c>
      <c r="H33" s="460">
        <v>0</v>
      </c>
      <c r="I33" s="484">
        <v>0</v>
      </c>
      <c r="J33" s="467" t="s">
        <v>332</v>
      </c>
      <c r="K33" s="460" t="s">
        <v>332</v>
      </c>
      <c r="L33" s="460">
        <v>0</v>
      </c>
      <c r="M33" s="486">
        <v>0</v>
      </c>
      <c r="N33" s="459" t="s">
        <v>332</v>
      </c>
      <c r="O33" s="460" t="s">
        <v>332</v>
      </c>
      <c r="P33" s="460">
        <v>0</v>
      </c>
      <c r="Q33" s="486">
        <v>0</v>
      </c>
      <c r="R33" s="479">
        <v>2014</v>
      </c>
      <c r="S33" s="480">
        <v>2050</v>
      </c>
    </row>
    <row r="34" spans="2:19" ht="12" customHeight="1">
      <c r="B34" s="552"/>
      <c r="C34" s="552"/>
      <c r="E34" s="464" t="s">
        <v>199</v>
      </c>
      <c r="F34" s="467" t="s">
        <v>332</v>
      </c>
      <c r="G34" s="460" t="s">
        <v>332</v>
      </c>
      <c r="H34" s="460">
        <v>0</v>
      </c>
      <c r="I34" s="484">
        <v>0</v>
      </c>
      <c r="J34" s="467" t="s">
        <v>332</v>
      </c>
      <c r="K34" s="460" t="s">
        <v>332</v>
      </c>
      <c r="L34" s="460">
        <v>0</v>
      </c>
      <c r="M34" s="486">
        <v>0</v>
      </c>
      <c r="N34" s="459" t="s">
        <v>332</v>
      </c>
      <c r="O34" s="460" t="s">
        <v>332</v>
      </c>
      <c r="P34" s="460">
        <v>0</v>
      </c>
      <c r="Q34" s="486">
        <v>0</v>
      </c>
      <c r="R34" s="479">
        <v>2014</v>
      </c>
      <c r="S34" s="480">
        <v>2050</v>
      </c>
    </row>
    <row r="35" spans="2:19" ht="12" customHeight="1">
      <c r="B35" s="552"/>
      <c r="C35" s="552"/>
      <c r="E35" s="464" t="s">
        <v>201</v>
      </c>
      <c r="F35" s="467" t="s">
        <v>332</v>
      </c>
      <c r="G35" s="460" t="s">
        <v>332</v>
      </c>
      <c r="H35" s="460">
        <v>0</v>
      </c>
      <c r="I35" s="484">
        <v>0</v>
      </c>
      <c r="J35" s="467" t="s">
        <v>332</v>
      </c>
      <c r="K35" s="460" t="s">
        <v>332</v>
      </c>
      <c r="L35" s="460">
        <v>0</v>
      </c>
      <c r="M35" s="486">
        <v>0</v>
      </c>
      <c r="N35" s="459" t="s">
        <v>332</v>
      </c>
      <c r="O35" s="460" t="s">
        <v>332</v>
      </c>
      <c r="P35" s="460">
        <v>0</v>
      </c>
      <c r="Q35" s="486">
        <v>0</v>
      </c>
      <c r="R35" s="479">
        <v>2014</v>
      </c>
      <c r="S35" s="480">
        <v>2050</v>
      </c>
    </row>
    <row r="36" spans="2:19" ht="12" customHeight="1">
      <c r="B36" s="552"/>
      <c r="C36" s="552"/>
      <c r="E36" s="464" t="s">
        <v>208</v>
      </c>
      <c r="F36" s="467" t="s">
        <v>332</v>
      </c>
      <c r="G36" s="460" t="s">
        <v>332</v>
      </c>
      <c r="H36" s="460">
        <v>0</v>
      </c>
      <c r="I36" s="484">
        <v>0</v>
      </c>
      <c r="J36" s="467" t="s">
        <v>332</v>
      </c>
      <c r="K36" s="460" t="s">
        <v>332</v>
      </c>
      <c r="L36" s="460">
        <v>0</v>
      </c>
      <c r="M36" s="486">
        <v>0</v>
      </c>
      <c r="N36" s="459" t="s">
        <v>332</v>
      </c>
      <c r="O36" s="460" t="s">
        <v>332</v>
      </c>
      <c r="P36" s="460">
        <v>0</v>
      </c>
      <c r="Q36" s="486">
        <v>0</v>
      </c>
      <c r="R36" s="479">
        <v>2014</v>
      </c>
      <c r="S36" s="480">
        <v>2050</v>
      </c>
    </row>
    <row r="37" spans="2:19" ht="12" customHeight="1">
      <c r="B37" s="552"/>
      <c r="C37" s="552"/>
      <c r="E37" s="464" t="s">
        <v>209</v>
      </c>
      <c r="F37" s="467" t="s">
        <v>332</v>
      </c>
      <c r="G37" s="460" t="s">
        <v>332</v>
      </c>
      <c r="H37" s="460">
        <v>0</v>
      </c>
      <c r="I37" s="484">
        <v>0</v>
      </c>
      <c r="J37" s="467" t="s">
        <v>332</v>
      </c>
      <c r="K37" s="460" t="s">
        <v>332</v>
      </c>
      <c r="L37" s="460">
        <v>0</v>
      </c>
      <c r="M37" s="486">
        <v>0</v>
      </c>
      <c r="N37" s="459" t="s">
        <v>332</v>
      </c>
      <c r="O37" s="460" t="s">
        <v>332</v>
      </c>
      <c r="P37" s="460">
        <v>0</v>
      </c>
      <c r="Q37" s="486">
        <v>0</v>
      </c>
      <c r="R37" s="479">
        <v>2014</v>
      </c>
      <c r="S37" s="480">
        <v>2050</v>
      </c>
    </row>
    <row r="38" spans="2:19" ht="12" customHeight="1">
      <c r="B38" s="552"/>
      <c r="C38" s="552"/>
      <c r="E38" s="464" t="s">
        <v>202</v>
      </c>
      <c r="F38" s="467" t="s">
        <v>332</v>
      </c>
      <c r="G38" s="460" t="s">
        <v>332</v>
      </c>
      <c r="H38" s="460">
        <v>0</v>
      </c>
      <c r="I38" s="484">
        <v>0</v>
      </c>
      <c r="J38" s="467" t="s">
        <v>332</v>
      </c>
      <c r="K38" s="460" t="s">
        <v>332</v>
      </c>
      <c r="L38" s="460">
        <v>0</v>
      </c>
      <c r="M38" s="486">
        <v>0</v>
      </c>
      <c r="N38" s="459" t="s">
        <v>332</v>
      </c>
      <c r="O38" s="460" t="s">
        <v>332</v>
      </c>
      <c r="P38" s="460">
        <v>0</v>
      </c>
      <c r="Q38" s="486">
        <v>0</v>
      </c>
      <c r="R38" s="479">
        <v>2014</v>
      </c>
      <c r="S38" s="480">
        <v>2050</v>
      </c>
    </row>
    <row r="39" spans="2:19">
      <c r="B39" s="552"/>
      <c r="C39" s="552"/>
      <c r="E39" s="464" t="s">
        <v>204</v>
      </c>
      <c r="F39" s="467" t="s">
        <v>332</v>
      </c>
      <c r="G39" s="460" t="s">
        <v>332</v>
      </c>
      <c r="H39" s="460">
        <v>0</v>
      </c>
      <c r="I39" s="484">
        <v>0</v>
      </c>
      <c r="J39" s="467" t="s">
        <v>332</v>
      </c>
      <c r="K39" s="460" t="s">
        <v>332</v>
      </c>
      <c r="L39" s="460">
        <v>0</v>
      </c>
      <c r="M39" s="486">
        <v>0</v>
      </c>
      <c r="N39" s="459" t="s">
        <v>332</v>
      </c>
      <c r="O39" s="460" t="s">
        <v>332</v>
      </c>
      <c r="P39" s="460">
        <v>0</v>
      </c>
      <c r="Q39" s="486">
        <v>0</v>
      </c>
      <c r="R39" s="479">
        <v>2014</v>
      </c>
      <c r="S39" s="480">
        <v>2050</v>
      </c>
    </row>
    <row r="40" spans="2:19">
      <c r="B40" s="552"/>
      <c r="C40" s="552"/>
      <c r="E40" s="464" t="s">
        <v>205</v>
      </c>
      <c r="F40" s="467" t="s">
        <v>332</v>
      </c>
      <c r="G40" s="460" t="s">
        <v>332</v>
      </c>
      <c r="H40" s="460">
        <v>0</v>
      </c>
      <c r="I40" s="484">
        <v>0</v>
      </c>
      <c r="J40" s="467" t="s">
        <v>332</v>
      </c>
      <c r="K40" s="460" t="s">
        <v>332</v>
      </c>
      <c r="L40" s="460">
        <v>0</v>
      </c>
      <c r="M40" s="486">
        <v>0</v>
      </c>
      <c r="N40" s="459" t="s">
        <v>332</v>
      </c>
      <c r="O40" s="460" t="s">
        <v>332</v>
      </c>
      <c r="P40" s="460">
        <v>0</v>
      </c>
      <c r="Q40" s="486">
        <v>0</v>
      </c>
      <c r="R40" s="479">
        <v>2014</v>
      </c>
      <c r="S40" s="480">
        <v>2050</v>
      </c>
    </row>
    <row r="41" spans="2:19">
      <c r="B41" s="552"/>
      <c r="C41" s="552"/>
      <c r="E41" s="464" t="s">
        <v>206</v>
      </c>
      <c r="F41" s="467" t="s">
        <v>332</v>
      </c>
      <c r="G41" s="460" t="s">
        <v>332</v>
      </c>
      <c r="H41" s="460">
        <v>0</v>
      </c>
      <c r="I41" s="484">
        <v>0</v>
      </c>
      <c r="J41" s="467" t="s">
        <v>332</v>
      </c>
      <c r="K41" s="460" t="s">
        <v>332</v>
      </c>
      <c r="L41" s="460">
        <v>0</v>
      </c>
      <c r="M41" s="486">
        <v>0</v>
      </c>
      <c r="N41" s="459" t="s">
        <v>332</v>
      </c>
      <c r="O41" s="460" t="s">
        <v>332</v>
      </c>
      <c r="P41" s="460">
        <v>0</v>
      </c>
      <c r="Q41" s="486">
        <v>0</v>
      </c>
      <c r="R41" s="479">
        <v>2014</v>
      </c>
      <c r="S41" s="480">
        <v>2050</v>
      </c>
    </row>
    <row r="42" spans="2:19">
      <c r="B42" s="552"/>
      <c r="C42" s="552"/>
      <c r="E42" s="464" t="s">
        <v>203</v>
      </c>
      <c r="F42" s="467" t="s">
        <v>332</v>
      </c>
      <c r="G42" s="460" t="s">
        <v>332</v>
      </c>
      <c r="H42" s="460">
        <v>0</v>
      </c>
      <c r="I42" s="484">
        <v>0</v>
      </c>
      <c r="J42" s="467" t="s">
        <v>332</v>
      </c>
      <c r="K42" s="460" t="s">
        <v>332</v>
      </c>
      <c r="L42" s="460">
        <v>0</v>
      </c>
      <c r="M42" s="486">
        <v>0</v>
      </c>
      <c r="N42" s="459" t="s">
        <v>332</v>
      </c>
      <c r="O42" s="460" t="s">
        <v>332</v>
      </c>
      <c r="P42" s="460">
        <v>0</v>
      </c>
      <c r="Q42" s="486">
        <v>0</v>
      </c>
      <c r="R42" s="479">
        <v>2014</v>
      </c>
      <c r="S42" s="480">
        <v>2050</v>
      </c>
    </row>
    <row r="43" spans="2:19">
      <c r="B43" s="552"/>
      <c r="C43" s="552"/>
      <c r="E43" s="464" t="s">
        <v>207</v>
      </c>
      <c r="F43" s="467" t="s">
        <v>332</v>
      </c>
      <c r="G43" s="460" t="s">
        <v>332</v>
      </c>
      <c r="H43" s="460">
        <v>0</v>
      </c>
      <c r="I43" s="484">
        <v>0</v>
      </c>
      <c r="J43" s="467" t="s">
        <v>332</v>
      </c>
      <c r="K43" s="460" t="s">
        <v>332</v>
      </c>
      <c r="L43" s="460">
        <v>0</v>
      </c>
      <c r="M43" s="486">
        <v>0</v>
      </c>
      <c r="N43" s="459" t="s">
        <v>332</v>
      </c>
      <c r="O43" s="460" t="s">
        <v>332</v>
      </c>
      <c r="P43" s="460">
        <v>0</v>
      </c>
      <c r="Q43" s="486">
        <v>0</v>
      </c>
      <c r="R43" s="479">
        <v>2014</v>
      </c>
      <c r="S43" s="480">
        <v>2050</v>
      </c>
    </row>
    <row r="44" spans="2:19">
      <c r="B44" s="552"/>
      <c r="C44" s="552"/>
      <c r="E44" s="464" t="s">
        <v>210</v>
      </c>
      <c r="F44" s="467" t="s">
        <v>332</v>
      </c>
      <c r="G44" s="460" t="s">
        <v>332</v>
      </c>
      <c r="H44" s="460">
        <v>0</v>
      </c>
      <c r="I44" s="484">
        <v>0</v>
      </c>
      <c r="J44" s="467" t="s">
        <v>332</v>
      </c>
      <c r="K44" s="460" t="s">
        <v>332</v>
      </c>
      <c r="L44" s="460">
        <v>0</v>
      </c>
      <c r="M44" s="486">
        <v>0</v>
      </c>
      <c r="N44" s="459" t="s">
        <v>332</v>
      </c>
      <c r="O44" s="460" t="s">
        <v>332</v>
      </c>
      <c r="P44" s="460">
        <v>0</v>
      </c>
      <c r="Q44" s="486">
        <v>0</v>
      </c>
      <c r="R44" s="479">
        <v>2014</v>
      </c>
      <c r="S44" s="480">
        <v>2050</v>
      </c>
    </row>
    <row r="45" spans="2:19">
      <c r="B45" s="552"/>
      <c r="C45" s="552"/>
      <c r="E45" s="464" t="s">
        <v>211</v>
      </c>
      <c r="F45" s="467" t="s">
        <v>332</v>
      </c>
      <c r="G45" s="460" t="s">
        <v>332</v>
      </c>
      <c r="H45" s="460">
        <v>0</v>
      </c>
      <c r="I45" s="484">
        <v>0</v>
      </c>
      <c r="J45" s="467" t="s">
        <v>332</v>
      </c>
      <c r="K45" s="460" t="s">
        <v>332</v>
      </c>
      <c r="L45" s="460">
        <v>0</v>
      </c>
      <c r="M45" s="486">
        <v>0</v>
      </c>
      <c r="N45" s="459" t="s">
        <v>332</v>
      </c>
      <c r="O45" s="460" t="s">
        <v>332</v>
      </c>
      <c r="P45" s="460">
        <v>0</v>
      </c>
      <c r="Q45" s="486">
        <v>0</v>
      </c>
      <c r="R45" s="479">
        <v>2014</v>
      </c>
      <c r="S45" s="480">
        <v>2050</v>
      </c>
    </row>
    <row r="46" spans="2:19">
      <c r="B46" s="552"/>
      <c r="C46" s="552"/>
      <c r="E46" s="464" t="s">
        <v>212</v>
      </c>
      <c r="F46" s="467" t="s">
        <v>332</v>
      </c>
      <c r="G46" s="460" t="s">
        <v>332</v>
      </c>
      <c r="H46" s="460">
        <v>0</v>
      </c>
      <c r="I46" s="484">
        <v>0</v>
      </c>
      <c r="J46" s="467" t="s">
        <v>332</v>
      </c>
      <c r="K46" s="460" t="s">
        <v>332</v>
      </c>
      <c r="L46" s="460">
        <v>0</v>
      </c>
      <c r="M46" s="486">
        <v>0</v>
      </c>
      <c r="N46" s="459" t="s">
        <v>332</v>
      </c>
      <c r="O46" s="460" t="s">
        <v>332</v>
      </c>
      <c r="P46" s="460">
        <v>0</v>
      </c>
      <c r="Q46" s="486">
        <v>0</v>
      </c>
      <c r="R46" s="479">
        <v>2014</v>
      </c>
      <c r="S46" s="480">
        <v>2050</v>
      </c>
    </row>
    <row r="47" spans="2:19">
      <c r="B47" s="552"/>
      <c r="C47" s="552"/>
      <c r="E47" s="464" t="s">
        <v>213</v>
      </c>
      <c r="F47" s="467" t="s">
        <v>332</v>
      </c>
      <c r="G47" s="460" t="s">
        <v>332</v>
      </c>
      <c r="H47" s="460">
        <v>0</v>
      </c>
      <c r="I47" s="484">
        <v>0</v>
      </c>
      <c r="J47" s="467" t="s">
        <v>332</v>
      </c>
      <c r="K47" s="460" t="s">
        <v>332</v>
      </c>
      <c r="L47" s="460">
        <v>0</v>
      </c>
      <c r="M47" s="486">
        <v>0</v>
      </c>
      <c r="N47" s="459" t="s">
        <v>332</v>
      </c>
      <c r="O47" s="460" t="s">
        <v>332</v>
      </c>
      <c r="P47" s="460">
        <v>0</v>
      </c>
      <c r="Q47" s="486">
        <v>0</v>
      </c>
      <c r="R47" s="479">
        <v>2014</v>
      </c>
      <c r="S47" s="480">
        <v>2050</v>
      </c>
    </row>
    <row r="48" spans="2:19">
      <c r="B48" s="552"/>
      <c r="C48" s="552"/>
      <c r="E48" s="464" t="s">
        <v>214</v>
      </c>
      <c r="F48" s="467" t="s">
        <v>332</v>
      </c>
      <c r="G48" s="460" t="s">
        <v>332</v>
      </c>
      <c r="H48" s="460">
        <v>0</v>
      </c>
      <c r="I48" s="484">
        <v>0</v>
      </c>
      <c r="J48" s="467" t="s">
        <v>332</v>
      </c>
      <c r="K48" s="460" t="s">
        <v>332</v>
      </c>
      <c r="L48" s="460">
        <v>0</v>
      </c>
      <c r="M48" s="486">
        <v>0</v>
      </c>
      <c r="N48" s="459" t="s">
        <v>332</v>
      </c>
      <c r="O48" s="460" t="s">
        <v>332</v>
      </c>
      <c r="P48" s="460">
        <v>0</v>
      </c>
      <c r="Q48" s="486">
        <v>0</v>
      </c>
      <c r="R48" s="479">
        <v>2014</v>
      </c>
      <c r="S48" s="480">
        <v>2050</v>
      </c>
    </row>
    <row r="49" spans="2:19">
      <c r="B49" s="552"/>
      <c r="C49" s="552"/>
      <c r="E49" s="464" t="s">
        <v>215</v>
      </c>
      <c r="F49" s="467" t="s">
        <v>332</v>
      </c>
      <c r="G49" s="460" t="s">
        <v>332</v>
      </c>
      <c r="H49" s="460">
        <v>0</v>
      </c>
      <c r="I49" s="484">
        <v>0</v>
      </c>
      <c r="J49" s="467" t="s">
        <v>332</v>
      </c>
      <c r="K49" s="460" t="s">
        <v>332</v>
      </c>
      <c r="L49" s="460">
        <v>0</v>
      </c>
      <c r="M49" s="486">
        <v>0</v>
      </c>
      <c r="N49" s="459" t="s">
        <v>332</v>
      </c>
      <c r="O49" s="460" t="s">
        <v>332</v>
      </c>
      <c r="P49" s="460">
        <v>0</v>
      </c>
      <c r="Q49" s="486">
        <v>0</v>
      </c>
      <c r="R49" s="479">
        <v>2014</v>
      </c>
      <c r="S49" s="480">
        <v>2050</v>
      </c>
    </row>
    <row r="50" spans="2:19">
      <c r="B50" s="552"/>
      <c r="C50" s="552"/>
      <c r="E50" s="464" t="s">
        <v>216</v>
      </c>
      <c r="F50" s="467" t="s">
        <v>332</v>
      </c>
      <c r="G50" s="460" t="s">
        <v>332</v>
      </c>
      <c r="H50" s="460">
        <v>0</v>
      </c>
      <c r="I50" s="484">
        <v>0</v>
      </c>
      <c r="J50" s="467" t="s">
        <v>332</v>
      </c>
      <c r="K50" s="460" t="s">
        <v>332</v>
      </c>
      <c r="L50" s="460">
        <v>0</v>
      </c>
      <c r="M50" s="486">
        <v>0</v>
      </c>
      <c r="N50" s="459" t="s">
        <v>332</v>
      </c>
      <c r="O50" s="460" t="s">
        <v>332</v>
      </c>
      <c r="P50" s="460">
        <v>0</v>
      </c>
      <c r="Q50" s="486">
        <v>0</v>
      </c>
      <c r="R50" s="479">
        <v>2014</v>
      </c>
      <c r="S50" s="480">
        <v>2050</v>
      </c>
    </row>
    <row r="51" spans="2:19">
      <c r="B51" s="552"/>
      <c r="C51" s="552"/>
      <c r="E51" s="464" t="s">
        <v>217</v>
      </c>
      <c r="F51" s="467" t="s">
        <v>332</v>
      </c>
      <c r="G51" s="460" t="s">
        <v>332</v>
      </c>
      <c r="H51" s="460">
        <v>0</v>
      </c>
      <c r="I51" s="484">
        <v>0</v>
      </c>
      <c r="J51" s="467" t="s">
        <v>332</v>
      </c>
      <c r="K51" s="460" t="s">
        <v>332</v>
      </c>
      <c r="L51" s="460">
        <v>0</v>
      </c>
      <c r="M51" s="486">
        <v>0</v>
      </c>
      <c r="N51" s="459" t="s">
        <v>332</v>
      </c>
      <c r="O51" s="460" t="s">
        <v>332</v>
      </c>
      <c r="P51" s="460">
        <v>0</v>
      </c>
      <c r="Q51" s="486">
        <v>0</v>
      </c>
      <c r="R51" s="479">
        <v>2014</v>
      </c>
      <c r="S51" s="480">
        <v>2050</v>
      </c>
    </row>
    <row r="52" spans="2:19">
      <c r="E52" s="464" t="s">
        <v>218</v>
      </c>
      <c r="F52" s="467" t="s">
        <v>332</v>
      </c>
      <c r="G52" s="460" t="s">
        <v>332</v>
      </c>
      <c r="H52" s="460">
        <v>0</v>
      </c>
      <c r="I52" s="484">
        <v>0</v>
      </c>
      <c r="J52" s="467" t="s">
        <v>332</v>
      </c>
      <c r="K52" s="460" t="s">
        <v>332</v>
      </c>
      <c r="L52" s="460">
        <v>0</v>
      </c>
      <c r="M52" s="486">
        <v>0</v>
      </c>
      <c r="N52" s="459" t="s">
        <v>332</v>
      </c>
      <c r="O52" s="460" t="s">
        <v>332</v>
      </c>
      <c r="P52" s="460">
        <v>0</v>
      </c>
      <c r="Q52" s="486">
        <v>0</v>
      </c>
      <c r="R52" s="479">
        <v>2014</v>
      </c>
      <c r="S52" s="480">
        <v>2050</v>
      </c>
    </row>
    <row r="53" spans="2:19">
      <c r="B53" s="551" t="s">
        <v>331</v>
      </c>
      <c r="C53" s="551"/>
      <c r="E53" s="464" t="s">
        <v>219</v>
      </c>
      <c r="F53" s="467" t="s">
        <v>332</v>
      </c>
      <c r="G53" s="460" t="s">
        <v>332</v>
      </c>
      <c r="H53" s="460">
        <v>0</v>
      </c>
      <c r="I53" s="484">
        <v>0</v>
      </c>
      <c r="J53" s="467" t="s">
        <v>332</v>
      </c>
      <c r="K53" s="460" t="s">
        <v>332</v>
      </c>
      <c r="L53" s="460">
        <v>0</v>
      </c>
      <c r="M53" s="486">
        <v>0</v>
      </c>
      <c r="N53" s="459" t="s">
        <v>332</v>
      </c>
      <c r="O53" s="460" t="s">
        <v>332</v>
      </c>
      <c r="P53" s="460">
        <v>0</v>
      </c>
      <c r="Q53" s="486">
        <v>0</v>
      </c>
      <c r="R53" s="479">
        <v>2014</v>
      </c>
      <c r="S53" s="480">
        <v>2050</v>
      </c>
    </row>
    <row r="54" spans="2:19">
      <c r="B54" s="551"/>
      <c r="C54" s="551"/>
      <c r="E54" s="464" t="s">
        <v>221</v>
      </c>
      <c r="F54" s="467" t="s">
        <v>332</v>
      </c>
      <c r="G54" s="460" t="s">
        <v>332</v>
      </c>
      <c r="H54" s="460">
        <v>0</v>
      </c>
      <c r="I54" s="484">
        <v>0</v>
      </c>
      <c r="J54" s="467" t="s">
        <v>332</v>
      </c>
      <c r="K54" s="460" t="s">
        <v>332</v>
      </c>
      <c r="L54" s="460">
        <v>0</v>
      </c>
      <c r="M54" s="486">
        <v>0</v>
      </c>
      <c r="N54" s="459" t="s">
        <v>332</v>
      </c>
      <c r="O54" s="460" t="s">
        <v>332</v>
      </c>
      <c r="P54" s="460">
        <v>0</v>
      </c>
      <c r="Q54" s="486">
        <v>0</v>
      </c>
      <c r="R54" s="479">
        <v>2014</v>
      </c>
      <c r="S54" s="480">
        <v>2050</v>
      </c>
    </row>
    <row r="55" spans="2:19">
      <c r="B55" s="551"/>
      <c r="C55" s="551"/>
      <c r="E55" s="464" t="s">
        <v>220</v>
      </c>
      <c r="F55" s="467" t="s">
        <v>332</v>
      </c>
      <c r="G55" s="460" t="s">
        <v>332</v>
      </c>
      <c r="H55" s="460">
        <v>0</v>
      </c>
      <c r="I55" s="484">
        <v>0</v>
      </c>
      <c r="J55" s="467" t="s">
        <v>332</v>
      </c>
      <c r="K55" s="460" t="s">
        <v>332</v>
      </c>
      <c r="L55" s="460">
        <v>0</v>
      </c>
      <c r="M55" s="486">
        <v>0</v>
      </c>
      <c r="N55" s="459" t="s">
        <v>332</v>
      </c>
      <c r="O55" s="460" t="s">
        <v>332</v>
      </c>
      <c r="P55" s="460">
        <v>0</v>
      </c>
      <c r="Q55" s="486">
        <v>0</v>
      </c>
      <c r="R55" s="479">
        <v>2014</v>
      </c>
      <c r="S55" s="480">
        <v>2050</v>
      </c>
    </row>
    <row r="56" spans="2:19">
      <c r="E56" s="464" t="s">
        <v>222</v>
      </c>
      <c r="F56" s="467" t="s">
        <v>332</v>
      </c>
      <c r="G56" s="460" t="s">
        <v>332</v>
      </c>
      <c r="H56" s="460">
        <v>0</v>
      </c>
      <c r="I56" s="484">
        <v>0</v>
      </c>
      <c r="J56" s="467" t="s">
        <v>332</v>
      </c>
      <c r="K56" s="460" t="s">
        <v>332</v>
      </c>
      <c r="L56" s="460">
        <v>0</v>
      </c>
      <c r="M56" s="486">
        <v>0</v>
      </c>
      <c r="N56" s="459" t="s">
        <v>332</v>
      </c>
      <c r="O56" s="460" t="s">
        <v>332</v>
      </c>
      <c r="P56" s="460">
        <v>0</v>
      </c>
      <c r="Q56" s="486">
        <v>0</v>
      </c>
      <c r="R56" s="479">
        <v>2014</v>
      </c>
      <c r="S56" s="480">
        <v>2050</v>
      </c>
    </row>
    <row r="57" spans="2:19">
      <c r="B57" s="550" t="s">
        <v>337</v>
      </c>
      <c r="C57" s="550"/>
      <c r="E57" s="464" t="s">
        <v>224</v>
      </c>
      <c r="F57" s="467" t="s">
        <v>332</v>
      </c>
      <c r="G57" s="460" t="s">
        <v>332</v>
      </c>
      <c r="H57" s="460">
        <v>0</v>
      </c>
      <c r="I57" s="484">
        <v>0</v>
      </c>
      <c r="J57" s="467" t="s">
        <v>332</v>
      </c>
      <c r="K57" s="460" t="s">
        <v>332</v>
      </c>
      <c r="L57" s="460">
        <v>0</v>
      </c>
      <c r="M57" s="486">
        <v>0</v>
      </c>
      <c r="N57" s="459" t="s">
        <v>332</v>
      </c>
      <c r="O57" s="460" t="s">
        <v>332</v>
      </c>
      <c r="P57" s="460">
        <v>0</v>
      </c>
      <c r="Q57" s="486">
        <v>0</v>
      </c>
      <c r="R57" s="479">
        <v>2014</v>
      </c>
      <c r="S57" s="480">
        <v>2050</v>
      </c>
    </row>
    <row r="58" spans="2:19">
      <c r="B58" s="550"/>
      <c r="C58" s="550"/>
      <c r="E58" s="464" t="s">
        <v>223</v>
      </c>
      <c r="F58" s="467" t="s">
        <v>332</v>
      </c>
      <c r="G58" s="460" t="s">
        <v>332</v>
      </c>
      <c r="H58" s="460">
        <v>0</v>
      </c>
      <c r="I58" s="484">
        <v>0</v>
      </c>
      <c r="J58" s="467" t="s">
        <v>332</v>
      </c>
      <c r="K58" s="460" t="s">
        <v>332</v>
      </c>
      <c r="L58" s="460">
        <v>0</v>
      </c>
      <c r="M58" s="486">
        <v>0</v>
      </c>
      <c r="N58" s="459" t="s">
        <v>332</v>
      </c>
      <c r="O58" s="460" t="s">
        <v>332</v>
      </c>
      <c r="P58" s="460">
        <v>0</v>
      </c>
      <c r="Q58" s="486">
        <v>0</v>
      </c>
      <c r="R58" s="479">
        <v>2014</v>
      </c>
      <c r="S58" s="480">
        <v>2050</v>
      </c>
    </row>
    <row r="59" spans="2:19" ht="13" thickBot="1">
      <c r="B59" s="550"/>
      <c r="C59" s="550"/>
      <c r="E59" s="465" t="s">
        <v>225</v>
      </c>
      <c r="F59" s="468" t="s">
        <v>332</v>
      </c>
      <c r="G59" s="462" t="s">
        <v>332</v>
      </c>
      <c r="H59" s="462">
        <v>0</v>
      </c>
      <c r="I59" s="487">
        <v>0</v>
      </c>
      <c r="J59" s="468" t="s">
        <v>332</v>
      </c>
      <c r="K59" s="462" t="s">
        <v>332</v>
      </c>
      <c r="L59" s="462">
        <v>0</v>
      </c>
      <c r="M59" s="488">
        <v>0</v>
      </c>
      <c r="N59" s="461" t="s">
        <v>332</v>
      </c>
      <c r="O59" s="462" t="s">
        <v>332</v>
      </c>
      <c r="P59" s="462">
        <v>0</v>
      </c>
      <c r="Q59" s="488">
        <v>0</v>
      </c>
      <c r="R59" s="481">
        <v>2014</v>
      </c>
      <c r="S59" s="482">
        <v>2050</v>
      </c>
    </row>
    <row r="60" spans="2:19">
      <c r="B60" s="550"/>
      <c r="C60" s="550"/>
      <c r="M60" s="469"/>
    </row>
    <row r="125" spans="2:2">
      <c r="B125" s="450" t="s">
        <v>324</v>
      </c>
    </row>
    <row r="126" spans="2:2">
      <c r="B126" s="450" t="s">
        <v>325</v>
      </c>
    </row>
    <row r="127" spans="2:2">
      <c r="B127" s="450" t="s">
        <v>326</v>
      </c>
    </row>
    <row r="128" spans="2:2">
      <c r="B128" s="450" t="s">
        <v>327</v>
      </c>
    </row>
    <row r="129" spans="2:2">
      <c r="B129" s="450" t="s">
        <v>323</v>
      </c>
    </row>
    <row r="132" spans="2:2">
      <c r="B132" s="451">
        <v>2014</v>
      </c>
    </row>
    <row r="133" spans="2:2">
      <c r="B133" s="451">
        <v>2016</v>
      </c>
    </row>
    <row r="134" spans="2:2">
      <c r="B134" s="451">
        <v>2018</v>
      </c>
    </row>
    <row r="135" spans="2:2">
      <c r="B135" s="451">
        <v>2020</v>
      </c>
    </row>
    <row r="136" spans="2:2">
      <c r="B136" s="451">
        <v>2022</v>
      </c>
    </row>
    <row r="137" spans="2:2">
      <c r="B137" s="451">
        <v>2024</v>
      </c>
    </row>
    <row r="138" spans="2:2">
      <c r="B138" s="451">
        <v>2026</v>
      </c>
    </row>
    <row r="139" spans="2:2">
      <c r="B139" s="451">
        <v>2028</v>
      </c>
    </row>
    <row r="140" spans="2:2">
      <c r="B140" s="451">
        <v>2030</v>
      </c>
    </row>
    <row r="141" spans="2:2">
      <c r="B141" s="451">
        <v>2032</v>
      </c>
    </row>
    <row r="142" spans="2:2">
      <c r="B142" s="451">
        <v>2034</v>
      </c>
    </row>
    <row r="143" spans="2:2">
      <c r="B143" s="451">
        <v>2036</v>
      </c>
    </row>
    <row r="144" spans="2:2">
      <c r="B144" s="451">
        <v>2038</v>
      </c>
    </row>
    <row r="145" spans="2:2">
      <c r="B145" s="451">
        <v>2040</v>
      </c>
    </row>
    <row r="146" spans="2:2">
      <c r="B146" s="451">
        <v>2042</v>
      </c>
    </row>
    <row r="147" spans="2:2">
      <c r="B147" s="451">
        <v>2044</v>
      </c>
    </row>
    <row r="148" spans="2:2">
      <c r="B148" s="451">
        <v>2046</v>
      </c>
    </row>
    <row r="149" spans="2:2">
      <c r="B149" s="451">
        <v>2048</v>
      </c>
    </row>
    <row r="150" spans="2:2">
      <c r="B150" s="451">
        <v>2050</v>
      </c>
    </row>
    <row r="153" spans="2:2">
      <c r="B153" s="452" t="b">
        <v>1</v>
      </c>
    </row>
    <row r="154" spans="2:2">
      <c r="B154" s="452" t="b">
        <v>0</v>
      </c>
    </row>
    <row r="166" spans="1:4">
      <c r="A166" s="451"/>
      <c r="B166" s="451" t="s">
        <v>333</v>
      </c>
      <c r="C166" s="451" t="s">
        <v>334</v>
      </c>
      <c r="D166" s="451" t="s">
        <v>335</v>
      </c>
    </row>
    <row r="167" spans="1:4">
      <c r="A167" s="451" t="s">
        <v>177</v>
      </c>
      <c r="B167" s="451">
        <v>25</v>
      </c>
      <c r="C167" s="451">
        <v>25</v>
      </c>
      <c r="D167" s="451">
        <v>25</v>
      </c>
    </row>
    <row r="168" spans="1:4">
      <c r="A168" s="451" t="s">
        <v>176</v>
      </c>
      <c r="B168" s="451">
        <v>0</v>
      </c>
      <c r="C168" s="451">
        <v>0</v>
      </c>
      <c r="D168" s="451">
        <v>0</v>
      </c>
    </row>
    <row r="169" spans="1:4">
      <c r="A169" s="451" t="s">
        <v>179</v>
      </c>
      <c r="B169" s="451">
        <v>25</v>
      </c>
      <c r="C169" s="451">
        <v>300</v>
      </c>
      <c r="D169" s="451">
        <v>300</v>
      </c>
    </row>
    <row r="170" spans="1:4">
      <c r="A170" s="451" t="s">
        <v>178</v>
      </c>
      <c r="B170" s="451" t="s">
        <v>332</v>
      </c>
      <c r="C170" s="451" t="s">
        <v>332</v>
      </c>
      <c r="D170" s="451" t="s">
        <v>332</v>
      </c>
    </row>
    <row r="171" spans="1:4">
      <c r="A171" s="451" t="s">
        <v>180</v>
      </c>
      <c r="B171" s="451">
        <v>1000</v>
      </c>
      <c r="C171" s="451">
        <v>1000</v>
      </c>
      <c r="D171" s="451">
        <v>1000</v>
      </c>
    </row>
    <row r="172" spans="1:4">
      <c r="A172" s="451" t="s">
        <v>181</v>
      </c>
      <c r="B172" s="451" t="s">
        <v>332</v>
      </c>
      <c r="C172" s="451" t="s">
        <v>332</v>
      </c>
      <c r="D172" s="451" t="s">
        <v>332</v>
      </c>
    </row>
    <row r="173" spans="1:4">
      <c r="A173" s="451" t="s">
        <v>182</v>
      </c>
      <c r="B173" s="451">
        <v>2000</v>
      </c>
      <c r="C173" s="451">
        <v>2000</v>
      </c>
      <c r="D173" s="451">
        <v>2000</v>
      </c>
    </row>
    <row r="174" spans="1:4">
      <c r="A174" s="451" t="s">
        <v>11</v>
      </c>
      <c r="B174" s="451">
        <v>1000</v>
      </c>
      <c r="C174" s="451">
        <v>1000</v>
      </c>
      <c r="D174" s="451">
        <v>0</v>
      </c>
    </row>
    <row r="175" spans="1:4">
      <c r="A175" s="451" t="s">
        <v>183</v>
      </c>
      <c r="B175" s="451">
        <v>25</v>
      </c>
      <c r="C175" s="451">
        <v>2000</v>
      </c>
      <c r="D175" s="451">
        <v>2000</v>
      </c>
    </row>
    <row r="176" spans="1:4">
      <c r="A176" s="451" t="s">
        <v>184</v>
      </c>
      <c r="B176" s="451">
        <v>2000</v>
      </c>
      <c r="C176" s="451">
        <v>2000</v>
      </c>
      <c r="D176" s="451">
        <v>2000</v>
      </c>
    </row>
    <row r="177" spans="1:4">
      <c r="A177" s="451" t="s">
        <v>185</v>
      </c>
      <c r="B177" s="451">
        <v>10</v>
      </c>
      <c r="C177" s="451">
        <v>100</v>
      </c>
      <c r="D177" s="451">
        <v>100</v>
      </c>
    </row>
    <row r="178" spans="1:4">
      <c r="A178" s="451" t="s">
        <v>186</v>
      </c>
      <c r="B178" s="451">
        <v>100</v>
      </c>
      <c r="C178" s="451">
        <v>100</v>
      </c>
      <c r="D178" s="451">
        <v>100</v>
      </c>
    </row>
    <row r="179" spans="1:4">
      <c r="A179" s="451" t="s">
        <v>190</v>
      </c>
      <c r="B179" s="451">
        <v>500</v>
      </c>
      <c r="C179" s="451">
        <v>500</v>
      </c>
      <c r="D179" s="451">
        <v>500</v>
      </c>
    </row>
    <row r="180" spans="1:4">
      <c r="A180" s="451" t="s">
        <v>187</v>
      </c>
      <c r="B180" s="451">
        <v>0</v>
      </c>
      <c r="C180" s="451">
        <v>0</v>
      </c>
      <c r="D180" s="451">
        <v>0</v>
      </c>
    </row>
    <row r="181" spans="1:4">
      <c r="A181" s="451" t="s">
        <v>188</v>
      </c>
      <c r="B181" s="451">
        <v>40</v>
      </c>
      <c r="C181" s="451">
        <v>40</v>
      </c>
      <c r="D181" s="451">
        <v>40</v>
      </c>
    </row>
    <row r="182" spans="1:4">
      <c r="A182" s="451" t="s">
        <v>189</v>
      </c>
      <c r="B182" s="451">
        <v>1000</v>
      </c>
      <c r="C182" s="451">
        <v>1000</v>
      </c>
      <c r="D182" s="451">
        <v>1000</v>
      </c>
    </row>
    <row r="183" spans="1:4">
      <c r="A183" s="451" t="s">
        <v>191</v>
      </c>
      <c r="B183" s="451">
        <v>25</v>
      </c>
      <c r="C183" s="451">
        <v>200</v>
      </c>
      <c r="D183" s="451">
        <v>200</v>
      </c>
    </row>
    <row r="184" spans="1:4">
      <c r="A184" s="451" t="s">
        <v>192</v>
      </c>
      <c r="B184" s="451">
        <v>30</v>
      </c>
      <c r="C184" s="451">
        <v>30</v>
      </c>
      <c r="D184" s="451">
        <v>30</v>
      </c>
    </row>
    <row r="185" spans="1:4">
      <c r="A185" s="451" t="s">
        <v>193</v>
      </c>
      <c r="B185" s="451">
        <v>25</v>
      </c>
      <c r="C185" s="451">
        <v>300</v>
      </c>
      <c r="D185" s="451">
        <v>0</v>
      </c>
    </row>
    <row r="186" spans="1:4">
      <c r="A186" s="451" t="s">
        <v>196</v>
      </c>
      <c r="B186" s="451">
        <v>2000</v>
      </c>
      <c r="C186" s="451">
        <v>2000</v>
      </c>
      <c r="D186" s="451">
        <v>2000</v>
      </c>
    </row>
    <row r="187" spans="1:4">
      <c r="A187" s="451" t="s">
        <v>195</v>
      </c>
      <c r="B187" s="451">
        <v>2000</v>
      </c>
      <c r="C187" s="451">
        <v>2000</v>
      </c>
      <c r="D187" s="451">
        <v>2000</v>
      </c>
    </row>
    <row r="188" spans="1:4">
      <c r="A188" s="451" t="s">
        <v>194</v>
      </c>
      <c r="B188" s="451">
        <v>660</v>
      </c>
      <c r="C188" s="451">
        <v>660</v>
      </c>
      <c r="D188" s="451">
        <v>660</v>
      </c>
    </row>
    <row r="189" spans="1:4">
      <c r="A189" s="451" t="s">
        <v>197</v>
      </c>
      <c r="B189" s="451">
        <v>150</v>
      </c>
      <c r="C189" s="451">
        <v>150</v>
      </c>
      <c r="D189" s="451">
        <v>150</v>
      </c>
    </row>
    <row r="190" spans="1:4">
      <c r="A190" s="451" t="s">
        <v>198</v>
      </c>
      <c r="B190" s="451">
        <v>1000</v>
      </c>
      <c r="C190" s="451">
        <v>1000</v>
      </c>
      <c r="D190" s="451">
        <v>1000</v>
      </c>
    </row>
    <row r="191" spans="1:4">
      <c r="A191" s="451" t="s">
        <v>200</v>
      </c>
      <c r="B191" s="451">
        <v>100</v>
      </c>
      <c r="C191" s="451">
        <v>100</v>
      </c>
      <c r="D191" s="451">
        <v>100</v>
      </c>
    </row>
    <row r="192" spans="1:4">
      <c r="A192" s="451" t="s">
        <v>199</v>
      </c>
      <c r="B192" s="451">
        <v>0</v>
      </c>
      <c r="C192" s="451">
        <v>0</v>
      </c>
      <c r="D192" s="451">
        <v>0</v>
      </c>
    </row>
    <row r="193" spans="1:4">
      <c r="A193" s="451" t="s">
        <v>201</v>
      </c>
      <c r="B193" s="451">
        <v>50</v>
      </c>
      <c r="C193" s="451">
        <v>50</v>
      </c>
      <c r="D193" s="451">
        <v>50</v>
      </c>
    </row>
    <row r="194" spans="1:4">
      <c r="A194" s="451" t="s">
        <v>208</v>
      </c>
      <c r="B194" s="451">
        <v>1000</v>
      </c>
      <c r="C194" s="451">
        <v>1000</v>
      </c>
      <c r="D194" s="451">
        <v>1000</v>
      </c>
    </row>
    <row r="195" spans="1:4">
      <c r="A195" s="451" t="s">
        <v>209</v>
      </c>
      <c r="B195" s="451">
        <v>100</v>
      </c>
      <c r="C195" s="451">
        <v>100</v>
      </c>
      <c r="D195" s="451">
        <v>100</v>
      </c>
    </row>
    <row r="196" spans="1:4">
      <c r="A196" s="451" t="s">
        <v>202</v>
      </c>
      <c r="B196" s="451">
        <v>25</v>
      </c>
      <c r="C196" s="451">
        <v>25</v>
      </c>
      <c r="D196" s="451">
        <v>25</v>
      </c>
    </row>
    <row r="197" spans="1:4">
      <c r="A197" s="451" t="s">
        <v>204</v>
      </c>
      <c r="B197" s="451">
        <v>100</v>
      </c>
      <c r="C197" s="451">
        <v>100</v>
      </c>
      <c r="D197" s="451">
        <v>100</v>
      </c>
    </row>
    <row r="198" spans="1:4">
      <c r="A198" s="451" t="s">
        <v>205</v>
      </c>
      <c r="B198" s="451" t="s">
        <v>332</v>
      </c>
      <c r="C198" s="451" t="s">
        <v>332</v>
      </c>
      <c r="D198" s="451" t="s">
        <v>332</v>
      </c>
    </row>
    <row r="199" spans="1:4">
      <c r="A199" s="451" t="s">
        <v>206</v>
      </c>
      <c r="B199" s="451">
        <v>80000</v>
      </c>
      <c r="C199" s="451">
        <v>80000</v>
      </c>
      <c r="D199" s="451">
        <v>80000</v>
      </c>
    </row>
    <row r="200" spans="1:4">
      <c r="A200" s="451" t="s">
        <v>203</v>
      </c>
      <c r="B200" s="451">
        <v>1000</v>
      </c>
      <c r="C200" s="451">
        <v>1000</v>
      </c>
      <c r="D200" s="451">
        <v>1000</v>
      </c>
    </row>
    <row r="201" spans="1:4">
      <c r="A201" s="451" t="s">
        <v>207</v>
      </c>
      <c r="B201" s="451">
        <v>25</v>
      </c>
      <c r="C201" s="451">
        <v>2000</v>
      </c>
      <c r="D201" s="451">
        <v>2000</v>
      </c>
    </row>
    <row r="202" spans="1:4">
      <c r="A202" s="451" t="s">
        <v>210</v>
      </c>
      <c r="B202" s="451" t="s">
        <v>332</v>
      </c>
      <c r="C202" s="451" t="s">
        <v>332</v>
      </c>
      <c r="D202" s="451" t="s">
        <v>332</v>
      </c>
    </row>
    <row r="203" spans="1:4">
      <c r="A203" s="451" t="s">
        <v>211</v>
      </c>
      <c r="B203" s="451">
        <v>15</v>
      </c>
      <c r="C203" s="451">
        <v>15</v>
      </c>
      <c r="D203" s="451">
        <v>15</v>
      </c>
    </row>
    <row r="204" spans="1:4">
      <c r="A204" s="451" t="s">
        <v>212</v>
      </c>
      <c r="B204" s="451">
        <v>25</v>
      </c>
      <c r="C204" s="451">
        <v>2000</v>
      </c>
      <c r="D204" s="451">
        <v>2000</v>
      </c>
    </row>
    <row r="205" spans="1:4">
      <c r="A205" s="451" t="s">
        <v>213</v>
      </c>
      <c r="B205" s="451">
        <v>50</v>
      </c>
      <c r="C205" s="451">
        <v>3000</v>
      </c>
      <c r="D205" s="451">
        <v>3000</v>
      </c>
    </row>
    <row r="206" spans="1:4">
      <c r="A206" s="451" t="s">
        <v>214</v>
      </c>
      <c r="B206" s="451">
        <v>5000</v>
      </c>
      <c r="C206" s="451">
        <v>5000</v>
      </c>
      <c r="D206" s="451">
        <v>5000</v>
      </c>
    </row>
    <row r="207" spans="1:4">
      <c r="A207" s="451" t="s">
        <v>215</v>
      </c>
      <c r="B207" s="451">
        <v>20</v>
      </c>
      <c r="C207" s="451">
        <v>100</v>
      </c>
      <c r="D207" s="451">
        <v>100</v>
      </c>
    </row>
    <row r="208" spans="1:4">
      <c r="A208" s="451" t="s">
        <v>216</v>
      </c>
      <c r="B208" s="451">
        <v>0</v>
      </c>
      <c r="C208" s="451">
        <v>0</v>
      </c>
      <c r="D208" s="451">
        <v>0</v>
      </c>
    </row>
    <row r="209" spans="1:4">
      <c r="A209" s="451" t="s">
        <v>217</v>
      </c>
      <c r="B209" s="451">
        <v>0</v>
      </c>
      <c r="C209" s="451">
        <v>0</v>
      </c>
      <c r="D209" s="451">
        <v>0</v>
      </c>
    </row>
    <row r="210" spans="1:4">
      <c r="A210" s="451" t="s">
        <v>218</v>
      </c>
      <c r="B210" s="451">
        <v>0</v>
      </c>
      <c r="C210" s="451">
        <v>0</v>
      </c>
      <c r="D210" s="451">
        <v>0</v>
      </c>
    </row>
    <row r="211" spans="1:4">
      <c r="A211" s="451" t="s">
        <v>219</v>
      </c>
      <c r="B211" s="451">
        <v>25</v>
      </c>
      <c r="C211" s="451">
        <v>2000</v>
      </c>
      <c r="D211" s="451">
        <v>2000</v>
      </c>
    </row>
    <row r="212" spans="1:4">
      <c r="A212" s="451" t="s">
        <v>221</v>
      </c>
      <c r="B212" s="451">
        <v>10</v>
      </c>
      <c r="C212" s="451">
        <v>500</v>
      </c>
      <c r="D212" s="451">
        <v>500</v>
      </c>
    </row>
    <row r="213" spans="1:4">
      <c r="A213" s="451" t="s">
        <v>220</v>
      </c>
      <c r="B213" s="451">
        <v>500</v>
      </c>
      <c r="C213" s="451">
        <v>500</v>
      </c>
      <c r="D213" s="451">
        <v>500</v>
      </c>
    </row>
    <row r="214" spans="1:4">
      <c r="A214" s="451" t="s">
        <v>222</v>
      </c>
      <c r="B214" s="451">
        <v>100</v>
      </c>
      <c r="C214" s="451">
        <v>100</v>
      </c>
      <c r="D214" s="451">
        <v>100</v>
      </c>
    </row>
    <row r="215" spans="1:4">
      <c r="A215" s="451" t="s">
        <v>224</v>
      </c>
      <c r="B215" s="451">
        <v>100</v>
      </c>
      <c r="C215" s="451">
        <v>100</v>
      </c>
      <c r="D215" s="451">
        <v>100</v>
      </c>
    </row>
    <row r="216" spans="1:4">
      <c r="A216" s="451" t="s">
        <v>223</v>
      </c>
      <c r="B216" s="451">
        <v>25</v>
      </c>
      <c r="C216" s="451">
        <v>500</v>
      </c>
      <c r="D216" s="451">
        <v>2000</v>
      </c>
    </row>
    <row r="217" spans="1:4">
      <c r="A217" s="451" t="s">
        <v>225</v>
      </c>
      <c r="B217" s="451">
        <v>25</v>
      </c>
      <c r="C217" s="451">
        <v>25</v>
      </c>
      <c r="D217" s="451">
        <v>25</v>
      </c>
    </row>
    <row r="218" spans="1:4">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2015-01-14T01:10:13Z</dcterms:modified>
</cp:coreProperties>
</file>