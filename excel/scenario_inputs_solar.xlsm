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showInkAnnotation="0" codeName="ThisWorkbook" autoCompressPictures="0"/>
  <bookViews>
    <workbookView xWindow="0" yWindow="0" windowWidth="38400" windowHeight="1940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ys_sizing">Performance!$B$25:$D$27</definedName>
    <definedName name="ud_rates">'Market Projections'!$C$88:$F$138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<sst xmlns="http://schemas.openxmlformats.org/spreadsheetml/2006/main" count="794" uniqueCount="342">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</sst>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0">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9">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166" fontId="2" fillId="10" borderId="80" xfId="0" applyNumberFormat="1" applyFont="1" applyFill="1" applyBorder="1" applyProtection="1"/>
    <xf numFmtId="166" fontId="2" fillId="10" borderId="81" xfId="0"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85" fillId="20" borderId="0" xfId="0" applyFont="1" applyFill="1"/>
    <xf numFmtId="0" fontId="0" fillId="18" borderId="49"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41" xfId="0" applyFont="1" applyFill="1" applyBorder="1" applyAlignment="1" applyProtection="1">
      <alignment horizontal="center"/>
      <protection locked="0"/>
    </xf>
    <xf numFmtId="0" fontId="0" fillId="18" borderId="63" xfId="0" applyFont="1" applyFill="1" applyBorder="1" applyAlignment="1" applyProtection="1">
      <alignment horizontal="center"/>
    </xf>
    <xf numFmtId="0" fontId="0" fillId="18" borderId="123" xfId="0" applyFont="1" applyFill="1" applyBorder="1" applyAlignment="1" applyProtection="1">
      <alignment horizontal="center"/>
    </xf>
    <xf numFmtId="0" fontId="0" fillId="10" borderId="0" xfId="0" applyFill="1" applyAlignment="1">
      <alignment vertical="top"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90">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5594312"/>
        <c:axId val="2115597640"/>
      </c:scatterChart>
      <c:valAx>
        <c:axId val="211559431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597640"/>
        <c:crosses val="autoZero"/>
        <c:crossBetween val="midCat"/>
      </c:valAx>
      <c:valAx>
        <c:axId val="21155976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5943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5666680"/>
        <c:axId val="2115670040"/>
      </c:scatterChart>
      <c:valAx>
        <c:axId val="211566668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670040"/>
        <c:crosses val="autoZero"/>
        <c:crossBetween val="midCat"/>
      </c:valAx>
      <c:valAx>
        <c:axId val="21156700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566668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refreshError="1"/>
      <sheetData sheetId="2" refreshError="1"/>
      <sheetData sheetId="3" refreshError="1"/>
      <sheetData sheetId="4" refreshError="1"/>
      <sheetData sheetId="5" refreshError="1"/>
      <sheetData sheetId="6" refreshError="1"/>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5" sqref="D1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244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245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100</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68</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99</v>
      </c>
      <c r="D12" s="352">
        <v>2050</v>
      </c>
      <c r="E12" s="61"/>
      <c r="F12" s="109"/>
      <c r="G12" s="61" t="s">
        <v>226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136</v>
      </c>
      <c r="D13" s="353" t="s">
        <v>162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275</v>
      </c>
      <c r="D14" s="353" t="s">
        <v>330</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159</v>
      </c>
      <c r="D15" s="352" t="s">
        <v>338</v>
      </c>
      <c r="E15" s="61"/>
      <c r="F15" s="10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64</v>
      </c>
      <c r="D16" s="352" t="s">
        <v>284</v>
      </c>
      <c r="E16" s="109"/>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69</v>
      </c>
      <c r="D17" s="352" t="s">
        <v>150</v>
      </c>
      <c r="E17" s="61"/>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0" t="s">
        <v>71</v>
      </c>
      <c r="D18" s="352" t="s">
        <v>73</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9" t="s">
        <v>65</v>
      </c>
      <c r="D19" s="352" t="s">
        <v>284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9" t="s">
        <v>70</v>
      </c>
      <c r="D20" s="352" t="s">
        <v>150</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0" t="s">
        <v>72</v>
      </c>
      <c r="D21" s="352" t="s">
        <v>73</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9" t="s">
        <v>153</v>
      </c>
      <c r="D22" s="352" t="s">
        <v>284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507" t="s">
        <v>151</v>
      </c>
      <c r="D23" s="352" t="s">
        <v>150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507" t="s">
        <v>152</v>
      </c>
      <c r="D24" s="352"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70" t="s">
        <v>62</v>
      </c>
      <c r="D25" s="352"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507" t="s">
        <v>274</v>
      </c>
      <c r="D26" s="352" t="s">
        <v>272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509" t="s">
        <v>276</v>
      </c>
      <c r="D27" s="365">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90"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90"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8"/>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9"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91"/>
      <c r="G149" s="89"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91"/>
      <c r="G150" s="88"/>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4"/>
      <c r="F151" s="91"/>
      <c r="G151" s="88"/>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91" t="s">
        <v>235</v>
      </c>
      <c r="F152" s="91"/>
      <c r="G152" s="88"/>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91" t="s">
        <v>236</v>
      </c>
      <c r="F153" s="91"/>
      <c r="G153" s="89"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91" t="s">
        <v>237</v>
      </c>
      <c r="F154" s="91"/>
      <c r="G154" s="89" t="s">
        <v>60</v>
      </c>
      <c r="H154" s="67"/>
      <c r="I154" s="93"/>
      <c r="J154" s="67" t="s">
        <v>10</v>
      </c>
      <c r="K154" s="93"/>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91" t="s">
        <v>238</v>
      </c>
      <c r="F155" s="91"/>
      <c r="G155" s="92" t="s">
        <v>66</v>
      </c>
      <c r="H155" s="67"/>
      <c r="I155" s="93"/>
      <c r="J155" s="67" t="s">
        <v>160</v>
      </c>
      <c r="K155" s="93"/>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91"/>
      <c r="G156" s="92" t="s">
        <v>61</v>
      </c>
      <c r="H156" s="67"/>
      <c r="I156" s="93"/>
      <c r="J156" s="67" t="s">
        <v>12</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c r="F157" s="91"/>
      <c r="G157" s="61"/>
      <c r="H157" s="93"/>
      <c r="I157" s="93"/>
      <c r="J157" s="67" t="s">
        <v>13</v>
      </c>
      <c r="K157" s="93"/>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59</v>
      </c>
      <c r="F158" s="91"/>
      <c r="G158" s="61"/>
      <c r="H158" s="93"/>
      <c r="I158" s="93"/>
      <c r="J158" s="67" t="s">
        <v>14</v>
      </c>
      <c r="K158" s="93"/>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63</v>
      </c>
      <c r="F159" s="91"/>
      <c r="G159" s="61"/>
      <c r="H159" s="93"/>
      <c r="I159" s="93"/>
      <c r="J159" s="67" t="s">
        <v>15</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c r="F160" s="61"/>
      <c r="G160" s="61"/>
      <c r="H160" s="93"/>
      <c r="I160" s="93"/>
      <c r="J160" s="67" t="s">
        <v>16</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91" t="s">
        <v>87</v>
      </c>
      <c r="F161" s="61"/>
      <c r="G161" s="61"/>
      <c r="H161" s="93"/>
      <c r="I161" s="93"/>
      <c r="J161" s="67" t="s">
        <v>17</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3"/>
      <c r="I162" s="93"/>
      <c r="J162" s="67" t="s">
        <v>18</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3"/>
      <c r="I163" s="93"/>
      <c r="J163" s="67" t="s">
        <v>19</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3"/>
      <c r="I164" s="93"/>
      <c r="J164" s="67" t="s">
        <v>20</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3"/>
      <c r="I165" s="91"/>
      <c r="J165" s="67" t="s">
        <v>21</v>
      </c>
      <c r="K165" s="9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0" t="s">
        <v>94</v>
      </c>
      <c r="F166" s="61"/>
      <c r="G166" s="61"/>
      <c r="H166" s="93"/>
      <c r="I166" s="91"/>
      <c r="J166" s="67" t="s">
        <v>22</v>
      </c>
      <c r="K166" s="9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5" t="s">
        <v>86</v>
      </c>
      <c r="F167" s="61"/>
      <c r="G167" s="61"/>
      <c r="H167" s="67"/>
      <c r="I167" s="91"/>
      <c r="J167" s="67" t="s">
        <v>23</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91"/>
      <c r="J168" s="67" t="s">
        <v>24</v>
      </c>
      <c r="K168" s="91"/>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162</v>
      </c>
      <c r="F169" s="61"/>
      <c r="G169" s="61"/>
      <c r="H169" s="61"/>
      <c r="I169" s="91"/>
      <c r="J169" s="67" t="s">
        <v>25</v>
      </c>
      <c r="K169" s="91"/>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161</v>
      </c>
      <c r="F170" s="61"/>
      <c r="G170" s="61"/>
      <c r="H170" s="61"/>
      <c r="I170" s="91"/>
      <c r="J170" s="67" t="s">
        <v>26</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163</v>
      </c>
      <c r="F171" s="61"/>
      <c r="G171" s="61"/>
      <c r="H171" s="61"/>
      <c r="I171" s="91"/>
      <c r="J171" s="67" t="s">
        <v>27</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8">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8">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8">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8">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8">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8">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8">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90" t="s">
        <v>83</v>
      </c>
      <c r="F206" s="61"/>
      <c r="G206" s="61"/>
      <c r="H206" s="61"/>
      <c r="I206" s="61"/>
      <c r="J206" s="98">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272</v>
      </c>
      <c r="F209" s="61"/>
      <c r="G209" s="61"/>
      <c r="H209" s="61"/>
      <c r="I209" s="61"/>
      <c r="J209" s="98">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273</v>
      </c>
      <c r="F210" s="61"/>
      <c r="G210" s="61"/>
      <c r="H210" s="61"/>
      <c r="I210" s="61"/>
      <c r="J210" s="98">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8">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8">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20" t="s">
        <v>336</v>
      </c>
      <c r="F215" s="61"/>
      <c r="G215" s="61"/>
      <c r="H215" s="61"/>
      <c r="I215" s="61"/>
      <c r="J215" s="98">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20" t="s">
        <v>337</v>
      </c>
      <c r="F216" s="61"/>
      <c r="G216" s="61"/>
      <c r="H216" s="61"/>
      <c r="I216" s="61"/>
      <c r="J216" s="98">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20" t="s">
        <v>338</v>
      </c>
      <c r="F217" s="61"/>
      <c r="G217" s="61"/>
      <c r="H217" s="61"/>
      <c r="I217" s="61"/>
      <c r="J217" s="98">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20" t="s">
        <v>339</v>
      </c>
      <c r="F218" s="61"/>
      <c r="G218" s="61"/>
      <c r="H218" s="61"/>
      <c r="I218" s="61"/>
      <c r="J218" s="98">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20" t="s">
        <v>340</v>
      </c>
      <c r="F219" s="61"/>
      <c r="G219" s="61"/>
      <c r="H219" s="61"/>
      <c r="I219" s="61"/>
      <c r="J219" s="98">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284</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285</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286</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246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254</v>
      </c>
      <c r="T3" s="260"/>
      <c r="U3" s="260"/>
      <c r="V3" s="260"/>
      <c r="W3" s="283"/>
      <c r="X3" s="283"/>
      <c r="Y3" s="283"/>
      <c r="Z3" s="283"/>
      <c r="AA3" s="283"/>
      <c r="AB3" s="283"/>
      <c r="AC3" s="260"/>
    </row>
    <row r="4" spans="1:60" ht="16" thickBot="1">
      <c r="A4" s="283"/>
      <c r="B4" s="354" t="s">
        <v>267</v>
      </c>
      <c r="C4" s="283"/>
      <c r="D4" s="283"/>
      <c r="E4" s="283"/>
      <c r="F4" s="283"/>
      <c r="G4" s="283"/>
      <c r="H4" s="283"/>
      <c r="I4" s="283"/>
      <c r="J4" s="283"/>
      <c r="K4" s="283"/>
      <c r="L4" s="283"/>
      <c r="M4" s="283"/>
      <c r="N4" s="283"/>
      <c r="O4" s="283"/>
      <c r="P4" s="283"/>
      <c r="Q4" s="283"/>
      <c r="R4" s="270" t="s">
        <v>255</v>
      </c>
      <c r="S4" s="271"/>
      <c r="T4" s="375" t="s">
        <v>256</v>
      </c>
      <c r="U4" s="375" t="s">
        <v>257</v>
      </c>
      <c r="V4" s="375" t="s">
        <v>266</v>
      </c>
      <c r="W4" s="283"/>
      <c r="X4" s="283"/>
      <c r="Y4" s="283"/>
      <c r="Z4" s="283"/>
      <c r="AA4" s="283"/>
      <c r="AB4" s="283"/>
      <c r="AC4" s="260"/>
    </row>
    <row r="5" spans="1:60" ht="13">
      <c r="A5" s="283"/>
      <c r="B5" s="354" t="s">
        <v>268</v>
      </c>
      <c r="C5" s="283"/>
      <c r="D5" s="283"/>
      <c r="E5" s="283"/>
      <c r="F5" s="283"/>
      <c r="G5" s="283"/>
      <c r="H5" s="283"/>
      <c r="I5" s="283"/>
      <c r="J5" s="283"/>
      <c r="K5" s="283"/>
      <c r="L5" s="283"/>
      <c r="M5" s="283"/>
      <c r="N5" s="283"/>
      <c r="O5" s="283"/>
      <c r="P5" s="283"/>
      <c r="Q5" s="283"/>
      <c r="R5" s="273" t="s">
        <v>258</v>
      </c>
      <c r="S5" s="372"/>
      <c r="T5" s="376">
        <v>1.1000000238418579</v>
      </c>
      <c r="U5" s="377">
        <v>1.1000000238418579</v>
      </c>
      <c r="V5" s="378">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259</v>
      </c>
      <c r="S6" s="373"/>
      <c r="T6" s="379">
        <v>4</v>
      </c>
      <c r="U6" s="258">
        <v>300</v>
      </c>
      <c r="V6" s="380">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260</v>
      </c>
      <c r="S7" s="374"/>
      <c r="T7" s="381">
        <v>1.6666699200868607E-2</v>
      </c>
      <c r="U7" s="382">
        <v>1.6999999934341758E-4</v>
      </c>
      <c r="V7" s="383">
        <v>1.6999999934341758E-4</v>
      </c>
      <c r="W7" s="283"/>
      <c r="X7" s="283"/>
      <c r="Y7" s="283"/>
      <c r="Z7" s="283"/>
      <c r="AA7" s="283"/>
      <c r="AB7" s="283"/>
      <c r="AC7" s="260"/>
    </row>
    <row r="8" spans="1:60" ht="21">
      <c r="A8" s="283"/>
      <c r="B8" s="284"/>
      <c r="C8" s="283"/>
      <c r="D8" s="263" t="s">
        <v>247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279</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27" t="s">
        <v>249</v>
      </c>
      <c r="C10" s="297" t="s">
        <v>332</v>
      </c>
      <c r="D10" s="387">
        <v>4170</v>
      </c>
      <c r="E10" s="388">
        <v>3280</v>
      </c>
      <c r="F10" s="388">
        <v>2390</v>
      </c>
      <c r="G10" s="388">
        <v>1500</v>
      </c>
      <c r="H10" s="388">
        <v>1500</v>
      </c>
      <c r="I10" s="388">
        <v>1500</v>
      </c>
      <c r="J10" s="388">
        <v>1500</v>
      </c>
      <c r="K10" s="388">
        <v>1500</v>
      </c>
      <c r="L10" s="388">
        <v>1500</v>
      </c>
      <c r="M10" s="388">
        <v>1500</v>
      </c>
      <c r="N10" s="388">
        <v>1500</v>
      </c>
      <c r="O10" s="388">
        <v>1500</v>
      </c>
      <c r="P10" s="388">
        <v>1500</v>
      </c>
      <c r="Q10" s="388">
        <v>1500</v>
      </c>
      <c r="R10" s="388">
        <v>1500</v>
      </c>
      <c r="S10" s="388">
        <v>1500</v>
      </c>
      <c r="T10" s="388">
        <v>1500</v>
      </c>
      <c r="U10" s="388">
        <v>1500</v>
      </c>
      <c r="V10" s="389">
        <v>1500</v>
      </c>
      <c r="W10" s="260"/>
      <c r="X10" s="260"/>
      <c r="Y10" s="260"/>
      <c r="Z10" s="260"/>
      <c r="AA10" s="260"/>
      <c r="AB10" s="260"/>
      <c r="AC10" s="260"/>
    </row>
    <row r="11" spans="1:60" ht="15" customHeight="1">
      <c r="A11" s="283"/>
      <c r="B11" s="528"/>
      <c r="C11" s="288" t="s">
        <v>333</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28"/>
      <c r="C12" s="208" t="s">
        <v>334</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29"/>
      <c r="C13" s="298" t="s">
        <v>335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263</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27" t="s">
        <v>58</v>
      </c>
      <c r="C17" s="297" t="s">
        <v>332</v>
      </c>
      <c r="D17" s="326">
        <v>3667.075840384724</v>
      </c>
      <c r="E17" s="327">
        <v>2979.3471052096306</v>
      </c>
      <c r="F17" s="327">
        <v>2291.6183700345373</v>
      </c>
      <c r="G17" s="327">
        <v>1603.8896348594449</v>
      </c>
      <c r="H17" s="327">
        <v>1603.8896348594449</v>
      </c>
      <c r="I17" s="327">
        <v>1603.8896348594449</v>
      </c>
      <c r="J17" s="327">
        <v>1603.8896348594449</v>
      </c>
      <c r="K17" s="327">
        <v>1603.8896348594449</v>
      </c>
      <c r="L17" s="327">
        <v>1603.8896348594449</v>
      </c>
      <c r="M17" s="327">
        <v>1603.8896348594449</v>
      </c>
      <c r="N17" s="327">
        <v>1603.8896348594449</v>
      </c>
      <c r="O17" s="327">
        <v>1603.8896348594449</v>
      </c>
      <c r="P17" s="327">
        <v>1603.8896348594449</v>
      </c>
      <c r="Q17" s="327">
        <v>1603.8896348594449</v>
      </c>
      <c r="R17" s="327">
        <v>1603.8896348594449</v>
      </c>
      <c r="S17" s="327">
        <v>1603.8896348594449</v>
      </c>
      <c r="T17" s="327">
        <v>1603.8896348594449</v>
      </c>
      <c r="U17" s="327">
        <v>1603.8896348594449</v>
      </c>
      <c r="V17" s="328">
        <v>1603.8896348594449</v>
      </c>
      <c r="W17" s="260"/>
      <c r="X17" s="260"/>
      <c r="Y17" s="260"/>
      <c r="Z17" s="260"/>
      <c r="AA17" s="260"/>
      <c r="AB17" s="260"/>
      <c r="AC17" s="260"/>
    </row>
    <row r="18" spans="1:60" ht="15" customHeight="1">
      <c r="A18" s="283"/>
      <c r="B18" s="528"/>
      <c r="C18" s="288" t="s">
        <v>333</v>
      </c>
      <c r="D18" s="329">
        <v>210</v>
      </c>
      <c r="E18" s="289">
        <v>182.77039026291854</v>
      </c>
      <c r="F18" s="289">
        <v>182.77039026291854</v>
      </c>
      <c r="G18" s="289">
        <v>128.31117078875559</v>
      </c>
      <c r="H18" s="289">
        <v>128.31117078875559</v>
      </c>
      <c r="I18" s="289">
        <v>128.31117078875559</v>
      </c>
      <c r="J18" s="289">
        <v>128.31117078875559</v>
      </c>
      <c r="K18" s="289">
        <v>128.31117078875559</v>
      </c>
      <c r="L18" s="289">
        <v>128.31117078875559</v>
      </c>
      <c r="M18" s="289">
        <v>128.31117078875559</v>
      </c>
      <c r="N18" s="289">
        <v>128.31117078875559</v>
      </c>
      <c r="O18" s="289">
        <v>128.31117078875559</v>
      </c>
      <c r="P18" s="289">
        <v>128.31117078875559</v>
      </c>
      <c r="Q18" s="289">
        <v>128.31117078875559</v>
      </c>
      <c r="R18" s="289">
        <v>128.31117078875559</v>
      </c>
      <c r="S18" s="289">
        <v>128.31117078875559</v>
      </c>
      <c r="T18" s="289">
        <v>128.31117078875559</v>
      </c>
      <c r="U18" s="289">
        <v>128.31117078875559</v>
      </c>
      <c r="V18" s="289">
        <v>128.31117078875559</v>
      </c>
      <c r="W18" s="260"/>
      <c r="X18" s="260"/>
      <c r="Y18" s="260"/>
      <c r="Z18" s="260"/>
      <c r="AA18" s="260"/>
      <c r="AB18" s="260"/>
      <c r="AC18" s="260"/>
    </row>
    <row r="19" spans="1:60" ht="15" customHeight="1">
      <c r="A19" s="283"/>
      <c r="B19" s="528"/>
      <c r="C19" s="208" t="s">
        <v>334</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29"/>
      <c r="C20" s="298" t="s">
        <v>335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251</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279</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27" t="s">
        <v>249</v>
      </c>
      <c r="C24" s="297" t="s">
        <v>332</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28"/>
      <c r="C25" s="288" t="s">
        <v>333</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28"/>
      <c r="C26" s="208" t="s">
        <v>334</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29"/>
      <c r="C27" s="298" t="s">
        <v>335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263</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27" t="s">
        <v>58</v>
      </c>
      <c r="C30" s="297" t="s">
        <v>332</v>
      </c>
      <c r="D30" s="326">
        <v>3055.8965336539363</v>
      </c>
      <c r="E30" s="327">
        <v>2482.7892543413591</v>
      </c>
      <c r="F30" s="327">
        <v>1909.6819750287814</v>
      </c>
      <c r="G30" s="327">
        <v>1336.5746957162039</v>
      </c>
      <c r="H30" s="327">
        <v>1336.5746957162039</v>
      </c>
      <c r="I30" s="327">
        <v>1336.5746957162039</v>
      </c>
      <c r="J30" s="327">
        <v>1336.5746957162039</v>
      </c>
      <c r="K30" s="327">
        <v>1336.5746957162039</v>
      </c>
      <c r="L30" s="327">
        <v>1336.5746957162039</v>
      </c>
      <c r="M30" s="327">
        <v>1336.5746957162039</v>
      </c>
      <c r="N30" s="327">
        <v>1336.5746957162039</v>
      </c>
      <c r="O30" s="327">
        <v>1336.5746957162039</v>
      </c>
      <c r="P30" s="327">
        <v>1336.5746957162039</v>
      </c>
      <c r="Q30" s="327">
        <v>1336.5746957162039</v>
      </c>
      <c r="R30" s="327">
        <v>1336.5746957162039</v>
      </c>
      <c r="S30" s="327">
        <v>1336.5746957162039</v>
      </c>
      <c r="T30" s="327">
        <v>1336.5746957162039</v>
      </c>
      <c r="U30" s="327">
        <v>1336.5746957162039</v>
      </c>
      <c r="V30" s="328">
        <v>1336.5746957162039</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28"/>
      <c r="C31" s="288" t="s">
        <v>333</v>
      </c>
      <c r="D31" s="329">
        <v>200</v>
      </c>
      <c r="E31" s="289">
        <v>172.53952440767532</v>
      </c>
      <c r="F31" s="289">
        <v>172.53952440767532</v>
      </c>
      <c r="G31" s="289">
        <v>117.61857322302596</v>
      </c>
      <c r="H31" s="289">
        <v>117.61857322302596</v>
      </c>
      <c r="I31" s="289">
        <v>117.61857322302596</v>
      </c>
      <c r="J31" s="289">
        <v>117.61857322302596</v>
      </c>
      <c r="K31" s="289">
        <v>117.61857322302596</v>
      </c>
      <c r="L31" s="289">
        <v>117.61857322302596</v>
      </c>
      <c r="M31" s="289">
        <v>117.61857322302596</v>
      </c>
      <c r="N31" s="289">
        <v>117.61857322302596</v>
      </c>
      <c r="O31" s="289">
        <v>117.61857322302596</v>
      </c>
      <c r="P31" s="289">
        <v>117.61857322302596</v>
      </c>
      <c r="Q31" s="289">
        <v>117.61857322302596</v>
      </c>
      <c r="R31" s="289">
        <v>117.61857322302596</v>
      </c>
      <c r="S31" s="289">
        <v>117.61857322302596</v>
      </c>
      <c r="T31" s="289">
        <v>117.61857322302596</v>
      </c>
      <c r="U31" s="289">
        <v>117.61857322302596</v>
      </c>
      <c r="V31" s="289">
        <v>117.61857322302596</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28"/>
      <c r="C32" s="208" t="s">
        <v>334</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29"/>
      <c r="C33" s="298" t="s">
        <v>335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262</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248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27" t="s">
        <v>249</v>
      </c>
      <c r="C37" s="297" t="s">
        <v>332</v>
      </c>
      <c r="D37" s="387">
        <v>3375.2</v>
      </c>
      <c r="E37" s="388">
        <v>2666.7999999999997</v>
      </c>
      <c r="F37" s="388">
        <v>1958.3999999999996</v>
      </c>
      <c r="G37" s="388">
        <v>1250</v>
      </c>
      <c r="H37" s="388">
        <v>1250</v>
      </c>
      <c r="I37" s="388">
        <v>1250</v>
      </c>
      <c r="J37" s="388">
        <v>1250</v>
      </c>
      <c r="K37" s="388">
        <v>1250</v>
      </c>
      <c r="L37" s="388">
        <v>1250</v>
      </c>
      <c r="M37" s="388">
        <v>1250</v>
      </c>
      <c r="N37" s="388">
        <v>1250</v>
      </c>
      <c r="O37" s="388">
        <v>1250</v>
      </c>
      <c r="P37" s="388">
        <v>1250</v>
      </c>
      <c r="Q37" s="388">
        <v>1250</v>
      </c>
      <c r="R37" s="388">
        <v>1250</v>
      </c>
      <c r="S37" s="388">
        <v>1250</v>
      </c>
      <c r="T37" s="388">
        <v>1250</v>
      </c>
      <c r="U37" s="388">
        <v>1250</v>
      </c>
      <c r="V37" s="389">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28"/>
      <c r="C38" s="288" t="s">
        <v>333</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28"/>
      <c r="C39" s="208" t="s">
        <v>334</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29"/>
      <c r="C40" s="298" t="s">
        <v>335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263</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27" t="s">
        <v>58</v>
      </c>
      <c r="C43" s="297" t="s">
        <v>332</v>
      </c>
      <c r="D43" s="326">
        <v>3055.8965336539363</v>
      </c>
      <c r="E43" s="327">
        <v>2482.7892543413591</v>
      </c>
      <c r="F43" s="327">
        <v>1909.6819750287814</v>
      </c>
      <c r="G43" s="327">
        <v>1336.5746957162039</v>
      </c>
      <c r="H43" s="327">
        <v>1336.5746957162039</v>
      </c>
      <c r="I43" s="327">
        <v>1336.5746957162039</v>
      </c>
      <c r="J43" s="327">
        <v>1336.5746957162039</v>
      </c>
      <c r="K43" s="327">
        <v>1336.5746957162039</v>
      </c>
      <c r="L43" s="327">
        <v>1336.5746957162039</v>
      </c>
      <c r="M43" s="327">
        <v>1336.5746957162039</v>
      </c>
      <c r="N43" s="327">
        <v>1336.5746957162039</v>
      </c>
      <c r="O43" s="327">
        <v>1336.5746957162039</v>
      </c>
      <c r="P43" s="327">
        <v>1336.5746957162039</v>
      </c>
      <c r="Q43" s="327">
        <v>1336.5746957162039</v>
      </c>
      <c r="R43" s="327">
        <v>1336.5746957162039</v>
      </c>
      <c r="S43" s="327">
        <v>1336.5746957162039</v>
      </c>
      <c r="T43" s="327">
        <v>1336.5746957162039</v>
      </c>
      <c r="U43" s="327">
        <v>1336.5746957162039</v>
      </c>
      <c r="V43" s="328">
        <v>1336.5746957162039</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28"/>
      <c r="C44" s="288" t="s">
        <v>333</v>
      </c>
      <c r="D44" s="329">
        <v>140</v>
      </c>
      <c r="E44" s="289">
        <v>128.97532521909878</v>
      </c>
      <c r="F44" s="289">
        <v>128.97532521909878</v>
      </c>
      <c r="G44" s="289">
        <v>106.92597565729633</v>
      </c>
      <c r="H44" s="289">
        <v>106.92597565729633</v>
      </c>
      <c r="I44" s="289">
        <v>106.92597565729633</v>
      </c>
      <c r="J44" s="289">
        <v>106.92597565729633</v>
      </c>
      <c r="K44" s="289">
        <v>106.92597565729633</v>
      </c>
      <c r="L44" s="289">
        <v>106.92597565729633</v>
      </c>
      <c r="M44" s="289">
        <v>106.92597565729633</v>
      </c>
      <c r="N44" s="289">
        <v>106.92597565729633</v>
      </c>
      <c r="O44" s="289">
        <v>106.92597565729633</v>
      </c>
      <c r="P44" s="289">
        <v>106.92597565729633</v>
      </c>
      <c r="Q44" s="289">
        <v>106.92597565729633</v>
      </c>
      <c r="R44" s="289">
        <v>106.92597565729633</v>
      </c>
      <c r="S44" s="289">
        <v>106.92597565729633</v>
      </c>
      <c r="T44" s="289">
        <v>106.92597565729633</v>
      </c>
      <c r="U44" s="289">
        <v>106.92597565729633</v>
      </c>
      <c r="V44" s="289">
        <v>106.92597565729633</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28"/>
      <c r="C45" s="208" t="s">
        <v>334</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29"/>
      <c r="C46" s="298" t="s">
        <v>335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252</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252</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253</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baseColWidth="10" defaultColWidth="8.83203125" defaultRowHeight="12" x14ac:dyDescent="0"/>
  <cols>
    <col min="1" max="1" width="3.5" style="243" customWidth="1"/>
    <col min="2" max="2" width="30" style="243" customWidth="1"/>
    <col min="3" max="3" width="20.5" style="243" customWidth="1"/>
    <col min="4" max="4" width="21" style="243" customWidth="1"/>
    <col min="5"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32" ht="26">
      <c r="B2" s="306" t="s">
        <v>264</v>
      </c>
    </row>
    <row r="4" spans="2:32" ht="17">
      <c r="P4" s="311" t="s">
        <v>239</v>
      </c>
      <c r="Q4" s="312"/>
      <c r="R4" s="312"/>
      <c r="S4" s="312"/>
      <c r="T4" s="313" t="s">
        <v>265</v>
      </c>
      <c r="U4" s="309"/>
    </row>
    <row r="6" spans="2:32" ht="13" customHeight="1"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531" t="s">
        <v>341</v>
      </c>
      <c r="Y6" s="531"/>
      <c r="Z6" s="531"/>
      <c r="AA6" s="531"/>
      <c r="AB6" s="531"/>
      <c r="AC6" s="531"/>
      <c r="AD6" s="531"/>
      <c r="AE6" s="531"/>
      <c r="AF6" s="531"/>
    </row>
    <row r="7" spans="2:32" ht="12" customHeight="1">
      <c r="B7" s="336" t="s">
        <v>277</v>
      </c>
      <c r="C7" s="385">
        <v>1</v>
      </c>
      <c r="D7" s="386">
        <v>1</v>
      </c>
      <c r="E7" s="386">
        <v>1</v>
      </c>
      <c r="F7" s="386">
        <v>1</v>
      </c>
      <c r="G7" s="386">
        <v>1</v>
      </c>
      <c r="H7" s="386">
        <v>1</v>
      </c>
      <c r="I7" s="386">
        <v>1</v>
      </c>
      <c r="J7" s="386">
        <v>1</v>
      </c>
      <c r="K7" s="386">
        <v>1</v>
      </c>
      <c r="L7" s="386">
        <v>1</v>
      </c>
      <c r="M7" s="386">
        <v>1</v>
      </c>
      <c r="N7" s="386">
        <v>1</v>
      </c>
      <c r="O7" s="386">
        <v>1</v>
      </c>
      <c r="P7" s="386">
        <v>1</v>
      </c>
      <c r="Q7" s="386">
        <v>1</v>
      </c>
      <c r="R7" s="386">
        <v>1</v>
      </c>
      <c r="S7" s="386">
        <v>1</v>
      </c>
      <c r="T7" s="386">
        <v>1</v>
      </c>
      <c r="U7" s="386">
        <v>1</v>
      </c>
      <c r="X7" s="531"/>
      <c r="Y7" s="531"/>
      <c r="Z7" s="531"/>
      <c r="AA7" s="531"/>
      <c r="AB7" s="531"/>
      <c r="AC7" s="531"/>
      <c r="AD7" s="531"/>
      <c r="AE7" s="531"/>
      <c r="AF7" s="531"/>
    </row>
    <row r="8" spans="2:32">
      <c r="B8" s="337" t="s">
        <v>278</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X8" s="531"/>
      <c r="Y8" s="531"/>
      <c r="Z8" s="531"/>
      <c r="AA8" s="531"/>
      <c r="AB8" s="531"/>
      <c r="AC8" s="531"/>
      <c r="AD8" s="531"/>
      <c r="AE8" s="531"/>
      <c r="AF8" s="531"/>
    </row>
    <row r="9" spans="2:32" ht="13" thickBot="1">
      <c r="B9" s="338" t="s">
        <v>250</v>
      </c>
      <c r="C9" s="341">
        <v>10</v>
      </c>
      <c r="D9" s="342">
        <v>20</v>
      </c>
      <c r="E9" s="342">
        <v>20</v>
      </c>
      <c r="F9" s="342">
        <v>20</v>
      </c>
      <c r="G9" s="342">
        <v>20</v>
      </c>
      <c r="H9" s="342">
        <v>20</v>
      </c>
      <c r="I9" s="342">
        <v>20</v>
      </c>
      <c r="J9" s="342">
        <v>20</v>
      </c>
      <c r="K9" s="342">
        <v>20</v>
      </c>
      <c r="L9" s="342">
        <v>20</v>
      </c>
      <c r="M9" s="342">
        <v>20</v>
      </c>
      <c r="N9" s="342">
        <v>20</v>
      </c>
      <c r="O9" s="342">
        <v>20</v>
      </c>
      <c r="P9" s="342">
        <v>20</v>
      </c>
      <c r="Q9" s="342">
        <v>20</v>
      </c>
      <c r="R9" s="342">
        <v>20</v>
      </c>
      <c r="S9" s="342">
        <v>20</v>
      </c>
      <c r="T9" s="342">
        <v>20</v>
      </c>
      <c r="U9" s="343">
        <v>20</v>
      </c>
      <c r="X9" s="531"/>
      <c r="Y9" s="531"/>
      <c r="Z9" s="531"/>
      <c r="AA9" s="531"/>
      <c r="AB9" s="531"/>
      <c r="AC9" s="531"/>
      <c r="AD9" s="531"/>
      <c r="AE9" s="531"/>
      <c r="AF9" s="531"/>
    </row>
    <row r="10" spans="2:32" ht="12.75" customHeight="1">
      <c r="X10" s="531"/>
      <c r="Y10" s="531"/>
      <c r="Z10" s="531"/>
      <c r="AA10" s="531"/>
      <c r="AB10" s="531"/>
      <c r="AC10" s="531"/>
      <c r="AD10" s="531"/>
      <c r="AE10" s="531"/>
      <c r="AF10" s="531"/>
    </row>
    <row r="11" spans="2:32">
      <c r="D11" s="307"/>
      <c r="E11" s="307"/>
      <c r="F11" s="307"/>
      <c r="G11" s="310"/>
      <c r="H11" s="310"/>
      <c r="I11" s="310"/>
      <c r="J11" s="310"/>
      <c r="K11" s="310"/>
      <c r="L11" s="310"/>
      <c r="M11" s="310"/>
      <c r="N11" s="310"/>
      <c r="O11" s="310"/>
      <c r="P11" s="310"/>
      <c r="Q11" s="310"/>
      <c r="R11" s="310"/>
      <c r="S11" s="310"/>
      <c r="T11" s="310"/>
      <c r="U11" s="310"/>
      <c r="V11" s="310"/>
      <c r="W11" s="310"/>
      <c r="X11" s="526"/>
      <c r="Y11" s="526"/>
      <c r="Z11" s="526"/>
      <c r="AA11" s="526"/>
      <c r="AB11" s="526"/>
      <c r="AC11" s="526"/>
      <c r="AD11" s="526"/>
      <c r="AE11" s="526"/>
      <c r="AF11" s="526"/>
    </row>
    <row r="12" spans="2:32" ht="21">
      <c r="B12" s="308" t="s">
        <v>270</v>
      </c>
      <c r="C12" s="314"/>
      <c r="D12" s="314"/>
      <c r="E12" s="314"/>
      <c r="F12" s="314"/>
      <c r="G12" s="314"/>
      <c r="H12" s="314"/>
      <c r="I12" s="314"/>
      <c r="J12" s="314"/>
      <c r="K12" s="314"/>
      <c r="L12" s="314"/>
      <c r="M12" s="314"/>
      <c r="N12" s="314"/>
      <c r="O12" s="314"/>
      <c r="P12" s="314"/>
      <c r="Q12" s="314"/>
      <c r="R12" s="314"/>
      <c r="S12" s="314"/>
      <c r="T12" s="314"/>
      <c r="U12" s="314"/>
      <c r="V12" s="314"/>
      <c r="W12" s="314"/>
      <c r="X12" s="314"/>
      <c r="Y12" s="314"/>
      <c r="Z12" s="345"/>
      <c r="AA12" s="314"/>
      <c r="AB12" s="314"/>
    </row>
    <row r="13" spans="2:32" ht="13" thickBot="1"/>
    <row r="14" spans="2:32" ht="13" thickBot="1">
      <c r="B14" s="336" t="s">
        <v>269</v>
      </c>
      <c r="C14" s="344">
        <v>5.0000000000000001E-3</v>
      </c>
    </row>
    <row r="17" spans="2:28">
      <c r="B17" s="345" t="s">
        <v>271</v>
      </c>
    </row>
    <row r="18" spans="2:28" ht="13" thickBot="1"/>
    <row r="19" spans="2:28">
      <c r="B19" s="317" t="s">
        <v>2</v>
      </c>
      <c r="C19" s="319">
        <v>1</v>
      </c>
      <c r="D19" s="319">
        <v>2</v>
      </c>
      <c r="E19" s="319">
        <v>3</v>
      </c>
      <c r="F19" s="319">
        <v>4</v>
      </c>
      <c r="G19" s="319">
        <v>5</v>
      </c>
      <c r="H19" s="319">
        <v>6</v>
      </c>
      <c r="I19" s="319">
        <v>7</v>
      </c>
      <c r="J19" s="319">
        <v>8</v>
      </c>
      <c r="K19" s="319">
        <v>9</v>
      </c>
      <c r="L19" s="319">
        <v>10</v>
      </c>
      <c r="M19" s="319">
        <v>11</v>
      </c>
      <c r="N19" s="319">
        <v>12</v>
      </c>
      <c r="O19" s="319">
        <v>13</v>
      </c>
      <c r="P19" s="319">
        <v>14</v>
      </c>
      <c r="Q19" s="319">
        <v>15</v>
      </c>
      <c r="R19" s="319">
        <v>16</v>
      </c>
      <c r="S19" s="319">
        <v>17</v>
      </c>
      <c r="T19" s="319">
        <v>18</v>
      </c>
      <c r="U19" s="319">
        <v>19</v>
      </c>
      <c r="V19" s="319">
        <v>20</v>
      </c>
      <c r="W19" s="319">
        <v>21</v>
      </c>
      <c r="X19" s="319">
        <v>22</v>
      </c>
      <c r="Y19" s="319">
        <v>23</v>
      </c>
      <c r="Z19" s="319">
        <v>24</v>
      </c>
      <c r="AA19" s="319">
        <v>25</v>
      </c>
      <c r="AB19" s="320">
        <v>26</v>
      </c>
    </row>
    <row r="20" spans="2:28" ht="13" thickBot="1">
      <c r="B20" s="318" t="s">
        <v>261</v>
      </c>
      <c r="C20" s="315">
        <v>1</v>
      </c>
      <c r="D20" s="316">
        <f>C20*(1-$C$14)</f>
        <v>0.995</v>
      </c>
      <c r="E20" s="316">
        <f t="shared" ref="E20:AB20" si="0">D20*(1-$C$14)</f>
        <v>0.99002500000000004</v>
      </c>
      <c r="F20" s="316">
        <f t="shared" si="0"/>
        <v>0.98507487500000002</v>
      </c>
      <c r="G20" s="316">
        <f t="shared" si="0"/>
        <v>0.98014950062500006</v>
      </c>
      <c r="H20" s="316">
        <f t="shared" si="0"/>
        <v>0.97524875312187509</v>
      </c>
      <c r="I20" s="316">
        <f t="shared" si="0"/>
        <v>0.97037250935626573</v>
      </c>
      <c r="J20" s="316">
        <f t="shared" si="0"/>
        <v>0.96552064680948435</v>
      </c>
      <c r="K20" s="316">
        <f t="shared" si="0"/>
        <v>0.96069304357543694</v>
      </c>
      <c r="L20" s="316">
        <f t="shared" si="0"/>
        <v>0.95588957835755972</v>
      </c>
      <c r="M20" s="316">
        <f t="shared" si="0"/>
        <v>0.95111013046577186</v>
      </c>
      <c r="N20" s="316">
        <f t="shared" si="0"/>
        <v>0.94635457981344295</v>
      </c>
      <c r="O20" s="316">
        <f t="shared" si="0"/>
        <v>0.94162280691437572</v>
      </c>
      <c r="P20" s="316">
        <f t="shared" si="0"/>
        <v>0.93691469287980389</v>
      </c>
      <c r="Q20" s="316">
        <f t="shared" si="0"/>
        <v>0.9322301194154049</v>
      </c>
      <c r="R20" s="316">
        <f t="shared" si="0"/>
        <v>0.92756896881832784</v>
      </c>
      <c r="S20" s="316">
        <f t="shared" si="0"/>
        <v>0.92293112397423616</v>
      </c>
      <c r="T20" s="316">
        <f t="shared" si="0"/>
        <v>0.91831646835436498</v>
      </c>
      <c r="U20" s="316">
        <f t="shared" si="0"/>
        <v>0.91372488601259316</v>
      </c>
      <c r="V20" s="316">
        <f t="shared" si="0"/>
        <v>0.90915626158253016</v>
      </c>
      <c r="W20" s="316">
        <f t="shared" si="0"/>
        <v>0.90461048027461755</v>
      </c>
      <c r="X20" s="316">
        <f t="shared" si="0"/>
        <v>0.90008742787324447</v>
      </c>
      <c r="Y20" s="316">
        <f t="shared" si="0"/>
        <v>0.89558699073387826</v>
      </c>
      <c r="Z20" s="316">
        <f t="shared" si="0"/>
        <v>0.89110905578020883</v>
      </c>
      <c r="AA20" s="316">
        <f t="shared" si="0"/>
        <v>0.88665351050130781</v>
      </c>
      <c r="AB20" s="316">
        <f t="shared" si="0"/>
        <v>0.8822202429488013</v>
      </c>
    </row>
    <row r="23" spans="2:28" ht="32" customHeight="1">
      <c r="B23" s="445" t="s">
        <v>325</v>
      </c>
    </row>
    <row r="24" spans="2:28" ht="31" thickBot="1">
      <c r="C24" s="513" t="s">
        <v>326</v>
      </c>
      <c r="D24" s="513" t="s">
        <v>327</v>
      </c>
      <c r="F24" s="530" t="s">
        <v>328</v>
      </c>
      <c r="G24" s="530"/>
      <c r="H24" s="530"/>
      <c r="I24" s="530"/>
      <c r="J24" s="530"/>
    </row>
    <row r="25" spans="2:28" ht="16" customHeight="1" thickTop="1">
      <c r="B25" s="511" t="s">
        <v>117</v>
      </c>
      <c r="C25" s="514">
        <v>0.75</v>
      </c>
      <c r="D25" s="515">
        <v>0.5</v>
      </c>
      <c r="F25" s="530"/>
      <c r="G25" s="530"/>
      <c r="H25" s="530"/>
      <c r="I25" s="530"/>
      <c r="J25" s="530"/>
    </row>
    <row r="26" spans="2:28" ht="15">
      <c r="B26" s="508" t="s">
        <v>118</v>
      </c>
      <c r="C26" s="516">
        <v>0.75</v>
      </c>
      <c r="D26" s="517">
        <v>0.5</v>
      </c>
      <c r="F26" s="530"/>
      <c r="G26" s="530"/>
      <c r="H26" s="530"/>
      <c r="I26" s="530"/>
      <c r="J26" s="530"/>
    </row>
    <row r="27" spans="2:28" ht="16" thickBot="1">
      <c r="B27" s="512" t="s">
        <v>119</v>
      </c>
      <c r="C27" s="518">
        <v>0.75</v>
      </c>
      <c r="D27" s="519">
        <v>0.5</v>
      </c>
      <c r="F27" s="530"/>
      <c r="G27" s="530"/>
      <c r="H27" s="530"/>
      <c r="I27" s="530"/>
      <c r="J27" s="530"/>
    </row>
    <row r="28" spans="2:28" ht="13" thickTop="1">
      <c r="F28" s="510"/>
      <c r="G28" s="510"/>
      <c r="H28" s="510"/>
      <c r="I28" s="510"/>
    </row>
    <row r="35" spans="4:4">
      <c r="D35" s="510"/>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133</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105</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41" t="s">
        <v>53</v>
      </c>
      <c r="D9" s="542"/>
      <c r="E9" s="245" t="s">
        <v>144</v>
      </c>
      <c r="F9" s="186" t="s">
        <v>145</v>
      </c>
      <c r="G9" s="135"/>
      <c r="H9" s="233"/>
      <c r="I9" s="233"/>
      <c r="J9" s="532" t="s">
        <v>131</v>
      </c>
      <c r="K9" s="533"/>
      <c r="L9" s="534"/>
      <c r="M9" s="164" t="s">
        <v>227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127</v>
      </c>
      <c r="D10" s="182"/>
      <c r="E10" s="246">
        <v>15</v>
      </c>
      <c r="F10" s="187">
        <v>20</v>
      </c>
      <c r="G10" s="135"/>
      <c r="H10" s="136"/>
      <c r="I10" s="136"/>
      <c r="J10" s="173" t="s">
        <v>2</v>
      </c>
      <c r="K10" s="173" t="s">
        <v>138</v>
      </c>
      <c r="L10" s="173" t="s">
        <v>67</v>
      </c>
      <c r="M10" s="165" t="s">
        <v>228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331</v>
      </c>
      <c r="D11" s="182"/>
      <c r="E11" s="247">
        <v>0.06</v>
      </c>
      <c r="F11" s="189">
        <v>0.1</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128</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129</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43" t="s">
        <v>54</v>
      </c>
      <c r="D17" s="544"/>
      <c r="E17" s="191" t="s">
        <v>144</v>
      </c>
      <c r="F17" s="192" t="s">
        <v>145</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130</v>
      </c>
      <c r="D18" s="184"/>
      <c r="E18" s="193">
        <v>20</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2" t="s">
        <v>331</v>
      </c>
      <c r="D19" s="184"/>
      <c r="E19" s="188">
        <v>0.06</v>
      </c>
      <c r="F19" s="189">
        <v>0.1</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128</v>
      </c>
      <c r="D20" s="185"/>
      <c r="E20" s="188">
        <v>0.2</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129</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98</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45" t="s">
        <v>132</v>
      </c>
      <c r="D26" s="546"/>
      <c r="E26" s="197" t="s">
        <v>144</v>
      </c>
      <c r="F26" s="198" t="s">
        <v>145</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130</v>
      </c>
      <c r="D27" s="184"/>
      <c r="E27" s="193">
        <v>20</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2" t="s">
        <v>331</v>
      </c>
      <c r="D28" s="184"/>
      <c r="E28" s="188">
        <v>0.06</v>
      </c>
      <c r="F28" s="189">
        <v>0.1</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128</v>
      </c>
      <c r="D29" s="185"/>
      <c r="E29" s="188">
        <v>0.2</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129</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98</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164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35" t="s">
        <v>117</v>
      </c>
      <c r="E35" s="536"/>
      <c r="F35" s="537" t="s">
        <v>118</v>
      </c>
      <c r="G35" s="538"/>
      <c r="H35" s="539" t="s">
        <v>119</v>
      </c>
      <c r="I35" s="54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157</v>
      </c>
      <c r="E36" s="225" t="s">
        <v>158</v>
      </c>
      <c r="F36" s="225" t="s">
        <v>157</v>
      </c>
      <c r="G36" s="225" t="s">
        <v>158</v>
      </c>
      <c r="H36" s="225" t="s">
        <v>157</v>
      </c>
      <c r="I36" s="226" t="s">
        <v>158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F29" sqref="F29"/>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137</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143</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124</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142</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141</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125</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126</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154</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155</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156</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243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216</v>
      </c>
      <c r="Z16" s="384" t="s">
        <v>217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166</v>
      </c>
      <c r="Y17" s="412">
        <v>2.744201934324435E-4</v>
      </c>
      <c r="Z17" s="412">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168</v>
      </c>
      <c r="Y18" s="412">
        <v>2.8579410620991442E-4</v>
      </c>
      <c r="Z18" s="412">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169</v>
      </c>
      <c r="Y19" s="412">
        <v>4.7716993008320446E-4</v>
      </c>
      <c r="Z19" s="412">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170</v>
      </c>
      <c r="Y20" s="412">
        <v>2.0499097618064069E-4</v>
      </c>
      <c r="Z20" s="412">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171</v>
      </c>
      <c r="Y21" s="412">
        <v>7.3634398159432295E-4</v>
      </c>
      <c r="Z21" s="412">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172</v>
      </c>
      <c r="Y22" s="412">
        <v>1.5933500996702843E-4</v>
      </c>
      <c r="Z22" s="412">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173</v>
      </c>
      <c r="Y23" s="412">
        <v>5.0685048336163163E-4</v>
      </c>
      <c r="Z23" s="412">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2">
        <v>8.3442486284763834E-4</v>
      </c>
      <c r="Z24" s="412">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174</v>
      </c>
      <c r="Y25" s="412">
        <v>4.5283915436484851E-4</v>
      </c>
      <c r="Z25" s="412">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175</v>
      </c>
      <c r="Y26" s="412">
        <v>3.486895207898603E-4</v>
      </c>
      <c r="Z26" s="412">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177</v>
      </c>
      <c r="Y27" s="412">
        <v>6.1012381532656111E-4</v>
      </c>
      <c r="Z27" s="412">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178</v>
      </c>
      <c r="Y28" s="412">
        <v>3.9139311155092061E-5</v>
      </c>
      <c r="Z28" s="412">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179</v>
      </c>
      <c r="Y29" s="412">
        <v>3.2453938138303045E-4</v>
      </c>
      <c r="Z29" s="412">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180</v>
      </c>
      <c r="Y30" s="412">
        <v>7.9415196034054991E-4</v>
      </c>
      <c r="Z30" s="412">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280</v>
      </c>
      <c r="D31" s="109"/>
      <c r="E31" s="109"/>
      <c r="F31" s="109"/>
      <c r="G31" s="85"/>
      <c r="H31" s="85"/>
      <c r="I31" s="81"/>
      <c r="J31" s="81"/>
      <c r="K31" s="35"/>
      <c r="L31" s="35"/>
      <c r="M31" s="35"/>
      <c r="N31" s="398"/>
      <c r="O31" s="135" t="s">
        <v>282</v>
      </c>
      <c r="P31" s="35"/>
      <c r="Q31" s="35"/>
      <c r="R31" s="35"/>
      <c r="S31" s="35"/>
      <c r="T31" s="35"/>
      <c r="U31" s="35"/>
      <c r="V31" s="35"/>
      <c r="W31" s="28"/>
      <c r="X31" s="235" t="s">
        <v>181</v>
      </c>
      <c r="Y31" s="412">
        <v>3.2602707909398565E-4</v>
      </c>
      <c r="Z31" s="412">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0"/>
      <c r="C32" s="547" t="s">
        <v>281</v>
      </c>
      <c r="D32" s="547"/>
      <c r="E32" s="547"/>
      <c r="F32" s="548"/>
      <c r="G32" s="207">
        <v>2020</v>
      </c>
      <c r="H32" s="85"/>
      <c r="I32" s="81"/>
      <c r="J32" s="81"/>
      <c r="K32" s="35"/>
      <c r="L32" s="35"/>
      <c r="M32" s="35"/>
      <c r="N32" s="35"/>
      <c r="O32" s="35"/>
      <c r="P32" s="35"/>
      <c r="Q32" s="35"/>
      <c r="R32" s="35"/>
      <c r="S32" s="35"/>
      <c r="T32" s="35"/>
      <c r="U32" s="35"/>
      <c r="V32" s="35"/>
      <c r="W32" s="80"/>
      <c r="X32" s="235" t="s">
        <v>182</v>
      </c>
      <c r="Y32" s="412">
        <v>8.465955465067626E-4</v>
      </c>
      <c r="Z32" s="412">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0"/>
      <c r="C33" s="101"/>
      <c r="D33" s="102"/>
      <c r="E33" s="101"/>
      <c r="F33" s="86"/>
      <c r="G33" s="86"/>
      <c r="H33" s="86"/>
      <c r="I33" s="82"/>
      <c r="J33" s="82"/>
      <c r="K33" s="28"/>
      <c r="L33" s="28"/>
      <c r="M33" s="28"/>
      <c r="N33" s="28"/>
      <c r="O33" s="28"/>
      <c r="P33" s="28"/>
      <c r="Q33" s="28"/>
      <c r="R33" s="28"/>
      <c r="S33" s="28"/>
      <c r="T33" s="28"/>
      <c r="U33" s="28"/>
      <c r="V33" s="28"/>
      <c r="W33" s="37"/>
      <c r="X33" s="235" t="s">
        <v>183</v>
      </c>
      <c r="Y33" s="412">
        <v>3.0858219124592655E-4</v>
      </c>
      <c r="Z33" s="412">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3" t="s">
        <v>283</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184</v>
      </c>
      <c r="Y34" s="412">
        <v>2.7443623595127412E-4</v>
      </c>
      <c r="Z34" s="412">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1"/>
      <c r="C35" s="395" t="s">
        <v>166</v>
      </c>
      <c r="D35" s="399" t="b">
        <v>0</v>
      </c>
      <c r="E35" s="400" t="b">
        <v>0</v>
      </c>
      <c r="F35" s="399" t="b">
        <v>0</v>
      </c>
      <c r="G35" s="401" t="b">
        <v>1</v>
      </c>
      <c r="H35" s="401" t="b">
        <v>1</v>
      </c>
      <c r="I35" s="401" t="b">
        <v>1</v>
      </c>
      <c r="J35" s="401" t="b">
        <v>1</v>
      </c>
      <c r="K35" s="401" t="b">
        <v>1</v>
      </c>
      <c r="L35" s="402" t="b">
        <v>1</v>
      </c>
      <c r="M35" s="402" t="b">
        <v>1</v>
      </c>
      <c r="N35" s="402" t="b">
        <v>1</v>
      </c>
      <c r="O35" s="402" t="b">
        <v>1</v>
      </c>
      <c r="P35" s="402" t="b">
        <v>1</v>
      </c>
      <c r="Q35" s="402" t="b">
        <v>1</v>
      </c>
      <c r="R35" s="402" t="b">
        <v>1</v>
      </c>
      <c r="S35" s="402" t="b">
        <v>1</v>
      </c>
      <c r="T35" s="402" t="b">
        <v>1</v>
      </c>
      <c r="U35" s="402" t="b">
        <v>1</v>
      </c>
      <c r="V35" s="403" t="b">
        <v>1</v>
      </c>
      <c r="W35" s="37"/>
      <c r="X35" s="235" t="s">
        <v>185</v>
      </c>
      <c r="Y35" s="412">
        <v>5.3598020242062749E-4</v>
      </c>
      <c r="Z35" s="412">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1"/>
      <c r="C36" s="395" t="s">
        <v>168</v>
      </c>
      <c r="D36" s="399" t="b">
        <v>0</v>
      </c>
      <c r="E36" s="400" t="b">
        <v>0</v>
      </c>
      <c r="F36" s="399" t="b">
        <v>0</v>
      </c>
      <c r="G36" s="401" t="b">
        <v>1</v>
      </c>
      <c r="H36" s="401" t="b">
        <v>1</v>
      </c>
      <c r="I36" s="401" t="b">
        <v>1</v>
      </c>
      <c r="J36" s="401" t="b">
        <v>1</v>
      </c>
      <c r="K36" s="401" t="b">
        <v>1</v>
      </c>
      <c r="L36" s="402" t="b">
        <v>1</v>
      </c>
      <c r="M36" s="402" t="b">
        <v>1</v>
      </c>
      <c r="N36" s="402" t="b">
        <v>1</v>
      </c>
      <c r="O36" s="402" t="b">
        <v>1</v>
      </c>
      <c r="P36" s="402" t="b">
        <v>1</v>
      </c>
      <c r="Q36" s="402" t="b">
        <v>1</v>
      </c>
      <c r="R36" s="402" t="b">
        <v>1</v>
      </c>
      <c r="S36" s="402" t="b">
        <v>1</v>
      </c>
      <c r="T36" s="402" t="b">
        <v>1</v>
      </c>
      <c r="U36" s="402" t="b">
        <v>1</v>
      </c>
      <c r="V36" s="403" t="b">
        <v>1</v>
      </c>
      <c r="W36" s="37"/>
      <c r="X36" s="235" t="s">
        <v>186</v>
      </c>
      <c r="Y36" s="412">
        <v>2.0322708687071074E-4</v>
      </c>
      <c r="Z36" s="412">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1"/>
      <c r="C37" s="397" t="s">
        <v>169</v>
      </c>
      <c r="D37" s="399" t="b">
        <v>1</v>
      </c>
      <c r="E37" s="400" t="b">
        <v>1</v>
      </c>
      <c r="F37" s="399" t="b">
        <v>1</v>
      </c>
      <c r="G37" s="401" t="b">
        <v>1</v>
      </c>
      <c r="H37" s="401" t="b">
        <v>1</v>
      </c>
      <c r="I37" s="401" t="b">
        <v>1</v>
      </c>
      <c r="J37" s="401" t="b">
        <v>1</v>
      </c>
      <c r="K37" s="401" t="b">
        <v>1</v>
      </c>
      <c r="L37" s="402" t="b">
        <v>1</v>
      </c>
      <c r="M37" s="402" t="b">
        <v>1</v>
      </c>
      <c r="N37" s="404" t="b">
        <v>1</v>
      </c>
      <c r="O37" s="402" t="b">
        <v>1</v>
      </c>
      <c r="P37" s="402" t="b">
        <v>1</v>
      </c>
      <c r="Q37" s="402" t="b">
        <v>1</v>
      </c>
      <c r="R37" s="402" t="b">
        <v>1</v>
      </c>
      <c r="S37" s="402" t="b">
        <v>1</v>
      </c>
      <c r="T37" s="402" t="b">
        <v>1</v>
      </c>
      <c r="U37" s="402" t="b">
        <v>1</v>
      </c>
      <c r="V37" s="403" t="b">
        <v>1</v>
      </c>
      <c r="W37" s="37"/>
      <c r="X37" s="235" t="s">
        <v>187</v>
      </c>
      <c r="Y37" s="412">
        <v>5.0054878730029545E-4</v>
      </c>
      <c r="Z37" s="412">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1"/>
      <c r="C38" s="397" t="s">
        <v>170</v>
      </c>
      <c r="D38" s="399" t="b">
        <v>1</v>
      </c>
      <c r="E38" s="400" t="b">
        <v>1</v>
      </c>
      <c r="F38" s="399" t="b">
        <v>1</v>
      </c>
      <c r="G38" s="401" t="b">
        <v>1</v>
      </c>
      <c r="H38" s="401" t="b">
        <v>1</v>
      </c>
      <c r="I38" s="401" t="b">
        <v>1</v>
      </c>
      <c r="J38" s="401" t="b">
        <v>1</v>
      </c>
      <c r="K38" s="401" t="b">
        <v>1</v>
      </c>
      <c r="L38" s="402" t="b">
        <v>1</v>
      </c>
      <c r="M38" s="402" t="b">
        <v>1</v>
      </c>
      <c r="N38" s="402" t="b">
        <v>1</v>
      </c>
      <c r="O38" s="402" t="b">
        <v>1</v>
      </c>
      <c r="P38" s="402" t="b">
        <v>1</v>
      </c>
      <c r="Q38" s="402" t="b">
        <v>1</v>
      </c>
      <c r="R38" s="402" t="b">
        <v>1</v>
      </c>
      <c r="S38" s="402" t="b">
        <v>1</v>
      </c>
      <c r="T38" s="402" t="b">
        <v>1</v>
      </c>
      <c r="U38" s="402" t="b">
        <v>1</v>
      </c>
      <c r="V38" s="403" t="b">
        <v>1</v>
      </c>
      <c r="W38" s="37"/>
      <c r="X38" s="235" t="s">
        <v>188</v>
      </c>
      <c r="Y38" s="412">
        <v>5.4427544121789305E-4</v>
      </c>
      <c r="Z38" s="412">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1"/>
      <c r="C39" s="397" t="s">
        <v>171</v>
      </c>
      <c r="D39" s="399" t="b">
        <v>1</v>
      </c>
      <c r="E39" s="400" t="b">
        <v>1</v>
      </c>
      <c r="F39" s="399" t="b">
        <v>1</v>
      </c>
      <c r="G39" s="401" t="b">
        <v>1</v>
      </c>
      <c r="H39" s="401" t="b">
        <v>1</v>
      </c>
      <c r="I39" s="401" t="b">
        <v>1</v>
      </c>
      <c r="J39" s="401" t="b">
        <v>1</v>
      </c>
      <c r="K39" s="401" t="b">
        <v>1</v>
      </c>
      <c r="L39" s="402" t="b">
        <v>1</v>
      </c>
      <c r="M39" s="402" t="b">
        <v>1</v>
      </c>
      <c r="N39" s="402" t="b">
        <v>1</v>
      </c>
      <c r="O39" s="402" t="b">
        <v>1</v>
      </c>
      <c r="P39" s="402" t="b">
        <v>1</v>
      </c>
      <c r="Q39" s="402" t="b">
        <v>1</v>
      </c>
      <c r="R39" s="402" t="b">
        <v>1</v>
      </c>
      <c r="S39" s="402" t="b">
        <v>1</v>
      </c>
      <c r="T39" s="402" t="b">
        <v>1</v>
      </c>
      <c r="U39" s="402" t="b">
        <v>1</v>
      </c>
      <c r="V39" s="403" t="b">
        <v>1</v>
      </c>
      <c r="W39" s="37"/>
      <c r="X39" s="235" t="s">
        <v>189</v>
      </c>
      <c r="Y39" s="412">
        <v>6.8060201713878701E-4</v>
      </c>
      <c r="Z39" s="412">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1"/>
      <c r="C40" s="397" t="s">
        <v>172</v>
      </c>
      <c r="D40" s="399" t="b">
        <v>1</v>
      </c>
      <c r="E40" s="400" t="b">
        <v>1</v>
      </c>
      <c r="F40" s="399" t="b">
        <v>1</v>
      </c>
      <c r="G40" s="401" t="b">
        <v>1</v>
      </c>
      <c r="H40" s="401" t="b">
        <v>1</v>
      </c>
      <c r="I40" s="401" t="b">
        <v>1</v>
      </c>
      <c r="J40" s="401" t="b">
        <v>1</v>
      </c>
      <c r="K40" s="401" t="b">
        <v>1</v>
      </c>
      <c r="L40" s="402" t="b">
        <v>1</v>
      </c>
      <c r="M40" s="402" t="b">
        <v>1</v>
      </c>
      <c r="N40" s="402" t="b">
        <v>1</v>
      </c>
      <c r="O40" s="402" t="b">
        <v>1</v>
      </c>
      <c r="P40" s="402" t="b">
        <v>1</v>
      </c>
      <c r="Q40" s="402" t="b">
        <v>1</v>
      </c>
      <c r="R40" s="402" t="b">
        <v>1</v>
      </c>
      <c r="S40" s="402" t="b">
        <v>1</v>
      </c>
      <c r="T40" s="402" t="b">
        <v>1</v>
      </c>
      <c r="U40" s="402" t="b">
        <v>1</v>
      </c>
      <c r="V40" s="403" t="b">
        <v>1</v>
      </c>
      <c r="W40" s="37"/>
      <c r="X40" s="235" t="s">
        <v>190</v>
      </c>
      <c r="Y40" s="412">
        <v>3.457177533004125E-4</v>
      </c>
      <c r="Z40" s="412">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1"/>
      <c r="C41" s="397" t="s">
        <v>173</v>
      </c>
      <c r="D41" s="399" t="b">
        <v>1</v>
      </c>
      <c r="E41" s="400" t="b">
        <v>1</v>
      </c>
      <c r="F41" s="399" t="b">
        <v>1</v>
      </c>
      <c r="G41" s="401" t="b">
        <v>1</v>
      </c>
      <c r="H41" s="401" t="b">
        <v>1</v>
      </c>
      <c r="I41" s="401" t="b">
        <v>1</v>
      </c>
      <c r="J41" s="401" t="b">
        <v>1</v>
      </c>
      <c r="K41" s="401" t="b">
        <v>1</v>
      </c>
      <c r="L41" s="402" t="b">
        <v>1</v>
      </c>
      <c r="M41" s="402" t="b">
        <v>1</v>
      </c>
      <c r="N41" s="402" t="b">
        <v>1</v>
      </c>
      <c r="O41" s="402" t="b">
        <v>1</v>
      </c>
      <c r="P41" s="402" t="b">
        <v>1</v>
      </c>
      <c r="Q41" s="402" t="b">
        <v>1</v>
      </c>
      <c r="R41" s="402" t="b">
        <v>1</v>
      </c>
      <c r="S41" s="402" t="b">
        <v>1</v>
      </c>
      <c r="T41" s="402" t="b">
        <v>1</v>
      </c>
      <c r="U41" s="402" t="b">
        <v>1</v>
      </c>
      <c r="V41" s="403" t="b">
        <v>1</v>
      </c>
      <c r="W41" s="35"/>
      <c r="X41" s="235" t="s">
        <v>191</v>
      </c>
      <c r="Y41" s="412">
        <v>2.7139739187690266E-4</v>
      </c>
      <c r="Z41" s="412">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1"/>
      <c r="C42" s="397" t="s">
        <v>11</v>
      </c>
      <c r="D42" s="399" t="b">
        <v>1</v>
      </c>
      <c r="E42" s="400" t="b">
        <v>1</v>
      </c>
      <c r="F42" s="399" t="b">
        <v>1</v>
      </c>
      <c r="G42" s="401" t="b">
        <v>1</v>
      </c>
      <c r="H42" s="401" t="b">
        <v>1</v>
      </c>
      <c r="I42" s="401" t="b">
        <v>1</v>
      </c>
      <c r="J42" s="401" t="b">
        <v>1</v>
      </c>
      <c r="K42" s="401" t="b">
        <v>1</v>
      </c>
      <c r="L42" s="402" t="b">
        <v>1</v>
      </c>
      <c r="M42" s="402" t="b">
        <v>1</v>
      </c>
      <c r="N42" s="402" t="b">
        <v>1</v>
      </c>
      <c r="O42" s="402" t="b">
        <v>1</v>
      </c>
      <c r="P42" s="402" t="b">
        <v>1</v>
      </c>
      <c r="Q42" s="402" t="b">
        <v>1</v>
      </c>
      <c r="R42" s="402" t="b">
        <v>1</v>
      </c>
      <c r="S42" s="402" t="b">
        <v>1</v>
      </c>
      <c r="T42" s="402" t="b">
        <v>1</v>
      </c>
      <c r="U42" s="402" t="b">
        <v>1</v>
      </c>
      <c r="V42" s="403" t="b">
        <v>1</v>
      </c>
      <c r="W42" s="35"/>
      <c r="X42" s="235" t="s">
        <v>192</v>
      </c>
      <c r="Y42" s="412">
        <v>4.6005555553392324E-4</v>
      </c>
      <c r="Z42" s="412">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1"/>
      <c r="C43" s="395" t="s">
        <v>174</v>
      </c>
      <c r="D43" s="399" t="b">
        <v>0</v>
      </c>
      <c r="E43" s="400" t="b">
        <v>0</v>
      </c>
      <c r="F43" s="399" t="b">
        <v>0</v>
      </c>
      <c r="G43" s="405" t="b">
        <v>1</v>
      </c>
      <c r="H43" s="405" t="b">
        <v>1</v>
      </c>
      <c r="I43" s="405" t="b">
        <v>1</v>
      </c>
      <c r="J43" s="405" t="b">
        <v>1</v>
      </c>
      <c r="K43" s="405" t="b">
        <v>1</v>
      </c>
      <c r="L43" s="406" t="b">
        <v>1</v>
      </c>
      <c r="M43" s="406" t="b">
        <v>1</v>
      </c>
      <c r="N43" s="406" t="b">
        <v>1</v>
      </c>
      <c r="O43" s="406" t="b">
        <v>1</v>
      </c>
      <c r="P43" s="406" t="b">
        <v>1</v>
      </c>
      <c r="Q43" s="406" t="b">
        <v>1</v>
      </c>
      <c r="R43" s="406" t="b">
        <v>1</v>
      </c>
      <c r="S43" s="406" t="b">
        <v>1</v>
      </c>
      <c r="T43" s="406" t="b">
        <v>1</v>
      </c>
      <c r="U43" s="406" t="b">
        <v>1</v>
      </c>
      <c r="V43" s="407" t="b">
        <v>1</v>
      </c>
      <c r="W43" s="35"/>
      <c r="X43" s="235" t="s">
        <v>193</v>
      </c>
      <c r="Y43" s="412">
        <v>7.7706033252806421E-4</v>
      </c>
      <c r="Z43" s="412">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1"/>
      <c r="C44" s="395" t="s">
        <v>175</v>
      </c>
      <c r="D44" s="399" t="b">
        <v>0</v>
      </c>
      <c r="E44" s="400" t="b">
        <v>0</v>
      </c>
      <c r="F44" s="399" t="b">
        <v>0</v>
      </c>
      <c r="G44" s="405" t="b">
        <v>1</v>
      </c>
      <c r="H44" s="405" t="b">
        <v>1</v>
      </c>
      <c r="I44" s="405" t="b">
        <v>1</v>
      </c>
      <c r="J44" s="405" t="b">
        <v>1</v>
      </c>
      <c r="K44" s="405" t="b">
        <v>1</v>
      </c>
      <c r="L44" s="406" t="b">
        <v>1</v>
      </c>
      <c r="M44" s="406" t="b">
        <v>1</v>
      </c>
      <c r="N44" s="406" t="b">
        <v>1</v>
      </c>
      <c r="O44" s="406" t="b">
        <v>1</v>
      </c>
      <c r="P44" s="406" t="b">
        <v>1</v>
      </c>
      <c r="Q44" s="406" t="b">
        <v>1</v>
      </c>
      <c r="R44" s="406" t="b">
        <v>1</v>
      </c>
      <c r="S44" s="406" t="b">
        <v>1</v>
      </c>
      <c r="T44" s="406" t="b">
        <v>1</v>
      </c>
      <c r="U44" s="406" t="b">
        <v>1</v>
      </c>
      <c r="V44" s="407" t="b">
        <v>1</v>
      </c>
      <c r="W44" s="35"/>
      <c r="X44" s="235" t="s">
        <v>194</v>
      </c>
      <c r="Y44" s="412">
        <v>6.5903358116509451E-4</v>
      </c>
      <c r="Z44" s="412">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1"/>
      <c r="C45" s="395" t="s">
        <v>177</v>
      </c>
      <c r="D45" s="399" t="b">
        <v>0</v>
      </c>
      <c r="E45" s="400" t="b">
        <v>0</v>
      </c>
      <c r="F45" s="399" t="b">
        <v>0</v>
      </c>
      <c r="G45" s="405" t="b">
        <v>1</v>
      </c>
      <c r="H45" s="405" t="b">
        <v>1</v>
      </c>
      <c r="I45" s="405" t="b">
        <v>1</v>
      </c>
      <c r="J45" s="405" t="b">
        <v>1</v>
      </c>
      <c r="K45" s="405" t="b">
        <v>1</v>
      </c>
      <c r="L45" s="406" t="b">
        <v>1</v>
      </c>
      <c r="M45" s="406" t="b">
        <v>1</v>
      </c>
      <c r="N45" s="406" t="b">
        <v>1</v>
      </c>
      <c r="O45" s="406" t="b">
        <v>1</v>
      </c>
      <c r="P45" s="406" t="b">
        <v>1</v>
      </c>
      <c r="Q45" s="406" t="b">
        <v>1</v>
      </c>
      <c r="R45" s="406" t="b">
        <v>1</v>
      </c>
      <c r="S45" s="406" t="b">
        <v>1</v>
      </c>
      <c r="T45" s="406" t="b">
        <v>1</v>
      </c>
      <c r="U45" s="406" t="b">
        <v>1</v>
      </c>
      <c r="V45" s="407" t="b">
        <v>1</v>
      </c>
      <c r="W45" s="35"/>
      <c r="X45" s="235" t="s">
        <v>195</v>
      </c>
      <c r="Y45" s="412">
        <v>1.3708824581532242E-4</v>
      </c>
      <c r="Z45" s="412">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1"/>
      <c r="C46" s="395" t="s">
        <v>178</v>
      </c>
      <c r="D46" s="399" t="b">
        <v>0</v>
      </c>
      <c r="E46" s="400" t="b">
        <v>0</v>
      </c>
      <c r="F46" s="399" t="b">
        <v>0</v>
      </c>
      <c r="G46" s="406" t="b">
        <v>1</v>
      </c>
      <c r="H46" s="406" t="b">
        <v>1</v>
      </c>
      <c r="I46" s="406" t="b">
        <v>1</v>
      </c>
      <c r="J46" s="406" t="b">
        <v>1</v>
      </c>
      <c r="K46" s="406" t="b">
        <v>1</v>
      </c>
      <c r="L46" s="406" t="b">
        <v>1</v>
      </c>
      <c r="M46" s="406" t="b">
        <v>1</v>
      </c>
      <c r="N46" s="406" t="b">
        <v>1</v>
      </c>
      <c r="O46" s="406" t="b">
        <v>1</v>
      </c>
      <c r="P46" s="406" t="b">
        <v>1</v>
      </c>
      <c r="Q46" s="406" t="b">
        <v>1</v>
      </c>
      <c r="R46" s="406" t="b">
        <v>1</v>
      </c>
      <c r="S46" s="406" t="b">
        <v>1</v>
      </c>
      <c r="T46" s="406" t="b">
        <v>1</v>
      </c>
      <c r="U46" s="406" t="b">
        <v>1</v>
      </c>
      <c r="V46" s="407" t="b">
        <v>1</v>
      </c>
      <c r="W46" s="35"/>
      <c r="X46" s="235" t="s">
        <v>196</v>
      </c>
      <c r="Y46" s="412">
        <v>2.4826092420676649E-4</v>
      </c>
      <c r="Z46" s="412">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1"/>
      <c r="C47" s="397" t="s">
        <v>179</v>
      </c>
      <c r="D47" s="399" t="b">
        <v>1</v>
      </c>
      <c r="E47" s="400" t="b">
        <v>1</v>
      </c>
      <c r="F47" s="399" t="b">
        <v>1</v>
      </c>
      <c r="G47" s="406" t="b">
        <v>1</v>
      </c>
      <c r="H47" s="406" t="b">
        <v>1</v>
      </c>
      <c r="I47" s="406" t="b">
        <v>1</v>
      </c>
      <c r="J47" s="406" t="b">
        <v>1</v>
      </c>
      <c r="K47" s="406" t="b">
        <v>1</v>
      </c>
      <c r="L47" s="406" t="b">
        <v>1</v>
      </c>
      <c r="M47" s="406" t="b">
        <v>1</v>
      </c>
      <c r="N47" s="406" t="b">
        <v>1</v>
      </c>
      <c r="O47" s="406" t="b">
        <v>1</v>
      </c>
      <c r="P47" s="406" t="b">
        <v>1</v>
      </c>
      <c r="Q47" s="406" t="b">
        <v>1</v>
      </c>
      <c r="R47" s="406" t="b">
        <v>1</v>
      </c>
      <c r="S47" s="406" t="b">
        <v>1</v>
      </c>
      <c r="T47" s="406" t="b">
        <v>1</v>
      </c>
      <c r="U47" s="406" t="b">
        <v>1</v>
      </c>
      <c r="V47" s="407" t="b">
        <v>1</v>
      </c>
      <c r="W47" s="35"/>
      <c r="X47" s="235" t="s">
        <v>197</v>
      </c>
      <c r="Y47" s="412">
        <v>6.5123632733018436E-4</v>
      </c>
      <c r="Z47" s="412">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1"/>
      <c r="C48" s="395" t="s">
        <v>180</v>
      </c>
      <c r="D48" s="399" t="b">
        <v>0</v>
      </c>
      <c r="E48" s="400" t="b">
        <v>0</v>
      </c>
      <c r="F48" s="399" t="b">
        <v>0</v>
      </c>
      <c r="G48" s="406" t="b">
        <v>1</v>
      </c>
      <c r="H48" s="406" t="b">
        <v>1</v>
      </c>
      <c r="I48" s="406" t="b">
        <v>1</v>
      </c>
      <c r="J48" s="406" t="b">
        <v>1</v>
      </c>
      <c r="K48" s="406" t="b">
        <v>1</v>
      </c>
      <c r="L48" s="406" t="b">
        <v>1</v>
      </c>
      <c r="M48" s="406" t="b">
        <v>1</v>
      </c>
      <c r="N48" s="406" t="b">
        <v>1</v>
      </c>
      <c r="O48" s="406" t="b">
        <v>1</v>
      </c>
      <c r="P48" s="406" t="b">
        <v>1</v>
      </c>
      <c r="Q48" s="406" t="b">
        <v>1</v>
      </c>
      <c r="R48" s="406" t="b">
        <v>1</v>
      </c>
      <c r="S48" s="406" t="b">
        <v>1</v>
      </c>
      <c r="T48" s="406" t="b">
        <v>1</v>
      </c>
      <c r="U48" s="406" t="b">
        <v>1</v>
      </c>
      <c r="V48" s="407" t="b">
        <v>1</v>
      </c>
      <c r="W48" s="35"/>
      <c r="X48" s="235" t="s">
        <v>198</v>
      </c>
      <c r="Y48" s="412">
        <v>4.4027318096914698E-4</v>
      </c>
      <c r="Z48" s="412">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1"/>
      <c r="C49" s="395" t="s">
        <v>181</v>
      </c>
      <c r="D49" s="399" t="b">
        <v>0</v>
      </c>
      <c r="E49" s="400" t="b">
        <v>0</v>
      </c>
      <c r="F49" s="399" t="b">
        <v>0</v>
      </c>
      <c r="G49" s="406" t="b">
        <v>1</v>
      </c>
      <c r="H49" s="406" t="b">
        <v>1</v>
      </c>
      <c r="I49" s="406" t="b">
        <v>1</v>
      </c>
      <c r="J49" s="406" t="b">
        <v>1</v>
      </c>
      <c r="K49" s="406" t="b">
        <v>1</v>
      </c>
      <c r="L49" s="406" t="b">
        <v>1</v>
      </c>
      <c r="M49" s="406" t="b">
        <v>1</v>
      </c>
      <c r="N49" s="406" t="b">
        <v>1</v>
      </c>
      <c r="O49" s="406" t="b">
        <v>1</v>
      </c>
      <c r="P49" s="406" t="b">
        <v>1</v>
      </c>
      <c r="Q49" s="406" t="b">
        <v>1</v>
      </c>
      <c r="R49" s="406" t="b">
        <v>1</v>
      </c>
      <c r="S49" s="406" t="b">
        <v>1</v>
      </c>
      <c r="T49" s="406" t="b">
        <v>1</v>
      </c>
      <c r="U49" s="406" t="b">
        <v>1</v>
      </c>
      <c r="V49" s="407" t="b">
        <v>1</v>
      </c>
      <c r="W49" s="35"/>
      <c r="X49" s="235" t="s">
        <v>199</v>
      </c>
      <c r="Y49" s="412">
        <v>1.931816909789435E-4</v>
      </c>
      <c r="Z49" s="412">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1"/>
      <c r="C50" s="395" t="s">
        <v>182</v>
      </c>
      <c r="D50" s="399" t="b">
        <v>0</v>
      </c>
      <c r="E50" s="400" t="b">
        <v>0</v>
      </c>
      <c r="F50" s="399" t="b">
        <v>0</v>
      </c>
      <c r="G50" s="406" t="b">
        <v>1</v>
      </c>
      <c r="H50" s="406" t="b">
        <v>1</v>
      </c>
      <c r="I50" s="406" t="b">
        <v>1</v>
      </c>
      <c r="J50" s="406" t="b">
        <v>1</v>
      </c>
      <c r="K50" s="406" t="b">
        <v>1</v>
      </c>
      <c r="L50" s="406" t="b">
        <v>1</v>
      </c>
      <c r="M50" s="406" t="b">
        <v>1</v>
      </c>
      <c r="N50" s="406" t="b">
        <v>1</v>
      </c>
      <c r="O50" s="406" t="b">
        <v>1</v>
      </c>
      <c r="P50" s="406" t="b">
        <v>1</v>
      </c>
      <c r="Q50" s="406" t="b">
        <v>1</v>
      </c>
      <c r="R50" s="406" t="b">
        <v>1</v>
      </c>
      <c r="S50" s="406" t="b">
        <v>1</v>
      </c>
      <c r="T50" s="406" t="b">
        <v>1</v>
      </c>
      <c r="U50" s="406" t="b">
        <v>1</v>
      </c>
      <c r="V50" s="407" t="b">
        <v>1</v>
      </c>
      <c r="W50" s="35"/>
      <c r="X50" s="235" t="s">
        <v>200</v>
      </c>
      <c r="Y50" s="412">
        <v>7.0176185178426537E-4</v>
      </c>
      <c r="Z50" s="412">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1"/>
      <c r="C51" s="395" t="s">
        <v>183</v>
      </c>
      <c r="D51" s="399" t="b">
        <v>0</v>
      </c>
      <c r="E51" s="400" t="b">
        <v>0</v>
      </c>
      <c r="F51" s="399" t="b">
        <v>0</v>
      </c>
      <c r="G51" s="406" t="b">
        <v>1</v>
      </c>
      <c r="H51" s="406" t="b">
        <v>1</v>
      </c>
      <c r="I51" s="406" t="b">
        <v>1</v>
      </c>
      <c r="J51" s="406" t="b">
        <v>1</v>
      </c>
      <c r="K51" s="406" t="b">
        <v>1</v>
      </c>
      <c r="L51" s="406" t="b">
        <v>1</v>
      </c>
      <c r="M51" s="406" t="b">
        <v>1</v>
      </c>
      <c r="N51" s="406" t="b">
        <v>1</v>
      </c>
      <c r="O51" s="406" t="b">
        <v>1</v>
      </c>
      <c r="P51" s="406" t="b">
        <v>1</v>
      </c>
      <c r="Q51" s="406" t="b">
        <v>1</v>
      </c>
      <c r="R51" s="406" t="b">
        <v>1</v>
      </c>
      <c r="S51" s="406" t="b">
        <v>1</v>
      </c>
      <c r="T51" s="406" t="b">
        <v>1</v>
      </c>
      <c r="U51" s="406" t="b">
        <v>1</v>
      </c>
      <c r="V51" s="407" t="b">
        <v>1</v>
      </c>
      <c r="W51" s="35"/>
      <c r="X51" s="235" t="s">
        <v>201</v>
      </c>
      <c r="Y51" s="412">
        <v>3.7480116346849359E-4</v>
      </c>
      <c r="Z51" s="412">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1"/>
      <c r="C52" s="397" t="s">
        <v>184</v>
      </c>
      <c r="D52" s="399" t="b">
        <v>1</v>
      </c>
      <c r="E52" s="400" t="b">
        <v>1</v>
      </c>
      <c r="F52" s="399" t="b">
        <v>1</v>
      </c>
      <c r="G52" s="406" t="b">
        <v>1</v>
      </c>
      <c r="H52" s="406" t="b">
        <v>1</v>
      </c>
      <c r="I52" s="406" t="b">
        <v>1</v>
      </c>
      <c r="J52" s="406" t="b">
        <v>1</v>
      </c>
      <c r="K52" s="406" t="b">
        <v>1</v>
      </c>
      <c r="L52" s="406" t="b">
        <v>1</v>
      </c>
      <c r="M52" s="406" t="b">
        <v>1</v>
      </c>
      <c r="N52" s="406" t="b">
        <v>1</v>
      </c>
      <c r="O52" s="406" t="b">
        <v>1</v>
      </c>
      <c r="P52" s="406" t="b">
        <v>1</v>
      </c>
      <c r="Q52" s="406" t="b">
        <v>1</v>
      </c>
      <c r="R52" s="406" t="b">
        <v>1</v>
      </c>
      <c r="S52" s="406" t="b">
        <v>1</v>
      </c>
      <c r="T52" s="406" t="b">
        <v>1</v>
      </c>
      <c r="U52" s="406" t="b">
        <v>1</v>
      </c>
      <c r="V52" s="407" t="b">
        <v>1</v>
      </c>
      <c r="W52" s="35"/>
      <c r="X52" s="235" t="s">
        <v>202</v>
      </c>
      <c r="Y52" s="412">
        <v>1.2706954449993432E-4</v>
      </c>
      <c r="Z52" s="412">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1"/>
      <c r="C53" s="397" t="s">
        <v>185</v>
      </c>
      <c r="D53" s="399" t="b">
        <v>1</v>
      </c>
      <c r="E53" s="400" t="b">
        <v>1</v>
      </c>
      <c r="F53" s="399" t="b">
        <v>1</v>
      </c>
      <c r="G53" s="406" t="b">
        <v>1</v>
      </c>
      <c r="H53" s="406" t="b">
        <v>1</v>
      </c>
      <c r="I53" s="406" t="b">
        <v>1</v>
      </c>
      <c r="J53" s="406" t="b">
        <v>1</v>
      </c>
      <c r="K53" s="406" t="b">
        <v>1</v>
      </c>
      <c r="L53" s="406" t="b">
        <v>1</v>
      </c>
      <c r="M53" s="406" t="b">
        <v>1</v>
      </c>
      <c r="N53" s="406" t="b">
        <v>1</v>
      </c>
      <c r="O53" s="406" t="b">
        <v>1</v>
      </c>
      <c r="P53" s="406" t="b">
        <v>1</v>
      </c>
      <c r="Q53" s="406" t="b">
        <v>1</v>
      </c>
      <c r="R53" s="406" t="b">
        <v>1</v>
      </c>
      <c r="S53" s="406" t="b">
        <v>1</v>
      </c>
      <c r="T53" s="406" t="b">
        <v>1</v>
      </c>
      <c r="U53" s="406" t="b">
        <v>1</v>
      </c>
      <c r="V53" s="407" t="b">
        <v>1</v>
      </c>
      <c r="W53" s="35"/>
      <c r="X53" s="235" t="s">
        <v>203</v>
      </c>
      <c r="Y53" s="412">
        <v>4.3552522745260029E-4</v>
      </c>
      <c r="Z53" s="412">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1"/>
      <c r="C54" s="395" t="s">
        <v>186</v>
      </c>
      <c r="D54" s="399" t="b">
        <v>0</v>
      </c>
      <c r="E54" s="400" t="b">
        <v>0</v>
      </c>
      <c r="F54" s="399" t="b">
        <v>0</v>
      </c>
      <c r="G54" s="406" t="b">
        <v>1</v>
      </c>
      <c r="H54" s="406" t="b">
        <v>1</v>
      </c>
      <c r="I54" s="406" t="b">
        <v>1</v>
      </c>
      <c r="J54" s="406" t="b">
        <v>1</v>
      </c>
      <c r="K54" s="406" t="b">
        <v>1</v>
      </c>
      <c r="L54" s="406" t="b">
        <v>1</v>
      </c>
      <c r="M54" s="406" t="b">
        <v>1</v>
      </c>
      <c r="N54" s="406" t="b">
        <v>1</v>
      </c>
      <c r="O54" s="406" t="b">
        <v>1</v>
      </c>
      <c r="P54" s="406" t="b">
        <v>1</v>
      </c>
      <c r="Q54" s="406" t="b">
        <v>1</v>
      </c>
      <c r="R54" s="406" t="b">
        <v>1</v>
      </c>
      <c r="S54" s="406" t="b">
        <v>1</v>
      </c>
      <c r="T54" s="406" t="b">
        <v>1</v>
      </c>
      <c r="U54" s="406" t="b">
        <v>1</v>
      </c>
      <c r="V54" s="407" t="b">
        <v>1</v>
      </c>
      <c r="W54" s="35"/>
      <c r="X54" s="235" t="s">
        <v>204</v>
      </c>
      <c r="Y54" s="412">
        <v>3.7217229024403897E-4</v>
      </c>
      <c r="Z54" s="412">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1"/>
      <c r="C55" s="397" t="s">
        <v>187</v>
      </c>
      <c r="D55" s="399" t="b">
        <v>1</v>
      </c>
      <c r="E55" s="400" t="b">
        <v>1</v>
      </c>
      <c r="F55" s="399" t="b">
        <v>1</v>
      </c>
      <c r="G55" s="406" t="b">
        <v>1</v>
      </c>
      <c r="H55" s="406" t="b">
        <v>1</v>
      </c>
      <c r="I55" s="406" t="b">
        <v>1</v>
      </c>
      <c r="J55" s="406" t="b">
        <v>1</v>
      </c>
      <c r="K55" s="406" t="b">
        <v>1</v>
      </c>
      <c r="L55" s="406" t="b">
        <v>1</v>
      </c>
      <c r="M55" s="406" t="b">
        <v>1</v>
      </c>
      <c r="N55" s="406" t="b">
        <v>1</v>
      </c>
      <c r="O55" s="406" t="b">
        <v>1</v>
      </c>
      <c r="P55" s="406" t="b">
        <v>1</v>
      </c>
      <c r="Q55" s="406" t="b">
        <v>1</v>
      </c>
      <c r="R55" s="406" t="b">
        <v>1</v>
      </c>
      <c r="S55" s="406" t="b">
        <v>1</v>
      </c>
      <c r="T55" s="406" t="b">
        <v>1</v>
      </c>
      <c r="U55" s="406" t="b">
        <v>1</v>
      </c>
      <c r="V55" s="407" t="b">
        <v>1</v>
      </c>
      <c r="W55" s="35"/>
      <c r="X55" s="235" t="s">
        <v>205</v>
      </c>
      <c r="Y55" s="412">
        <v>2.3421760822486782E-4</v>
      </c>
      <c r="Z55" s="412">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1"/>
      <c r="C56" s="395" t="s">
        <v>188</v>
      </c>
      <c r="D56" s="399" t="b">
        <v>0</v>
      </c>
      <c r="E56" s="400" t="b">
        <v>0</v>
      </c>
      <c r="F56" s="399" t="b">
        <v>0</v>
      </c>
      <c r="G56" s="406" t="b">
        <v>1</v>
      </c>
      <c r="H56" s="406" t="b">
        <v>1</v>
      </c>
      <c r="I56" s="406" t="b">
        <v>1</v>
      </c>
      <c r="J56" s="406" t="b">
        <v>1</v>
      </c>
      <c r="K56" s="406" t="b">
        <v>1</v>
      </c>
      <c r="L56" s="406" t="b">
        <v>1</v>
      </c>
      <c r="M56" s="406" t="b">
        <v>1</v>
      </c>
      <c r="N56" s="406" t="b">
        <v>1</v>
      </c>
      <c r="O56" s="406" t="b">
        <v>1</v>
      </c>
      <c r="P56" s="406" t="b">
        <v>1</v>
      </c>
      <c r="Q56" s="406" t="b">
        <v>1</v>
      </c>
      <c r="R56" s="406" t="b">
        <v>1</v>
      </c>
      <c r="S56" s="406" t="b">
        <v>1</v>
      </c>
      <c r="T56" s="406" t="b">
        <v>1</v>
      </c>
      <c r="U56" s="406" t="b">
        <v>1</v>
      </c>
      <c r="V56" s="407" t="b">
        <v>1</v>
      </c>
      <c r="W56" s="35"/>
      <c r="X56" s="235" t="s">
        <v>206</v>
      </c>
      <c r="Y56" s="412">
        <v>3.9218138779391148E-4</v>
      </c>
      <c r="Z56" s="412">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1"/>
      <c r="C57" s="395" t="s">
        <v>189</v>
      </c>
      <c r="D57" s="399" t="b">
        <v>0</v>
      </c>
      <c r="E57" s="400" t="b">
        <v>0</v>
      </c>
      <c r="F57" s="399" t="b">
        <v>0</v>
      </c>
      <c r="G57" s="406" t="b">
        <v>1</v>
      </c>
      <c r="H57" s="406" t="b">
        <v>1</v>
      </c>
      <c r="I57" s="406" t="b">
        <v>1</v>
      </c>
      <c r="J57" s="406" t="b">
        <v>1</v>
      </c>
      <c r="K57" s="406" t="b">
        <v>1</v>
      </c>
      <c r="L57" s="406" t="b">
        <v>1</v>
      </c>
      <c r="M57" s="406" t="b">
        <v>1</v>
      </c>
      <c r="N57" s="406" t="b">
        <v>1</v>
      </c>
      <c r="O57" s="406" t="b">
        <v>1</v>
      </c>
      <c r="P57" s="406" t="b">
        <v>1</v>
      </c>
      <c r="Q57" s="406" t="b">
        <v>1</v>
      </c>
      <c r="R57" s="406" t="b">
        <v>1</v>
      </c>
      <c r="S57" s="406" t="b">
        <v>1</v>
      </c>
      <c r="T57" s="406" t="b">
        <v>1</v>
      </c>
      <c r="U57" s="406" t="b">
        <v>1</v>
      </c>
      <c r="V57" s="407" t="b">
        <v>1</v>
      </c>
      <c r="W57" s="35"/>
      <c r="X57" s="235" t="s">
        <v>207</v>
      </c>
      <c r="Y57" s="412">
        <v>2.51710742463223E-4</v>
      </c>
      <c r="Z57" s="412">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1"/>
      <c r="C58" s="395" t="s">
        <v>190</v>
      </c>
      <c r="D58" s="399" t="b">
        <v>0</v>
      </c>
      <c r="E58" s="400" t="b">
        <v>0</v>
      </c>
      <c r="F58" s="399" t="b">
        <v>0</v>
      </c>
      <c r="G58" s="406" t="b">
        <v>1</v>
      </c>
      <c r="H58" s="406" t="b">
        <v>1</v>
      </c>
      <c r="I58" s="406" t="b">
        <v>1</v>
      </c>
      <c r="J58" s="406" t="b">
        <v>1</v>
      </c>
      <c r="K58" s="406" t="b">
        <v>1</v>
      </c>
      <c r="L58" s="406" t="b">
        <v>1</v>
      </c>
      <c r="M58" s="406" t="b">
        <v>1</v>
      </c>
      <c r="N58" s="406" t="b">
        <v>1</v>
      </c>
      <c r="O58" s="406" t="b">
        <v>1</v>
      </c>
      <c r="P58" s="406" t="b">
        <v>1</v>
      </c>
      <c r="Q58" s="406" t="b">
        <v>1</v>
      </c>
      <c r="R58" s="406" t="b">
        <v>1</v>
      </c>
      <c r="S58" s="406" t="b">
        <v>1</v>
      </c>
      <c r="T58" s="406" t="b">
        <v>1</v>
      </c>
      <c r="U58" s="406" t="b">
        <v>1</v>
      </c>
      <c r="V58" s="407" t="b">
        <v>1</v>
      </c>
      <c r="W58" s="35"/>
      <c r="X58" s="235" t="s">
        <v>208</v>
      </c>
      <c r="Y58" s="412">
        <v>4.9438144200333368E-4</v>
      </c>
      <c r="Z58" s="412">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1"/>
      <c r="C59" s="395" t="s">
        <v>191</v>
      </c>
      <c r="D59" s="399" t="b">
        <v>0</v>
      </c>
      <c r="E59" s="400" t="b">
        <v>0</v>
      </c>
      <c r="F59" s="399" t="b">
        <v>0</v>
      </c>
      <c r="G59" s="406" t="b">
        <v>1</v>
      </c>
      <c r="H59" s="406" t="b">
        <v>1</v>
      </c>
      <c r="I59" s="406" t="b">
        <v>1</v>
      </c>
      <c r="J59" s="406" t="b">
        <v>1</v>
      </c>
      <c r="K59" s="406" t="b">
        <v>1</v>
      </c>
      <c r="L59" s="406" t="b">
        <v>1</v>
      </c>
      <c r="M59" s="406" t="b">
        <v>1</v>
      </c>
      <c r="N59" s="406" t="b">
        <v>1</v>
      </c>
      <c r="O59" s="406" t="b">
        <v>1</v>
      </c>
      <c r="P59" s="406" t="b">
        <v>1</v>
      </c>
      <c r="Q59" s="406" t="b">
        <v>1</v>
      </c>
      <c r="R59" s="406" t="b">
        <v>1</v>
      </c>
      <c r="S59" s="406" t="b">
        <v>1</v>
      </c>
      <c r="T59" s="406" t="b">
        <v>1</v>
      </c>
      <c r="U59" s="406" t="b">
        <v>1</v>
      </c>
      <c r="V59" s="407" t="b">
        <v>1</v>
      </c>
      <c r="W59" s="35"/>
      <c r="X59" s="235" t="s">
        <v>209</v>
      </c>
      <c r="Y59" s="412">
        <v>7.6676322767228755E-4</v>
      </c>
      <c r="Z59" s="412">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1"/>
      <c r="C60" s="395" t="s">
        <v>192</v>
      </c>
      <c r="D60" s="399" t="b">
        <v>0</v>
      </c>
      <c r="E60" s="400" t="b">
        <v>0</v>
      </c>
      <c r="F60" s="399" t="b">
        <v>0</v>
      </c>
      <c r="G60" s="406" t="b">
        <v>1</v>
      </c>
      <c r="H60" s="406" t="b">
        <v>1</v>
      </c>
      <c r="I60" s="406" t="b">
        <v>1</v>
      </c>
      <c r="J60" s="406" t="b">
        <v>1</v>
      </c>
      <c r="K60" s="406" t="b">
        <v>1</v>
      </c>
      <c r="L60" s="406" t="b">
        <v>1</v>
      </c>
      <c r="M60" s="406" t="b">
        <v>1</v>
      </c>
      <c r="N60" s="406" t="b">
        <v>1</v>
      </c>
      <c r="O60" s="406" t="b">
        <v>1</v>
      </c>
      <c r="P60" s="406" t="b">
        <v>1</v>
      </c>
      <c r="Q60" s="406" t="b">
        <v>1</v>
      </c>
      <c r="R60" s="406" t="b">
        <v>1</v>
      </c>
      <c r="S60" s="406" t="b">
        <v>1</v>
      </c>
      <c r="T60" s="406" t="b">
        <v>1</v>
      </c>
      <c r="U60" s="406" t="b">
        <v>1</v>
      </c>
      <c r="V60" s="407" t="b">
        <v>1</v>
      </c>
      <c r="W60" s="35"/>
      <c r="X60" s="235" t="s">
        <v>210</v>
      </c>
      <c r="Y60" s="412">
        <v>3.3864707385370345E-4</v>
      </c>
      <c r="Z60" s="412">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1"/>
      <c r="C61" s="395" t="s">
        <v>193</v>
      </c>
      <c r="D61" s="399" t="b">
        <v>0</v>
      </c>
      <c r="E61" s="400" t="b">
        <v>0</v>
      </c>
      <c r="F61" s="399" t="b">
        <v>0</v>
      </c>
      <c r="G61" s="406" t="b">
        <v>1</v>
      </c>
      <c r="H61" s="406" t="b">
        <v>1</v>
      </c>
      <c r="I61" s="406" t="b">
        <v>1</v>
      </c>
      <c r="J61" s="406" t="b">
        <v>1</v>
      </c>
      <c r="K61" s="406" t="b">
        <v>1</v>
      </c>
      <c r="L61" s="406" t="b">
        <v>1</v>
      </c>
      <c r="M61" s="406" t="b">
        <v>1</v>
      </c>
      <c r="N61" s="406" t="b">
        <v>1</v>
      </c>
      <c r="O61" s="406" t="b">
        <v>1</v>
      </c>
      <c r="P61" s="406" t="b">
        <v>1</v>
      </c>
      <c r="Q61" s="406" t="b">
        <v>1</v>
      </c>
      <c r="R61" s="406" t="b">
        <v>1</v>
      </c>
      <c r="S61" s="406" t="b">
        <v>1</v>
      </c>
      <c r="T61" s="406" t="b">
        <v>1</v>
      </c>
      <c r="U61" s="406" t="b">
        <v>1</v>
      </c>
      <c r="V61" s="407" t="b">
        <v>1</v>
      </c>
      <c r="W61" s="35"/>
      <c r="X61" s="235" t="s">
        <v>211</v>
      </c>
      <c r="Y61" s="412">
        <v>0</v>
      </c>
      <c r="Z61" s="412">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1"/>
      <c r="C62" s="395" t="s">
        <v>194</v>
      </c>
      <c r="D62" s="399" t="b">
        <v>0</v>
      </c>
      <c r="E62" s="400" t="b">
        <v>0</v>
      </c>
      <c r="F62" s="399" t="b">
        <v>0</v>
      </c>
      <c r="G62" s="406" t="b">
        <v>1</v>
      </c>
      <c r="H62" s="406" t="b">
        <v>1</v>
      </c>
      <c r="I62" s="406" t="b">
        <v>1</v>
      </c>
      <c r="J62" s="406" t="b">
        <v>1</v>
      </c>
      <c r="K62" s="406" t="b">
        <v>1</v>
      </c>
      <c r="L62" s="406" t="b">
        <v>1</v>
      </c>
      <c r="M62" s="406" t="b">
        <v>1</v>
      </c>
      <c r="N62" s="406" t="b">
        <v>1</v>
      </c>
      <c r="O62" s="406" t="b">
        <v>1</v>
      </c>
      <c r="P62" s="406" t="b">
        <v>1</v>
      </c>
      <c r="Q62" s="406" t="b">
        <v>1</v>
      </c>
      <c r="R62" s="406" t="b">
        <v>1</v>
      </c>
      <c r="S62" s="406" t="b">
        <v>1</v>
      </c>
      <c r="T62" s="406" t="b">
        <v>1</v>
      </c>
      <c r="U62" s="406" t="b">
        <v>1</v>
      </c>
      <c r="V62" s="407" t="b">
        <v>1</v>
      </c>
      <c r="W62" s="35"/>
      <c r="X62" s="235" t="s">
        <v>212</v>
      </c>
      <c r="Y62" s="412">
        <v>2.2923348213669437E-5</v>
      </c>
      <c r="Z62" s="412">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1"/>
      <c r="C63" s="397" t="s">
        <v>195</v>
      </c>
      <c r="D63" s="399" t="b">
        <v>1</v>
      </c>
      <c r="E63" s="400" t="b">
        <v>1</v>
      </c>
      <c r="F63" s="399" t="b">
        <v>1</v>
      </c>
      <c r="G63" s="406" t="b">
        <v>1</v>
      </c>
      <c r="H63" s="406" t="b">
        <v>1</v>
      </c>
      <c r="I63" s="406" t="b">
        <v>1</v>
      </c>
      <c r="J63" s="406" t="b">
        <v>1</v>
      </c>
      <c r="K63" s="406" t="b">
        <v>1</v>
      </c>
      <c r="L63" s="406" t="b">
        <v>1</v>
      </c>
      <c r="M63" s="406" t="b">
        <v>1</v>
      </c>
      <c r="N63" s="406" t="b">
        <v>1</v>
      </c>
      <c r="O63" s="406" t="b">
        <v>1</v>
      </c>
      <c r="P63" s="406" t="b">
        <v>1</v>
      </c>
      <c r="Q63" s="406" t="b">
        <v>1</v>
      </c>
      <c r="R63" s="406" t="b">
        <v>1</v>
      </c>
      <c r="S63" s="406" t="b">
        <v>1</v>
      </c>
      <c r="T63" s="406" t="b">
        <v>1</v>
      </c>
      <c r="U63" s="406" t="b">
        <v>1</v>
      </c>
      <c r="V63" s="407" t="b">
        <v>1</v>
      </c>
      <c r="W63" s="35"/>
      <c r="X63" s="235" t="s">
        <v>213</v>
      </c>
      <c r="Y63" s="412">
        <v>5.8465338475716154E-4</v>
      </c>
      <c r="Z63" s="412">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1"/>
      <c r="C64" s="397" t="s">
        <v>196</v>
      </c>
      <c r="D64" s="399" t="b">
        <v>1</v>
      </c>
      <c r="E64" s="400" t="b">
        <v>1</v>
      </c>
      <c r="F64" s="399" t="b">
        <v>1</v>
      </c>
      <c r="G64" s="406" t="b">
        <v>1</v>
      </c>
      <c r="H64" s="406" t="b">
        <v>1</v>
      </c>
      <c r="I64" s="406" t="b">
        <v>1</v>
      </c>
      <c r="J64" s="406" t="b">
        <v>1</v>
      </c>
      <c r="K64" s="406" t="b">
        <v>1</v>
      </c>
      <c r="L64" s="406" t="b">
        <v>1</v>
      </c>
      <c r="M64" s="406" t="b">
        <v>1</v>
      </c>
      <c r="N64" s="406" t="b">
        <v>1</v>
      </c>
      <c r="O64" s="406" t="b">
        <v>1</v>
      </c>
      <c r="P64" s="406" t="b">
        <v>1</v>
      </c>
      <c r="Q64" s="406" t="b">
        <v>1</v>
      </c>
      <c r="R64" s="406" t="b">
        <v>1</v>
      </c>
      <c r="S64" s="406" t="b">
        <v>1</v>
      </c>
      <c r="T64" s="406" t="b">
        <v>1</v>
      </c>
      <c r="U64" s="406" t="b">
        <v>1</v>
      </c>
      <c r="V64" s="407" t="b">
        <v>1</v>
      </c>
      <c r="W64" s="35"/>
      <c r="X64" s="235" t="s">
        <v>214</v>
      </c>
      <c r="Y64" s="412">
        <v>8.3039048317398809E-4</v>
      </c>
      <c r="Z64" s="412">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1"/>
      <c r="C65" s="397" t="s">
        <v>197</v>
      </c>
      <c r="D65" s="399" t="b">
        <v>1</v>
      </c>
      <c r="E65" s="400" t="b">
        <v>1</v>
      </c>
      <c r="F65" s="399" t="b">
        <v>1</v>
      </c>
      <c r="G65" s="406" t="b">
        <v>1</v>
      </c>
      <c r="H65" s="406" t="b">
        <v>1</v>
      </c>
      <c r="I65" s="406" t="b">
        <v>1</v>
      </c>
      <c r="J65" s="406" t="b">
        <v>1</v>
      </c>
      <c r="K65" s="406" t="b">
        <v>1</v>
      </c>
      <c r="L65" s="406" t="b">
        <v>1</v>
      </c>
      <c r="M65" s="406" t="b">
        <v>1</v>
      </c>
      <c r="N65" s="406" t="b">
        <v>1</v>
      </c>
      <c r="O65" s="406" t="b">
        <v>1</v>
      </c>
      <c r="P65" s="406" t="b">
        <v>1</v>
      </c>
      <c r="Q65" s="406" t="b">
        <v>1</v>
      </c>
      <c r="R65" s="406" t="b">
        <v>1</v>
      </c>
      <c r="S65" s="406" t="b">
        <v>1</v>
      </c>
      <c r="T65" s="406" t="b">
        <v>1</v>
      </c>
      <c r="U65" s="406" t="b">
        <v>1</v>
      </c>
      <c r="V65" s="407" t="b">
        <v>1</v>
      </c>
      <c r="W65" s="35"/>
      <c r="X65" s="236" t="s">
        <v>215</v>
      </c>
      <c r="Y65" s="412">
        <v>7.5840059121394163E-4</v>
      </c>
      <c r="Z65" s="412">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1"/>
      <c r="C66" s="397" t="s">
        <v>198</v>
      </c>
      <c r="D66" s="399" t="b">
        <v>1</v>
      </c>
      <c r="E66" s="400" t="b">
        <v>1</v>
      </c>
      <c r="F66" s="399" t="b">
        <v>1</v>
      </c>
      <c r="G66" s="406" t="b">
        <v>1</v>
      </c>
      <c r="H66" s="406" t="b">
        <v>1</v>
      </c>
      <c r="I66" s="406" t="b">
        <v>1</v>
      </c>
      <c r="J66" s="406" t="b">
        <v>1</v>
      </c>
      <c r="K66" s="406" t="b">
        <v>1</v>
      </c>
      <c r="L66" s="406" t="b">
        <v>1</v>
      </c>
      <c r="M66" s="406" t="b">
        <v>1</v>
      </c>
      <c r="N66" s="406" t="b">
        <v>1</v>
      </c>
      <c r="O66" s="406" t="b">
        <v>1</v>
      </c>
      <c r="P66" s="406" t="b">
        <v>1</v>
      </c>
      <c r="Q66" s="406" t="b">
        <v>1</v>
      </c>
      <c r="R66" s="406" t="b">
        <v>1</v>
      </c>
      <c r="S66" s="406" t="b">
        <v>1</v>
      </c>
      <c r="T66" s="406" t="b">
        <v>1</v>
      </c>
      <c r="U66" s="406" t="b">
        <v>1</v>
      </c>
      <c r="V66" s="407"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1"/>
      <c r="C67" s="397" t="s">
        <v>199</v>
      </c>
      <c r="D67" s="399" t="b">
        <v>1</v>
      </c>
      <c r="E67" s="400" t="b">
        <v>1</v>
      </c>
      <c r="F67" s="399" t="b">
        <v>1</v>
      </c>
      <c r="G67" s="406" t="b">
        <v>1</v>
      </c>
      <c r="H67" s="406" t="b">
        <v>1</v>
      </c>
      <c r="I67" s="406" t="b">
        <v>1</v>
      </c>
      <c r="J67" s="406" t="b">
        <v>1</v>
      </c>
      <c r="K67" s="406" t="b">
        <v>1</v>
      </c>
      <c r="L67" s="406" t="b">
        <v>1</v>
      </c>
      <c r="M67" s="406" t="b">
        <v>1</v>
      </c>
      <c r="N67" s="406" t="b">
        <v>1</v>
      </c>
      <c r="O67" s="406" t="b">
        <v>1</v>
      </c>
      <c r="P67" s="406" t="b">
        <v>1</v>
      </c>
      <c r="Q67" s="406" t="b">
        <v>1</v>
      </c>
      <c r="R67" s="406" t="b">
        <v>1</v>
      </c>
      <c r="S67" s="406" t="b">
        <v>1</v>
      </c>
      <c r="T67" s="406" t="b">
        <v>1</v>
      </c>
      <c r="U67" s="406" t="b">
        <v>1</v>
      </c>
      <c r="V67" s="407"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1"/>
      <c r="C68" s="397" t="s">
        <v>200</v>
      </c>
      <c r="D68" s="399" t="b">
        <v>1</v>
      </c>
      <c r="E68" s="400" t="b">
        <v>1</v>
      </c>
      <c r="F68" s="399" t="b">
        <v>1</v>
      </c>
      <c r="G68" s="406" t="b">
        <v>1</v>
      </c>
      <c r="H68" s="406" t="b">
        <v>1</v>
      </c>
      <c r="I68" s="406" t="b">
        <v>1</v>
      </c>
      <c r="J68" s="406" t="b">
        <v>1</v>
      </c>
      <c r="K68" s="406" t="b">
        <v>1</v>
      </c>
      <c r="L68" s="406" t="b">
        <v>1</v>
      </c>
      <c r="M68" s="406" t="b">
        <v>1</v>
      </c>
      <c r="N68" s="406" t="b">
        <v>1</v>
      </c>
      <c r="O68" s="406" t="b">
        <v>1</v>
      </c>
      <c r="P68" s="406" t="b">
        <v>1</v>
      </c>
      <c r="Q68" s="406" t="b">
        <v>1</v>
      </c>
      <c r="R68" s="406" t="b">
        <v>1</v>
      </c>
      <c r="S68" s="406" t="b">
        <v>1</v>
      </c>
      <c r="T68" s="406" t="b">
        <v>1</v>
      </c>
      <c r="U68" s="406" t="b">
        <v>1</v>
      </c>
      <c r="V68" s="407"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1"/>
      <c r="C69" s="395" t="s">
        <v>201</v>
      </c>
      <c r="D69" s="399" t="b">
        <v>0</v>
      </c>
      <c r="E69" s="400" t="b">
        <v>0</v>
      </c>
      <c r="F69" s="399" t="b">
        <v>0</v>
      </c>
      <c r="G69" s="406" t="b">
        <v>1</v>
      </c>
      <c r="H69" s="406" t="b">
        <v>1</v>
      </c>
      <c r="I69" s="406" t="b">
        <v>1</v>
      </c>
      <c r="J69" s="406" t="b">
        <v>1</v>
      </c>
      <c r="K69" s="406" t="b">
        <v>1</v>
      </c>
      <c r="L69" s="406" t="b">
        <v>1</v>
      </c>
      <c r="M69" s="406" t="b">
        <v>1</v>
      </c>
      <c r="N69" s="406" t="b">
        <v>1</v>
      </c>
      <c r="O69" s="406" t="b">
        <v>1</v>
      </c>
      <c r="P69" s="406" t="b">
        <v>1</v>
      </c>
      <c r="Q69" s="406" t="b">
        <v>1</v>
      </c>
      <c r="R69" s="406" t="b">
        <v>1</v>
      </c>
      <c r="S69" s="406" t="b">
        <v>1</v>
      </c>
      <c r="T69" s="406" t="b">
        <v>1</v>
      </c>
      <c r="U69" s="406" t="b">
        <v>1</v>
      </c>
      <c r="V69" s="407"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2"/>
      <c r="C70" s="397" t="s">
        <v>202</v>
      </c>
      <c r="D70" s="408" t="b">
        <v>1</v>
      </c>
      <c r="E70" s="406" t="b">
        <v>1</v>
      </c>
      <c r="F70" s="409" t="b">
        <v>1</v>
      </c>
      <c r="G70" s="406" t="b">
        <v>1</v>
      </c>
      <c r="H70" s="406" t="b">
        <v>1</v>
      </c>
      <c r="I70" s="406" t="b">
        <v>1</v>
      </c>
      <c r="J70" s="406" t="b">
        <v>1</v>
      </c>
      <c r="K70" s="406" t="b">
        <v>1</v>
      </c>
      <c r="L70" s="406" t="b">
        <v>1</v>
      </c>
      <c r="M70" s="406" t="b">
        <v>1</v>
      </c>
      <c r="N70" s="406" t="b">
        <v>1</v>
      </c>
      <c r="O70" s="406" t="b">
        <v>1</v>
      </c>
      <c r="P70" s="406" t="b">
        <v>1</v>
      </c>
      <c r="Q70" s="406" t="b">
        <v>1</v>
      </c>
      <c r="R70" s="406" t="b">
        <v>1</v>
      </c>
      <c r="S70" s="406" t="b">
        <v>1</v>
      </c>
      <c r="T70" s="406" t="b">
        <v>1</v>
      </c>
      <c r="U70" s="406" t="b">
        <v>1</v>
      </c>
      <c r="V70" s="407"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3"/>
      <c r="C71" s="397" t="s">
        <v>203</v>
      </c>
      <c r="D71" s="406" t="b">
        <v>1</v>
      </c>
      <c r="E71" s="406" t="b">
        <v>1</v>
      </c>
      <c r="F71" s="406" t="b">
        <v>1</v>
      </c>
      <c r="G71" s="406" t="b">
        <v>1</v>
      </c>
      <c r="H71" s="406" t="b">
        <v>1</v>
      </c>
      <c r="I71" s="406" t="b">
        <v>1</v>
      </c>
      <c r="J71" s="406" t="b">
        <v>1</v>
      </c>
      <c r="K71" s="406" t="b">
        <v>1</v>
      </c>
      <c r="L71" s="406" t="b">
        <v>1</v>
      </c>
      <c r="M71" s="406" t="b">
        <v>1</v>
      </c>
      <c r="N71" s="406" t="b">
        <v>1</v>
      </c>
      <c r="O71" s="406" t="b">
        <v>1</v>
      </c>
      <c r="P71" s="406" t="b">
        <v>1</v>
      </c>
      <c r="Q71" s="406" t="b">
        <v>1</v>
      </c>
      <c r="R71" s="406" t="b">
        <v>1</v>
      </c>
      <c r="S71" s="406" t="b">
        <v>1</v>
      </c>
      <c r="T71" s="406" t="b">
        <v>1</v>
      </c>
      <c r="U71" s="406" t="b">
        <v>1</v>
      </c>
      <c r="V71" s="407"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3"/>
      <c r="C72" s="397" t="s">
        <v>204</v>
      </c>
      <c r="D72" s="406" t="b">
        <v>1</v>
      </c>
      <c r="E72" s="406" t="b">
        <v>1</v>
      </c>
      <c r="F72" s="406" t="b">
        <v>1</v>
      </c>
      <c r="G72" s="406" t="b">
        <v>1</v>
      </c>
      <c r="H72" s="406" t="b">
        <v>1</v>
      </c>
      <c r="I72" s="406" t="b">
        <v>1</v>
      </c>
      <c r="J72" s="406" t="b">
        <v>1</v>
      </c>
      <c r="K72" s="406" t="b">
        <v>1</v>
      </c>
      <c r="L72" s="406" t="b">
        <v>1</v>
      </c>
      <c r="M72" s="406" t="b">
        <v>1</v>
      </c>
      <c r="N72" s="406" t="b">
        <v>1</v>
      </c>
      <c r="O72" s="406" t="b">
        <v>1</v>
      </c>
      <c r="P72" s="406" t="b">
        <v>1</v>
      </c>
      <c r="Q72" s="406" t="b">
        <v>1</v>
      </c>
      <c r="R72" s="406" t="b">
        <v>1</v>
      </c>
      <c r="S72" s="406" t="b">
        <v>1</v>
      </c>
      <c r="T72" s="406" t="b">
        <v>1</v>
      </c>
      <c r="U72" s="406" t="b">
        <v>1</v>
      </c>
      <c r="V72" s="407"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3"/>
      <c r="C73" s="395" t="s">
        <v>205</v>
      </c>
      <c r="D73" s="406" t="b">
        <v>0</v>
      </c>
      <c r="E73" s="406" t="b">
        <v>0</v>
      </c>
      <c r="F73" s="406" t="b">
        <v>0</v>
      </c>
      <c r="G73" s="406" t="b">
        <v>1</v>
      </c>
      <c r="H73" s="406" t="b">
        <v>1</v>
      </c>
      <c r="I73" s="406" t="b">
        <v>1</v>
      </c>
      <c r="J73" s="406" t="b">
        <v>1</v>
      </c>
      <c r="K73" s="406" t="b">
        <v>1</v>
      </c>
      <c r="L73" s="406" t="b">
        <v>1</v>
      </c>
      <c r="M73" s="406" t="b">
        <v>1</v>
      </c>
      <c r="N73" s="406" t="b">
        <v>1</v>
      </c>
      <c r="O73" s="406" t="b">
        <v>1</v>
      </c>
      <c r="P73" s="406" t="b">
        <v>1</v>
      </c>
      <c r="Q73" s="406" t="b">
        <v>1</v>
      </c>
      <c r="R73" s="406" t="b">
        <v>1</v>
      </c>
      <c r="S73" s="406" t="b">
        <v>1</v>
      </c>
      <c r="T73" s="406" t="b">
        <v>1</v>
      </c>
      <c r="U73" s="406" t="b">
        <v>1</v>
      </c>
      <c r="V73" s="407"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3"/>
      <c r="C74" s="395" t="s">
        <v>206</v>
      </c>
      <c r="D74" s="406" t="b">
        <v>0</v>
      </c>
      <c r="E74" s="406" t="b">
        <v>0</v>
      </c>
      <c r="F74" s="406" t="b">
        <v>0</v>
      </c>
      <c r="G74" s="406" t="b">
        <v>1</v>
      </c>
      <c r="H74" s="406" t="b">
        <v>1</v>
      </c>
      <c r="I74" s="406" t="b">
        <v>1</v>
      </c>
      <c r="J74" s="406" t="b">
        <v>1</v>
      </c>
      <c r="K74" s="406" t="b">
        <v>1</v>
      </c>
      <c r="L74" s="406" t="b">
        <v>1</v>
      </c>
      <c r="M74" s="406" t="b">
        <v>1</v>
      </c>
      <c r="N74" s="406" t="b">
        <v>1</v>
      </c>
      <c r="O74" s="406" t="b">
        <v>1</v>
      </c>
      <c r="P74" s="406" t="b">
        <v>1</v>
      </c>
      <c r="Q74" s="406" t="b">
        <v>1</v>
      </c>
      <c r="R74" s="406" t="b">
        <v>1</v>
      </c>
      <c r="S74" s="406" t="b">
        <v>1</v>
      </c>
      <c r="T74" s="406" t="b">
        <v>1</v>
      </c>
      <c r="U74" s="406" t="b">
        <v>1</v>
      </c>
      <c r="V74" s="407"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3"/>
      <c r="C75" s="395" t="s">
        <v>207</v>
      </c>
      <c r="D75" s="406" t="b">
        <v>0</v>
      </c>
      <c r="E75" s="406" t="b">
        <v>0</v>
      </c>
      <c r="F75" s="406" t="b">
        <v>0</v>
      </c>
      <c r="G75" s="406" t="b">
        <v>1</v>
      </c>
      <c r="H75" s="406" t="b">
        <v>1</v>
      </c>
      <c r="I75" s="406" t="b">
        <v>1</v>
      </c>
      <c r="J75" s="406" t="b">
        <v>1</v>
      </c>
      <c r="K75" s="406" t="b">
        <v>1</v>
      </c>
      <c r="L75" s="406" t="b">
        <v>1</v>
      </c>
      <c r="M75" s="406" t="b">
        <v>1</v>
      </c>
      <c r="N75" s="406" t="b">
        <v>1</v>
      </c>
      <c r="O75" s="406" t="b">
        <v>1</v>
      </c>
      <c r="P75" s="406" t="b">
        <v>1</v>
      </c>
      <c r="Q75" s="406" t="b">
        <v>1</v>
      </c>
      <c r="R75" s="406" t="b">
        <v>1</v>
      </c>
      <c r="S75" s="406" t="b">
        <v>1</v>
      </c>
      <c r="T75" s="406" t="b">
        <v>1</v>
      </c>
      <c r="U75" s="406" t="b">
        <v>1</v>
      </c>
      <c r="V75" s="407"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3"/>
      <c r="C76" s="397" t="s">
        <v>208</v>
      </c>
      <c r="D76" s="406" t="b">
        <v>1</v>
      </c>
      <c r="E76" s="406" t="b">
        <v>1</v>
      </c>
      <c r="F76" s="406" t="b">
        <v>1</v>
      </c>
      <c r="G76" s="406" t="b">
        <v>1</v>
      </c>
      <c r="H76" s="406" t="b">
        <v>1</v>
      </c>
      <c r="I76" s="406" t="b">
        <v>1</v>
      </c>
      <c r="J76" s="406" t="b">
        <v>1</v>
      </c>
      <c r="K76" s="406" t="b">
        <v>1</v>
      </c>
      <c r="L76" s="406" t="b">
        <v>1</v>
      </c>
      <c r="M76" s="406" t="b">
        <v>1</v>
      </c>
      <c r="N76" s="406" t="b">
        <v>1</v>
      </c>
      <c r="O76" s="406" t="b">
        <v>1</v>
      </c>
      <c r="P76" s="406" t="b">
        <v>1</v>
      </c>
      <c r="Q76" s="406" t="b">
        <v>1</v>
      </c>
      <c r="R76" s="406" t="b">
        <v>1</v>
      </c>
      <c r="S76" s="406" t="b">
        <v>1</v>
      </c>
      <c r="T76" s="406" t="b">
        <v>1</v>
      </c>
      <c r="U76" s="406" t="b">
        <v>1</v>
      </c>
      <c r="V76" s="407"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3"/>
      <c r="C77" s="397" t="s">
        <v>209</v>
      </c>
      <c r="D77" s="406" t="b">
        <v>1</v>
      </c>
      <c r="E77" s="406" t="b">
        <v>1</v>
      </c>
      <c r="F77" s="406" t="b">
        <v>1</v>
      </c>
      <c r="G77" s="406" t="b">
        <v>1</v>
      </c>
      <c r="H77" s="406" t="b">
        <v>1</v>
      </c>
      <c r="I77" s="406" t="b">
        <v>1</v>
      </c>
      <c r="J77" s="406" t="b">
        <v>1</v>
      </c>
      <c r="K77" s="406" t="b">
        <v>1</v>
      </c>
      <c r="L77" s="406" t="b">
        <v>1</v>
      </c>
      <c r="M77" s="406" t="b">
        <v>1</v>
      </c>
      <c r="N77" s="406" t="b">
        <v>1</v>
      </c>
      <c r="O77" s="406" t="b">
        <v>1</v>
      </c>
      <c r="P77" s="406" t="b">
        <v>1</v>
      </c>
      <c r="Q77" s="406" t="b">
        <v>1</v>
      </c>
      <c r="R77" s="406" t="b">
        <v>1</v>
      </c>
      <c r="S77" s="406" t="b">
        <v>1</v>
      </c>
      <c r="T77" s="406" t="b">
        <v>1</v>
      </c>
      <c r="U77" s="406" t="b">
        <v>1</v>
      </c>
      <c r="V77" s="407"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3"/>
      <c r="C78" s="395" t="s">
        <v>210</v>
      </c>
      <c r="D78" s="406" t="b">
        <v>0</v>
      </c>
      <c r="E78" s="406" t="b">
        <v>0</v>
      </c>
      <c r="F78" s="406" t="b">
        <v>0</v>
      </c>
      <c r="G78" s="406" t="b">
        <v>1</v>
      </c>
      <c r="H78" s="406" t="b">
        <v>1</v>
      </c>
      <c r="I78" s="406" t="b">
        <v>1</v>
      </c>
      <c r="J78" s="406" t="b">
        <v>1</v>
      </c>
      <c r="K78" s="406" t="b">
        <v>1</v>
      </c>
      <c r="L78" s="406" t="b">
        <v>1</v>
      </c>
      <c r="M78" s="406" t="b">
        <v>1</v>
      </c>
      <c r="N78" s="406" t="b">
        <v>1</v>
      </c>
      <c r="O78" s="406" t="b">
        <v>1</v>
      </c>
      <c r="P78" s="406" t="b">
        <v>1</v>
      </c>
      <c r="Q78" s="406" t="b">
        <v>1</v>
      </c>
      <c r="R78" s="406" t="b">
        <v>1</v>
      </c>
      <c r="S78" s="406" t="b">
        <v>1</v>
      </c>
      <c r="T78" s="406" t="b">
        <v>1</v>
      </c>
      <c r="U78" s="406" t="b">
        <v>1</v>
      </c>
      <c r="V78" s="407"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4"/>
      <c r="C79" s="397" t="s">
        <v>211</v>
      </c>
      <c r="D79" s="406" t="b">
        <v>1</v>
      </c>
      <c r="E79" s="406" t="b">
        <v>1</v>
      </c>
      <c r="F79" s="406" t="b">
        <v>1</v>
      </c>
      <c r="G79" s="406" t="b">
        <v>1</v>
      </c>
      <c r="H79" s="406" t="b">
        <v>1</v>
      </c>
      <c r="I79" s="406" t="b">
        <v>1</v>
      </c>
      <c r="J79" s="406" t="b">
        <v>1</v>
      </c>
      <c r="K79" s="406" t="b">
        <v>1</v>
      </c>
      <c r="L79" s="406" t="b">
        <v>1</v>
      </c>
      <c r="M79" s="406" t="b">
        <v>1</v>
      </c>
      <c r="N79" s="406" t="b">
        <v>1</v>
      </c>
      <c r="O79" s="406" t="b">
        <v>1</v>
      </c>
      <c r="P79" s="406" t="b">
        <v>1</v>
      </c>
      <c r="Q79" s="406" t="b">
        <v>1</v>
      </c>
      <c r="R79" s="406" t="b">
        <v>1</v>
      </c>
      <c r="S79" s="406" t="b">
        <v>1</v>
      </c>
      <c r="T79" s="406" t="b">
        <v>1</v>
      </c>
      <c r="U79" s="406" t="b">
        <v>1</v>
      </c>
      <c r="V79" s="407"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4"/>
      <c r="C80" s="395" t="s">
        <v>212</v>
      </c>
      <c r="D80" s="406" t="b">
        <v>0</v>
      </c>
      <c r="E80" s="406" t="b">
        <v>0</v>
      </c>
      <c r="F80" s="406" t="b">
        <v>0</v>
      </c>
      <c r="G80" s="406" t="b">
        <v>1</v>
      </c>
      <c r="H80" s="406" t="b">
        <v>1</v>
      </c>
      <c r="I80" s="406" t="b">
        <v>1</v>
      </c>
      <c r="J80" s="406" t="b">
        <v>1</v>
      </c>
      <c r="K80" s="406" t="b">
        <v>1</v>
      </c>
      <c r="L80" s="406" t="b">
        <v>1</v>
      </c>
      <c r="M80" s="406" t="b">
        <v>1</v>
      </c>
      <c r="N80" s="406" t="b">
        <v>1</v>
      </c>
      <c r="O80" s="406" t="b">
        <v>1</v>
      </c>
      <c r="P80" s="406" t="b">
        <v>1</v>
      </c>
      <c r="Q80" s="406" t="b">
        <v>1</v>
      </c>
      <c r="R80" s="406" t="b">
        <v>1</v>
      </c>
      <c r="S80" s="406" t="b">
        <v>1</v>
      </c>
      <c r="T80" s="406" t="b">
        <v>1</v>
      </c>
      <c r="U80" s="406" t="b">
        <v>1</v>
      </c>
      <c r="V80" s="407"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4"/>
      <c r="C81" s="395" t="s">
        <v>213</v>
      </c>
      <c r="D81" s="406" t="b">
        <v>0</v>
      </c>
      <c r="E81" s="406" t="b">
        <v>0</v>
      </c>
      <c r="F81" s="406" t="b">
        <v>0</v>
      </c>
      <c r="G81" s="406" t="b">
        <v>1</v>
      </c>
      <c r="H81" s="406" t="b">
        <v>1</v>
      </c>
      <c r="I81" s="406" t="b">
        <v>1</v>
      </c>
      <c r="J81" s="406" t="b">
        <v>1</v>
      </c>
      <c r="K81" s="406" t="b">
        <v>1</v>
      </c>
      <c r="L81" s="406" t="b">
        <v>1</v>
      </c>
      <c r="M81" s="406" t="b">
        <v>1</v>
      </c>
      <c r="N81" s="406" t="b">
        <v>1</v>
      </c>
      <c r="O81" s="406" t="b">
        <v>1</v>
      </c>
      <c r="P81" s="406" t="b">
        <v>1</v>
      </c>
      <c r="Q81" s="406" t="b">
        <v>1</v>
      </c>
      <c r="R81" s="406" t="b">
        <v>1</v>
      </c>
      <c r="S81" s="406" t="b">
        <v>1</v>
      </c>
      <c r="T81" s="406" t="b">
        <v>1</v>
      </c>
      <c r="U81" s="406" t="b">
        <v>1</v>
      </c>
      <c r="V81" s="407"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4"/>
      <c r="C82" s="395" t="s">
        <v>214</v>
      </c>
      <c r="D82" s="406" t="b">
        <v>0</v>
      </c>
      <c r="E82" s="406" t="b">
        <v>0</v>
      </c>
      <c r="F82" s="406" t="b">
        <v>0</v>
      </c>
      <c r="G82" s="406" t="b">
        <v>1</v>
      </c>
      <c r="H82" s="406" t="b">
        <v>1</v>
      </c>
      <c r="I82" s="406" t="b">
        <v>1</v>
      </c>
      <c r="J82" s="406" t="b">
        <v>1</v>
      </c>
      <c r="K82" s="406" t="b">
        <v>1</v>
      </c>
      <c r="L82" s="406" t="b">
        <v>1</v>
      </c>
      <c r="M82" s="406" t="b">
        <v>1</v>
      </c>
      <c r="N82" s="406" t="b">
        <v>1</v>
      </c>
      <c r="O82" s="406" t="b">
        <v>1</v>
      </c>
      <c r="P82" s="406" t="b">
        <v>1</v>
      </c>
      <c r="Q82" s="406" t="b">
        <v>1</v>
      </c>
      <c r="R82" s="406" t="b">
        <v>1</v>
      </c>
      <c r="S82" s="406" t="b">
        <v>1</v>
      </c>
      <c r="T82" s="406" t="b">
        <v>1</v>
      </c>
      <c r="U82" s="406" t="b">
        <v>1</v>
      </c>
      <c r="V82" s="407"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4"/>
      <c r="C83" s="396" t="s">
        <v>215</v>
      </c>
      <c r="D83" s="410" t="b">
        <v>0</v>
      </c>
      <c r="E83" s="410" t="b">
        <v>0</v>
      </c>
      <c r="F83" s="410" t="b">
        <v>0</v>
      </c>
      <c r="G83" s="410" t="b">
        <v>1</v>
      </c>
      <c r="H83" s="410" t="b">
        <v>1</v>
      </c>
      <c r="I83" s="410" t="b">
        <v>1</v>
      </c>
      <c r="J83" s="410" t="b">
        <v>1</v>
      </c>
      <c r="K83" s="410" t="b">
        <v>1</v>
      </c>
      <c r="L83" s="410" t="b">
        <v>1</v>
      </c>
      <c r="M83" s="410" t="b">
        <v>1</v>
      </c>
      <c r="N83" s="410" t="b">
        <v>1</v>
      </c>
      <c r="O83" s="410" t="b">
        <v>1</v>
      </c>
      <c r="P83" s="410" t="b">
        <v>1</v>
      </c>
      <c r="Q83" s="410" t="b">
        <v>1</v>
      </c>
      <c r="R83" s="410" t="b">
        <v>1</v>
      </c>
      <c r="S83" s="410" t="b">
        <v>1</v>
      </c>
      <c r="T83" s="410" t="b">
        <v>1</v>
      </c>
      <c r="U83" s="410" t="b">
        <v>1</v>
      </c>
      <c r="V83" s="41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4"/>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4"/>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4"/>
      <c r="C86" s="31" t="s">
        <v>287</v>
      </c>
      <c r="D86" s="421"/>
      <c r="E86" s="421"/>
      <c r="F86" s="421"/>
      <c r="G86" s="35"/>
      <c r="H86" s="35"/>
      <c r="I86" s="35"/>
      <c r="J86" s="31" t="s">
        <v>301</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5" t="s">
        <v>283</v>
      </c>
      <c r="D87" s="426" t="s">
        <v>288</v>
      </c>
      <c r="E87" s="426" t="s">
        <v>289</v>
      </c>
      <c r="F87" s="426" t="s">
        <v>290</v>
      </c>
      <c r="G87" s="35"/>
      <c r="H87" s="35"/>
      <c r="I87" s="243"/>
      <c r="J87" s="440"/>
      <c r="K87" s="441" t="s">
        <v>117</v>
      </c>
      <c r="L87" s="442" t="s">
        <v>299</v>
      </c>
      <c r="M87" s="439"/>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16"/>
      <c r="C88" s="422" t="s">
        <v>167</v>
      </c>
      <c r="D88" s="423">
        <v>0.18</v>
      </c>
      <c r="E88" s="423">
        <v>0.15</v>
      </c>
      <c r="F88" s="424">
        <v>0.17</v>
      </c>
      <c r="G88" s="35"/>
      <c r="H88" s="35"/>
      <c r="I88" s="243"/>
      <c r="J88" s="438" t="s">
        <v>291</v>
      </c>
      <c r="K88" s="429">
        <v>0.2</v>
      </c>
      <c r="L88" s="432">
        <v>0.05</v>
      </c>
      <c r="M88" s="4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16"/>
      <c r="C89" s="414" t="s">
        <v>166</v>
      </c>
      <c r="D89" s="417">
        <v>0.11</v>
      </c>
      <c r="E89" s="417">
        <v>0.11</v>
      </c>
      <c r="F89" s="418">
        <v>0.06</v>
      </c>
      <c r="G89" s="35"/>
      <c r="H89" s="35"/>
      <c r="I89" s="243"/>
      <c r="J89" s="427" t="s">
        <v>292</v>
      </c>
      <c r="K89" s="430">
        <v>0</v>
      </c>
      <c r="L89" s="433">
        <v>0.2</v>
      </c>
      <c r="M89" s="4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16"/>
      <c r="C90" s="414" t="s">
        <v>169</v>
      </c>
      <c r="D90" s="417">
        <v>0.09</v>
      </c>
      <c r="E90" s="417">
        <v>0.08</v>
      </c>
      <c r="F90" s="418">
        <v>0.06</v>
      </c>
      <c r="G90" s="35"/>
      <c r="H90" s="35"/>
      <c r="I90" s="243"/>
      <c r="J90" s="427" t="s">
        <v>293</v>
      </c>
      <c r="K90" s="430">
        <v>0.2</v>
      </c>
      <c r="L90" s="433">
        <v>0.05</v>
      </c>
      <c r="M90" s="4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16"/>
      <c r="C91" s="414" t="s">
        <v>168</v>
      </c>
      <c r="D91" s="417">
        <v>0.11</v>
      </c>
      <c r="E91" s="417">
        <v>0.1</v>
      </c>
      <c r="F91" s="418">
        <v>7.0000000000000007E-2</v>
      </c>
      <c r="G91" s="35"/>
      <c r="H91" s="35"/>
      <c r="I91" s="243"/>
      <c r="J91" s="427" t="s">
        <v>294</v>
      </c>
      <c r="K91" s="430">
        <v>0.2</v>
      </c>
      <c r="L91" s="433">
        <v>0.05</v>
      </c>
      <c r="M91" s="4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16"/>
      <c r="C92" s="414" t="s">
        <v>170</v>
      </c>
      <c r="D92" s="417">
        <v>0.15</v>
      </c>
      <c r="E92" s="417">
        <v>0.13</v>
      </c>
      <c r="F92" s="418">
        <v>0.1</v>
      </c>
      <c r="G92" s="35"/>
      <c r="H92" s="35"/>
      <c r="I92" s="243"/>
      <c r="J92" s="427" t="s">
        <v>295</v>
      </c>
      <c r="K92" s="430">
        <v>0.15</v>
      </c>
      <c r="L92" s="433">
        <v>0.1</v>
      </c>
      <c r="M92" s="4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16"/>
      <c r="C93" s="414" t="s">
        <v>171</v>
      </c>
      <c r="D93" s="417">
        <v>0.11</v>
      </c>
      <c r="E93" s="417">
        <v>0.09</v>
      </c>
      <c r="F93" s="418">
        <v>7.0000000000000007E-2</v>
      </c>
      <c r="G93" s="35"/>
      <c r="H93" s="35"/>
      <c r="I93" s="243"/>
      <c r="J93" s="427" t="s">
        <v>296</v>
      </c>
      <c r="K93" s="430">
        <v>0</v>
      </c>
      <c r="L93" s="433">
        <v>0.3</v>
      </c>
      <c r="M93" s="4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16"/>
      <c r="C94" s="414" t="s">
        <v>172</v>
      </c>
      <c r="D94" s="417">
        <v>0.17</v>
      </c>
      <c r="E94" s="417">
        <v>0.15</v>
      </c>
      <c r="F94" s="418">
        <v>0.13</v>
      </c>
      <c r="G94" s="35"/>
      <c r="H94" s="35"/>
      <c r="I94" s="243"/>
      <c r="J94" s="427" t="s">
        <v>297</v>
      </c>
      <c r="K94" s="430">
        <v>0.2</v>
      </c>
      <c r="L94" s="433">
        <v>0.05</v>
      </c>
      <c r="M94" s="4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16"/>
      <c r="C95" s="414" t="s">
        <v>11</v>
      </c>
      <c r="D95" s="417">
        <v>0.12</v>
      </c>
      <c r="E95" s="417">
        <v>0.12</v>
      </c>
      <c r="F95" s="418">
        <v>0.05</v>
      </c>
      <c r="G95" s="35"/>
      <c r="H95" s="35"/>
      <c r="I95" s="243"/>
      <c r="J95" s="427" t="s">
        <v>298</v>
      </c>
      <c r="K95" s="430">
        <v>0</v>
      </c>
      <c r="L95" s="433">
        <v>0.15</v>
      </c>
      <c r="M95" s="4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16"/>
      <c r="C96" s="414" t="s">
        <v>173</v>
      </c>
      <c r="D96" s="417">
        <v>0.14000000000000001</v>
      </c>
      <c r="E96" s="417">
        <v>0.1</v>
      </c>
      <c r="F96" s="418">
        <v>0.08</v>
      </c>
      <c r="G96" s="35"/>
      <c r="H96" s="35"/>
      <c r="I96" s="243"/>
      <c r="J96" s="428" t="s">
        <v>302</v>
      </c>
      <c r="K96" s="431">
        <v>0.05</v>
      </c>
      <c r="L96" s="43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16"/>
      <c r="C97" s="414" t="s">
        <v>174</v>
      </c>
      <c r="D97" s="417">
        <v>0.11</v>
      </c>
      <c r="E97" s="417">
        <v>0.1</v>
      </c>
      <c r="F97" s="418">
        <v>0.08</v>
      </c>
      <c r="G97" s="35"/>
      <c r="H97" s="35"/>
      <c r="I97" s="243"/>
      <c r="J97" s="437" t="s">
        <v>300</v>
      </c>
      <c r="K97" s="436">
        <f>SUM(K88:K96)</f>
        <v>1.0000000000000002</v>
      </c>
      <c r="L97" s="436">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16"/>
      <c r="C98" s="414" t="s">
        <v>175</v>
      </c>
      <c r="D98" s="417">
        <v>0.11</v>
      </c>
      <c r="E98" s="417">
        <v>0.1</v>
      </c>
      <c r="F98" s="418">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16"/>
      <c r="C99" s="414" t="s">
        <v>176</v>
      </c>
      <c r="D99" s="417">
        <v>0.37</v>
      </c>
      <c r="E99" s="417">
        <v>0.35</v>
      </c>
      <c r="F99" s="418">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16"/>
      <c r="C100" s="414" t="s">
        <v>180</v>
      </c>
      <c r="D100" s="417">
        <v>0.11</v>
      </c>
      <c r="E100" s="417">
        <v>0.08</v>
      </c>
      <c r="F100" s="418">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16"/>
      <c r="C101" s="414" t="s">
        <v>177</v>
      </c>
      <c r="D101" s="417">
        <v>0.09</v>
      </c>
      <c r="E101" s="417">
        <v>7.0000000000000007E-2</v>
      </c>
      <c r="F101" s="418">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16"/>
      <c r="C102" s="414" t="s">
        <v>178</v>
      </c>
      <c r="D102" s="417">
        <v>0.11</v>
      </c>
      <c r="E102" s="417">
        <v>0.08</v>
      </c>
      <c r="F102" s="418">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16"/>
      <c r="C103" s="414" t="s">
        <v>179</v>
      </c>
      <c r="D103" s="417">
        <v>0.11</v>
      </c>
      <c r="E103" s="417">
        <v>0.09</v>
      </c>
      <c r="F103" s="418">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16"/>
      <c r="C104" s="414" t="s">
        <v>181</v>
      </c>
      <c r="D104" s="417">
        <v>0.11</v>
      </c>
      <c r="E104" s="417">
        <v>0.09</v>
      </c>
      <c r="F104" s="418">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16"/>
      <c r="C105" s="414" t="s">
        <v>182</v>
      </c>
      <c r="D105" s="417">
        <v>0.09</v>
      </c>
      <c r="E105" s="417">
        <v>0.09</v>
      </c>
      <c r="F105" s="418">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16"/>
      <c r="C106" s="414" t="s">
        <v>183</v>
      </c>
      <c r="D106" s="417">
        <v>0.08</v>
      </c>
      <c r="E106" s="417">
        <v>0.08</v>
      </c>
      <c r="F106" s="418">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16"/>
      <c r="C107" s="414" t="s">
        <v>186</v>
      </c>
      <c r="D107" s="417">
        <v>0.15</v>
      </c>
      <c r="E107" s="417">
        <v>0.14000000000000001</v>
      </c>
      <c r="F107" s="418">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16"/>
      <c r="C108" s="414" t="s">
        <v>185</v>
      </c>
      <c r="D108" s="417">
        <v>0.13</v>
      </c>
      <c r="E108" s="417">
        <v>0.1</v>
      </c>
      <c r="F108" s="418">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16"/>
      <c r="C109" s="414" t="s">
        <v>184</v>
      </c>
      <c r="D109" s="417">
        <v>0.15</v>
      </c>
      <c r="E109" s="417">
        <v>0.12</v>
      </c>
      <c r="F109" s="418">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16"/>
      <c r="C110" s="414" t="s">
        <v>187</v>
      </c>
      <c r="D110" s="417">
        <v>0.14000000000000001</v>
      </c>
      <c r="E110" s="417">
        <v>0.11</v>
      </c>
      <c r="F110" s="418">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16"/>
      <c r="C111" s="414" t="s">
        <v>188</v>
      </c>
      <c r="D111" s="417">
        <v>0.11</v>
      </c>
      <c r="E111" s="417">
        <v>0.09</v>
      </c>
      <c r="F111" s="418">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16"/>
      <c r="C112" s="414" t="s">
        <v>190</v>
      </c>
      <c r="D112" s="417">
        <v>0.1</v>
      </c>
      <c r="E112" s="417">
        <v>0.08</v>
      </c>
      <c r="F112" s="418">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16"/>
      <c r="C113" s="414" t="s">
        <v>189</v>
      </c>
      <c r="D113" s="417">
        <v>0.1</v>
      </c>
      <c r="E113" s="417">
        <v>0.09</v>
      </c>
      <c r="F113" s="418">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16"/>
      <c r="C114" s="414" t="s">
        <v>191</v>
      </c>
      <c r="D114" s="417">
        <v>0.1</v>
      </c>
      <c r="E114" s="417">
        <v>0.09</v>
      </c>
      <c r="F114" s="418">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16"/>
      <c r="C115" s="414" t="s">
        <v>198</v>
      </c>
      <c r="D115" s="417">
        <v>0.11</v>
      </c>
      <c r="E115" s="417">
        <v>0.09</v>
      </c>
      <c r="F115" s="418">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16"/>
      <c r="C116" s="414" t="s">
        <v>199</v>
      </c>
      <c r="D116" s="417">
        <v>0.09</v>
      </c>
      <c r="E116" s="417">
        <v>0.08</v>
      </c>
      <c r="F116" s="418">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16"/>
      <c r="C117" s="414" t="s">
        <v>192</v>
      </c>
      <c r="D117" s="417">
        <v>0.1</v>
      </c>
      <c r="E117" s="417">
        <v>0.08</v>
      </c>
      <c r="F117" s="418">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16"/>
      <c r="C118" s="414" t="s">
        <v>194</v>
      </c>
      <c r="D118" s="417">
        <v>0.16</v>
      </c>
      <c r="E118" s="417">
        <v>0.13</v>
      </c>
      <c r="F118" s="418">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16"/>
      <c r="C119" s="414" t="s">
        <v>195</v>
      </c>
      <c r="D119" s="417">
        <v>0.16</v>
      </c>
      <c r="E119" s="417">
        <v>0.13</v>
      </c>
      <c r="F119" s="418">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16"/>
      <c r="C120" s="414" t="s">
        <v>196</v>
      </c>
      <c r="D120" s="417">
        <v>0.11</v>
      </c>
      <c r="E120" s="417">
        <v>0.09</v>
      </c>
      <c r="F120" s="418">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16"/>
      <c r="C121" s="414" t="s">
        <v>193</v>
      </c>
      <c r="D121" s="417">
        <v>0.12</v>
      </c>
      <c r="E121" s="417">
        <v>0.09</v>
      </c>
      <c r="F121" s="418">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16"/>
      <c r="C122" s="414" t="s">
        <v>197</v>
      </c>
      <c r="D122" s="417">
        <v>0.18</v>
      </c>
      <c r="E122" s="417">
        <v>0.15</v>
      </c>
      <c r="F122" s="418">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16"/>
      <c r="C123" s="414" t="s">
        <v>200</v>
      </c>
      <c r="D123" s="417">
        <v>0.12</v>
      </c>
      <c r="E123" s="417">
        <v>0.09</v>
      </c>
      <c r="F123" s="418">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16"/>
      <c r="C124" s="414" t="s">
        <v>201</v>
      </c>
      <c r="D124" s="417">
        <v>0.1</v>
      </c>
      <c r="E124" s="417">
        <v>7.0000000000000007E-2</v>
      </c>
      <c r="F124" s="418">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16"/>
      <c r="C125" s="414" t="s">
        <v>202</v>
      </c>
      <c r="D125" s="417">
        <v>0.1</v>
      </c>
      <c r="E125" s="417">
        <v>0.08</v>
      </c>
      <c r="F125" s="418">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16"/>
      <c r="C126" s="414" t="s">
        <v>203</v>
      </c>
      <c r="D126" s="417">
        <v>0.13</v>
      </c>
      <c r="E126" s="417">
        <v>0.09</v>
      </c>
      <c r="F126" s="418">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16"/>
      <c r="C127" s="414" t="s">
        <v>204</v>
      </c>
      <c r="D127" s="417">
        <v>0.14000000000000001</v>
      </c>
      <c r="E127" s="417">
        <v>0.12</v>
      </c>
      <c r="F127" s="418">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16"/>
      <c r="C128" s="414" t="s">
        <v>205</v>
      </c>
      <c r="D128" s="417">
        <v>0.12</v>
      </c>
      <c r="E128" s="417">
        <v>0.1</v>
      </c>
      <c r="F128" s="418">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16"/>
      <c r="C129" s="414" t="s">
        <v>206</v>
      </c>
      <c r="D129" s="417">
        <v>0.1</v>
      </c>
      <c r="E129" s="417">
        <v>0.08</v>
      </c>
      <c r="F129" s="418">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16"/>
      <c r="C130" s="414" t="s">
        <v>207</v>
      </c>
      <c r="D130" s="417">
        <v>0.1</v>
      </c>
      <c r="E130" s="417">
        <v>0.1</v>
      </c>
      <c r="F130" s="418">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16"/>
      <c r="C131" s="414" t="s">
        <v>208</v>
      </c>
      <c r="D131" s="417">
        <v>0.11</v>
      </c>
      <c r="E131" s="417">
        <v>0.08</v>
      </c>
      <c r="F131" s="418">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16"/>
      <c r="C132" s="414" t="s">
        <v>209</v>
      </c>
      <c r="D132" s="417">
        <v>0.1</v>
      </c>
      <c r="E132" s="417">
        <v>0.08</v>
      </c>
      <c r="F132" s="418">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16"/>
      <c r="C133" s="414" t="s">
        <v>211</v>
      </c>
      <c r="D133" s="417">
        <v>0.11</v>
      </c>
      <c r="E133" s="417">
        <v>0.08</v>
      </c>
      <c r="F133" s="418">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16"/>
      <c r="C134" s="414" t="s">
        <v>210</v>
      </c>
      <c r="D134" s="417">
        <v>0.17</v>
      </c>
      <c r="E134" s="417">
        <v>0.14000000000000001</v>
      </c>
      <c r="F134" s="418">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16"/>
      <c r="C135" s="414" t="s">
        <v>212</v>
      </c>
      <c r="D135" s="417">
        <v>0.09</v>
      </c>
      <c r="E135" s="417">
        <v>0.08</v>
      </c>
      <c r="F135" s="418">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16"/>
      <c r="C136" s="414" t="s">
        <v>214</v>
      </c>
      <c r="D136" s="417">
        <v>0.13</v>
      </c>
      <c r="E136" s="417">
        <v>0.11</v>
      </c>
      <c r="F136" s="418">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16"/>
      <c r="C137" s="414" t="s">
        <v>213</v>
      </c>
      <c r="D137" s="417">
        <v>0.1</v>
      </c>
      <c r="E137" s="417">
        <v>0.08</v>
      </c>
      <c r="F137" s="418">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16"/>
      <c r="C138" s="415" t="s">
        <v>215</v>
      </c>
      <c r="D138" s="419">
        <v>0.1</v>
      </c>
      <c r="E138" s="419">
        <v>0.08</v>
      </c>
      <c r="F138" s="420">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3"/>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4"/>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4"/>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4"/>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4"/>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4"/>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4"/>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4"/>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4"/>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4"/>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4"/>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114</v>
      </c>
      <c r="E2" s="109"/>
      <c r="F2" s="109"/>
      <c r="G2" s="109"/>
      <c r="H2" s="109"/>
      <c r="I2" s="33"/>
      <c r="J2" s="33"/>
      <c r="K2" s="30"/>
      <c r="L2" s="33"/>
      <c r="M2" s="239" t="s">
        <v>146</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147</v>
      </c>
      <c r="N3" s="108"/>
      <c r="O3" s="108"/>
      <c r="P3" s="207" t="b">
        <v>0</v>
      </c>
      <c r="Q3" s="244" t="s">
        <v>234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240</v>
      </c>
      <c r="D4" s="33"/>
      <c r="E4" s="109"/>
      <c r="F4" s="33"/>
      <c r="G4" s="109"/>
      <c r="H4" s="109"/>
      <c r="I4" s="30"/>
      <c r="J4" s="33"/>
      <c r="K4" s="109"/>
      <c r="L4" s="33"/>
      <c r="M4" s="199" t="s">
        <v>231</v>
      </c>
      <c r="N4" s="108"/>
      <c r="O4" s="108"/>
      <c r="P4" s="200">
        <v>2014</v>
      </c>
      <c r="Q4" s="238" t="s">
        <v>148</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241</v>
      </c>
      <c r="D5" s="33"/>
      <c r="E5" s="109"/>
      <c r="F5" s="33"/>
      <c r="G5" s="109"/>
      <c r="H5" s="109"/>
      <c r="I5" s="30"/>
      <c r="J5" s="33"/>
      <c r="K5" s="109"/>
      <c r="L5" s="33"/>
      <c r="M5" s="199" t="s">
        <v>232</v>
      </c>
      <c r="N5" s="108"/>
      <c r="O5" s="240"/>
      <c r="P5" s="207" t="s">
        <v>223</v>
      </c>
      <c r="Q5" s="242" t="s">
        <v>233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242</v>
      </c>
      <c r="D6" s="33"/>
      <c r="E6" s="109"/>
      <c r="F6" s="33"/>
      <c r="G6" s="109"/>
      <c r="H6" s="109"/>
      <c r="I6" s="109"/>
      <c r="J6" s="109"/>
      <c r="K6" s="33"/>
      <c r="L6" s="135"/>
      <c r="M6" s="135"/>
      <c r="N6" s="487"/>
      <c r="O6" s="487"/>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121</v>
      </c>
      <c r="F7" s="158" t="s">
        <v>230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122</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123</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134</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135</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229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88"/>
      <c r="C14" s="489" t="s">
        <v>115</v>
      </c>
      <c r="D14" s="490"/>
      <c r="E14" s="490"/>
      <c r="F14" s="490"/>
      <c r="G14" s="490"/>
      <c r="H14" s="490"/>
      <c r="I14" s="490"/>
      <c r="J14" s="490"/>
      <c r="K14" s="490"/>
      <c r="L14" s="489" t="s">
        <v>120</v>
      </c>
      <c r="M14" s="490"/>
      <c r="N14" s="490"/>
      <c r="O14" s="490"/>
      <c r="P14" s="490"/>
      <c r="Q14" s="490"/>
      <c r="R14" s="490"/>
      <c r="S14" s="490"/>
      <c r="T14" s="490"/>
      <c r="U14" s="489" t="s">
        <v>116</v>
      </c>
      <c r="V14" s="490"/>
      <c r="W14" s="490"/>
      <c r="X14" s="490"/>
      <c r="Y14" s="490"/>
      <c r="Z14" s="490"/>
      <c r="AA14" s="490"/>
      <c r="AB14" s="490"/>
      <c r="AC14" s="491"/>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2"/>
      <c r="C15" s="549" t="s">
        <v>117</v>
      </c>
      <c r="D15" s="550"/>
      <c r="E15" s="550"/>
      <c r="F15" s="550" t="s">
        <v>118</v>
      </c>
      <c r="G15" s="550"/>
      <c r="H15" s="550"/>
      <c r="I15" s="550" t="s">
        <v>119</v>
      </c>
      <c r="J15" s="552"/>
      <c r="K15" s="552"/>
      <c r="L15" s="549" t="s">
        <v>117</v>
      </c>
      <c r="M15" s="550"/>
      <c r="N15" s="550"/>
      <c r="O15" s="550" t="s">
        <v>118</v>
      </c>
      <c r="P15" s="550"/>
      <c r="Q15" s="550"/>
      <c r="R15" s="550" t="s">
        <v>119</v>
      </c>
      <c r="S15" s="552"/>
      <c r="T15" s="552"/>
      <c r="U15" s="549" t="s">
        <v>117</v>
      </c>
      <c r="V15" s="550"/>
      <c r="W15" s="550"/>
      <c r="X15" s="550" t="s">
        <v>118</v>
      </c>
      <c r="Y15" s="550"/>
      <c r="Z15" s="550"/>
      <c r="AA15" s="550" t="s">
        <v>119</v>
      </c>
      <c r="AB15" s="550"/>
      <c r="AC15" s="551"/>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3" t="s">
        <v>107</v>
      </c>
      <c r="C16" s="217" t="s">
        <v>108</v>
      </c>
      <c r="D16" s="218" t="s">
        <v>109</v>
      </c>
      <c r="E16" s="218" t="s">
        <v>110</v>
      </c>
      <c r="F16" s="219" t="s">
        <v>108</v>
      </c>
      <c r="G16" s="218" t="s">
        <v>109</v>
      </c>
      <c r="H16" s="218" t="s">
        <v>110</v>
      </c>
      <c r="I16" s="219" t="s">
        <v>108</v>
      </c>
      <c r="J16" s="218" t="s">
        <v>109</v>
      </c>
      <c r="K16" s="218" t="s">
        <v>110</v>
      </c>
      <c r="L16" s="220" t="s">
        <v>111</v>
      </c>
      <c r="M16" s="218" t="s">
        <v>112</v>
      </c>
      <c r="N16" s="221" t="s">
        <v>110</v>
      </c>
      <c r="O16" s="222" t="s">
        <v>111</v>
      </c>
      <c r="P16" s="218" t="s">
        <v>112</v>
      </c>
      <c r="Q16" s="218" t="s">
        <v>110</v>
      </c>
      <c r="R16" s="219" t="s">
        <v>111</v>
      </c>
      <c r="S16" s="218" t="s">
        <v>112</v>
      </c>
      <c r="T16" s="221" t="s">
        <v>110</v>
      </c>
      <c r="U16" s="220" t="s">
        <v>113</v>
      </c>
      <c r="V16" s="218" t="s">
        <v>109</v>
      </c>
      <c r="W16" s="221" t="s">
        <v>110</v>
      </c>
      <c r="X16" s="222" t="s">
        <v>113</v>
      </c>
      <c r="Y16" s="218" t="s">
        <v>109</v>
      </c>
      <c r="Z16" s="218" t="s">
        <v>110</v>
      </c>
      <c r="AA16" s="219" t="s">
        <v>113</v>
      </c>
      <c r="AB16" s="218" t="s">
        <v>109</v>
      </c>
      <c r="AC16" s="494" t="s">
        <v>110</v>
      </c>
      <c r="AD16" s="137" t="s">
        <v>107</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166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5"/>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167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6"/>
      <c r="AD18" s="138" t="s">
        <v>139</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168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6"/>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169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6"/>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170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6"/>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171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6"/>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172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6"/>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173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6"/>
      <c r="AD24" s="138" t="s">
        <v>10</v>
      </c>
      <c r="AE24" s="117"/>
      <c r="AF24" s="117"/>
      <c r="AG24" s="497"/>
      <c r="AH24" s="497"/>
      <c r="AI24" s="497"/>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6"/>
      <c r="AD25" s="138" t="s">
        <v>11</v>
      </c>
      <c r="AE25" s="117"/>
      <c r="AF25" s="117"/>
      <c r="AG25" s="497"/>
      <c r="AH25" s="497"/>
      <c r="AI25" s="497"/>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174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6"/>
      <c r="AD26" s="138" t="s">
        <v>12</v>
      </c>
      <c r="AE26" s="117"/>
      <c r="AF26" s="117"/>
      <c r="AG26" s="497"/>
      <c r="AH26" s="497"/>
      <c r="AI26" s="497"/>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175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6"/>
      <c r="AD27" s="138" t="s">
        <v>13</v>
      </c>
      <c r="AE27" s="117"/>
      <c r="AF27" s="117"/>
      <c r="AG27" s="497"/>
      <c r="AH27" s="497"/>
      <c r="AI27" s="497"/>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176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6"/>
      <c r="AD28" s="138" t="s">
        <v>140</v>
      </c>
      <c r="AE28" s="117"/>
      <c r="AF28" s="117"/>
      <c r="AG28" s="497"/>
      <c r="AH28" s="497"/>
      <c r="AI28" s="497"/>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177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6"/>
      <c r="AD29" s="138" t="s">
        <v>14</v>
      </c>
      <c r="AE29" s="117"/>
      <c r="AF29" s="117"/>
      <c r="AG29" s="497"/>
      <c r="AH29" s="497"/>
      <c r="AI29" s="497"/>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178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6"/>
      <c r="AD30" s="138" t="s">
        <v>15</v>
      </c>
      <c r="AE30" s="117"/>
      <c r="AF30" s="117"/>
      <c r="AG30" s="497"/>
      <c r="AH30" s="497"/>
      <c r="AI30" s="497"/>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179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6"/>
      <c r="AD31" s="138" t="s">
        <v>16</v>
      </c>
      <c r="AE31" s="117"/>
      <c r="AF31" s="117"/>
      <c r="AG31" s="498"/>
      <c r="AH31" s="497"/>
      <c r="AI31" s="497"/>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180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6"/>
      <c r="AD32" s="138" t="s">
        <v>17</v>
      </c>
      <c r="AE32" s="117"/>
      <c r="AF32" s="117"/>
      <c r="AG32" s="497"/>
      <c r="AH32" s="497"/>
      <c r="AI32" s="497"/>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181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6"/>
      <c r="AD33" s="138" t="s">
        <v>18</v>
      </c>
      <c r="AE33" s="117"/>
      <c r="AF33" s="117"/>
      <c r="AG33" s="497"/>
      <c r="AH33" s="497"/>
      <c r="AI33" s="497"/>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182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6"/>
      <c r="AD34" s="138" t="s">
        <v>19</v>
      </c>
      <c r="AE34" s="117"/>
      <c r="AF34" s="117"/>
      <c r="AG34" s="497"/>
      <c r="AH34" s="497"/>
      <c r="AI34" s="497"/>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183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6"/>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184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6"/>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185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6"/>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186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6"/>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187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6"/>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188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6"/>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189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6"/>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190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6"/>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191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6"/>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192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6"/>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193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6"/>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194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6"/>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195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6"/>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196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6"/>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197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6"/>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198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6"/>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199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6"/>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200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6"/>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201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6"/>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202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6"/>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203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6"/>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204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6"/>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205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6"/>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206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6"/>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207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6"/>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208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6"/>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209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6"/>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210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6"/>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211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6"/>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212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6"/>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213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6"/>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214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6"/>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215</v>
      </c>
      <c r="C67" s="504"/>
      <c r="D67" s="499"/>
      <c r="E67" s="505"/>
      <c r="F67" s="506"/>
      <c r="G67" s="499"/>
      <c r="H67" s="505"/>
      <c r="I67" s="506"/>
      <c r="J67" s="499"/>
      <c r="K67" s="499"/>
      <c r="L67" s="499"/>
      <c r="M67" s="499"/>
      <c r="N67" s="499"/>
      <c r="O67" s="499"/>
      <c r="P67" s="499"/>
      <c r="Q67" s="499"/>
      <c r="R67" s="499"/>
      <c r="S67" s="499"/>
      <c r="T67" s="499"/>
      <c r="U67" s="499"/>
      <c r="V67" s="499"/>
      <c r="W67" s="499"/>
      <c r="X67" s="499"/>
      <c r="Y67" s="499"/>
      <c r="Z67" s="499"/>
      <c r="AA67" s="499"/>
      <c r="AB67" s="499"/>
      <c r="AC67" s="500"/>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1"/>
      <c r="Q80" s="123"/>
      <c r="R80" s="123"/>
      <c r="S80" s="501"/>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2"/>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3" t="b">
        <v>1</v>
      </c>
      <c r="F173" s="502" t="s">
        <v>100</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3" t="b">
        <v>0</v>
      </c>
      <c r="F174" s="502" t="s">
        <v>221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3"/>
      <c r="F175" s="502" t="s">
        <v>223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2" t="s">
        <v>165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2" t="s">
        <v>222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2" t="s">
        <v>218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2" t="s">
        <v>224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2" t="s">
        <v>219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2" t="s">
        <v>225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2" t="s">
        <v>220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2"/>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2"/>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2"/>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2"/>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2"/>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2"/>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2"/>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2"/>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2"/>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ColWidth="10.83203125" defaultRowHeight="12" x14ac:dyDescent="0"/>
  <cols>
    <col min="1" max="1" width="10.83203125" style="444"/>
    <col min="2" max="2" width="15.1640625" style="444" customWidth="1"/>
    <col min="3" max="3" width="32.5" style="444" customWidth="1"/>
    <col min="4" max="4" width="10.83203125" style="444"/>
    <col min="5" max="5" width="6.1640625" style="444" bestFit="1" customWidth="1"/>
    <col min="6" max="9" width="15.5" style="444" customWidth="1"/>
    <col min="10" max="10" width="14.6640625" style="444" customWidth="1"/>
    <col min="11" max="17" width="15.5" style="444" customWidth="1"/>
    <col min="18" max="18" width="15" style="444" customWidth="1"/>
    <col min="19" max="19" width="15.33203125" style="444" customWidth="1"/>
    <col min="20" max="20" width="7.1640625" style="444" customWidth="1"/>
    <col min="21" max="21" width="47.33203125" style="444" customWidth="1"/>
    <col min="22" max="23" width="20.33203125" style="444" customWidth="1"/>
    <col min="24" max="16384" width="10.83203125" style="444"/>
  </cols>
  <sheetData>
    <row r="2" spans="2:19" ht="32">
      <c r="B2" s="443" t="s">
        <v>303</v>
      </c>
    </row>
    <row r="5" spans="2:19" ht="18" customHeight="1">
      <c r="B5" s="445" t="s">
        <v>313</v>
      </c>
      <c r="C5" s="451" t="s">
        <v>309</v>
      </c>
      <c r="H5" s="467"/>
    </row>
    <row r="6" spans="2:19" ht="18">
      <c r="E6" s="445" t="str">
        <f>C5 &amp; " Scenario"</f>
        <v>BAU Scenario</v>
      </c>
    </row>
    <row r="7" spans="2:19" ht="27" thickBot="1">
      <c r="B7" s="445" t="s">
        <v>307</v>
      </c>
      <c r="C7" s="262"/>
      <c r="F7" s="553" t="s">
        <v>117</v>
      </c>
      <c r="G7" s="554"/>
      <c r="H7" s="554"/>
      <c r="I7" s="555"/>
      <c r="J7" s="553" t="s">
        <v>118</v>
      </c>
      <c r="K7" s="554"/>
      <c r="L7" s="554"/>
      <c r="M7" s="555"/>
      <c r="N7" s="553" t="s">
        <v>119</v>
      </c>
      <c r="O7" s="554"/>
      <c r="P7" s="554"/>
      <c r="Q7" s="555"/>
    </row>
    <row r="8" spans="2:19" ht="50" customHeight="1" thickTop="1" thickBot="1">
      <c r="B8" s="446" t="s">
        <v>121</v>
      </c>
      <c r="C8" s="447" t="s">
        <v>323</v>
      </c>
      <c r="E8" s="452" t="s">
        <v>283</v>
      </c>
      <c r="F8" s="452" t="s">
        <v>304</v>
      </c>
      <c r="G8" s="453" t="s">
        <v>321</v>
      </c>
      <c r="H8" s="453" t="s">
        <v>305</v>
      </c>
      <c r="I8" s="454" t="s">
        <v>306</v>
      </c>
      <c r="J8" s="452" t="s">
        <v>304</v>
      </c>
      <c r="K8" s="453" t="s">
        <v>321</v>
      </c>
      <c r="L8" s="453" t="s">
        <v>305</v>
      </c>
      <c r="M8" s="454" t="s">
        <v>306</v>
      </c>
      <c r="N8" s="452" t="s">
        <v>304</v>
      </c>
      <c r="O8" s="453" t="s">
        <v>321</v>
      </c>
      <c r="P8" s="453" t="s">
        <v>305</v>
      </c>
      <c r="Q8" s="454" t="s">
        <v>306</v>
      </c>
      <c r="R8" s="452" t="s">
        <v>315</v>
      </c>
      <c r="S8" s="454" t="s">
        <v>314</v>
      </c>
    </row>
    <row r="9" spans="2:19" ht="18">
      <c r="B9" s="469" t="s">
        <v>122</v>
      </c>
      <c r="C9" s="470" t="b">
        <v>1</v>
      </c>
      <c r="E9" s="461" t="s">
        <v>167</v>
      </c>
      <c r="F9" s="464">
        <v>25</v>
      </c>
      <c r="G9" s="456">
        <v>0</v>
      </c>
      <c r="H9" s="521">
        <v>0</v>
      </c>
      <c r="I9" s="481">
        <v>0</v>
      </c>
      <c r="J9" s="464">
        <v>25</v>
      </c>
      <c r="K9" s="456">
        <v>0</v>
      </c>
      <c r="L9" s="521">
        <v>0</v>
      </c>
      <c r="M9" s="483">
        <v>0</v>
      </c>
      <c r="N9" s="455">
        <v>25</v>
      </c>
      <c r="O9" s="456">
        <v>0</v>
      </c>
      <c r="P9" s="521">
        <v>0</v>
      </c>
      <c r="Q9" s="483">
        <v>0</v>
      </c>
      <c r="R9" s="475">
        <v>2014</v>
      </c>
      <c r="S9" s="476">
        <v>2050</v>
      </c>
    </row>
    <row r="10" spans="2:19" ht="18">
      <c r="B10" s="471" t="s">
        <v>123</v>
      </c>
      <c r="C10" s="472" t="b">
        <v>1</v>
      </c>
      <c r="E10" s="462" t="s">
        <v>166</v>
      </c>
      <c r="F10" s="465">
        <v>0</v>
      </c>
      <c r="G10" s="458">
        <v>0</v>
      </c>
      <c r="H10" s="458">
        <v>0</v>
      </c>
      <c r="I10" s="524">
        <v>0</v>
      </c>
      <c r="J10" s="465">
        <v>0</v>
      </c>
      <c r="K10" s="458">
        <v>0</v>
      </c>
      <c r="L10" s="458">
        <v>0</v>
      </c>
      <c r="M10" s="525">
        <v>0</v>
      </c>
      <c r="N10" s="457">
        <v>0</v>
      </c>
      <c r="O10" s="458">
        <v>0</v>
      </c>
      <c r="P10" s="458">
        <v>0</v>
      </c>
      <c r="Q10" s="525">
        <v>0</v>
      </c>
      <c r="R10" s="477">
        <v>2014</v>
      </c>
      <c r="S10" s="478">
        <v>2050</v>
      </c>
    </row>
    <row r="11" spans="2:19" ht="18">
      <c r="B11" s="471" t="s">
        <v>329</v>
      </c>
      <c r="C11" s="472" t="b">
        <v>1</v>
      </c>
      <c r="E11" s="462" t="s">
        <v>169</v>
      </c>
      <c r="F11" s="465">
        <v>25</v>
      </c>
      <c r="G11" s="458">
        <v>0</v>
      </c>
      <c r="H11" s="522">
        <v>0</v>
      </c>
      <c r="I11" s="482">
        <v>0</v>
      </c>
      <c r="J11" s="465">
        <v>300</v>
      </c>
      <c r="K11" s="458">
        <v>0</v>
      </c>
      <c r="L11" s="522">
        <v>0</v>
      </c>
      <c r="M11" s="484">
        <v>0</v>
      </c>
      <c r="N11" s="457">
        <v>300</v>
      </c>
      <c r="O11" s="458">
        <v>0</v>
      </c>
      <c r="P11" s="522">
        <v>0</v>
      </c>
      <c r="Q11" s="484">
        <v>0</v>
      </c>
      <c r="R11" s="477">
        <v>2014</v>
      </c>
      <c r="S11" s="478">
        <v>2050</v>
      </c>
    </row>
    <row r="12" spans="2:19" ht="19" thickBot="1">
      <c r="B12" s="473" t="s">
        <v>135</v>
      </c>
      <c r="C12" s="474" t="b">
        <v>1</v>
      </c>
      <c r="E12" s="462" t="s">
        <v>168</v>
      </c>
      <c r="F12" s="465" t="s">
        <v>317</v>
      </c>
      <c r="G12" s="458">
        <v>0</v>
      </c>
      <c r="H12" s="522">
        <v>0</v>
      </c>
      <c r="I12" s="482">
        <v>0</v>
      </c>
      <c r="J12" s="465" t="s">
        <v>317</v>
      </c>
      <c r="K12" s="458">
        <v>0</v>
      </c>
      <c r="L12" s="522">
        <v>0</v>
      </c>
      <c r="M12" s="484">
        <v>0</v>
      </c>
      <c r="N12" s="457" t="s">
        <v>317</v>
      </c>
      <c r="O12" s="458">
        <v>0</v>
      </c>
      <c r="P12" s="522">
        <v>0</v>
      </c>
      <c r="Q12" s="484">
        <v>0</v>
      </c>
      <c r="R12" s="477">
        <v>2014</v>
      </c>
      <c r="S12" s="478">
        <v>2050</v>
      </c>
    </row>
    <row r="13" spans="2:19" ht="13" thickTop="1">
      <c r="E13" s="462" t="s">
        <v>170</v>
      </c>
      <c r="F13" s="465">
        <v>1000</v>
      </c>
      <c r="G13" s="458">
        <v>0</v>
      </c>
      <c r="H13" s="522">
        <v>0</v>
      </c>
      <c r="I13" s="482">
        <v>0</v>
      </c>
      <c r="J13" s="465">
        <v>1000</v>
      </c>
      <c r="K13" s="458">
        <v>0</v>
      </c>
      <c r="L13" s="522">
        <v>0</v>
      </c>
      <c r="M13" s="484">
        <v>0</v>
      </c>
      <c r="N13" s="457">
        <v>1000</v>
      </c>
      <c r="O13" s="458">
        <v>0</v>
      </c>
      <c r="P13" s="522">
        <v>0</v>
      </c>
      <c r="Q13" s="484">
        <v>0</v>
      </c>
      <c r="R13" s="477">
        <v>2014</v>
      </c>
      <c r="S13" s="478">
        <v>2050</v>
      </c>
    </row>
    <row r="14" spans="2:19" ht="12" customHeight="1">
      <c r="B14" s="558" t="s">
        <v>324</v>
      </c>
      <c r="C14" s="558"/>
      <c r="E14" s="462" t="s">
        <v>171</v>
      </c>
      <c r="F14" s="465" t="s">
        <v>317</v>
      </c>
      <c r="G14" s="458">
        <v>0</v>
      </c>
      <c r="H14" s="522">
        <v>0</v>
      </c>
      <c r="I14" s="482">
        <v>0</v>
      </c>
      <c r="J14" s="465" t="s">
        <v>317</v>
      </c>
      <c r="K14" s="458">
        <v>0</v>
      </c>
      <c r="L14" s="522">
        <v>0</v>
      </c>
      <c r="M14" s="484">
        <v>0</v>
      </c>
      <c r="N14" s="457" t="s">
        <v>317</v>
      </c>
      <c r="O14" s="458">
        <v>0</v>
      </c>
      <c r="P14" s="522">
        <v>0</v>
      </c>
      <c r="Q14" s="484">
        <v>0</v>
      </c>
      <c r="R14" s="477">
        <v>2014</v>
      </c>
      <c r="S14" s="478">
        <v>2050</v>
      </c>
    </row>
    <row r="15" spans="2:19" ht="12" customHeight="1">
      <c r="B15" s="558"/>
      <c r="C15" s="558"/>
      <c r="E15" s="462" t="s">
        <v>172</v>
      </c>
      <c r="F15" s="465">
        <v>2000</v>
      </c>
      <c r="G15" s="458">
        <v>0</v>
      </c>
      <c r="H15" s="522">
        <v>0</v>
      </c>
      <c r="I15" s="482">
        <v>0</v>
      </c>
      <c r="J15" s="465">
        <v>2000</v>
      </c>
      <c r="K15" s="458">
        <v>0</v>
      </c>
      <c r="L15" s="522">
        <v>0</v>
      </c>
      <c r="M15" s="484">
        <v>0</v>
      </c>
      <c r="N15" s="457">
        <v>2000</v>
      </c>
      <c r="O15" s="458">
        <v>0</v>
      </c>
      <c r="P15" s="522">
        <v>0</v>
      </c>
      <c r="Q15" s="484">
        <v>0</v>
      </c>
      <c r="R15" s="477">
        <v>2014</v>
      </c>
      <c r="S15" s="478">
        <v>2050</v>
      </c>
    </row>
    <row r="16" spans="2:19" ht="12" customHeight="1">
      <c r="B16" s="558"/>
      <c r="C16" s="558"/>
      <c r="E16" s="462" t="s">
        <v>11</v>
      </c>
      <c r="F16" s="465">
        <v>1000</v>
      </c>
      <c r="G16" s="458">
        <v>0</v>
      </c>
      <c r="H16" s="522">
        <v>0</v>
      </c>
      <c r="I16" s="482">
        <v>0</v>
      </c>
      <c r="J16" s="465">
        <v>1000</v>
      </c>
      <c r="K16" s="458">
        <v>0</v>
      </c>
      <c r="L16" s="522">
        <v>0</v>
      </c>
      <c r="M16" s="484">
        <v>0</v>
      </c>
      <c r="N16" s="457">
        <v>0</v>
      </c>
      <c r="O16" s="458">
        <v>0</v>
      </c>
      <c r="P16" s="458">
        <v>0</v>
      </c>
      <c r="Q16" s="525">
        <v>0</v>
      </c>
      <c r="R16" s="477">
        <v>2014</v>
      </c>
      <c r="S16" s="478">
        <v>2050</v>
      </c>
    </row>
    <row r="17" spans="2:19" ht="12" customHeight="1">
      <c r="B17" s="558"/>
      <c r="C17" s="558"/>
      <c r="E17" s="462" t="s">
        <v>173</v>
      </c>
      <c r="F17" s="465">
        <v>25</v>
      </c>
      <c r="G17" s="458">
        <v>0</v>
      </c>
      <c r="H17" s="522">
        <v>0</v>
      </c>
      <c r="I17" s="482">
        <v>0</v>
      </c>
      <c r="J17" s="465">
        <v>2000</v>
      </c>
      <c r="K17" s="458">
        <v>0</v>
      </c>
      <c r="L17" s="522">
        <v>0</v>
      </c>
      <c r="M17" s="484">
        <v>0</v>
      </c>
      <c r="N17" s="457">
        <v>2000</v>
      </c>
      <c r="O17" s="458">
        <v>0</v>
      </c>
      <c r="P17" s="522">
        <v>0</v>
      </c>
      <c r="Q17" s="484">
        <v>0</v>
      </c>
      <c r="R17" s="477">
        <v>2014</v>
      </c>
      <c r="S17" s="478">
        <v>2050</v>
      </c>
    </row>
    <row r="18" spans="2:19" ht="13" customHeight="1">
      <c r="B18" s="558"/>
      <c r="C18" s="558"/>
      <c r="E18" s="462" t="s">
        <v>174</v>
      </c>
      <c r="F18" s="465">
        <v>2000</v>
      </c>
      <c r="G18" s="458">
        <v>0</v>
      </c>
      <c r="H18" s="522">
        <v>0</v>
      </c>
      <c r="I18" s="482">
        <v>0</v>
      </c>
      <c r="J18" s="465">
        <v>2000</v>
      </c>
      <c r="K18" s="458">
        <v>0</v>
      </c>
      <c r="L18" s="522">
        <v>0</v>
      </c>
      <c r="M18" s="484">
        <v>0</v>
      </c>
      <c r="N18" s="457">
        <v>2000</v>
      </c>
      <c r="O18" s="458">
        <v>0</v>
      </c>
      <c r="P18" s="522">
        <v>0</v>
      </c>
      <c r="Q18" s="484">
        <v>0</v>
      </c>
      <c r="R18" s="477">
        <v>2014</v>
      </c>
      <c r="S18" s="478">
        <v>2050</v>
      </c>
    </row>
    <row r="19" spans="2:19" ht="12" customHeight="1">
      <c r="B19" s="558"/>
      <c r="C19" s="558"/>
      <c r="E19" s="462" t="s">
        <v>175</v>
      </c>
      <c r="F19" s="465">
        <v>10</v>
      </c>
      <c r="G19" s="458">
        <v>0</v>
      </c>
      <c r="H19" s="522">
        <v>0</v>
      </c>
      <c r="I19" s="482">
        <v>0</v>
      </c>
      <c r="J19" s="465">
        <v>100</v>
      </c>
      <c r="K19" s="458">
        <v>0</v>
      </c>
      <c r="L19" s="522">
        <v>0</v>
      </c>
      <c r="M19" s="484">
        <v>0</v>
      </c>
      <c r="N19" s="457">
        <v>100</v>
      </c>
      <c r="O19" s="458">
        <v>0</v>
      </c>
      <c r="P19" s="522">
        <v>0</v>
      </c>
      <c r="Q19" s="484">
        <v>0</v>
      </c>
      <c r="R19" s="477">
        <v>2014</v>
      </c>
      <c r="S19" s="478">
        <v>2050</v>
      </c>
    </row>
    <row r="20" spans="2:19" ht="12" customHeight="1">
      <c r="B20" s="558"/>
      <c r="C20" s="558"/>
      <c r="E20" s="462" t="s">
        <v>176</v>
      </c>
      <c r="F20" s="465">
        <v>100</v>
      </c>
      <c r="G20" s="458">
        <v>0</v>
      </c>
      <c r="H20" s="522">
        <v>0</v>
      </c>
      <c r="I20" s="482">
        <v>0</v>
      </c>
      <c r="J20" s="465">
        <v>100</v>
      </c>
      <c r="K20" s="458">
        <v>0</v>
      </c>
      <c r="L20" s="522">
        <v>0</v>
      </c>
      <c r="M20" s="484">
        <v>0</v>
      </c>
      <c r="N20" s="457">
        <v>100</v>
      </c>
      <c r="O20" s="458">
        <v>0</v>
      </c>
      <c r="P20" s="522">
        <v>0</v>
      </c>
      <c r="Q20" s="484">
        <v>0</v>
      </c>
      <c r="R20" s="477">
        <v>2014</v>
      </c>
      <c r="S20" s="478">
        <v>2050</v>
      </c>
    </row>
    <row r="21" spans="2:19" ht="12" customHeight="1">
      <c r="B21" s="558"/>
      <c r="C21" s="558"/>
      <c r="E21" s="462" t="s">
        <v>180</v>
      </c>
      <c r="F21" s="465">
        <v>500</v>
      </c>
      <c r="G21" s="458">
        <v>0</v>
      </c>
      <c r="H21" s="522">
        <v>0</v>
      </c>
      <c r="I21" s="482">
        <v>0</v>
      </c>
      <c r="J21" s="465">
        <v>500</v>
      </c>
      <c r="K21" s="458">
        <v>0</v>
      </c>
      <c r="L21" s="522">
        <v>0</v>
      </c>
      <c r="M21" s="484">
        <v>0</v>
      </c>
      <c r="N21" s="457">
        <v>500</v>
      </c>
      <c r="O21" s="458">
        <v>0</v>
      </c>
      <c r="P21" s="522">
        <v>0</v>
      </c>
      <c r="Q21" s="484">
        <v>0</v>
      </c>
      <c r="R21" s="477">
        <v>2014</v>
      </c>
      <c r="S21" s="478">
        <v>2050</v>
      </c>
    </row>
    <row r="22" spans="2:19" ht="12" customHeight="1">
      <c r="B22" s="558"/>
      <c r="C22" s="558"/>
      <c r="E22" s="462" t="s">
        <v>177</v>
      </c>
      <c r="F22" s="465">
        <v>0</v>
      </c>
      <c r="G22" s="458">
        <v>0</v>
      </c>
      <c r="H22" s="458">
        <v>0</v>
      </c>
      <c r="I22" s="524">
        <v>0</v>
      </c>
      <c r="J22" s="465">
        <v>0</v>
      </c>
      <c r="K22" s="458">
        <v>0</v>
      </c>
      <c r="L22" s="458">
        <v>0</v>
      </c>
      <c r="M22" s="525">
        <v>0</v>
      </c>
      <c r="N22" s="457">
        <v>0</v>
      </c>
      <c r="O22" s="458">
        <v>0</v>
      </c>
      <c r="P22" s="458">
        <v>0</v>
      </c>
      <c r="Q22" s="525">
        <v>0</v>
      </c>
      <c r="R22" s="477">
        <v>2014</v>
      </c>
      <c r="S22" s="478">
        <v>2050</v>
      </c>
    </row>
    <row r="23" spans="2:19" ht="12" customHeight="1">
      <c r="B23" s="558"/>
      <c r="C23" s="558"/>
      <c r="E23" s="462" t="s">
        <v>178</v>
      </c>
      <c r="F23" s="465">
        <v>40</v>
      </c>
      <c r="G23" s="458">
        <v>0</v>
      </c>
      <c r="H23" s="522">
        <v>0</v>
      </c>
      <c r="I23" s="482">
        <v>0</v>
      </c>
      <c r="J23" s="465">
        <v>40</v>
      </c>
      <c r="K23" s="458">
        <v>0</v>
      </c>
      <c r="L23" s="522">
        <v>0</v>
      </c>
      <c r="M23" s="484">
        <v>0</v>
      </c>
      <c r="N23" s="457">
        <v>40</v>
      </c>
      <c r="O23" s="458">
        <v>0</v>
      </c>
      <c r="P23" s="522">
        <v>0</v>
      </c>
      <c r="Q23" s="484">
        <v>0</v>
      </c>
      <c r="R23" s="477">
        <v>2014</v>
      </c>
      <c r="S23" s="478">
        <v>2050</v>
      </c>
    </row>
    <row r="24" spans="2:19" ht="12" customHeight="1">
      <c r="B24" s="558"/>
      <c r="C24" s="558"/>
      <c r="E24" s="462" t="s">
        <v>179</v>
      </c>
      <c r="F24" s="465">
        <v>1000</v>
      </c>
      <c r="G24" s="458">
        <v>0</v>
      </c>
      <c r="H24" s="522">
        <v>0</v>
      </c>
      <c r="I24" s="482">
        <v>0</v>
      </c>
      <c r="J24" s="465">
        <v>1000</v>
      </c>
      <c r="K24" s="458">
        <v>0</v>
      </c>
      <c r="L24" s="522">
        <v>0</v>
      </c>
      <c r="M24" s="484">
        <v>0</v>
      </c>
      <c r="N24" s="457">
        <v>1000</v>
      </c>
      <c r="O24" s="458">
        <v>0</v>
      </c>
      <c r="P24" s="522">
        <v>0</v>
      </c>
      <c r="Q24" s="484">
        <v>0</v>
      </c>
      <c r="R24" s="477">
        <v>2014</v>
      </c>
      <c r="S24" s="478">
        <v>2050</v>
      </c>
    </row>
    <row r="25" spans="2:19" ht="12" customHeight="1">
      <c r="B25" s="558"/>
      <c r="C25" s="558"/>
      <c r="E25" s="462" t="s">
        <v>181</v>
      </c>
      <c r="F25" s="465">
        <v>25</v>
      </c>
      <c r="G25" s="458">
        <v>0</v>
      </c>
      <c r="H25" s="522">
        <v>0</v>
      </c>
      <c r="I25" s="482">
        <v>0</v>
      </c>
      <c r="J25" s="465">
        <v>200</v>
      </c>
      <c r="K25" s="458">
        <v>0</v>
      </c>
      <c r="L25" s="522">
        <v>0</v>
      </c>
      <c r="M25" s="484">
        <v>0</v>
      </c>
      <c r="N25" s="457">
        <v>200</v>
      </c>
      <c r="O25" s="458">
        <v>0</v>
      </c>
      <c r="P25" s="522">
        <v>0</v>
      </c>
      <c r="Q25" s="484">
        <v>0</v>
      </c>
      <c r="R25" s="477">
        <v>2014</v>
      </c>
      <c r="S25" s="478">
        <v>2050</v>
      </c>
    </row>
    <row r="26" spans="2:19" ht="12" customHeight="1">
      <c r="B26" s="558"/>
      <c r="C26" s="558"/>
      <c r="E26" s="462" t="s">
        <v>182</v>
      </c>
      <c r="F26" s="465">
        <v>30</v>
      </c>
      <c r="G26" s="458">
        <v>0</v>
      </c>
      <c r="H26" s="522">
        <v>0</v>
      </c>
      <c r="I26" s="482">
        <v>0</v>
      </c>
      <c r="J26" s="465">
        <v>30</v>
      </c>
      <c r="K26" s="458">
        <v>0</v>
      </c>
      <c r="L26" s="522">
        <v>0</v>
      </c>
      <c r="M26" s="484">
        <v>0</v>
      </c>
      <c r="N26" s="457">
        <v>30</v>
      </c>
      <c r="O26" s="458">
        <v>0</v>
      </c>
      <c r="P26" s="522">
        <v>0</v>
      </c>
      <c r="Q26" s="484">
        <v>0</v>
      </c>
      <c r="R26" s="477">
        <v>2014</v>
      </c>
      <c r="S26" s="478">
        <v>2050</v>
      </c>
    </row>
    <row r="27" spans="2:19" ht="12" customHeight="1">
      <c r="B27" s="558"/>
      <c r="C27" s="558"/>
      <c r="E27" s="462" t="s">
        <v>183</v>
      </c>
      <c r="F27" s="465">
        <v>25</v>
      </c>
      <c r="G27" s="458">
        <v>0</v>
      </c>
      <c r="H27" s="522">
        <v>0</v>
      </c>
      <c r="I27" s="482">
        <v>0</v>
      </c>
      <c r="J27" s="465">
        <v>300</v>
      </c>
      <c r="K27" s="458">
        <v>0</v>
      </c>
      <c r="L27" s="522">
        <v>0</v>
      </c>
      <c r="M27" s="484">
        <v>0</v>
      </c>
      <c r="N27" s="457">
        <v>0</v>
      </c>
      <c r="O27" s="458">
        <v>0</v>
      </c>
      <c r="P27" s="458">
        <v>0</v>
      </c>
      <c r="Q27" s="525">
        <v>0</v>
      </c>
      <c r="R27" s="477">
        <v>2014</v>
      </c>
      <c r="S27" s="478">
        <v>2050</v>
      </c>
    </row>
    <row r="28" spans="2:19" ht="12" customHeight="1">
      <c r="B28" s="558"/>
      <c r="C28" s="558"/>
      <c r="E28" s="462" t="s">
        <v>186</v>
      </c>
      <c r="F28" s="465">
        <v>2000</v>
      </c>
      <c r="G28" s="458">
        <v>0</v>
      </c>
      <c r="H28" s="522">
        <v>0</v>
      </c>
      <c r="I28" s="482">
        <v>0</v>
      </c>
      <c r="J28" s="465">
        <v>2000</v>
      </c>
      <c r="K28" s="458">
        <v>0</v>
      </c>
      <c r="L28" s="522">
        <v>0</v>
      </c>
      <c r="M28" s="484">
        <v>0</v>
      </c>
      <c r="N28" s="457">
        <v>2000</v>
      </c>
      <c r="O28" s="458">
        <v>0</v>
      </c>
      <c r="P28" s="522">
        <v>0</v>
      </c>
      <c r="Q28" s="484">
        <v>0</v>
      </c>
      <c r="R28" s="477">
        <v>2014</v>
      </c>
      <c r="S28" s="478">
        <v>2050</v>
      </c>
    </row>
    <row r="29" spans="2:19" ht="12" customHeight="1">
      <c r="B29" s="558"/>
      <c r="C29" s="558"/>
      <c r="E29" s="462" t="s">
        <v>185</v>
      </c>
      <c r="F29" s="465">
        <v>2000</v>
      </c>
      <c r="G29" s="458">
        <v>0</v>
      </c>
      <c r="H29" s="522">
        <v>0</v>
      </c>
      <c r="I29" s="482">
        <v>0</v>
      </c>
      <c r="J29" s="465">
        <v>2000</v>
      </c>
      <c r="K29" s="458">
        <v>0</v>
      </c>
      <c r="L29" s="522">
        <v>0</v>
      </c>
      <c r="M29" s="484">
        <v>0</v>
      </c>
      <c r="N29" s="457">
        <v>2000</v>
      </c>
      <c r="O29" s="458">
        <v>0</v>
      </c>
      <c r="P29" s="522">
        <v>0</v>
      </c>
      <c r="Q29" s="484">
        <v>0</v>
      </c>
      <c r="R29" s="477">
        <v>2014</v>
      </c>
      <c r="S29" s="478">
        <v>2050</v>
      </c>
    </row>
    <row r="30" spans="2:19" ht="12" customHeight="1">
      <c r="B30" s="558"/>
      <c r="C30" s="558"/>
      <c r="E30" s="462" t="s">
        <v>184</v>
      </c>
      <c r="F30" s="465">
        <v>660</v>
      </c>
      <c r="G30" s="458">
        <v>0</v>
      </c>
      <c r="H30" s="522">
        <v>0</v>
      </c>
      <c r="I30" s="482">
        <v>0</v>
      </c>
      <c r="J30" s="465">
        <v>660</v>
      </c>
      <c r="K30" s="458">
        <v>0</v>
      </c>
      <c r="L30" s="522">
        <v>0</v>
      </c>
      <c r="M30" s="484">
        <v>0</v>
      </c>
      <c r="N30" s="457">
        <v>660</v>
      </c>
      <c r="O30" s="458">
        <v>0</v>
      </c>
      <c r="P30" s="522">
        <v>0</v>
      </c>
      <c r="Q30" s="484">
        <v>0</v>
      </c>
      <c r="R30" s="477">
        <v>2014</v>
      </c>
      <c r="S30" s="478">
        <v>2050</v>
      </c>
    </row>
    <row r="31" spans="2:19" ht="12" customHeight="1">
      <c r="B31" s="558"/>
      <c r="C31" s="558"/>
      <c r="E31" s="462" t="s">
        <v>187</v>
      </c>
      <c r="F31" s="465">
        <v>150</v>
      </c>
      <c r="G31" s="458">
        <v>0</v>
      </c>
      <c r="H31" s="522">
        <v>0</v>
      </c>
      <c r="I31" s="482">
        <v>0</v>
      </c>
      <c r="J31" s="465">
        <v>150</v>
      </c>
      <c r="K31" s="458">
        <v>0</v>
      </c>
      <c r="L31" s="522">
        <v>0</v>
      </c>
      <c r="M31" s="484">
        <v>0</v>
      </c>
      <c r="N31" s="457">
        <v>150</v>
      </c>
      <c r="O31" s="458">
        <v>0</v>
      </c>
      <c r="P31" s="522">
        <v>0</v>
      </c>
      <c r="Q31" s="484">
        <v>0</v>
      </c>
      <c r="R31" s="477">
        <v>2014</v>
      </c>
      <c r="S31" s="478">
        <v>2050</v>
      </c>
    </row>
    <row r="32" spans="2:19" ht="12" customHeight="1">
      <c r="B32" s="558"/>
      <c r="C32" s="558"/>
      <c r="E32" s="462" t="s">
        <v>188</v>
      </c>
      <c r="F32" s="465">
        <v>1000</v>
      </c>
      <c r="G32" s="458">
        <v>0</v>
      </c>
      <c r="H32" s="522">
        <v>0</v>
      </c>
      <c r="I32" s="482">
        <v>0</v>
      </c>
      <c r="J32" s="465">
        <v>1000</v>
      </c>
      <c r="K32" s="458">
        <v>0</v>
      </c>
      <c r="L32" s="522">
        <v>0</v>
      </c>
      <c r="M32" s="484">
        <v>0</v>
      </c>
      <c r="N32" s="457">
        <v>1000</v>
      </c>
      <c r="O32" s="458">
        <v>0</v>
      </c>
      <c r="P32" s="522">
        <v>0</v>
      </c>
      <c r="Q32" s="484">
        <v>0</v>
      </c>
      <c r="R32" s="477">
        <v>2014</v>
      </c>
      <c r="S32" s="478">
        <v>2050</v>
      </c>
    </row>
    <row r="33" spans="2:19" ht="12" customHeight="1">
      <c r="B33" s="558"/>
      <c r="C33" s="558"/>
      <c r="E33" s="462" t="s">
        <v>190</v>
      </c>
      <c r="F33" s="465">
        <v>100</v>
      </c>
      <c r="G33" s="458">
        <v>0</v>
      </c>
      <c r="H33" s="522">
        <v>0</v>
      </c>
      <c r="I33" s="482">
        <v>0</v>
      </c>
      <c r="J33" s="465">
        <v>100</v>
      </c>
      <c r="K33" s="458">
        <v>0</v>
      </c>
      <c r="L33" s="522">
        <v>0</v>
      </c>
      <c r="M33" s="484">
        <v>0</v>
      </c>
      <c r="N33" s="457">
        <v>100</v>
      </c>
      <c r="O33" s="458">
        <v>0</v>
      </c>
      <c r="P33" s="522">
        <v>0</v>
      </c>
      <c r="Q33" s="484">
        <v>0</v>
      </c>
      <c r="R33" s="477">
        <v>2014</v>
      </c>
      <c r="S33" s="478">
        <v>2050</v>
      </c>
    </row>
    <row r="34" spans="2:19" ht="12" customHeight="1">
      <c r="B34" s="558"/>
      <c r="C34" s="558"/>
      <c r="E34" s="462" t="s">
        <v>189</v>
      </c>
      <c r="F34" s="465">
        <v>0</v>
      </c>
      <c r="G34" s="458">
        <v>0</v>
      </c>
      <c r="H34" s="458">
        <v>0</v>
      </c>
      <c r="I34" s="524">
        <v>0</v>
      </c>
      <c r="J34" s="465">
        <v>0</v>
      </c>
      <c r="K34" s="458">
        <v>0</v>
      </c>
      <c r="L34" s="458">
        <v>0</v>
      </c>
      <c r="M34" s="525">
        <v>0</v>
      </c>
      <c r="N34" s="457">
        <v>0</v>
      </c>
      <c r="O34" s="458">
        <v>0</v>
      </c>
      <c r="P34" s="458">
        <v>0</v>
      </c>
      <c r="Q34" s="525">
        <v>0</v>
      </c>
      <c r="R34" s="477">
        <v>2014</v>
      </c>
      <c r="S34" s="478">
        <v>2050</v>
      </c>
    </row>
    <row r="35" spans="2:19" ht="12" customHeight="1">
      <c r="B35" s="558"/>
      <c r="C35" s="558"/>
      <c r="E35" s="462" t="s">
        <v>191</v>
      </c>
      <c r="F35" s="465">
        <v>50</v>
      </c>
      <c r="G35" s="458">
        <v>0</v>
      </c>
      <c r="H35" s="522">
        <v>0</v>
      </c>
      <c r="I35" s="482">
        <v>0</v>
      </c>
      <c r="J35" s="465">
        <v>50</v>
      </c>
      <c r="K35" s="458">
        <v>0</v>
      </c>
      <c r="L35" s="522">
        <v>0</v>
      </c>
      <c r="M35" s="484">
        <v>0</v>
      </c>
      <c r="N35" s="457">
        <v>50</v>
      </c>
      <c r="O35" s="458">
        <v>0</v>
      </c>
      <c r="P35" s="522">
        <v>0</v>
      </c>
      <c r="Q35" s="484">
        <v>0</v>
      </c>
      <c r="R35" s="477">
        <v>2014</v>
      </c>
      <c r="S35" s="478">
        <v>2050</v>
      </c>
    </row>
    <row r="36" spans="2:19" ht="12" customHeight="1">
      <c r="B36" s="558"/>
      <c r="C36" s="558"/>
      <c r="E36" s="462" t="s">
        <v>198</v>
      </c>
      <c r="F36" s="465">
        <v>1000</v>
      </c>
      <c r="G36" s="458">
        <v>0</v>
      </c>
      <c r="H36" s="522">
        <v>0</v>
      </c>
      <c r="I36" s="482">
        <v>0</v>
      </c>
      <c r="J36" s="465">
        <v>1000</v>
      </c>
      <c r="K36" s="458">
        <v>0</v>
      </c>
      <c r="L36" s="522">
        <v>0</v>
      </c>
      <c r="M36" s="484">
        <v>0</v>
      </c>
      <c r="N36" s="457">
        <v>1000</v>
      </c>
      <c r="O36" s="458">
        <v>0</v>
      </c>
      <c r="P36" s="522">
        <v>0</v>
      </c>
      <c r="Q36" s="484">
        <v>0</v>
      </c>
      <c r="R36" s="477">
        <v>2014</v>
      </c>
      <c r="S36" s="478">
        <v>2050</v>
      </c>
    </row>
    <row r="37" spans="2:19" ht="12" customHeight="1">
      <c r="B37" s="558"/>
      <c r="C37" s="558"/>
      <c r="E37" s="462" t="s">
        <v>199</v>
      </c>
      <c r="F37" s="465">
        <v>100</v>
      </c>
      <c r="G37" s="458">
        <v>0</v>
      </c>
      <c r="H37" s="522">
        <v>0</v>
      </c>
      <c r="I37" s="482">
        <v>0</v>
      </c>
      <c r="J37" s="465">
        <v>100</v>
      </c>
      <c r="K37" s="458">
        <v>0</v>
      </c>
      <c r="L37" s="522">
        <v>0</v>
      </c>
      <c r="M37" s="484">
        <v>0</v>
      </c>
      <c r="N37" s="457">
        <v>100</v>
      </c>
      <c r="O37" s="458">
        <v>0</v>
      </c>
      <c r="P37" s="522">
        <v>0</v>
      </c>
      <c r="Q37" s="484">
        <v>0</v>
      </c>
      <c r="R37" s="477">
        <v>2014</v>
      </c>
      <c r="S37" s="478">
        <v>2050</v>
      </c>
    </row>
    <row r="38" spans="2:19" ht="12" customHeight="1">
      <c r="B38" s="558"/>
      <c r="C38" s="558"/>
      <c r="E38" s="462" t="s">
        <v>192</v>
      </c>
      <c r="F38" s="465">
        <v>25</v>
      </c>
      <c r="G38" s="458">
        <v>0</v>
      </c>
      <c r="H38" s="522">
        <v>0</v>
      </c>
      <c r="I38" s="482">
        <v>0</v>
      </c>
      <c r="J38" s="465">
        <v>25</v>
      </c>
      <c r="K38" s="458">
        <v>0</v>
      </c>
      <c r="L38" s="522">
        <v>0</v>
      </c>
      <c r="M38" s="484">
        <v>0</v>
      </c>
      <c r="N38" s="457">
        <v>25</v>
      </c>
      <c r="O38" s="458">
        <v>0</v>
      </c>
      <c r="P38" s="522">
        <v>0</v>
      </c>
      <c r="Q38" s="484">
        <v>0</v>
      </c>
      <c r="R38" s="477">
        <v>2014</v>
      </c>
      <c r="S38" s="478">
        <v>2050</v>
      </c>
    </row>
    <row r="39" spans="2:19">
      <c r="B39" s="558"/>
      <c r="C39" s="558"/>
      <c r="E39" s="462" t="s">
        <v>194</v>
      </c>
      <c r="F39" s="465">
        <v>100</v>
      </c>
      <c r="G39" s="458">
        <v>0</v>
      </c>
      <c r="H39" s="522">
        <v>0</v>
      </c>
      <c r="I39" s="482">
        <v>0</v>
      </c>
      <c r="J39" s="465">
        <v>100</v>
      </c>
      <c r="K39" s="458">
        <v>0</v>
      </c>
      <c r="L39" s="522">
        <v>0</v>
      </c>
      <c r="M39" s="484">
        <v>0</v>
      </c>
      <c r="N39" s="457">
        <v>100</v>
      </c>
      <c r="O39" s="458">
        <v>0</v>
      </c>
      <c r="P39" s="522">
        <v>0</v>
      </c>
      <c r="Q39" s="484">
        <v>0</v>
      </c>
      <c r="R39" s="477">
        <v>2014</v>
      </c>
      <c r="S39" s="478">
        <v>2050</v>
      </c>
    </row>
    <row r="40" spans="2:19">
      <c r="B40" s="558"/>
      <c r="C40" s="558"/>
      <c r="E40" s="462" t="s">
        <v>195</v>
      </c>
      <c r="F40" s="465" t="s">
        <v>317</v>
      </c>
      <c r="G40" s="458">
        <v>0</v>
      </c>
      <c r="H40" s="522">
        <v>0</v>
      </c>
      <c r="I40" s="482">
        <v>0</v>
      </c>
      <c r="J40" s="465" t="s">
        <v>317</v>
      </c>
      <c r="K40" s="458">
        <v>0</v>
      </c>
      <c r="L40" s="522">
        <v>0</v>
      </c>
      <c r="M40" s="484">
        <v>0</v>
      </c>
      <c r="N40" s="457" t="s">
        <v>317</v>
      </c>
      <c r="O40" s="458">
        <v>0</v>
      </c>
      <c r="P40" s="522">
        <v>0</v>
      </c>
      <c r="Q40" s="484">
        <v>0</v>
      </c>
      <c r="R40" s="477">
        <v>2014</v>
      </c>
      <c r="S40" s="478">
        <v>2050</v>
      </c>
    </row>
    <row r="41" spans="2:19">
      <c r="B41" s="558"/>
      <c r="C41" s="558"/>
      <c r="E41" s="462" t="s">
        <v>196</v>
      </c>
      <c r="F41" s="465">
        <v>80000</v>
      </c>
      <c r="G41" s="458">
        <v>0</v>
      </c>
      <c r="H41" s="522">
        <v>0</v>
      </c>
      <c r="I41" s="482">
        <v>0</v>
      </c>
      <c r="J41" s="465">
        <v>80000</v>
      </c>
      <c r="K41" s="458">
        <v>0</v>
      </c>
      <c r="L41" s="522">
        <v>0</v>
      </c>
      <c r="M41" s="484">
        <v>0</v>
      </c>
      <c r="N41" s="457">
        <v>80000</v>
      </c>
      <c r="O41" s="458">
        <v>0</v>
      </c>
      <c r="P41" s="522">
        <v>0</v>
      </c>
      <c r="Q41" s="484">
        <v>0</v>
      </c>
      <c r="R41" s="477">
        <v>2014</v>
      </c>
      <c r="S41" s="478">
        <v>2050</v>
      </c>
    </row>
    <row r="42" spans="2:19">
      <c r="B42" s="558"/>
      <c r="C42" s="558"/>
      <c r="E42" s="462" t="s">
        <v>193</v>
      </c>
      <c r="F42" s="465">
        <v>1000</v>
      </c>
      <c r="G42" s="458">
        <v>0</v>
      </c>
      <c r="H42" s="522">
        <v>0</v>
      </c>
      <c r="I42" s="482">
        <v>0</v>
      </c>
      <c r="J42" s="465">
        <v>1000</v>
      </c>
      <c r="K42" s="458">
        <v>0</v>
      </c>
      <c r="L42" s="522">
        <v>0</v>
      </c>
      <c r="M42" s="484">
        <v>0</v>
      </c>
      <c r="N42" s="457">
        <v>1000</v>
      </c>
      <c r="O42" s="458">
        <v>0</v>
      </c>
      <c r="P42" s="522">
        <v>0</v>
      </c>
      <c r="Q42" s="484">
        <v>0</v>
      </c>
      <c r="R42" s="477">
        <v>2014</v>
      </c>
      <c r="S42" s="478">
        <v>2050</v>
      </c>
    </row>
    <row r="43" spans="2:19">
      <c r="B43" s="558"/>
      <c r="C43" s="558"/>
      <c r="E43" s="462" t="s">
        <v>197</v>
      </c>
      <c r="F43" s="465">
        <v>25</v>
      </c>
      <c r="G43" s="458">
        <v>0</v>
      </c>
      <c r="H43" s="522">
        <v>0</v>
      </c>
      <c r="I43" s="482">
        <v>0</v>
      </c>
      <c r="J43" s="465">
        <v>2000</v>
      </c>
      <c r="K43" s="458">
        <v>0</v>
      </c>
      <c r="L43" s="522">
        <v>0</v>
      </c>
      <c r="M43" s="484">
        <v>0</v>
      </c>
      <c r="N43" s="457">
        <v>2000</v>
      </c>
      <c r="O43" s="458">
        <v>0</v>
      </c>
      <c r="P43" s="522">
        <v>0</v>
      </c>
      <c r="Q43" s="484">
        <v>0</v>
      </c>
      <c r="R43" s="477">
        <v>2014</v>
      </c>
      <c r="S43" s="478">
        <v>2050</v>
      </c>
    </row>
    <row r="44" spans="2:19">
      <c r="B44" s="558"/>
      <c r="C44" s="558"/>
      <c r="E44" s="462" t="s">
        <v>200</v>
      </c>
      <c r="F44" s="465" t="s">
        <v>317</v>
      </c>
      <c r="G44" s="458">
        <v>0</v>
      </c>
      <c r="H44" s="522">
        <v>0</v>
      </c>
      <c r="I44" s="482">
        <v>0</v>
      </c>
      <c r="J44" s="465" t="s">
        <v>317</v>
      </c>
      <c r="K44" s="458">
        <v>0</v>
      </c>
      <c r="L44" s="522">
        <v>0</v>
      </c>
      <c r="M44" s="484">
        <v>0</v>
      </c>
      <c r="N44" s="457" t="s">
        <v>317</v>
      </c>
      <c r="O44" s="458">
        <v>0</v>
      </c>
      <c r="P44" s="522">
        <v>0</v>
      </c>
      <c r="Q44" s="484">
        <v>0</v>
      </c>
      <c r="R44" s="477">
        <v>2014</v>
      </c>
      <c r="S44" s="478">
        <v>2050</v>
      </c>
    </row>
    <row r="45" spans="2:19">
      <c r="B45" s="558"/>
      <c r="C45" s="558"/>
      <c r="E45" s="462" t="s">
        <v>201</v>
      </c>
      <c r="F45" s="465">
        <v>15</v>
      </c>
      <c r="G45" s="458">
        <v>0</v>
      </c>
      <c r="H45" s="522">
        <v>0</v>
      </c>
      <c r="I45" s="482">
        <v>0</v>
      </c>
      <c r="J45" s="465">
        <v>15</v>
      </c>
      <c r="K45" s="458">
        <v>0</v>
      </c>
      <c r="L45" s="522">
        <v>0</v>
      </c>
      <c r="M45" s="484">
        <v>0</v>
      </c>
      <c r="N45" s="457">
        <v>15</v>
      </c>
      <c r="O45" s="458">
        <v>0</v>
      </c>
      <c r="P45" s="522">
        <v>0</v>
      </c>
      <c r="Q45" s="484">
        <v>0</v>
      </c>
      <c r="R45" s="477">
        <v>2014</v>
      </c>
      <c r="S45" s="478">
        <v>2050</v>
      </c>
    </row>
    <row r="46" spans="2:19">
      <c r="B46" s="558"/>
      <c r="C46" s="558"/>
      <c r="E46" s="462" t="s">
        <v>202</v>
      </c>
      <c r="F46" s="465">
        <v>25</v>
      </c>
      <c r="G46" s="458">
        <v>0</v>
      </c>
      <c r="H46" s="522">
        <v>0</v>
      </c>
      <c r="I46" s="482">
        <v>0</v>
      </c>
      <c r="J46" s="465">
        <v>2000</v>
      </c>
      <c r="K46" s="458">
        <v>0</v>
      </c>
      <c r="L46" s="522">
        <v>0</v>
      </c>
      <c r="M46" s="484">
        <v>0</v>
      </c>
      <c r="N46" s="457">
        <v>2000</v>
      </c>
      <c r="O46" s="458">
        <v>0</v>
      </c>
      <c r="P46" s="522">
        <v>0</v>
      </c>
      <c r="Q46" s="484">
        <v>0</v>
      </c>
      <c r="R46" s="477">
        <v>2014</v>
      </c>
      <c r="S46" s="478">
        <v>2050</v>
      </c>
    </row>
    <row r="47" spans="2:19">
      <c r="B47" s="558"/>
      <c r="C47" s="558"/>
      <c r="E47" s="462" t="s">
        <v>203</v>
      </c>
      <c r="F47" s="465">
        <v>50</v>
      </c>
      <c r="G47" s="458">
        <v>0</v>
      </c>
      <c r="H47" s="522">
        <v>0</v>
      </c>
      <c r="I47" s="482">
        <v>0</v>
      </c>
      <c r="J47" s="465">
        <v>3000</v>
      </c>
      <c r="K47" s="458">
        <v>0</v>
      </c>
      <c r="L47" s="522">
        <v>0</v>
      </c>
      <c r="M47" s="484">
        <v>0</v>
      </c>
      <c r="N47" s="457">
        <v>3000</v>
      </c>
      <c r="O47" s="458">
        <v>0</v>
      </c>
      <c r="P47" s="522">
        <v>0</v>
      </c>
      <c r="Q47" s="484">
        <v>0</v>
      </c>
      <c r="R47" s="477">
        <v>2014</v>
      </c>
      <c r="S47" s="478">
        <v>2050</v>
      </c>
    </row>
    <row r="48" spans="2:19">
      <c r="B48" s="558"/>
      <c r="C48" s="558"/>
      <c r="E48" s="462" t="s">
        <v>204</v>
      </c>
      <c r="F48" s="465">
        <v>5000</v>
      </c>
      <c r="G48" s="458">
        <v>0</v>
      </c>
      <c r="H48" s="522">
        <v>0</v>
      </c>
      <c r="I48" s="482">
        <v>0</v>
      </c>
      <c r="J48" s="465">
        <v>5000</v>
      </c>
      <c r="K48" s="458">
        <v>0</v>
      </c>
      <c r="L48" s="522">
        <v>0</v>
      </c>
      <c r="M48" s="484">
        <v>0</v>
      </c>
      <c r="N48" s="457">
        <v>5000</v>
      </c>
      <c r="O48" s="458">
        <v>0</v>
      </c>
      <c r="P48" s="522">
        <v>0</v>
      </c>
      <c r="Q48" s="484">
        <v>0</v>
      </c>
      <c r="R48" s="477">
        <v>2014</v>
      </c>
      <c r="S48" s="478">
        <v>2050</v>
      </c>
    </row>
    <row r="49" spans="2:19">
      <c r="B49" s="558"/>
      <c r="C49" s="558"/>
      <c r="E49" s="462" t="s">
        <v>205</v>
      </c>
      <c r="F49" s="465">
        <v>20</v>
      </c>
      <c r="G49" s="458">
        <v>0</v>
      </c>
      <c r="H49" s="522">
        <v>0</v>
      </c>
      <c r="I49" s="482">
        <v>0</v>
      </c>
      <c r="J49" s="465">
        <v>100</v>
      </c>
      <c r="K49" s="458">
        <v>0</v>
      </c>
      <c r="L49" s="522">
        <v>0</v>
      </c>
      <c r="M49" s="484">
        <v>0</v>
      </c>
      <c r="N49" s="457">
        <v>100</v>
      </c>
      <c r="O49" s="458">
        <v>0</v>
      </c>
      <c r="P49" s="522">
        <v>0</v>
      </c>
      <c r="Q49" s="484">
        <v>0</v>
      </c>
      <c r="R49" s="477">
        <v>2014</v>
      </c>
      <c r="S49" s="478">
        <v>2050</v>
      </c>
    </row>
    <row r="50" spans="2:19">
      <c r="B50" s="558"/>
      <c r="C50" s="558"/>
      <c r="E50" s="462" t="s">
        <v>206</v>
      </c>
      <c r="F50" s="465">
        <v>0</v>
      </c>
      <c r="G50" s="458">
        <v>0</v>
      </c>
      <c r="H50" s="458">
        <v>0</v>
      </c>
      <c r="I50" s="524">
        <v>0</v>
      </c>
      <c r="J50" s="465">
        <v>0</v>
      </c>
      <c r="K50" s="458">
        <v>0</v>
      </c>
      <c r="L50" s="458">
        <v>0</v>
      </c>
      <c r="M50" s="525">
        <v>0</v>
      </c>
      <c r="N50" s="457">
        <v>0</v>
      </c>
      <c r="O50" s="458">
        <v>0</v>
      </c>
      <c r="P50" s="458">
        <v>0</v>
      </c>
      <c r="Q50" s="525">
        <v>0</v>
      </c>
      <c r="R50" s="477">
        <v>2014</v>
      </c>
      <c r="S50" s="478">
        <v>2050</v>
      </c>
    </row>
    <row r="51" spans="2:19">
      <c r="B51" s="558"/>
      <c r="C51" s="558"/>
      <c r="E51" s="462" t="s">
        <v>207</v>
      </c>
      <c r="F51" s="465">
        <v>0</v>
      </c>
      <c r="G51" s="458">
        <v>0</v>
      </c>
      <c r="H51" s="458">
        <v>0</v>
      </c>
      <c r="I51" s="524">
        <v>0</v>
      </c>
      <c r="J51" s="465">
        <v>0</v>
      </c>
      <c r="K51" s="458">
        <v>0</v>
      </c>
      <c r="L51" s="458">
        <v>0</v>
      </c>
      <c r="M51" s="525">
        <v>0</v>
      </c>
      <c r="N51" s="457">
        <v>0</v>
      </c>
      <c r="O51" s="458">
        <v>0</v>
      </c>
      <c r="P51" s="458">
        <v>0</v>
      </c>
      <c r="Q51" s="525">
        <v>0</v>
      </c>
      <c r="R51" s="477">
        <v>2014</v>
      </c>
      <c r="S51" s="478">
        <v>2050</v>
      </c>
    </row>
    <row r="52" spans="2:19">
      <c r="E52" s="462" t="s">
        <v>208</v>
      </c>
      <c r="F52" s="465">
        <v>0</v>
      </c>
      <c r="G52" s="458">
        <v>0</v>
      </c>
      <c r="H52" s="458">
        <v>0</v>
      </c>
      <c r="I52" s="524">
        <v>0</v>
      </c>
      <c r="J52" s="465">
        <v>0</v>
      </c>
      <c r="K52" s="458">
        <v>0</v>
      </c>
      <c r="L52" s="458">
        <v>0</v>
      </c>
      <c r="M52" s="525">
        <v>0</v>
      </c>
      <c r="N52" s="457">
        <v>0</v>
      </c>
      <c r="O52" s="458">
        <v>0</v>
      </c>
      <c r="P52" s="458">
        <v>0</v>
      </c>
      <c r="Q52" s="525">
        <v>0</v>
      </c>
      <c r="R52" s="477">
        <v>2014</v>
      </c>
      <c r="S52" s="478">
        <v>2050</v>
      </c>
    </row>
    <row r="53" spans="2:19">
      <c r="B53" s="557" t="s">
        <v>316</v>
      </c>
      <c r="C53" s="557"/>
      <c r="E53" s="462" t="s">
        <v>209</v>
      </c>
      <c r="F53" s="465">
        <v>25</v>
      </c>
      <c r="G53" s="458">
        <v>0</v>
      </c>
      <c r="H53" s="522">
        <v>0</v>
      </c>
      <c r="I53" s="482">
        <v>0</v>
      </c>
      <c r="J53" s="465">
        <v>2000</v>
      </c>
      <c r="K53" s="458">
        <v>0</v>
      </c>
      <c r="L53" s="522">
        <v>0</v>
      </c>
      <c r="M53" s="484">
        <v>0</v>
      </c>
      <c r="N53" s="457">
        <v>2000</v>
      </c>
      <c r="O53" s="458">
        <v>0</v>
      </c>
      <c r="P53" s="522">
        <v>0</v>
      </c>
      <c r="Q53" s="484">
        <v>0</v>
      </c>
      <c r="R53" s="477">
        <v>2014</v>
      </c>
      <c r="S53" s="478">
        <v>2050</v>
      </c>
    </row>
    <row r="54" spans="2:19">
      <c r="B54" s="557"/>
      <c r="C54" s="557"/>
      <c r="E54" s="462" t="s">
        <v>211</v>
      </c>
      <c r="F54" s="465">
        <v>10</v>
      </c>
      <c r="G54" s="458">
        <v>0</v>
      </c>
      <c r="H54" s="522">
        <v>0</v>
      </c>
      <c r="I54" s="482">
        <v>0</v>
      </c>
      <c r="J54" s="465">
        <v>500</v>
      </c>
      <c r="K54" s="458">
        <v>0</v>
      </c>
      <c r="L54" s="522">
        <v>0</v>
      </c>
      <c r="M54" s="484">
        <v>0</v>
      </c>
      <c r="N54" s="457">
        <v>500</v>
      </c>
      <c r="O54" s="458">
        <v>0</v>
      </c>
      <c r="P54" s="522">
        <v>0</v>
      </c>
      <c r="Q54" s="484">
        <v>0</v>
      </c>
      <c r="R54" s="477">
        <v>2014</v>
      </c>
      <c r="S54" s="478">
        <v>2050</v>
      </c>
    </row>
    <row r="55" spans="2:19">
      <c r="B55" s="557"/>
      <c r="C55" s="557"/>
      <c r="E55" s="462" t="s">
        <v>210</v>
      </c>
      <c r="F55" s="465">
        <v>500</v>
      </c>
      <c r="G55" s="458">
        <v>0</v>
      </c>
      <c r="H55" s="522">
        <v>0</v>
      </c>
      <c r="I55" s="482">
        <v>0</v>
      </c>
      <c r="J55" s="465">
        <v>500</v>
      </c>
      <c r="K55" s="458">
        <v>0</v>
      </c>
      <c r="L55" s="522">
        <v>0</v>
      </c>
      <c r="M55" s="484">
        <v>0</v>
      </c>
      <c r="N55" s="457">
        <v>500</v>
      </c>
      <c r="O55" s="458">
        <v>0</v>
      </c>
      <c r="P55" s="522">
        <v>0</v>
      </c>
      <c r="Q55" s="484">
        <v>0</v>
      </c>
      <c r="R55" s="477">
        <v>2014</v>
      </c>
      <c r="S55" s="478">
        <v>2050</v>
      </c>
    </row>
    <row r="56" spans="2:19">
      <c r="E56" s="462" t="s">
        <v>212</v>
      </c>
      <c r="F56" s="465">
        <v>100</v>
      </c>
      <c r="G56" s="458">
        <v>0</v>
      </c>
      <c r="H56" s="522">
        <v>0</v>
      </c>
      <c r="I56" s="482">
        <v>0</v>
      </c>
      <c r="J56" s="465">
        <v>100</v>
      </c>
      <c r="K56" s="458">
        <v>0</v>
      </c>
      <c r="L56" s="522">
        <v>0</v>
      </c>
      <c r="M56" s="484">
        <v>0</v>
      </c>
      <c r="N56" s="457">
        <v>100</v>
      </c>
      <c r="O56" s="458">
        <v>0</v>
      </c>
      <c r="P56" s="522">
        <v>0</v>
      </c>
      <c r="Q56" s="484">
        <v>0</v>
      </c>
      <c r="R56" s="477">
        <v>2014</v>
      </c>
      <c r="S56" s="478">
        <v>2050</v>
      </c>
    </row>
    <row r="57" spans="2:19">
      <c r="B57" s="556" t="s">
        <v>322</v>
      </c>
      <c r="C57" s="556"/>
      <c r="E57" s="462" t="s">
        <v>214</v>
      </c>
      <c r="F57" s="465">
        <v>100</v>
      </c>
      <c r="G57" s="458">
        <v>0</v>
      </c>
      <c r="H57" s="522">
        <v>0</v>
      </c>
      <c r="I57" s="482">
        <v>0</v>
      </c>
      <c r="J57" s="465">
        <v>100</v>
      </c>
      <c r="K57" s="458">
        <v>0</v>
      </c>
      <c r="L57" s="522">
        <v>0</v>
      </c>
      <c r="M57" s="484">
        <v>0</v>
      </c>
      <c r="N57" s="457">
        <v>100</v>
      </c>
      <c r="O57" s="458">
        <v>0</v>
      </c>
      <c r="P57" s="522">
        <v>0</v>
      </c>
      <c r="Q57" s="484">
        <v>0</v>
      </c>
      <c r="R57" s="477">
        <v>2014</v>
      </c>
      <c r="S57" s="478">
        <v>2050</v>
      </c>
    </row>
    <row r="58" spans="2:19">
      <c r="B58" s="556"/>
      <c r="C58" s="556"/>
      <c r="E58" s="462" t="s">
        <v>213</v>
      </c>
      <c r="F58" s="465">
        <v>25</v>
      </c>
      <c r="G58" s="458">
        <v>0</v>
      </c>
      <c r="H58" s="522">
        <v>0</v>
      </c>
      <c r="I58" s="482">
        <v>0</v>
      </c>
      <c r="J58" s="465">
        <v>500</v>
      </c>
      <c r="K58" s="458">
        <v>0</v>
      </c>
      <c r="L58" s="522">
        <v>0</v>
      </c>
      <c r="M58" s="484">
        <v>0</v>
      </c>
      <c r="N58" s="457">
        <v>2000</v>
      </c>
      <c r="O58" s="458">
        <v>0</v>
      </c>
      <c r="P58" s="522">
        <v>0</v>
      </c>
      <c r="Q58" s="484">
        <v>0</v>
      </c>
      <c r="R58" s="477">
        <v>2014</v>
      </c>
      <c r="S58" s="478">
        <v>2050</v>
      </c>
    </row>
    <row r="59" spans="2:19" ht="13" thickBot="1">
      <c r="B59" s="556"/>
      <c r="C59" s="556"/>
      <c r="E59" s="463" t="s">
        <v>215</v>
      </c>
      <c r="F59" s="466">
        <v>25</v>
      </c>
      <c r="G59" s="460">
        <v>0</v>
      </c>
      <c r="H59" s="523">
        <v>0</v>
      </c>
      <c r="I59" s="485">
        <v>0</v>
      </c>
      <c r="J59" s="466">
        <v>25</v>
      </c>
      <c r="K59" s="460">
        <v>0</v>
      </c>
      <c r="L59" s="523">
        <v>0</v>
      </c>
      <c r="M59" s="486">
        <v>0</v>
      </c>
      <c r="N59" s="459">
        <v>25</v>
      </c>
      <c r="O59" s="460">
        <v>0</v>
      </c>
      <c r="P59" s="523">
        <v>0</v>
      </c>
      <c r="Q59" s="486">
        <v>0</v>
      </c>
      <c r="R59" s="479">
        <v>2014</v>
      </c>
      <c r="S59" s="480">
        <v>2050</v>
      </c>
    </row>
    <row r="60" spans="2:19">
      <c r="B60" s="556"/>
      <c r="C60" s="556"/>
      <c r="M60" s="467"/>
    </row>
    <row r="125" spans="2:2">
      <c r="B125" s="448" t="s">
        <v>309</v>
      </c>
    </row>
    <row r="126" spans="2:2">
      <c r="B126" s="448" t="s">
        <v>310</v>
      </c>
    </row>
    <row r="127" spans="2:2">
      <c r="B127" s="448" t="s">
        <v>311</v>
      </c>
    </row>
    <row r="128" spans="2:2">
      <c r="B128" s="448" t="s">
        <v>312</v>
      </c>
    </row>
    <row r="129" spans="2:2">
      <c r="B129" s="448" t="s">
        <v>308</v>
      </c>
    </row>
    <row r="132" spans="2:2">
      <c r="B132" s="449">
        <v>2014</v>
      </c>
    </row>
    <row r="133" spans="2:2">
      <c r="B133" s="449">
        <v>2016</v>
      </c>
    </row>
    <row r="134" spans="2:2">
      <c r="B134" s="449">
        <v>2018</v>
      </c>
    </row>
    <row r="135" spans="2:2">
      <c r="B135" s="449">
        <v>2020</v>
      </c>
    </row>
    <row r="136" spans="2:2">
      <c r="B136" s="449">
        <v>2022</v>
      </c>
    </row>
    <row r="137" spans="2:2">
      <c r="B137" s="449">
        <v>2024</v>
      </c>
    </row>
    <row r="138" spans="2:2">
      <c r="B138" s="449">
        <v>2026</v>
      </c>
    </row>
    <row r="139" spans="2:2">
      <c r="B139" s="449">
        <v>2028</v>
      </c>
    </row>
    <row r="140" spans="2:2">
      <c r="B140" s="449">
        <v>2030</v>
      </c>
    </row>
    <row r="141" spans="2:2">
      <c r="B141" s="449">
        <v>2032</v>
      </c>
    </row>
    <row r="142" spans="2:2">
      <c r="B142" s="449">
        <v>2034</v>
      </c>
    </row>
    <row r="143" spans="2:2">
      <c r="B143" s="449">
        <v>2036</v>
      </c>
    </row>
    <row r="144" spans="2:2">
      <c r="B144" s="449">
        <v>2038</v>
      </c>
    </row>
    <row r="145" spans="2:2">
      <c r="B145" s="449">
        <v>2040</v>
      </c>
    </row>
    <row r="146" spans="2:2">
      <c r="B146" s="449">
        <v>2042</v>
      </c>
    </row>
    <row r="147" spans="2:2">
      <c r="B147" s="449">
        <v>2044</v>
      </c>
    </row>
    <row r="148" spans="2:2">
      <c r="B148" s="449">
        <v>2046</v>
      </c>
    </row>
    <row r="149" spans="2:2">
      <c r="B149" s="449">
        <v>2048</v>
      </c>
    </row>
    <row r="150" spans="2:2">
      <c r="B150" s="449">
        <v>2050</v>
      </c>
    </row>
    <row r="153" spans="2:2">
      <c r="B153" s="450" t="b">
        <v>1</v>
      </c>
    </row>
    <row r="154" spans="2:2">
      <c r="B154" s="450" t="b">
        <v>0</v>
      </c>
    </row>
    <row r="166" spans="1:4">
      <c r="A166" s="449"/>
      <c r="B166" s="449" t="s">
        <v>318</v>
      </c>
      <c r="C166" s="449" t="s">
        <v>319</v>
      </c>
      <c r="D166" s="449" t="s">
        <v>320</v>
      </c>
    </row>
    <row r="167" spans="1:4">
      <c r="A167" s="449" t="s">
        <v>167</v>
      </c>
      <c r="B167" s="449">
        <v>25</v>
      </c>
      <c r="C167" s="449">
        <v>25</v>
      </c>
      <c r="D167" s="449">
        <v>25</v>
      </c>
    </row>
    <row r="168" spans="1:4">
      <c r="A168" s="449" t="s">
        <v>166</v>
      </c>
      <c r="B168" s="449">
        <v>0</v>
      </c>
      <c r="C168" s="449">
        <v>0</v>
      </c>
      <c r="D168" s="449">
        <v>0</v>
      </c>
    </row>
    <row r="169" spans="1:4">
      <c r="A169" s="449" t="s">
        <v>169</v>
      </c>
      <c r="B169" s="449">
        <v>25</v>
      </c>
      <c r="C169" s="449">
        <v>300</v>
      </c>
      <c r="D169" s="449">
        <v>300</v>
      </c>
    </row>
    <row r="170" spans="1:4">
      <c r="A170" s="449" t="s">
        <v>168</v>
      </c>
      <c r="B170" s="449" t="s">
        <v>317</v>
      </c>
      <c r="C170" s="449" t="s">
        <v>317</v>
      </c>
      <c r="D170" s="449" t="s">
        <v>317</v>
      </c>
    </row>
    <row r="171" spans="1:4">
      <c r="A171" s="449" t="s">
        <v>170</v>
      </c>
      <c r="B171" s="449">
        <v>1000</v>
      </c>
      <c r="C171" s="449">
        <v>1000</v>
      </c>
      <c r="D171" s="449">
        <v>1000</v>
      </c>
    </row>
    <row r="172" spans="1:4">
      <c r="A172" s="449" t="s">
        <v>171</v>
      </c>
      <c r="B172" s="449" t="s">
        <v>317</v>
      </c>
      <c r="C172" s="449" t="s">
        <v>317</v>
      </c>
      <c r="D172" s="449" t="s">
        <v>317</v>
      </c>
    </row>
    <row r="173" spans="1:4">
      <c r="A173" s="449" t="s">
        <v>172</v>
      </c>
      <c r="B173" s="449">
        <v>2000</v>
      </c>
      <c r="C173" s="449">
        <v>2000</v>
      </c>
      <c r="D173" s="449">
        <v>2000</v>
      </c>
    </row>
    <row r="174" spans="1:4">
      <c r="A174" s="449" t="s">
        <v>11</v>
      </c>
      <c r="B174" s="449">
        <v>1000</v>
      </c>
      <c r="C174" s="449">
        <v>1000</v>
      </c>
      <c r="D174" s="449">
        <v>0</v>
      </c>
    </row>
    <row r="175" spans="1:4">
      <c r="A175" s="449" t="s">
        <v>173</v>
      </c>
      <c r="B175" s="449">
        <v>25</v>
      </c>
      <c r="C175" s="449">
        <v>2000</v>
      </c>
      <c r="D175" s="449">
        <v>2000</v>
      </c>
    </row>
    <row r="176" spans="1:4">
      <c r="A176" s="449" t="s">
        <v>174</v>
      </c>
      <c r="B176" s="449">
        <v>2000</v>
      </c>
      <c r="C176" s="449">
        <v>2000</v>
      </c>
      <c r="D176" s="449">
        <v>2000</v>
      </c>
    </row>
    <row r="177" spans="1:4">
      <c r="A177" s="449" t="s">
        <v>175</v>
      </c>
      <c r="B177" s="449">
        <v>10</v>
      </c>
      <c r="C177" s="449">
        <v>100</v>
      </c>
      <c r="D177" s="449">
        <v>100</v>
      </c>
    </row>
    <row r="178" spans="1:4">
      <c r="A178" s="449" t="s">
        <v>176</v>
      </c>
      <c r="B178" s="449">
        <v>100</v>
      </c>
      <c r="C178" s="449">
        <v>100</v>
      </c>
      <c r="D178" s="449">
        <v>100</v>
      </c>
    </row>
    <row r="179" spans="1:4">
      <c r="A179" s="449" t="s">
        <v>180</v>
      </c>
      <c r="B179" s="449">
        <v>500</v>
      </c>
      <c r="C179" s="449">
        <v>500</v>
      </c>
      <c r="D179" s="449">
        <v>500</v>
      </c>
    </row>
    <row r="180" spans="1:4">
      <c r="A180" s="449" t="s">
        <v>177</v>
      </c>
      <c r="B180" s="449">
        <v>0</v>
      </c>
      <c r="C180" s="449">
        <v>0</v>
      </c>
      <c r="D180" s="449">
        <v>0</v>
      </c>
    </row>
    <row r="181" spans="1:4">
      <c r="A181" s="449" t="s">
        <v>178</v>
      </c>
      <c r="B181" s="449">
        <v>40</v>
      </c>
      <c r="C181" s="449">
        <v>40</v>
      </c>
      <c r="D181" s="449">
        <v>40</v>
      </c>
    </row>
    <row r="182" spans="1:4">
      <c r="A182" s="449" t="s">
        <v>179</v>
      </c>
      <c r="B182" s="449">
        <v>1000</v>
      </c>
      <c r="C182" s="449">
        <v>1000</v>
      </c>
      <c r="D182" s="449">
        <v>1000</v>
      </c>
    </row>
    <row r="183" spans="1:4">
      <c r="A183" s="449" t="s">
        <v>181</v>
      </c>
      <c r="B183" s="449">
        <v>25</v>
      </c>
      <c r="C183" s="449">
        <v>200</v>
      </c>
      <c r="D183" s="449">
        <v>200</v>
      </c>
    </row>
    <row r="184" spans="1:4">
      <c r="A184" s="449" t="s">
        <v>182</v>
      </c>
      <c r="B184" s="449">
        <v>30</v>
      </c>
      <c r="C184" s="449">
        <v>30</v>
      </c>
      <c r="D184" s="449">
        <v>30</v>
      </c>
    </row>
    <row r="185" spans="1:4">
      <c r="A185" s="449" t="s">
        <v>183</v>
      </c>
      <c r="B185" s="449">
        <v>25</v>
      </c>
      <c r="C185" s="449">
        <v>300</v>
      </c>
      <c r="D185" s="449">
        <v>0</v>
      </c>
    </row>
    <row r="186" spans="1:4">
      <c r="A186" s="449" t="s">
        <v>186</v>
      </c>
      <c r="B186" s="449">
        <v>2000</v>
      </c>
      <c r="C186" s="449">
        <v>2000</v>
      </c>
      <c r="D186" s="449">
        <v>2000</v>
      </c>
    </row>
    <row r="187" spans="1:4">
      <c r="A187" s="449" t="s">
        <v>185</v>
      </c>
      <c r="B187" s="449">
        <v>2000</v>
      </c>
      <c r="C187" s="449">
        <v>2000</v>
      </c>
      <c r="D187" s="449">
        <v>2000</v>
      </c>
    </row>
    <row r="188" spans="1:4">
      <c r="A188" s="449" t="s">
        <v>184</v>
      </c>
      <c r="B188" s="449">
        <v>660</v>
      </c>
      <c r="C188" s="449">
        <v>660</v>
      </c>
      <c r="D188" s="449">
        <v>660</v>
      </c>
    </row>
    <row r="189" spans="1:4">
      <c r="A189" s="449" t="s">
        <v>187</v>
      </c>
      <c r="B189" s="449">
        <v>150</v>
      </c>
      <c r="C189" s="449">
        <v>150</v>
      </c>
      <c r="D189" s="449">
        <v>150</v>
      </c>
    </row>
    <row r="190" spans="1:4">
      <c r="A190" s="449" t="s">
        <v>188</v>
      </c>
      <c r="B190" s="449">
        <v>1000</v>
      </c>
      <c r="C190" s="449">
        <v>1000</v>
      </c>
      <c r="D190" s="449">
        <v>1000</v>
      </c>
    </row>
    <row r="191" spans="1:4">
      <c r="A191" s="449" t="s">
        <v>190</v>
      </c>
      <c r="B191" s="449">
        <v>100</v>
      </c>
      <c r="C191" s="449">
        <v>100</v>
      </c>
      <c r="D191" s="449">
        <v>100</v>
      </c>
    </row>
    <row r="192" spans="1:4">
      <c r="A192" s="449" t="s">
        <v>189</v>
      </c>
      <c r="B192" s="449">
        <v>0</v>
      </c>
      <c r="C192" s="449">
        <v>0</v>
      </c>
      <c r="D192" s="449">
        <v>0</v>
      </c>
    </row>
    <row r="193" spans="1:4">
      <c r="A193" s="449" t="s">
        <v>191</v>
      </c>
      <c r="B193" s="449">
        <v>50</v>
      </c>
      <c r="C193" s="449">
        <v>50</v>
      </c>
      <c r="D193" s="449">
        <v>50</v>
      </c>
    </row>
    <row r="194" spans="1:4">
      <c r="A194" s="449" t="s">
        <v>198</v>
      </c>
      <c r="B194" s="449">
        <v>1000</v>
      </c>
      <c r="C194" s="449">
        <v>1000</v>
      </c>
      <c r="D194" s="449">
        <v>1000</v>
      </c>
    </row>
    <row r="195" spans="1:4">
      <c r="A195" s="449" t="s">
        <v>199</v>
      </c>
      <c r="B195" s="449">
        <v>100</v>
      </c>
      <c r="C195" s="449">
        <v>100</v>
      </c>
      <c r="D195" s="449">
        <v>100</v>
      </c>
    </row>
    <row r="196" spans="1:4">
      <c r="A196" s="449" t="s">
        <v>192</v>
      </c>
      <c r="B196" s="449">
        <v>25</v>
      </c>
      <c r="C196" s="449">
        <v>25</v>
      </c>
      <c r="D196" s="449">
        <v>25</v>
      </c>
    </row>
    <row r="197" spans="1:4">
      <c r="A197" s="449" t="s">
        <v>194</v>
      </c>
      <c r="B197" s="449">
        <v>100</v>
      </c>
      <c r="C197" s="449">
        <v>100</v>
      </c>
      <c r="D197" s="449">
        <v>100</v>
      </c>
    </row>
    <row r="198" spans="1:4">
      <c r="A198" s="449" t="s">
        <v>195</v>
      </c>
      <c r="B198" s="449" t="s">
        <v>317</v>
      </c>
      <c r="C198" s="449" t="s">
        <v>317</v>
      </c>
      <c r="D198" s="449" t="s">
        <v>317</v>
      </c>
    </row>
    <row r="199" spans="1:4">
      <c r="A199" s="449" t="s">
        <v>196</v>
      </c>
      <c r="B199" s="449">
        <v>80000</v>
      </c>
      <c r="C199" s="449">
        <v>80000</v>
      </c>
      <c r="D199" s="449">
        <v>80000</v>
      </c>
    </row>
    <row r="200" spans="1:4">
      <c r="A200" s="449" t="s">
        <v>193</v>
      </c>
      <c r="B200" s="449">
        <v>1000</v>
      </c>
      <c r="C200" s="449">
        <v>1000</v>
      </c>
      <c r="D200" s="449">
        <v>1000</v>
      </c>
    </row>
    <row r="201" spans="1:4">
      <c r="A201" s="449" t="s">
        <v>197</v>
      </c>
      <c r="B201" s="449">
        <v>25</v>
      </c>
      <c r="C201" s="449">
        <v>2000</v>
      </c>
      <c r="D201" s="449">
        <v>2000</v>
      </c>
    </row>
    <row r="202" spans="1:4">
      <c r="A202" s="449" t="s">
        <v>200</v>
      </c>
      <c r="B202" s="449" t="s">
        <v>317</v>
      </c>
      <c r="C202" s="449" t="s">
        <v>317</v>
      </c>
      <c r="D202" s="449" t="s">
        <v>317</v>
      </c>
    </row>
    <row r="203" spans="1:4">
      <c r="A203" s="449" t="s">
        <v>201</v>
      </c>
      <c r="B203" s="449">
        <v>15</v>
      </c>
      <c r="C203" s="449">
        <v>15</v>
      </c>
      <c r="D203" s="449">
        <v>15</v>
      </c>
    </row>
    <row r="204" spans="1:4">
      <c r="A204" s="449" t="s">
        <v>202</v>
      </c>
      <c r="B204" s="449">
        <v>25</v>
      </c>
      <c r="C204" s="449">
        <v>2000</v>
      </c>
      <c r="D204" s="449">
        <v>2000</v>
      </c>
    </row>
    <row r="205" spans="1:4">
      <c r="A205" s="449" t="s">
        <v>203</v>
      </c>
      <c r="B205" s="449">
        <v>50</v>
      </c>
      <c r="C205" s="449">
        <v>3000</v>
      </c>
      <c r="D205" s="449">
        <v>3000</v>
      </c>
    </row>
    <row r="206" spans="1:4">
      <c r="A206" s="449" t="s">
        <v>204</v>
      </c>
      <c r="B206" s="449">
        <v>5000</v>
      </c>
      <c r="C206" s="449">
        <v>5000</v>
      </c>
      <c r="D206" s="449">
        <v>5000</v>
      </c>
    </row>
    <row r="207" spans="1:4">
      <c r="A207" s="449" t="s">
        <v>205</v>
      </c>
      <c r="B207" s="449">
        <v>20</v>
      </c>
      <c r="C207" s="449">
        <v>100</v>
      </c>
      <c r="D207" s="449">
        <v>100</v>
      </c>
    </row>
    <row r="208" spans="1:4">
      <c r="A208" s="449" t="s">
        <v>206</v>
      </c>
      <c r="B208" s="449">
        <v>0</v>
      </c>
      <c r="C208" s="449">
        <v>0</v>
      </c>
      <c r="D208" s="449">
        <v>0</v>
      </c>
    </row>
    <row r="209" spans="1:4">
      <c r="A209" s="449" t="s">
        <v>207</v>
      </c>
      <c r="B209" s="449">
        <v>0</v>
      </c>
      <c r="C209" s="449">
        <v>0</v>
      </c>
      <c r="D209" s="449">
        <v>0</v>
      </c>
    </row>
    <row r="210" spans="1:4">
      <c r="A210" s="449" t="s">
        <v>208</v>
      </c>
      <c r="B210" s="449">
        <v>0</v>
      </c>
      <c r="C210" s="449">
        <v>0</v>
      </c>
      <c r="D210" s="449">
        <v>0</v>
      </c>
    </row>
    <row r="211" spans="1:4">
      <c r="A211" s="449" t="s">
        <v>209</v>
      </c>
      <c r="B211" s="449">
        <v>25</v>
      </c>
      <c r="C211" s="449">
        <v>2000</v>
      </c>
      <c r="D211" s="449">
        <v>2000</v>
      </c>
    </row>
    <row r="212" spans="1:4">
      <c r="A212" s="449" t="s">
        <v>211</v>
      </c>
      <c r="B212" s="449">
        <v>10</v>
      </c>
      <c r="C212" s="449">
        <v>500</v>
      </c>
      <c r="D212" s="449">
        <v>500</v>
      </c>
    </row>
    <row r="213" spans="1:4">
      <c r="A213" s="449" t="s">
        <v>210</v>
      </c>
      <c r="B213" s="449">
        <v>500</v>
      </c>
      <c r="C213" s="449">
        <v>500</v>
      </c>
      <c r="D213" s="449">
        <v>500</v>
      </c>
    </row>
    <row r="214" spans="1:4">
      <c r="A214" s="449" t="s">
        <v>212</v>
      </c>
      <c r="B214" s="449">
        <v>100</v>
      </c>
      <c r="C214" s="449">
        <v>100</v>
      </c>
      <c r="D214" s="449">
        <v>100</v>
      </c>
    </row>
    <row r="215" spans="1:4">
      <c r="A215" s="449" t="s">
        <v>214</v>
      </c>
      <c r="B215" s="449">
        <v>100</v>
      </c>
      <c r="C215" s="449">
        <v>100</v>
      </c>
      <c r="D215" s="449">
        <v>100</v>
      </c>
    </row>
    <row r="216" spans="1:4">
      <c r="A216" s="449" t="s">
        <v>213</v>
      </c>
      <c r="B216" s="449">
        <v>25</v>
      </c>
      <c r="C216" s="449">
        <v>500</v>
      </c>
      <c r="D216" s="449">
        <v>2000</v>
      </c>
    </row>
    <row r="217" spans="1:4">
      <c r="A217" s="449" t="s">
        <v>215</v>
      </c>
      <c r="B217" s="449">
        <v>25</v>
      </c>
      <c r="C217" s="449">
        <v>25</v>
      </c>
      <c r="D217" s="449">
        <v>25</v>
      </c>
    </row>
    <row r="218" spans="1:4">
      <c r="B218" s="468"/>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2015-06-17T20:16:47Z</dcterms:modified>
</cp:coreProperties>
</file>