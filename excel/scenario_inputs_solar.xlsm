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38380" yWindow="0" windowWidth="38400" windowHeight="21140" tabRatio="782" activeTab="5"/>
  </bookViews>
  <sheets>
    <sheet name="Main" sheetId="8" r:id="rId1"/>
    <sheet name="Cost" sheetId="38" r:id="rId2"/>
    <sheet name="Performance" sheetId="39" r:id="rId3"/>
    <sheet name="Finance" sheetId="15" r:id="rId4"/>
    <sheet name="Market Projections" sheetId="37" r:id="rId5"/>
    <sheet name="Wind Polici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 localSheetId="5">[2]Main!#REF!</definedName>
    <definedName name="Batch_Runs">Main!#REF!</definedName>
    <definedName name="Building_Type_Run_Scenario">Main!$D$13</definedName>
    <definedName name="Carbon_Scenario">Main!$D$29</definedName>
    <definedName name="Com_Max_Market">Main!$D$22</definedName>
    <definedName name="Com_Payback_Metric" localSheetId="5">[2]Main!#REF!</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 localSheetId="5">[2]Main!#REF!</definedName>
    <definedName name="Fed_Tax_Scenario">Main!#REF!</definedName>
    <definedName name="incent_start_year" localSheetId="5">'Wind Policies'!$P$4</definedName>
    <definedName name="incent_start_year">#REF!</definedName>
    <definedName name="Incentive_Budgets" localSheetId="5">[2]Main!#REF!</definedName>
    <definedName name="Incentive_Budgets">Main!#REF!</definedName>
    <definedName name="Incentive_Scenario" localSheetId="5">'Wind Policies'!$P$5</definedName>
    <definedName name="Incentive_Scenario">#REF!</definedName>
    <definedName name="Incentives_Utility_Type" localSheetId="5">'Wind Policies'!$F$8:$F$11</definedName>
    <definedName name="Incentives_Utility_Type">#REF!</definedName>
    <definedName name="Incentives_Values" localSheetId="5">'Wind Policies'!$B$14:$AC$67</definedName>
    <definedName name="Incentives_Values">#REF!</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 localSheetId="5">[2]Main!#REF!</definedName>
    <definedName name="Local_Incentive_Scenario">Main!#REF!</definedName>
    <definedName name="man_net_metering" localSheetId="5">'Wind Policies'!$B$17:$B$67,'Wind Policies'!#REF!</definedName>
    <definedName name="man_net_metering">#REF!,#REF!</definedName>
    <definedName name="manual_carbon_intensities">'Market Projections'!$X$17:$Z$65</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[2]Main!#REF!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5">'[2]Net Metering'!$I$9:$I$59,'[2]Net Metering'!$M$9:$M$59,'[2]Net Metering'!$Q$9:$Q$59</definedName>
    <definedName name="nem_hrly_exc_sell_rate">'Net Metering'!$I$9:$I$59,'Net Metering'!$M$9:$M$59,'Net Metering'!$Q$9:$Q$59</definedName>
    <definedName name="nem_inst_cap_limit" localSheetId="5">'[2]Net Metering'!$G$9:$G$59,'[2]Net Metering'!$K$9:$K$59,'[2]Net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5">'[2]Net Metering'!$F$9:$F$59,'[2]Net Metering'!$J$9:$J$59,'[2]Net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5">'[2]Net Metering'!$H$9:$H$59,'[2]Net Metering'!$L$9:$L$59,'[2]Net Metering'!$P$9:$P$59</definedName>
    <definedName name="nem_year_exc_sell_rate">'Net Metering'!$H$9:$H$59,'Net Metering'!$L$9:$L$59,'Net Metering'!$P$9:$P$59</definedName>
    <definedName name="nem_years">'Net Metering'!$R$9:$S$59</definedName>
    <definedName name="nm" localSheetId="5">'Wind Policies'!$B$17:$B$67,'Wind Policies'!#REF!</definedName>
    <definedName name="nm">#REF!,#REF!</definedName>
    <definedName name="Normalized_Wind_Power_Curves">#REF!</definedName>
    <definedName name="overwrite_exist_inc" localSheetId="5">'Wind Policies'!$P$3</definedName>
    <definedName name="overwrite_exist_inc">#REF!</definedName>
    <definedName name="overwrite_exist_nm" localSheetId="5">'Wind Policies'!#REF!</definedName>
    <definedName name="overwrite_exist_nm">#REF!</definedName>
    <definedName name="Price_Escalation_Scenario" localSheetId="4">Main!#REF!</definedName>
    <definedName name="Price_Escalation_Scenario" localSheetId="5">[1]Main!#REF!</definedName>
    <definedName name="Price_Escalation_Scenario">[2]Main!#REF!</definedName>
    <definedName name="PV_Base_Installed" localSheetId="4">Main!#REF!</definedName>
    <definedName name="PV_Base_Installed" localSheetId="5">[1]Main!#REF!</definedName>
    <definedName name="PV_Base_Installed">[2]Main!#REF!</definedName>
    <definedName name="PV_Efficiency" localSheetId="5">[2]Main!#REF!</definedName>
    <definedName name="PV_Efficiency">Main!#REF!</definedName>
    <definedName name="PV_Price_Scenario" localSheetId="5">[2]Main!#REF!</definedName>
    <definedName name="PV_Price_Scenario">Main!#REF!</definedName>
    <definedName name="rate_type_weights">'Market Projections'!$J$88:$L$96</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ud_rates">'Market Projections'!$C$88:$F$138</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[2]Main!#REF!</definedName>
    <definedName name="Year_Stop" localSheetId="4">Main!#REF!</definedName>
    <definedName name="Year_Stop" localSheetId="5">[1]Main!#REF!</definedName>
    <definedName name="Year_Stop">[2]Main!#REF!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97" i="37"/>
  <c r="K97" i="37"/>
  <c r="D21" i="39"/>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<sst xmlns="http://schemas.openxmlformats.org/spreadsheetml/2006/main" count="1090" uniqueCount="343">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</sst>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5"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ont>
    <font>
      <b/>
      <sz val="16"/>
      <color indexed="18"/>
      <name val="Arial"/>
    </font>
    <font>
      <sz val="10"/>
      <color theme="0" tint="-0.34998626667073579"/>
      <name val="Arial"/>
    </font>
    <font>
      <b/>
      <sz val="16"/>
      <name val="Arial"/>
    </font>
  </fonts>
  <fills count="2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s>
  <borders count="133">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s>
  <cellStyleXfs count="81">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41">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3"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3"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8" xfId="3" applyFont="1" applyFill="1" applyBorder="1" applyProtection="1">
      <protection locked="0"/>
    </xf>
    <xf numFmtId="0" fontId="19" fillId="4" borderId="59" xfId="3" applyFont="1" applyFill="1" applyBorder="1" applyProtection="1">
      <protection locked="0"/>
    </xf>
    <xf numFmtId="0" fontId="29" fillId="3" borderId="0" xfId="3" applyFont="1" applyFill="1" applyBorder="1" applyProtection="1">
      <protection locked="0"/>
    </xf>
    <xf numFmtId="0" fontId="14" fillId="5" borderId="60" xfId="3" applyFont="1" applyFill="1" applyBorder="1" applyProtection="1">
      <protection locked="0"/>
    </xf>
    <xf numFmtId="0" fontId="14" fillId="3" borderId="0" xfId="3" applyFont="1" applyFill="1" applyBorder="1" applyAlignment="1" applyProtection="1">
      <protection locked="0"/>
    </xf>
    <xf numFmtId="0" fontId="14" fillId="5" borderId="62"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4"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3" xfId="3" applyNumberFormat="1" applyFont="1" applyFill="1" applyBorder="1" applyProtection="1"/>
    <xf numFmtId="1" fontId="2" fillId="3" borderId="0" xfId="3" applyNumberFormat="1" applyFont="1" applyFill="1" applyBorder="1" applyProtection="1"/>
    <xf numFmtId="1" fontId="0" fillId="0" borderId="65" xfId="0" applyNumberFormat="1" applyBorder="1"/>
    <xf numFmtId="1" fontId="0" fillId="0" borderId="61" xfId="0" applyNumberFormat="1" applyBorder="1"/>
    <xf numFmtId="0" fontId="27" fillId="10" borderId="0" xfId="3" applyFont="1" applyFill="1" applyBorder="1" applyAlignment="1" applyProtection="1">
      <alignment horizontal="center" wrapText="1"/>
      <protection locked="0"/>
    </xf>
    <xf numFmtId="1" fontId="14" fillId="4" borderId="65" xfId="3" applyNumberFormat="1" applyFont="1" applyFill="1" applyBorder="1" applyProtection="1"/>
    <xf numFmtId="1" fontId="14" fillId="4" borderId="61" xfId="3" applyNumberFormat="1" applyFont="1" applyFill="1" applyBorder="1" applyProtection="1"/>
    <xf numFmtId="0" fontId="27" fillId="5" borderId="73" xfId="3" applyFont="1" applyFill="1" applyBorder="1" applyAlignment="1" applyProtection="1">
      <alignment horizontal="center" wrapText="1"/>
    </xf>
    <xf numFmtId="0" fontId="27" fillId="5" borderId="75" xfId="3" applyFont="1" applyFill="1" applyBorder="1" applyAlignment="1" applyProtection="1">
      <alignment horizontal="center" wrapText="1"/>
      <protection locked="0"/>
    </xf>
    <xf numFmtId="2" fontId="2" fillId="3" borderId="75" xfId="0" applyNumberFormat="1" applyFont="1" applyFill="1" applyBorder="1" applyProtection="1"/>
    <xf numFmtId="2" fontId="2" fillId="3" borderId="76"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4"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1" xfId="23" applyNumberFormat="1" applyFont="1" applyFill="1" applyBorder="1" applyProtection="1">
      <protection locked="0"/>
    </xf>
    <xf numFmtId="2" fontId="19" fillId="10" borderId="72" xfId="23" applyNumberFormat="1" applyFont="1" applyFill="1" applyBorder="1" applyProtection="1">
      <protection locked="0"/>
    </xf>
    <xf numFmtId="0" fontId="27" fillId="11" borderId="67" xfId="3" applyFont="1" applyFill="1" applyBorder="1" applyProtection="1"/>
    <xf numFmtId="0" fontId="14" fillId="11" borderId="70" xfId="3" applyFont="1" applyFill="1" applyBorder="1" applyProtection="1">
      <protection locked="0"/>
    </xf>
    <xf numFmtId="0" fontId="19" fillId="12" borderId="68" xfId="23" applyNumberFormat="1" applyFont="1" applyFill="1" applyBorder="1" applyProtection="1"/>
    <xf numFmtId="0" fontId="19" fillId="12" borderId="69" xfId="23" applyNumberFormat="1" applyFont="1" applyFill="1" applyBorder="1" applyProtection="1"/>
    <xf numFmtId="1" fontId="14" fillId="12" borderId="65" xfId="3" applyNumberFormat="1" applyFont="1" applyFill="1" applyBorder="1" applyProtection="1"/>
    <xf numFmtId="1" fontId="14" fillId="12" borderId="61" xfId="3" applyNumberFormat="1" applyFont="1" applyFill="1" applyBorder="1" applyProtection="1"/>
    <xf numFmtId="2" fontId="2" fillId="10" borderId="66"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7" xfId="3" applyFont="1" applyFill="1" applyBorder="1" applyProtection="1"/>
    <xf numFmtId="0" fontId="27" fillId="11" borderId="78" xfId="3" applyFont="1" applyFill="1" applyBorder="1" applyProtection="1"/>
    <xf numFmtId="0" fontId="27" fillId="11" borderId="79" xfId="3" applyFont="1" applyFill="1" applyBorder="1" applyAlignment="1" applyProtection="1">
      <alignment wrapText="1"/>
    </xf>
    <xf numFmtId="2" fontId="2" fillId="10" borderId="82" xfId="3" applyNumberFormat="1" applyFont="1" applyFill="1" applyBorder="1" applyProtection="1"/>
    <xf numFmtId="2"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 fontId="2" fillId="10" borderId="86"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7" xfId="3" applyFont="1" applyFill="1" applyBorder="1" applyAlignment="1">
      <alignment horizontal="center"/>
    </xf>
    <xf numFmtId="0" fontId="36" fillId="4" borderId="88" xfId="3" applyFont="1" applyFill="1" applyBorder="1" applyAlignment="1">
      <alignment horizontal="center"/>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0" xfId="3" applyFont="1" applyFill="1" applyBorder="1" applyAlignment="1" applyProtection="1">
      <alignment horizontal="center" vertical="center"/>
      <protection locked="0"/>
    </xf>
    <xf numFmtId="0" fontId="14" fillId="5" borderId="58" xfId="3" applyFont="1" applyFill="1" applyBorder="1" applyAlignment="1" applyProtection="1">
      <alignment horizontal="center" wrapText="1"/>
      <protection locked="0"/>
    </xf>
    <xf numFmtId="1" fontId="2" fillId="4" borderId="65" xfId="3" applyNumberFormat="1" applyFont="1" applyFill="1" applyBorder="1" applyProtection="1"/>
    <xf numFmtId="1" fontId="2" fillId="4" borderId="61" xfId="3"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0" fontId="77" fillId="14" borderId="54" xfId="0" applyFont="1" applyFill="1" applyBorder="1" applyAlignment="1">
      <alignment horizontal="left"/>
    </xf>
    <xf numFmtId="0" fontId="12" fillId="0" borderId="96" xfId="0" applyFont="1" applyBorder="1" applyAlignment="1">
      <alignment horizontal="center"/>
    </xf>
    <xf numFmtId="0" fontId="30" fillId="5" borderId="97" xfId="0" applyFont="1" applyFill="1" applyBorder="1" applyAlignment="1">
      <alignment horizontal="left"/>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5" xfId="3" applyFont="1" applyFill="1" applyBorder="1" applyProtection="1">
      <protection locked="0"/>
    </xf>
    <xf numFmtId="0" fontId="2" fillId="5" borderId="0" xfId="3" applyFont="1" applyFill="1" applyBorder="1" applyProtection="1">
      <protection locked="0"/>
    </xf>
    <xf numFmtId="0" fontId="2" fillId="5" borderId="98" xfId="3" applyFont="1" applyFill="1" applyBorder="1" applyProtection="1">
      <protection locked="0"/>
    </xf>
    <xf numFmtId="0" fontId="29" fillId="4" borderId="99" xfId="3" applyFont="1" applyFill="1" applyBorder="1" applyProtection="1">
      <protection locked="0"/>
    </xf>
    <xf numFmtId="0" fontId="2" fillId="0" borderId="48" xfId="3" applyFont="1" applyFill="1" applyBorder="1" applyProtection="1">
      <protection locked="0"/>
    </xf>
    <xf numFmtId="0" fontId="19" fillId="0" borderId="100"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1"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0" xfId="0" applyNumberFormat="1" applyFont="1" applyFill="1" applyBorder="1" applyProtection="1"/>
    <xf numFmtId="166" fontId="2" fillId="10" borderId="81" xfId="0" applyNumberFormat="1" applyFont="1" applyFill="1" applyBorder="1" applyProtection="1"/>
    <xf numFmtId="165" fontId="2" fillId="10" borderId="82"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2"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8"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8"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1" xfId="3" applyFont="1" applyFill="1" applyBorder="1" applyAlignment="1"/>
    <xf numFmtId="0" fontId="79"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10" borderId="106" xfId="5" applyFont="1" applyFill="1" applyBorder="1"/>
    <xf numFmtId="0" fontId="20" fillId="10" borderId="109" xfId="5" applyFont="1" applyFill="1" applyBorder="1"/>
    <xf numFmtId="0" fontId="19" fillId="10" borderId="112" xfId="0" applyNumberFormat="1" applyFont="1" applyFill="1" applyBorder="1" applyAlignment="1" applyProtection="1">
      <alignment horizontal="left" wrapText="1"/>
    </xf>
    <xf numFmtId="2" fontId="10" fillId="3" borderId="107" xfId="3" applyNumberFormat="1" applyFont="1" applyFill="1" applyBorder="1" applyAlignment="1">
      <alignment horizontal="center"/>
    </xf>
    <xf numFmtId="2" fontId="10" fillId="3" borderId="108" xfId="3" applyNumberFormat="1" applyFont="1" applyFill="1" applyBorder="1" applyAlignment="1">
      <alignment horizontal="center"/>
    </xf>
    <xf numFmtId="2" fontId="10" fillId="3" borderId="110" xfId="3" applyNumberFormat="1" applyFont="1" applyFill="1" applyBorder="1" applyAlignment="1">
      <alignment horizontal="center"/>
    </xf>
    <xf numFmtId="2" fontId="10" fillId="3" borderId="111" xfId="3" applyNumberFormat="1" applyFont="1" applyFill="1" applyBorder="1" applyAlignment="1">
      <alignment horizontal="center"/>
    </xf>
    <xf numFmtId="0" fontId="81" fillId="3" borderId="0" xfId="3" applyFont="1" applyFill="1" applyAlignment="1"/>
    <xf numFmtId="0" fontId="20" fillId="10" borderId="103" xfId="5" applyFont="1" applyFill="1" applyBorder="1"/>
    <xf numFmtId="2" fontId="10" fillId="3" borderId="104" xfId="3" applyNumberFormat="1" applyFont="1" applyFill="1" applyBorder="1" applyAlignment="1">
      <alignment horizontal="center"/>
    </xf>
    <xf numFmtId="2" fontId="10" fillId="3" borderId="105" xfId="3" applyNumberFormat="1" applyFont="1" applyFill="1" applyBorder="1" applyAlignment="1">
      <alignment horizontal="center"/>
    </xf>
    <xf numFmtId="0" fontId="2"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13" xfId="0" applyFill="1" applyBorder="1"/>
    <xf numFmtId="0" fontId="0" fillId="10" borderId="115" xfId="0" applyFill="1" applyBorder="1"/>
    <xf numFmtId="0" fontId="0" fillId="10" borderId="117" xfId="0" applyFill="1" applyBorder="1"/>
    <xf numFmtId="0" fontId="0" fillId="10" borderId="114" xfId="0" applyFill="1" applyBorder="1"/>
    <xf numFmtId="0" fontId="0" fillId="10" borderId="116" xfId="0" applyFill="1" applyBorder="1"/>
    <xf numFmtId="0" fontId="0" fillId="10" borderId="118" xfId="0" applyFill="1" applyBorder="1"/>
    <xf numFmtId="0" fontId="10" fillId="3" borderId="39" xfId="3" applyFont="1" applyFill="1" applyBorder="1" applyAlignment="1"/>
    <xf numFmtId="0" fontId="0" fillId="10" borderId="81" xfId="0" applyFill="1" applyBorder="1"/>
    <xf numFmtId="0" fontId="0" fillId="10" borderId="100"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5" xfId="0" applyFill="1" applyBorder="1" applyAlignment="1">
      <alignment horizontal="center" vertical="center"/>
    </xf>
    <xf numFmtId="0" fontId="0" fillId="10" borderId="85"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9" xfId="0" applyFont="1" applyFill="1" applyBorder="1" applyAlignment="1" applyProtection="1">
      <alignment horizontal="center" vertical="center" wrapText="1"/>
      <protection locked="0"/>
    </xf>
    <xf numFmtId="0" fontId="31" fillId="17" borderId="94" xfId="0" applyFont="1" applyFill="1" applyBorder="1" applyAlignment="1" applyProtection="1">
      <alignment horizontal="center" vertical="center" wrapText="1"/>
      <protection locked="0"/>
    </xf>
    <xf numFmtId="0" fontId="31" fillId="17" borderId="120" xfId="0" applyFont="1" applyFill="1" applyBorder="1" applyAlignment="1" applyProtection="1">
      <alignment horizontal="center" vertical="center" wrapText="1"/>
      <protection locked="0"/>
    </xf>
    <xf numFmtId="0" fontId="0" fillId="18" borderId="121" xfId="0" applyFont="1" applyFill="1" applyBorder="1" applyAlignment="1" applyProtection="1">
      <alignment horizontal="center"/>
    </xf>
    <xf numFmtId="0" fontId="0" fillId="18" borderId="49" xfId="0" applyFont="1" applyFill="1" applyBorder="1" applyAlignment="1" applyProtection="1">
      <alignment horizontal="center"/>
    </xf>
    <xf numFmtId="0" fontId="0" fillId="18" borderId="123"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41" xfId="0" applyFont="1" applyFill="1" applyBorder="1" applyAlignment="1" applyProtection="1">
      <alignment horizontal="center"/>
    </xf>
    <xf numFmtId="0" fontId="20" fillId="10" borderId="48" xfId="5" applyFont="1" applyFill="1" applyBorder="1" applyProtection="1">
      <protection locked="0"/>
    </xf>
    <xf numFmtId="0" fontId="20" fillId="10" borderId="39" xfId="5" applyFont="1" applyFill="1" applyBorder="1" applyProtection="1">
      <protection locked="0"/>
    </xf>
    <xf numFmtId="0" fontId="20" fillId="10" borderId="40" xfId="5" applyFont="1" applyFill="1" applyBorder="1" applyProtection="1">
      <protection locked="0"/>
    </xf>
    <xf numFmtId="0" fontId="0" fillId="18" borderId="127" xfId="0" applyFont="1" applyFill="1" applyBorder="1" applyAlignment="1" applyProtection="1">
      <alignment horizontal="center"/>
    </xf>
    <xf numFmtId="0" fontId="0" fillId="18" borderId="62" xfId="0" applyFont="1" applyFill="1" applyBorder="1" applyAlignment="1" applyProtection="1">
      <alignment horizontal="center"/>
    </xf>
    <xf numFmtId="0" fontId="0" fillId="18" borderId="128"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6"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50" fillId="18" borderId="47" xfId="3" applyFont="1" applyFill="1" applyBorder="1" applyAlignment="1" applyProtection="1">
      <alignment horizontal="center"/>
    </xf>
    <xf numFmtId="0" fontId="47" fillId="18" borderId="45" xfId="3" applyFont="1" applyFill="1" applyBorder="1" applyAlignment="1" applyProtection="1">
      <alignment horizontal="center" wrapText="1"/>
    </xf>
    <xf numFmtId="0" fontId="0" fillId="18" borderId="121" xfId="0" applyFill="1" applyBorder="1" applyAlignment="1" applyProtection="1">
      <alignment horizontal="center"/>
    </xf>
    <xf numFmtId="0" fontId="0" fillId="18" borderId="50" xfId="0" applyFill="1" applyBorder="1" applyAlignment="1" applyProtection="1">
      <alignment horizontal="center"/>
    </xf>
    <xf numFmtId="0" fontId="0" fillId="18" borderId="123" xfId="0" applyFill="1" applyBorder="1" applyAlignment="1" applyProtection="1">
      <alignment horizontal="center"/>
    </xf>
    <xf numFmtId="0" fontId="0" fillId="18" borderId="38" xfId="0" applyFill="1" applyBorder="1" applyAlignment="1" applyProtection="1">
      <alignment horizontal="center"/>
    </xf>
    <xf numFmtId="0" fontId="0" fillId="18" borderId="125" xfId="0" applyFill="1" applyBorder="1" applyAlignment="1" applyProtection="1">
      <alignment horizontal="center"/>
    </xf>
    <xf numFmtId="0" fontId="0" fillId="18" borderId="42" xfId="0" applyFill="1" applyBorder="1" applyAlignment="1" applyProtection="1">
      <alignment horizontal="center"/>
    </xf>
    <xf numFmtId="0" fontId="0" fillId="19" borderId="100" xfId="0" applyFont="1" applyFill="1" applyBorder="1" applyAlignment="1" applyProtection="1">
      <alignment horizontal="center"/>
    </xf>
    <xf numFmtId="0" fontId="0" fillId="19" borderId="63" xfId="0" applyFont="1" applyFill="1" applyBorder="1" applyAlignment="1" applyProtection="1">
      <alignment horizontal="center"/>
    </xf>
    <xf numFmtId="0" fontId="0" fillId="19" borderId="122" xfId="0" applyFont="1" applyFill="1" applyBorder="1" applyAlignment="1" applyProtection="1">
      <alignment horizontal="center"/>
    </xf>
    <xf numFmtId="0" fontId="0" fillId="19" borderId="124" xfId="0" applyFont="1" applyFill="1" applyBorder="1" applyAlignment="1" applyProtection="1">
      <alignment horizontal="center"/>
    </xf>
    <xf numFmtId="0" fontId="0" fillId="19" borderId="101" xfId="0" applyFont="1" applyFill="1" applyBorder="1" applyAlignment="1" applyProtection="1">
      <alignment horizontal="center"/>
    </xf>
    <xf numFmtId="0" fontId="0" fillId="19" borderId="126" xfId="0" applyFont="1" applyFill="1" applyBorder="1" applyAlignment="1" applyProtection="1">
      <alignment horizontal="center"/>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7" xfId="5" applyFont="1" applyFill="1" applyBorder="1" applyAlignment="1">
      <alignment horizontal="center" wrapText="1"/>
    </xf>
    <xf numFmtId="0" fontId="31" fillId="4" borderId="16" xfId="5" applyFont="1" applyFill="1" applyBorder="1" applyAlignment="1">
      <alignment horizontal="center" wrapText="1"/>
    </xf>
    <xf numFmtId="0" fontId="0" fillId="0" borderId="17" xfId="0" applyBorder="1" applyAlignment="1">
      <alignment horizontal="center" wrapText="1"/>
    </xf>
    <xf numFmtId="0" fontId="31" fillId="17" borderId="58"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9"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xf numFmtId="0" fontId="2" fillId="10" borderId="0" xfId="3" applyFont="1" applyFill="1" applyBorder="1"/>
    <xf numFmtId="0" fontId="45" fillId="3" borderId="48" xfId="3" applyFont="1" applyFill="1" applyBorder="1"/>
    <xf numFmtId="0" fontId="45" fillId="0" borderId="49" xfId="3" applyFont="1" applyFill="1" applyBorder="1"/>
    <xf numFmtId="0" fontId="45" fillId="3" borderId="49" xfId="3" applyFont="1" applyFill="1" applyBorder="1"/>
    <xf numFmtId="0" fontId="45" fillId="3" borderId="129" xfId="3" applyFont="1" applyFill="1" applyBorder="1"/>
    <xf numFmtId="0" fontId="14" fillId="3" borderId="39" xfId="5" applyFont="1" applyFill="1" applyBorder="1" applyAlignment="1">
      <alignment horizontal="center"/>
    </xf>
    <xf numFmtId="0" fontId="31" fillId="4" borderId="130" xfId="5" applyFont="1" applyFill="1" applyBorder="1" applyAlignment="1">
      <alignment horizontal="center" wrapText="1"/>
    </xf>
    <xf numFmtId="0" fontId="14" fillId="11" borderId="131" xfId="5" applyFont="1" applyFill="1" applyBorder="1" applyAlignment="1">
      <alignment horizontal="center" wrapText="1"/>
    </xf>
    <xf numFmtId="0" fontId="19" fillId="3" borderId="130" xfId="5" applyFont="1" applyFill="1" applyBorder="1" applyAlignment="1">
      <alignment horizontal="center" wrapText="1"/>
    </xf>
    <xf numFmtId="3" fontId="2" fillId="0" borderId="132" xfId="5" applyNumberFormat="1" applyFont="1" applyFill="1" applyBorder="1" applyAlignment="1">
      <alignment horizontal="center"/>
    </xf>
    <xf numFmtId="3" fontId="2" fillId="0" borderId="38" xfId="5" applyNumberFormat="1" applyFont="1" applyFill="1" applyBorder="1" applyAlignment="1">
      <alignment horizontal="center"/>
    </xf>
    <xf numFmtId="1" fontId="19" fillId="10" borderId="0" xfId="3" applyNumberFormat="1" applyFont="1" applyFill="1" applyBorder="1"/>
    <xf numFmtId="1" fontId="19" fillId="10" borderId="57" xfId="3" applyNumberFormat="1" applyFont="1" applyFill="1" applyBorder="1"/>
    <xf numFmtId="3" fontId="2" fillId="0" borderId="41" xfId="5" applyNumberFormat="1" applyFont="1" applyFill="1" applyBorder="1" applyAlignment="1">
      <alignment horizontal="center"/>
    </xf>
    <xf numFmtId="3" fontId="2" fillId="0" borderId="42"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1" xfId="5" applyNumberFormat="1" applyFont="1" applyBorder="1" applyAlignment="1">
      <alignment horizontal="center" wrapText="1"/>
    </xf>
    <xf numFmtId="1" fontId="2" fillId="0" borderId="41" xfId="5" applyNumberFormat="1" applyFont="1" applyFill="1" applyBorder="1" applyAlignment="1">
      <alignment horizontal="center"/>
    </xf>
    <xf numFmtId="9" fontId="2" fillId="0" borderId="41" xfId="5" applyNumberFormat="1" applyFont="1" applyFill="1" applyBorder="1" applyAlignment="1">
      <alignment horizontal="center"/>
    </xf>
  </cellXfs>
  <cellStyles count="81">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23826552"/>
        <c:axId val="-2096711960"/>
      </c:scatterChart>
      <c:valAx>
        <c:axId val="212382655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6711960"/>
        <c:crosses val="autoZero"/>
        <c:crossBetween val="midCat"/>
      </c:valAx>
      <c:valAx>
        <c:axId val="-209671196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382655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94058168"/>
        <c:axId val="2127597736"/>
      </c:scatterChart>
      <c:valAx>
        <c:axId val="-2094058168"/>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7597736"/>
        <c:crosses val="autoZero"/>
        <c:crossBetween val="midCat"/>
      </c:valAx>
      <c:valAx>
        <c:axId val="212759773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405816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18288" tIns="18288" rIns="18288"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amortization.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18288" tIns="18288" rIns="18288"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18288" tIns="18288" rIns="18288"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18288" tIns="18288" rIns="18288"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18288" tIns="18288" rIns="18288"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Wind Cost"/>
      <sheetName val="Wind Performance"/>
      <sheetName val="Finance"/>
      <sheetName val="Market Projections"/>
      <sheetName val="Wind Policies"/>
      <sheetName val="Net Metering"/>
    </sheetNames>
    <definedNames>
      <definedName name="ClearIncentives"/>
      <definedName name="EnterIncentives.EnterIncentives"/>
    </definedNames>
    <sheetDataSet>
      <sheetData sheetId="0"/>
      <sheetData sheetId="1"/>
      <sheetData sheetId="2"/>
      <sheetData sheetId="3"/>
      <sheetData sheetId="4"/>
      <sheetData sheetId="5"/>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workbookViewId="0">
      <selection activeCell="D17" sqref="D17"/>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9" t="s">
        <v>256</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55" t="s">
        <v>257</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47" t="s">
        <v>102</v>
      </c>
      <c r="D10" s="34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48" t="s">
        <v>69</v>
      </c>
      <c r="D11" s="351" t="s">
        <v>8</v>
      </c>
      <c r="E11" s="61"/>
      <c r="F11" s="109"/>
      <c r="G11" s="61"/>
      <c r="H11" s="237"/>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48" t="s">
        <v>101</v>
      </c>
      <c r="D12" s="352">
        <v>2020</v>
      </c>
      <c r="E12" s="61"/>
      <c r="F12" s="109"/>
      <c r="G12" s="61" t="s">
        <v>236</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48" t="s">
        <v>140</v>
      </c>
      <c r="D13" s="353" t="s">
        <v>171</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48" t="s">
        <v>290</v>
      </c>
      <c r="D14" s="353" t="s">
        <v>291</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49" t="s">
        <v>94</v>
      </c>
      <c r="D15" s="352"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49" t="s">
        <v>164</v>
      </c>
      <c r="D16" s="352" t="s">
        <v>167</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49" t="s">
        <v>65</v>
      </c>
      <c r="D17" s="352" t="s">
        <v>302</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49" t="s">
        <v>70</v>
      </c>
      <c r="D18" s="352"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50" t="s">
        <v>72</v>
      </c>
      <c r="D19" s="352"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49" t="s">
        <v>66</v>
      </c>
      <c r="D20" s="352" t="s">
        <v>302</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49" t="s">
        <v>71</v>
      </c>
      <c r="D21" s="352"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50" t="s">
        <v>73</v>
      </c>
      <c r="D22" s="352"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50" t="s">
        <v>245</v>
      </c>
      <c r="D23" s="352">
        <v>0.2</v>
      </c>
      <c r="E23" s="61"/>
      <c r="F23" s="109"/>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49" t="s">
        <v>158</v>
      </c>
      <c r="D24" s="352" t="s">
        <v>302</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50" t="s">
        <v>156</v>
      </c>
      <c r="D25" s="352"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50" t="s">
        <v>157</v>
      </c>
      <c r="D26" s="352"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50" t="s">
        <v>246</v>
      </c>
      <c r="D27" s="352">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50" t="s">
        <v>62</v>
      </c>
      <c r="D28" s="352" t="s">
        <v>247</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349" t="s">
        <v>63</v>
      </c>
      <c r="D29" s="352"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
      <c r="A30" s="21"/>
      <c r="B30" s="21"/>
      <c r="C30" s="350" t="s">
        <v>289</v>
      </c>
      <c r="D30" s="352" t="s">
        <v>287</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5">
      <c r="A31" s="21"/>
      <c r="B31" s="21"/>
      <c r="C31" s="367" t="s">
        <v>286</v>
      </c>
      <c r="D31" s="352" t="s">
        <v>287</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6" thickBot="1">
      <c r="A32" s="21"/>
      <c r="B32" s="21"/>
      <c r="C32" s="365" t="s">
        <v>292</v>
      </c>
      <c r="D32" s="366">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9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9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8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8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91"/>
      <c r="G154" s="8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91"/>
      <c r="G155" s="8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94"/>
      <c r="F156" s="91"/>
      <c r="G156" s="8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1" t="s">
        <v>247</v>
      </c>
      <c r="F157" s="91"/>
      <c r="G157" s="8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1" t="s">
        <v>248</v>
      </c>
      <c r="F158" s="91"/>
      <c r="G158" s="8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1" t="s">
        <v>249</v>
      </c>
      <c r="F159" s="91"/>
      <c r="G159" s="89" t="s">
        <v>60</v>
      </c>
      <c r="H159" s="67"/>
      <c r="I159" s="93"/>
      <c r="J159" s="67" t="s">
        <v>10</v>
      </c>
      <c r="K159" s="9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1" t="s">
        <v>250</v>
      </c>
      <c r="F160" s="91"/>
      <c r="G160" s="92" t="s">
        <v>67</v>
      </c>
      <c r="H160" s="67"/>
      <c r="I160" s="93"/>
      <c r="J160" s="67" t="s">
        <v>170</v>
      </c>
      <c r="K160" s="9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91"/>
      <c r="G161" s="92" t="s">
        <v>61</v>
      </c>
      <c r="H161" s="67"/>
      <c r="I161" s="93"/>
      <c r="J161" s="67" t="s">
        <v>12</v>
      </c>
      <c r="K161" s="9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91"/>
      <c r="F162" s="91"/>
      <c r="G162" s="61"/>
      <c r="H162" s="93"/>
      <c r="I162" s="93"/>
      <c r="J162" s="67" t="s">
        <v>13</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91" t="s">
        <v>59</v>
      </c>
      <c r="F163" s="91"/>
      <c r="G163" s="61"/>
      <c r="H163" s="93"/>
      <c r="I163" s="93"/>
      <c r="J163" s="67" t="s">
        <v>14</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91" t="s">
        <v>64</v>
      </c>
      <c r="F164" s="91"/>
      <c r="G164" s="61"/>
      <c r="H164" s="93"/>
      <c r="I164" s="93"/>
      <c r="J164" s="67" t="s">
        <v>15</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91"/>
      <c r="F165" s="61"/>
      <c r="G165" s="61"/>
      <c r="H165" s="93"/>
      <c r="I165" s="93"/>
      <c r="J165" s="67" t="s">
        <v>16</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91" t="s">
        <v>88</v>
      </c>
      <c r="F166" s="61"/>
      <c r="G166" s="61"/>
      <c r="H166" s="93"/>
      <c r="I166" s="93"/>
      <c r="J166" s="67" t="s">
        <v>17</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93"/>
      <c r="I167" s="93"/>
      <c r="J167" s="67" t="s">
        <v>18</v>
      </c>
      <c r="K167" s="9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93"/>
      <c r="I168" s="93"/>
      <c r="J168" s="67" t="s">
        <v>19</v>
      </c>
      <c r="K168" s="9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93"/>
      <c r="I169" s="93"/>
      <c r="J169" s="67" t="s">
        <v>20</v>
      </c>
      <c r="K169" s="9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93"/>
      <c r="I170" s="91"/>
      <c r="J170" s="67" t="s">
        <v>21</v>
      </c>
      <c r="K170" s="9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90" t="s">
        <v>96</v>
      </c>
      <c r="F171" s="61"/>
      <c r="G171" s="61"/>
      <c r="H171" s="93"/>
      <c r="I171" s="91"/>
      <c r="J171" s="67" t="s">
        <v>22</v>
      </c>
      <c r="K171" s="9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95" t="s">
        <v>87</v>
      </c>
      <c r="F172" s="61"/>
      <c r="G172" s="61"/>
      <c r="H172" s="67"/>
      <c r="I172" s="91"/>
      <c r="J172" s="67" t="s">
        <v>23</v>
      </c>
      <c r="K172" s="9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91"/>
      <c r="J173" s="67" t="s">
        <v>24</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172</v>
      </c>
      <c r="F174" s="61"/>
      <c r="G174" s="61"/>
      <c r="H174" s="61"/>
      <c r="I174" s="91"/>
      <c r="J174" s="67" t="s">
        <v>25</v>
      </c>
      <c r="K174" s="9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171</v>
      </c>
      <c r="F175" s="61"/>
      <c r="G175" s="61"/>
      <c r="H175" s="61"/>
      <c r="I175" s="91"/>
      <c r="J175" s="67" t="s">
        <v>26</v>
      </c>
      <c r="K175" s="9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173</v>
      </c>
      <c r="F176" s="61"/>
      <c r="G176" s="61"/>
      <c r="H176" s="61"/>
      <c r="I176" s="91"/>
      <c r="J176" s="67" t="s">
        <v>27</v>
      </c>
      <c r="K176" s="9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9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9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9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9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9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9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9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90" t="s">
        <v>84</v>
      </c>
      <c r="F211" s="61"/>
      <c r="G211" s="61"/>
      <c r="H211" s="61"/>
      <c r="I211" s="61"/>
      <c r="J211" s="9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9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287</v>
      </c>
      <c r="F214" s="61"/>
      <c r="G214" s="61"/>
      <c r="H214" s="61"/>
      <c r="I214" s="61"/>
      <c r="J214" s="9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288</v>
      </c>
      <c r="F215" s="61"/>
      <c r="G215" s="61"/>
      <c r="H215" s="61"/>
      <c r="I215" s="61"/>
      <c r="J215" s="9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9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9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9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9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165</v>
      </c>
      <c r="F220" s="61"/>
      <c r="G220" s="61"/>
      <c r="H220" s="61"/>
      <c r="I220" s="61"/>
      <c r="J220" s="9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166</v>
      </c>
      <c r="F221" s="61"/>
      <c r="G221" s="61"/>
      <c r="H221" s="61"/>
      <c r="I221" s="61"/>
      <c r="J221" s="9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167</v>
      </c>
      <c r="F222" s="61"/>
      <c r="G222" s="61"/>
      <c r="H222" s="61"/>
      <c r="I222" s="61"/>
      <c r="J222" s="9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168</v>
      </c>
      <c r="F223" s="61"/>
      <c r="G223" s="61"/>
      <c r="H223" s="61"/>
      <c r="I223" s="61"/>
      <c r="J223" s="9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169</v>
      </c>
      <c r="F224" s="61"/>
      <c r="G224" s="61"/>
      <c r="H224" s="61"/>
      <c r="I224" s="61"/>
      <c r="J224" s="9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t="s">
        <v>302</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t="s">
        <v>303</v>
      </c>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t="s">
        <v>304</v>
      </c>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5" type="noConversion"/>
  <dataValidations count="14">
    <dataValidation type="list" allowBlank="1" showInputMessage="1" showErrorMessage="1" sqref="D29">
      <formula1>"No Carbon Price, Price Based On State Carbon Intensity, Price Based On NG Offset"</formula1>
    </dataValidation>
    <dataValidation type="list" allowBlank="1" showInputMessage="1" showErrorMessage="1" sqref="D24">
      <formula1>$J$227:$J$229</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 type="list" allowBlank="1" showInputMessage="1" showErrorMessage="1" sqref="D17 D20">
      <formula1>$J$227:$J$229</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6" activePane="bottomLeft" state="frozen"/>
      <selection pane="bottomLeft" activeCell="K34" sqref="K34"/>
    </sheetView>
  </sheetViews>
  <sheetFormatPr baseColWidth="10" defaultColWidth="8.83203125" defaultRowHeight="12" x14ac:dyDescent="0"/>
  <cols>
    <col min="3" max="3" width="32.5" customWidth="1"/>
    <col min="19" max="19" width="26.1640625" customWidth="1"/>
    <col min="20" max="20" width="7" bestFit="1" customWidth="1"/>
    <col min="30" max="60" width="8.83203125" style="260"/>
  </cols>
  <sheetData>
    <row r="1" spans="1:60" ht="26">
      <c r="A1" s="260"/>
      <c r="B1" s="260"/>
      <c r="C1" s="260"/>
      <c r="D1" s="262" t="s">
        <v>258</v>
      </c>
      <c r="E1" s="260"/>
      <c r="F1" s="260"/>
      <c r="G1" s="260"/>
      <c r="H1" s="260"/>
      <c r="I1" s="260"/>
      <c r="J1" s="260"/>
      <c r="K1" s="260"/>
      <c r="L1" s="260"/>
      <c r="M1" s="260"/>
      <c r="N1" s="260"/>
      <c r="O1" s="260"/>
      <c r="P1" s="260"/>
      <c r="Q1" s="260"/>
      <c r="R1" s="260"/>
      <c r="S1" s="260"/>
      <c r="T1" s="260"/>
      <c r="U1" s="260"/>
      <c r="V1" s="260"/>
      <c r="W1" s="260"/>
      <c r="X1" s="260"/>
      <c r="Y1" s="260"/>
      <c r="Z1" s="260"/>
      <c r="AA1" s="260"/>
      <c r="AB1" s="260"/>
      <c r="AC1" s="260"/>
    </row>
    <row r="2" spans="1:60">
      <c r="A2" s="283"/>
      <c r="B2" s="283"/>
      <c r="C2" s="283"/>
      <c r="D2" s="283"/>
      <c r="E2" s="283"/>
      <c r="F2" s="283"/>
      <c r="G2" s="283"/>
      <c r="H2" s="283"/>
      <c r="I2" s="283"/>
      <c r="J2" s="283"/>
      <c r="K2" s="283"/>
      <c r="L2" s="283"/>
      <c r="M2" s="283"/>
      <c r="N2" s="283"/>
      <c r="O2" s="283"/>
      <c r="P2" s="283"/>
      <c r="Q2" s="283"/>
      <c r="R2" s="283"/>
      <c r="S2" s="283"/>
      <c r="T2" s="283"/>
      <c r="U2" s="283"/>
      <c r="V2" s="283"/>
      <c r="W2" s="283"/>
      <c r="X2" s="283"/>
      <c r="Y2" s="283"/>
      <c r="Z2" s="283"/>
      <c r="AA2" s="283"/>
      <c r="AB2" s="283"/>
      <c r="AC2" s="260"/>
    </row>
    <row r="3" spans="1:60" ht="21">
      <c r="A3" s="283"/>
      <c r="B3" s="283"/>
      <c r="C3" s="283"/>
      <c r="D3" s="283"/>
      <c r="E3" s="283"/>
      <c r="F3" s="283"/>
      <c r="G3" s="283"/>
      <c r="H3" s="283"/>
      <c r="I3" s="283"/>
      <c r="J3" s="283"/>
      <c r="K3" s="283"/>
      <c r="L3" s="283"/>
      <c r="M3" s="283"/>
      <c r="N3" s="283"/>
      <c r="O3" s="283"/>
      <c r="P3" s="283"/>
      <c r="Q3" s="283"/>
      <c r="R3" s="283"/>
      <c r="S3" s="263" t="s">
        <v>268</v>
      </c>
      <c r="T3" s="260"/>
      <c r="U3" s="260"/>
      <c r="V3" s="260"/>
      <c r="W3" s="283"/>
      <c r="X3" s="283"/>
      <c r="Y3" s="283"/>
      <c r="Z3" s="283"/>
      <c r="AA3" s="283"/>
      <c r="AB3" s="283"/>
      <c r="AC3" s="260"/>
    </row>
    <row r="4" spans="1:60" ht="16" thickBot="1">
      <c r="A4" s="283"/>
      <c r="B4" s="354" t="s">
        <v>281</v>
      </c>
      <c r="C4" s="283"/>
      <c r="D4" s="283"/>
      <c r="E4" s="283"/>
      <c r="F4" s="283"/>
      <c r="G4" s="283"/>
      <c r="H4" s="283"/>
      <c r="I4" s="283"/>
      <c r="J4" s="283"/>
      <c r="K4" s="283"/>
      <c r="L4" s="283"/>
      <c r="M4" s="283"/>
      <c r="N4" s="283"/>
      <c r="O4" s="283"/>
      <c r="P4" s="283"/>
      <c r="Q4" s="283"/>
      <c r="R4" s="270" t="s">
        <v>269</v>
      </c>
      <c r="S4" s="271"/>
      <c r="T4" s="377" t="s">
        <v>270</v>
      </c>
      <c r="U4" s="377" t="s">
        <v>271</v>
      </c>
      <c r="V4" s="377" t="s">
        <v>280</v>
      </c>
      <c r="W4" s="283"/>
      <c r="X4" s="283"/>
      <c r="Y4" s="283"/>
      <c r="Z4" s="283"/>
      <c r="AA4" s="283"/>
      <c r="AB4" s="283"/>
      <c r="AC4" s="260"/>
    </row>
    <row r="5" spans="1:60" ht="13">
      <c r="A5" s="283"/>
      <c r="B5" s="354" t="s">
        <v>282</v>
      </c>
      <c r="C5" s="283"/>
      <c r="D5" s="283"/>
      <c r="E5" s="283"/>
      <c r="F5" s="283"/>
      <c r="G5" s="283"/>
      <c r="H5" s="283"/>
      <c r="I5" s="283"/>
      <c r="J5" s="283"/>
      <c r="K5" s="283"/>
      <c r="L5" s="283"/>
      <c r="M5" s="283"/>
      <c r="N5" s="283"/>
      <c r="O5" s="283"/>
      <c r="P5" s="283"/>
      <c r="Q5" s="283"/>
      <c r="R5" s="273" t="s">
        <v>272</v>
      </c>
      <c r="S5" s="374"/>
      <c r="T5" s="378">
        <v>1.1000000238418579</v>
      </c>
      <c r="U5" s="379">
        <v>1.1000000238418579</v>
      </c>
      <c r="V5" s="380">
        <v>1.1000000238418579</v>
      </c>
      <c r="W5" s="283"/>
      <c r="X5" s="283"/>
      <c r="Y5" s="283"/>
      <c r="Z5" s="283"/>
      <c r="AA5" s="283"/>
      <c r="AB5" s="283"/>
      <c r="AC5" s="260"/>
    </row>
    <row r="6" spans="1:60">
      <c r="A6" s="283"/>
      <c r="B6" s="283"/>
      <c r="C6" s="283"/>
      <c r="D6" s="283"/>
      <c r="E6" s="283"/>
      <c r="F6" s="283"/>
      <c r="G6" s="283"/>
      <c r="H6" s="283"/>
      <c r="I6" s="283"/>
      <c r="J6" s="283"/>
      <c r="K6" s="283"/>
      <c r="L6" s="283"/>
      <c r="M6" s="283"/>
      <c r="N6" s="283"/>
      <c r="O6" s="283"/>
      <c r="P6" s="283"/>
      <c r="Q6" s="283"/>
      <c r="R6" s="275" t="s">
        <v>273</v>
      </c>
      <c r="S6" s="375"/>
      <c r="T6" s="381">
        <v>4</v>
      </c>
      <c r="U6" s="258">
        <v>300</v>
      </c>
      <c r="V6" s="382">
        <v>300</v>
      </c>
      <c r="W6" s="283"/>
      <c r="X6" s="283"/>
      <c r="Y6" s="283"/>
      <c r="Z6" s="283"/>
      <c r="AA6" s="283"/>
      <c r="AB6" s="283"/>
      <c r="AC6" s="260"/>
    </row>
    <row r="7" spans="1:60" ht="13" thickBot="1">
      <c r="A7" s="283"/>
      <c r="B7" s="283"/>
      <c r="C7" s="283"/>
      <c r="D7" s="283"/>
      <c r="E7" s="283"/>
      <c r="F7" s="283"/>
      <c r="G7" s="283"/>
      <c r="H7" s="283"/>
      <c r="I7" s="283"/>
      <c r="J7" s="283"/>
      <c r="K7" s="283"/>
      <c r="L7" s="283"/>
      <c r="M7" s="283"/>
      <c r="N7" s="283"/>
      <c r="O7" s="283"/>
      <c r="P7" s="283"/>
      <c r="Q7" s="283"/>
      <c r="R7" s="279" t="s">
        <v>274</v>
      </c>
      <c r="S7" s="376"/>
      <c r="T7" s="383">
        <v>1.6666699200868607E-2</v>
      </c>
      <c r="U7" s="384">
        <v>1.6999999934341758E-4</v>
      </c>
      <c r="V7" s="385">
        <v>1.6999999934341758E-4</v>
      </c>
      <c r="W7" s="283"/>
      <c r="X7" s="283"/>
      <c r="Y7" s="283"/>
      <c r="Z7" s="283"/>
      <c r="AA7" s="283"/>
      <c r="AB7" s="283"/>
      <c r="AC7" s="260"/>
    </row>
    <row r="8" spans="1:60" ht="21">
      <c r="A8" s="283"/>
      <c r="B8" s="284"/>
      <c r="C8" s="283"/>
      <c r="D8" s="263" t="s">
        <v>259</v>
      </c>
      <c r="E8" s="260"/>
      <c r="F8" s="260"/>
      <c r="G8" s="260"/>
      <c r="H8" s="260"/>
      <c r="I8" s="260"/>
      <c r="J8" s="260"/>
      <c r="K8" s="260"/>
      <c r="L8" s="260"/>
      <c r="M8" s="260"/>
      <c r="N8" s="260"/>
      <c r="O8" s="260"/>
      <c r="P8" s="260"/>
      <c r="Q8" s="260"/>
      <c r="R8" s="260"/>
      <c r="S8" s="260"/>
      <c r="T8" s="260"/>
      <c r="U8" s="260"/>
      <c r="V8" s="260"/>
      <c r="W8" s="260"/>
      <c r="X8" s="260"/>
      <c r="Y8" s="260"/>
      <c r="Z8" s="260"/>
      <c r="AA8" s="260"/>
      <c r="AB8" s="260"/>
      <c r="AC8" s="260"/>
    </row>
    <row r="9" spans="1:60" ht="13" thickBot="1">
      <c r="A9" s="283"/>
      <c r="B9" s="325" t="s">
        <v>297</v>
      </c>
      <c r="C9" s="283"/>
      <c r="D9" s="295">
        <v>2014</v>
      </c>
      <c r="E9" s="295">
        <v>2016</v>
      </c>
      <c r="F9" s="295">
        <v>2018</v>
      </c>
      <c r="G9" s="295">
        <v>2020</v>
      </c>
      <c r="H9" s="295">
        <v>2022</v>
      </c>
      <c r="I9" s="295">
        <v>2024</v>
      </c>
      <c r="J9" s="295">
        <v>2026</v>
      </c>
      <c r="K9" s="295">
        <v>2028</v>
      </c>
      <c r="L9" s="295">
        <v>2030</v>
      </c>
      <c r="M9" s="295">
        <v>2032</v>
      </c>
      <c r="N9" s="295">
        <v>2034</v>
      </c>
      <c r="O9" s="295">
        <v>2036</v>
      </c>
      <c r="P9" s="295">
        <v>2038</v>
      </c>
      <c r="Q9" s="295">
        <v>2040</v>
      </c>
      <c r="R9" s="295">
        <v>2042</v>
      </c>
      <c r="S9" s="295">
        <v>2044</v>
      </c>
      <c r="T9" s="295">
        <v>2046</v>
      </c>
      <c r="U9" s="295">
        <v>2048</v>
      </c>
      <c r="V9" s="296">
        <v>2050</v>
      </c>
      <c r="W9" s="260"/>
      <c r="X9" s="260"/>
      <c r="Y9" s="260"/>
      <c r="Z9" s="260"/>
      <c r="AA9" s="260"/>
      <c r="AB9" s="260"/>
      <c r="AC9" s="260"/>
    </row>
    <row r="10" spans="1:60" ht="15" customHeight="1">
      <c r="A10" s="283"/>
      <c r="B10" s="491" t="s">
        <v>261</v>
      </c>
      <c r="C10" s="297" t="s">
        <v>262</v>
      </c>
      <c r="D10" s="391">
        <v>4170</v>
      </c>
      <c r="E10" s="392">
        <v>3280</v>
      </c>
      <c r="F10" s="392">
        <v>2390</v>
      </c>
      <c r="G10" s="392">
        <v>1500</v>
      </c>
      <c r="H10" s="392">
        <v>1500</v>
      </c>
      <c r="I10" s="392">
        <v>1500</v>
      </c>
      <c r="J10" s="392">
        <v>1500</v>
      </c>
      <c r="K10" s="392">
        <v>1500</v>
      </c>
      <c r="L10" s="392">
        <v>1500</v>
      </c>
      <c r="M10" s="392">
        <v>1500</v>
      </c>
      <c r="N10" s="392">
        <v>1500</v>
      </c>
      <c r="O10" s="392">
        <v>1500</v>
      </c>
      <c r="P10" s="392">
        <v>1500</v>
      </c>
      <c r="Q10" s="392">
        <v>1500</v>
      </c>
      <c r="R10" s="392">
        <v>1500</v>
      </c>
      <c r="S10" s="392">
        <v>1500</v>
      </c>
      <c r="T10" s="392">
        <v>1500</v>
      </c>
      <c r="U10" s="392">
        <v>1500</v>
      </c>
      <c r="V10" s="393">
        <v>1500</v>
      </c>
      <c r="W10" s="260"/>
      <c r="X10" s="260"/>
      <c r="Y10" s="260"/>
      <c r="Z10" s="260"/>
      <c r="AA10" s="260"/>
      <c r="AB10" s="260"/>
      <c r="AC10" s="260"/>
    </row>
    <row r="11" spans="1:60" ht="15" customHeight="1">
      <c r="A11" s="283"/>
      <c r="B11" s="492"/>
      <c r="C11" s="288" t="s">
        <v>263</v>
      </c>
      <c r="D11" s="329">
        <v>250</v>
      </c>
      <c r="E11" s="289">
        <v>210</v>
      </c>
      <c r="F11" s="289">
        <v>180</v>
      </c>
      <c r="G11" s="289">
        <v>150</v>
      </c>
      <c r="H11" s="289">
        <v>150</v>
      </c>
      <c r="I11" s="289">
        <v>150</v>
      </c>
      <c r="J11" s="289">
        <v>150</v>
      </c>
      <c r="K11" s="289">
        <v>150</v>
      </c>
      <c r="L11" s="289">
        <v>150</v>
      </c>
      <c r="M11" s="289">
        <v>150</v>
      </c>
      <c r="N11" s="289">
        <v>150</v>
      </c>
      <c r="O11" s="289">
        <v>150</v>
      </c>
      <c r="P11" s="289">
        <v>150</v>
      </c>
      <c r="Q11" s="289">
        <v>150</v>
      </c>
      <c r="R11" s="289">
        <v>150</v>
      </c>
      <c r="S11" s="289">
        <v>150</v>
      </c>
      <c r="T11" s="289">
        <v>150</v>
      </c>
      <c r="U11" s="289">
        <v>150</v>
      </c>
      <c r="V11" s="330">
        <v>150</v>
      </c>
      <c r="W11" s="260"/>
      <c r="X11" s="260"/>
      <c r="Y11" s="260"/>
      <c r="Z11" s="260"/>
      <c r="AA11" s="260"/>
      <c r="AB11" s="260"/>
      <c r="AC11" s="260"/>
    </row>
    <row r="12" spans="1:60" ht="15" customHeight="1">
      <c r="A12" s="283"/>
      <c r="B12" s="492"/>
      <c r="C12" s="208" t="s">
        <v>109</v>
      </c>
      <c r="D12" s="331">
        <v>0</v>
      </c>
      <c r="E12" s="282">
        <v>0</v>
      </c>
      <c r="F12" s="282">
        <v>0</v>
      </c>
      <c r="G12" s="282">
        <v>0</v>
      </c>
      <c r="H12" s="282">
        <v>0</v>
      </c>
      <c r="I12" s="282">
        <v>0</v>
      </c>
      <c r="J12" s="282">
        <v>0</v>
      </c>
      <c r="K12" s="282">
        <v>0</v>
      </c>
      <c r="L12" s="282">
        <v>0</v>
      </c>
      <c r="M12" s="282">
        <v>0</v>
      </c>
      <c r="N12" s="282">
        <v>0</v>
      </c>
      <c r="O12" s="282">
        <v>0</v>
      </c>
      <c r="P12" s="282">
        <v>0</v>
      </c>
      <c r="Q12" s="282">
        <v>0</v>
      </c>
      <c r="R12" s="282">
        <v>0</v>
      </c>
      <c r="S12" s="282">
        <v>0</v>
      </c>
      <c r="T12" s="282">
        <v>0</v>
      </c>
      <c r="U12" s="282">
        <v>0</v>
      </c>
      <c r="V12" s="332">
        <v>0</v>
      </c>
      <c r="W12" s="260"/>
      <c r="X12" s="260"/>
      <c r="Y12" s="260"/>
      <c r="Z12" s="260"/>
      <c r="AA12" s="260"/>
      <c r="AB12" s="260"/>
      <c r="AC12" s="260"/>
    </row>
    <row r="13" spans="1:60" ht="15" customHeight="1" thickBot="1">
      <c r="A13" s="283"/>
      <c r="B13" s="493"/>
      <c r="C13" s="298" t="s">
        <v>145</v>
      </c>
      <c r="D13" s="333">
        <v>0</v>
      </c>
      <c r="E13" s="334">
        <v>0</v>
      </c>
      <c r="F13" s="334">
        <v>0</v>
      </c>
      <c r="G13" s="334">
        <v>0</v>
      </c>
      <c r="H13" s="334">
        <v>0</v>
      </c>
      <c r="I13" s="334">
        <v>0</v>
      </c>
      <c r="J13" s="334">
        <v>0</v>
      </c>
      <c r="K13" s="334">
        <v>0</v>
      </c>
      <c r="L13" s="334">
        <v>0</v>
      </c>
      <c r="M13" s="334">
        <v>0</v>
      </c>
      <c r="N13" s="334">
        <v>0</v>
      </c>
      <c r="O13" s="334">
        <v>0</v>
      </c>
      <c r="P13" s="334">
        <v>0</v>
      </c>
      <c r="Q13" s="334">
        <v>0</v>
      </c>
      <c r="R13" s="334">
        <v>0</v>
      </c>
      <c r="S13" s="334">
        <v>0</v>
      </c>
      <c r="T13" s="334">
        <v>0</v>
      </c>
      <c r="U13" s="334">
        <v>0</v>
      </c>
      <c r="V13" s="335">
        <v>0</v>
      </c>
      <c r="W13" s="260"/>
      <c r="X13" s="260"/>
      <c r="Y13" s="260"/>
      <c r="Z13" s="260"/>
      <c r="AA13" s="260"/>
      <c r="AB13" s="260"/>
      <c r="AC13" s="260"/>
    </row>
    <row r="14" spans="1:60" s="256" customFormat="1" ht="15" customHeight="1">
      <c r="A14" s="283"/>
      <c r="B14" s="304"/>
      <c r="C14" s="294"/>
      <c r="D14" s="305"/>
      <c r="E14" s="305"/>
      <c r="F14" s="286"/>
      <c r="G14" s="286"/>
      <c r="H14" s="286"/>
      <c r="I14" s="286"/>
      <c r="J14" s="286"/>
      <c r="K14" s="286"/>
      <c r="L14" s="286"/>
      <c r="M14" s="286"/>
      <c r="N14" s="286"/>
      <c r="O14" s="286"/>
      <c r="P14" s="286"/>
      <c r="Q14" s="286"/>
      <c r="R14" s="286"/>
      <c r="S14" s="286"/>
      <c r="T14" s="286"/>
      <c r="U14" s="286"/>
      <c r="V14" s="286"/>
      <c r="W14" s="260"/>
      <c r="X14" s="260"/>
      <c r="Y14" s="260"/>
      <c r="Z14" s="260"/>
      <c r="AA14" s="260"/>
      <c r="AB14" s="260"/>
      <c r="AC14" s="260"/>
      <c r="AD14" s="260"/>
      <c r="AE14" s="260"/>
      <c r="AF14" s="260"/>
      <c r="AG14" s="260"/>
      <c r="AH14" s="260"/>
      <c r="AI14" s="260"/>
      <c r="AJ14" s="260"/>
      <c r="AK14" s="260"/>
      <c r="AL14" s="260"/>
      <c r="AM14" s="260"/>
      <c r="AN14" s="260"/>
      <c r="AO14" s="260"/>
      <c r="AP14" s="260"/>
      <c r="AQ14" s="260"/>
      <c r="AR14" s="260"/>
      <c r="AS14" s="260"/>
      <c r="AT14" s="260"/>
      <c r="AU14" s="260"/>
      <c r="AV14" s="260"/>
      <c r="AW14" s="260"/>
      <c r="AX14" s="260"/>
      <c r="AY14" s="260"/>
      <c r="AZ14" s="260"/>
      <c r="BA14" s="260"/>
      <c r="BB14" s="260"/>
      <c r="BC14" s="260"/>
      <c r="BD14" s="260"/>
      <c r="BE14" s="260"/>
      <c r="BF14" s="260"/>
      <c r="BG14" s="260"/>
      <c r="BH14" s="260"/>
    </row>
    <row r="15" spans="1:60" ht="15" customHeight="1">
      <c r="A15" s="283"/>
      <c r="B15" s="261"/>
      <c r="C15" s="294"/>
      <c r="D15" s="286"/>
      <c r="E15" s="286"/>
      <c r="F15" s="286"/>
      <c r="G15" s="286"/>
      <c r="H15" s="286"/>
      <c r="I15" s="286"/>
      <c r="J15" s="286"/>
      <c r="K15" s="286"/>
      <c r="L15" s="286"/>
      <c r="M15" s="286"/>
      <c r="N15" s="286"/>
      <c r="O15" s="286"/>
      <c r="P15" s="286"/>
      <c r="Q15" s="286"/>
      <c r="R15" s="286"/>
      <c r="S15" s="286"/>
      <c r="T15" s="286"/>
      <c r="U15" s="286"/>
      <c r="V15" s="286"/>
      <c r="W15" s="260"/>
      <c r="X15" s="260"/>
      <c r="Y15" s="260"/>
      <c r="Z15" s="260"/>
      <c r="AA15" s="260"/>
      <c r="AB15" s="291"/>
      <c r="AC15" s="291"/>
    </row>
    <row r="16" spans="1:60" ht="15" customHeight="1" thickBot="1">
      <c r="A16" s="283"/>
      <c r="B16" s="325" t="s">
        <v>277</v>
      </c>
      <c r="C16" s="283"/>
      <c r="D16" s="295">
        <v>2014</v>
      </c>
      <c r="E16" s="295">
        <v>2016</v>
      </c>
      <c r="F16" s="295">
        <v>2018</v>
      </c>
      <c r="G16" s="295">
        <v>2020</v>
      </c>
      <c r="H16" s="295">
        <v>2022</v>
      </c>
      <c r="I16" s="295">
        <v>2024</v>
      </c>
      <c r="J16" s="295">
        <v>2026</v>
      </c>
      <c r="K16" s="295">
        <v>2028</v>
      </c>
      <c r="L16" s="295">
        <v>2030</v>
      </c>
      <c r="M16" s="295">
        <v>2032</v>
      </c>
      <c r="N16" s="295">
        <v>2034</v>
      </c>
      <c r="O16" s="295">
        <v>2036</v>
      </c>
      <c r="P16" s="295">
        <v>2038</v>
      </c>
      <c r="Q16" s="295">
        <v>2040</v>
      </c>
      <c r="R16" s="295">
        <v>2042</v>
      </c>
      <c r="S16" s="295">
        <v>2044</v>
      </c>
      <c r="T16" s="295">
        <v>2046</v>
      </c>
      <c r="U16" s="295">
        <v>2048</v>
      </c>
      <c r="V16" s="296">
        <v>2050</v>
      </c>
      <c r="W16" s="260"/>
      <c r="X16" s="260"/>
      <c r="Y16" s="260"/>
      <c r="Z16" s="260"/>
      <c r="AA16" s="260"/>
      <c r="AB16" s="260"/>
      <c r="AC16" s="260"/>
    </row>
    <row r="17" spans="1:60" ht="14">
      <c r="A17" s="283"/>
      <c r="B17" s="491" t="s">
        <v>58</v>
      </c>
      <c r="C17" s="297" t="s">
        <v>262</v>
      </c>
      <c r="D17" s="326">
        <v>4830.3999999999996</v>
      </c>
      <c r="E17" s="327">
        <v>4505.2</v>
      </c>
      <c r="F17" s="327">
        <v>4301.6000000000004</v>
      </c>
      <c r="G17" s="327">
        <v>4098</v>
      </c>
      <c r="H17" s="327">
        <v>3987.2</v>
      </c>
      <c r="I17" s="327">
        <v>3876.4</v>
      </c>
      <c r="J17" s="327">
        <v>3788</v>
      </c>
      <c r="K17" s="327">
        <v>3722</v>
      </c>
      <c r="L17" s="327">
        <v>3656</v>
      </c>
      <c r="M17" s="327">
        <v>3616.4</v>
      </c>
      <c r="N17" s="327">
        <v>3576.8</v>
      </c>
      <c r="O17" s="327">
        <v>3539</v>
      </c>
      <c r="P17" s="327">
        <v>3503</v>
      </c>
      <c r="Q17" s="327">
        <v>3467</v>
      </c>
      <c r="R17" s="327">
        <v>3434.6</v>
      </c>
      <c r="S17" s="327">
        <v>3402.2</v>
      </c>
      <c r="T17" s="327">
        <v>3371</v>
      </c>
      <c r="U17" s="327">
        <v>3341</v>
      </c>
      <c r="V17" s="328">
        <v>3311</v>
      </c>
      <c r="W17" s="260"/>
      <c r="X17" s="260"/>
      <c r="Y17" s="260"/>
      <c r="Z17" s="260"/>
      <c r="AA17" s="260"/>
      <c r="AB17" s="260"/>
      <c r="AC17" s="260"/>
    </row>
    <row r="18" spans="1:60" ht="15" customHeight="1">
      <c r="A18" s="283"/>
      <c r="B18" s="492"/>
      <c r="C18" s="288" t="s">
        <v>263</v>
      </c>
      <c r="D18" s="329">
        <v>180</v>
      </c>
      <c r="E18" s="289">
        <v>170</v>
      </c>
      <c r="F18" s="289">
        <v>160</v>
      </c>
      <c r="G18" s="289">
        <v>165</v>
      </c>
      <c r="H18" s="289">
        <v>150</v>
      </c>
      <c r="I18" s="289">
        <v>140</v>
      </c>
      <c r="J18" s="289">
        <v>130</v>
      </c>
      <c r="K18" s="289">
        <v>130</v>
      </c>
      <c r="L18" s="289">
        <v>130</v>
      </c>
      <c r="M18" s="289">
        <v>130</v>
      </c>
      <c r="N18" s="289">
        <v>130</v>
      </c>
      <c r="O18" s="289">
        <v>130</v>
      </c>
      <c r="P18" s="289">
        <v>130</v>
      </c>
      <c r="Q18" s="290">
        <v>120</v>
      </c>
      <c r="R18" s="290">
        <v>120</v>
      </c>
      <c r="S18" s="290">
        <v>120</v>
      </c>
      <c r="T18" s="290">
        <v>120</v>
      </c>
      <c r="U18" s="290">
        <v>120</v>
      </c>
      <c r="V18" s="330">
        <v>120</v>
      </c>
      <c r="W18" s="260"/>
      <c r="X18" s="260"/>
      <c r="Y18" s="260"/>
      <c r="Z18" s="260"/>
      <c r="AA18" s="260"/>
      <c r="AB18" s="260"/>
      <c r="AC18" s="260"/>
    </row>
    <row r="19" spans="1:60" ht="15" customHeight="1">
      <c r="A19" s="283"/>
      <c r="B19" s="492"/>
      <c r="C19" s="208" t="s">
        <v>109</v>
      </c>
      <c r="D19" s="331">
        <v>0</v>
      </c>
      <c r="E19" s="282">
        <v>0</v>
      </c>
      <c r="F19" s="282">
        <v>0</v>
      </c>
      <c r="G19" s="282">
        <v>0</v>
      </c>
      <c r="H19" s="282">
        <v>0</v>
      </c>
      <c r="I19" s="282">
        <v>0</v>
      </c>
      <c r="J19" s="282">
        <v>0</v>
      </c>
      <c r="K19" s="282">
        <v>0</v>
      </c>
      <c r="L19" s="282">
        <v>0</v>
      </c>
      <c r="M19" s="282">
        <v>0</v>
      </c>
      <c r="N19" s="282">
        <v>0</v>
      </c>
      <c r="O19" s="282">
        <v>0</v>
      </c>
      <c r="P19" s="282">
        <v>0</v>
      </c>
      <c r="Q19" s="282">
        <v>0</v>
      </c>
      <c r="R19" s="282">
        <v>0</v>
      </c>
      <c r="S19" s="282">
        <v>0</v>
      </c>
      <c r="T19" s="282">
        <v>0</v>
      </c>
      <c r="U19" s="282">
        <v>0</v>
      </c>
      <c r="V19" s="332">
        <v>0</v>
      </c>
      <c r="W19" s="260"/>
      <c r="X19" s="260"/>
      <c r="Y19" s="260"/>
      <c r="Z19" s="260"/>
      <c r="AA19" s="260"/>
      <c r="AB19" s="260"/>
      <c r="AC19" s="260"/>
    </row>
    <row r="20" spans="1:60" ht="15" customHeight="1" thickBot="1">
      <c r="A20" s="283"/>
      <c r="B20" s="493"/>
      <c r="C20" s="298" t="s">
        <v>145</v>
      </c>
      <c r="D20" s="333">
        <v>0</v>
      </c>
      <c r="E20" s="334">
        <v>0</v>
      </c>
      <c r="F20" s="334">
        <v>0</v>
      </c>
      <c r="G20" s="334">
        <v>0</v>
      </c>
      <c r="H20" s="334">
        <v>0</v>
      </c>
      <c r="I20" s="334">
        <v>0</v>
      </c>
      <c r="J20" s="334">
        <v>0</v>
      </c>
      <c r="K20" s="334">
        <v>0</v>
      </c>
      <c r="L20" s="334">
        <v>0</v>
      </c>
      <c r="M20" s="334">
        <v>0</v>
      </c>
      <c r="N20" s="334">
        <v>0</v>
      </c>
      <c r="O20" s="334">
        <v>0</v>
      </c>
      <c r="P20" s="334">
        <v>0</v>
      </c>
      <c r="Q20" s="334">
        <v>0</v>
      </c>
      <c r="R20" s="334">
        <v>0</v>
      </c>
      <c r="S20" s="334">
        <v>0</v>
      </c>
      <c r="T20" s="334">
        <v>0</v>
      </c>
      <c r="U20" s="334">
        <v>0</v>
      </c>
      <c r="V20" s="335">
        <v>0</v>
      </c>
      <c r="W20" s="260"/>
      <c r="X20" s="260"/>
      <c r="Y20" s="260"/>
      <c r="Z20" s="260"/>
      <c r="AA20" s="260"/>
      <c r="AB20" s="260"/>
      <c r="AC20" s="260"/>
    </row>
    <row r="21" spans="1:60" ht="14">
      <c r="A21" s="283"/>
      <c r="B21" s="261"/>
      <c r="C21" s="294"/>
      <c r="D21" s="286"/>
      <c r="E21" s="286"/>
      <c r="F21" s="286"/>
      <c r="G21" s="286"/>
      <c r="H21" s="286"/>
      <c r="I21" s="286"/>
      <c r="J21" s="286"/>
      <c r="K21" s="286"/>
      <c r="L21" s="286"/>
      <c r="M21" s="286"/>
      <c r="N21" s="286"/>
      <c r="O21" s="286"/>
      <c r="P21" s="286"/>
      <c r="Q21" s="286"/>
      <c r="R21" s="286"/>
      <c r="S21" s="286"/>
      <c r="T21" s="286"/>
      <c r="U21" s="286"/>
      <c r="V21" s="286"/>
      <c r="W21" s="260"/>
      <c r="X21" s="260"/>
      <c r="Y21" s="260"/>
      <c r="Z21" s="260"/>
      <c r="AA21" s="260"/>
      <c r="AB21" s="260"/>
      <c r="AC21" s="260"/>
    </row>
    <row r="22" spans="1:60" ht="21">
      <c r="A22" s="283"/>
      <c r="B22" s="261"/>
      <c r="C22" s="294"/>
      <c r="D22" s="263" t="s">
        <v>265</v>
      </c>
      <c r="E22" s="286"/>
      <c r="F22" s="286"/>
      <c r="G22" s="286"/>
      <c r="H22" s="286"/>
      <c r="I22" s="286"/>
      <c r="J22" s="286"/>
      <c r="K22" s="286"/>
      <c r="L22" s="286"/>
      <c r="M22" s="286"/>
      <c r="N22" s="286"/>
      <c r="O22" s="286"/>
      <c r="P22" s="286"/>
      <c r="Q22" s="286"/>
      <c r="R22" s="286"/>
      <c r="S22" s="286"/>
      <c r="T22" s="286"/>
      <c r="U22" s="286"/>
      <c r="V22" s="286"/>
      <c r="W22" s="260"/>
      <c r="X22" s="260"/>
      <c r="Y22" s="260"/>
      <c r="Z22" s="260"/>
      <c r="AA22" s="260"/>
      <c r="AB22" s="260"/>
      <c r="AC22" s="260"/>
    </row>
    <row r="23" spans="1:60" s="256" customFormat="1" ht="13" thickBot="1">
      <c r="A23" s="283"/>
      <c r="B23" s="325" t="s">
        <v>297</v>
      </c>
      <c r="C23" s="283"/>
      <c r="D23" s="295">
        <v>2014</v>
      </c>
      <c r="E23" s="295">
        <v>2016</v>
      </c>
      <c r="F23" s="295">
        <v>2018</v>
      </c>
      <c r="G23" s="295">
        <v>2020</v>
      </c>
      <c r="H23" s="295">
        <v>2022</v>
      </c>
      <c r="I23" s="295">
        <v>2024</v>
      </c>
      <c r="J23" s="295">
        <v>2026</v>
      </c>
      <c r="K23" s="295">
        <v>2028</v>
      </c>
      <c r="L23" s="295">
        <v>2030</v>
      </c>
      <c r="M23" s="295">
        <v>2032</v>
      </c>
      <c r="N23" s="295">
        <v>2034</v>
      </c>
      <c r="O23" s="295">
        <v>2036</v>
      </c>
      <c r="P23" s="295">
        <v>2038</v>
      </c>
      <c r="Q23" s="295">
        <v>2040</v>
      </c>
      <c r="R23" s="295">
        <v>2042</v>
      </c>
      <c r="S23" s="295">
        <v>2044</v>
      </c>
      <c r="T23" s="295">
        <v>2046</v>
      </c>
      <c r="U23" s="295">
        <v>2048</v>
      </c>
      <c r="V23" s="296">
        <v>2050</v>
      </c>
      <c r="W23" s="260"/>
      <c r="X23" s="260"/>
      <c r="Y23" s="260"/>
      <c r="Z23" s="260"/>
      <c r="AA23" s="260"/>
      <c r="AB23" s="260"/>
      <c r="AC23" s="260"/>
      <c r="AD23" s="260"/>
      <c r="AE23" s="260"/>
      <c r="AF23" s="260"/>
      <c r="AG23" s="260"/>
      <c r="AH23" s="260"/>
      <c r="AI23" s="260"/>
      <c r="AJ23" s="260"/>
      <c r="AK23" s="260"/>
      <c r="AL23" s="260"/>
      <c r="AM23" s="260"/>
      <c r="AN23" s="260"/>
      <c r="AO23" s="260"/>
      <c r="AP23" s="260"/>
      <c r="AQ23" s="260"/>
      <c r="AR23" s="260"/>
      <c r="AS23" s="260"/>
      <c r="AT23" s="260"/>
      <c r="AU23" s="260"/>
      <c r="AV23" s="260"/>
      <c r="AW23" s="260"/>
      <c r="AX23" s="260"/>
      <c r="AY23" s="260"/>
      <c r="AZ23" s="260"/>
      <c r="BA23" s="260"/>
      <c r="BB23" s="260"/>
      <c r="BC23" s="260"/>
      <c r="BD23" s="260"/>
      <c r="BE23" s="260"/>
      <c r="BF23" s="260"/>
      <c r="BG23" s="260"/>
      <c r="BH23" s="260"/>
    </row>
    <row r="24" spans="1:60" s="256" customFormat="1" ht="15" customHeight="1">
      <c r="A24" s="283"/>
      <c r="B24" s="491" t="s">
        <v>261</v>
      </c>
      <c r="C24" s="297" t="s">
        <v>262</v>
      </c>
      <c r="D24" s="292">
        <v>3375.2</v>
      </c>
      <c r="E24" s="292">
        <v>2666.7999999999997</v>
      </c>
      <c r="F24" s="292">
        <v>1958.3999999999996</v>
      </c>
      <c r="G24" s="292">
        <v>1250</v>
      </c>
      <c r="H24" s="292">
        <v>1250</v>
      </c>
      <c r="I24" s="292">
        <v>1250</v>
      </c>
      <c r="J24" s="292">
        <v>1250</v>
      </c>
      <c r="K24" s="292">
        <v>1250</v>
      </c>
      <c r="L24" s="292">
        <v>1250</v>
      </c>
      <c r="M24" s="292">
        <v>1250</v>
      </c>
      <c r="N24" s="292">
        <v>1250</v>
      </c>
      <c r="O24" s="292">
        <v>1250</v>
      </c>
      <c r="P24" s="292">
        <v>1250</v>
      </c>
      <c r="Q24" s="292">
        <v>1250</v>
      </c>
      <c r="R24" s="292">
        <v>1250</v>
      </c>
      <c r="S24" s="292">
        <v>1250</v>
      </c>
      <c r="T24" s="292">
        <v>1250</v>
      </c>
      <c r="U24" s="292">
        <v>1250</v>
      </c>
      <c r="V24" s="293">
        <v>1250</v>
      </c>
      <c r="W24" s="260"/>
      <c r="X24" s="260"/>
      <c r="Y24" s="260"/>
      <c r="Z24" s="260"/>
      <c r="AA24" s="260"/>
      <c r="AB24" s="260"/>
      <c r="AC24" s="260"/>
      <c r="AD24" s="260"/>
      <c r="AE24" s="260"/>
      <c r="AF24" s="260"/>
      <c r="AG24" s="260"/>
      <c r="AH24" s="260"/>
      <c r="AI24" s="260"/>
      <c r="AJ24" s="260"/>
      <c r="AK24" s="260"/>
      <c r="AL24" s="260"/>
      <c r="AM24" s="260"/>
      <c r="AN24" s="260"/>
      <c r="AO24" s="260"/>
      <c r="AP24" s="260"/>
      <c r="AQ24" s="260"/>
      <c r="AR24" s="260"/>
      <c r="AS24" s="260"/>
      <c r="AT24" s="260"/>
      <c r="AU24" s="260"/>
      <c r="AV24" s="260"/>
      <c r="AW24" s="260"/>
      <c r="AX24" s="260"/>
      <c r="AY24" s="260"/>
      <c r="AZ24" s="260"/>
      <c r="BA24" s="260"/>
      <c r="BB24" s="260"/>
      <c r="BC24" s="260"/>
      <c r="BD24" s="260"/>
      <c r="BE24" s="260"/>
      <c r="BF24" s="260"/>
      <c r="BG24" s="260"/>
      <c r="BH24" s="260"/>
    </row>
    <row r="25" spans="1:60" s="256" customFormat="1" ht="15" customHeight="1">
      <c r="A25" s="283"/>
      <c r="B25" s="492"/>
      <c r="C25" s="288" t="s">
        <v>263</v>
      </c>
      <c r="D25" s="289">
        <v>180</v>
      </c>
      <c r="E25" s="289">
        <v>160</v>
      </c>
      <c r="F25" s="289">
        <v>140</v>
      </c>
      <c r="G25" s="289">
        <v>125</v>
      </c>
      <c r="H25" s="289">
        <v>125</v>
      </c>
      <c r="I25" s="289">
        <v>125</v>
      </c>
      <c r="J25" s="289">
        <v>125</v>
      </c>
      <c r="K25" s="289">
        <v>125</v>
      </c>
      <c r="L25" s="289">
        <v>125</v>
      </c>
      <c r="M25" s="289">
        <v>125</v>
      </c>
      <c r="N25" s="289">
        <v>125</v>
      </c>
      <c r="O25" s="289">
        <v>125</v>
      </c>
      <c r="P25" s="289">
        <v>125</v>
      </c>
      <c r="Q25" s="290">
        <v>125</v>
      </c>
      <c r="R25" s="290">
        <v>125</v>
      </c>
      <c r="S25" s="290">
        <v>125</v>
      </c>
      <c r="T25" s="290">
        <v>125</v>
      </c>
      <c r="U25" s="290">
        <v>125</v>
      </c>
      <c r="V25" s="290">
        <v>125</v>
      </c>
      <c r="W25" s="260"/>
      <c r="X25" s="260"/>
      <c r="Y25" s="260"/>
      <c r="Z25" s="260"/>
      <c r="AA25" s="260"/>
      <c r="AB25" s="260"/>
      <c r="AC25" s="260"/>
      <c r="AD25" s="260"/>
      <c r="AE25" s="260"/>
      <c r="AF25" s="260"/>
      <c r="AG25" s="260"/>
      <c r="AH25" s="260"/>
      <c r="AI25" s="260"/>
      <c r="AJ25" s="260"/>
      <c r="AK25" s="260"/>
      <c r="AL25" s="260"/>
      <c r="AM25" s="260"/>
      <c r="AN25" s="260"/>
      <c r="AO25" s="260"/>
      <c r="AP25" s="260"/>
      <c r="AQ25" s="260"/>
      <c r="AR25" s="260"/>
      <c r="AS25" s="260"/>
      <c r="AT25" s="260"/>
      <c r="AU25" s="260"/>
      <c r="AV25" s="260"/>
      <c r="AW25" s="260"/>
      <c r="AX25" s="260"/>
      <c r="AY25" s="260"/>
      <c r="AZ25" s="260"/>
      <c r="BA25" s="260"/>
      <c r="BB25" s="260"/>
      <c r="BC25" s="260"/>
      <c r="BD25" s="260"/>
      <c r="BE25" s="260"/>
      <c r="BF25" s="260"/>
      <c r="BG25" s="260"/>
      <c r="BH25" s="260"/>
    </row>
    <row r="26" spans="1:60" s="256" customFormat="1" ht="15" customHeight="1">
      <c r="A26" s="283"/>
      <c r="B26" s="492"/>
      <c r="C26" s="208" t="s">
        <v>109</v>
      </c>
      <c r="D26" s="302">
        <v>0</v>
      </c>
      <c r="E26" s="282">
        <v>0</v>
      </c>
      <c r="F26" s="282">
        <v>0</v>
      </c>
      <c r="G26" s="282">
        <v>0</v>
      </c>
      <c r="H26" s="282">
        <v>0</v>
      </c>
      <c r="I26" s="282">
        <v>0</v>
      </c>
      <c r="J26" s="282">
        <v>0</v>
      </c>
      <c r="K26" s="282">
        <v>0</v>
      </c>
      <c r="L26" s="282">
        <v>0</v>
      </c>
      <c r="M26" s="282">
        <v>0</v>
      </c>
      <c r="N26" s="282">
        <v>0</v>
      </c>
      <c r="O26" s="282">
        <v>0</v>
      </c>
      <c r="P26" s="282">
        <v>0</v>
      </c>
      <c r="Q26" s="282">
        <v>0</v>
      </c>
      <c r="R26" s="282">
        <v>0</v>
      </c>
      <c r="S26" s="282">
        <v>0</v>
      </c>
      <c r="T26" s="282">
        <v>0</v>
      </c>
      <c r="U26" s="282">
        <v>0</v>
      </c>
      <c r="V26" s="303">
        <v>0</v>
      </c>
      <c r="W26" s="260"/>
      <c r="X26" s="260"/>
      <c r="Y26" s="260"/>
      <c r="Z26" s="260"/>
      <c r="AA26" s="260"/>
      <c r="AB26" s="260"/>
      <c r="AC26" s="260"/>
      <c r="AD26" s="260"/>
      <c r="AE26" s="260"/>
      <c r="AF26" s="260"/>
      <c r="AG26" s="260"/>
      <c r="AH26" s="260"/>
      <c r="AI26" s="260"/>
      <c r="AJ26" s="260"/>
      <c r="AK26" s="260"/>
      <c r="AL26" s="260"/>
      <c r="AM26" s="260"/>
      <c r="AN26" s="260"/>
      <c r="AO26" s="260"/>
      <c r="AP26" s="260"/>
      <c r="AQ26" s="260"/>
      <c r="AR26" s="260"/>
      <c r="AS26" s="260"/>
      <c r="AT26" s="260"/>
      <c r="AU26" s="260"/>
      <c r="AV26" s="260"/>
      <c r="AW26" s="260"/>
      <c r="AX26" s="260"/>
      <c r="AY26" s="260"/>
      <c r="AZ26" s="260"/>
      <c r="BA26" s="260"/>
      <c r="BB26" s="260"/>
      <c r="BC26" s="260"/>
      <c r="BD26" s="260"/>
      <c r="BE26" s="260"/>
      <c r="BF26" s="260"/>
      <c r="BG26" s="260"/>
      <c r="BH26" s="260"/>
    </row>
    <row r="27" spans="1:60" s="256" customFormat="1" ht="15" customHeight="1" thickBot="1">
      <c r="A27" s="283"/>
      <c r="B27" s="493"/>
      <c r="C27" s="298" t="s">
        <v>145</v>
      </c>
      <c r="D27" s="301">
        <v>0</v>
      </c>
      <c r="E27" s="299">
        <v>0</v>
      </c>
      <c r="F27" s="299">
        <v>0</v>
      </c>
      <c r="G27" s="299">
        <v>0</v>
      </c>
      <c r="H27" s="299">
        <v>0</v>
      </c>
      <c r="I27" s="299">
        <v>0</v>
      </c>
      <c r="J27" s="299">
        <v>0</v>
      </c>
      <c r="K27" s="299">
        <v>0</v>
      </c>
      <c r="L27" s="299">
        <v>0</v>
      </c>
      <c r="M27" s="299">
        <v>0</v>
      </c>
      <c r="N27" s="299">
        <v>0</v>
      </c>
      <c r="O27" s="299">
        <v>0</v>
      </c>
      <c r="P27" s="299">
        <v>0</v>
      </c>
      <c r="Q27" s="299">
        <v>0</v>
      </c>
      <c r="R27" s="299">
        <v>0</v>
      </c>
      <c r="S27" s="299">
        <v>0</v>
      </c>
      <c r="T27" s="299">
        <v>0</v>
      </c>
      <c r="U27" s="299">
        <v>0</v>
      </c>
      <c r="V27" s="300">
        <v>0</v>
      </c>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260"/>
      <c r="BG27" s="260"/>
      <c r="BH27" s="260"/>
    </row>
    <row r="28" spans="1:60" s="256" customFormat="1" ht="15" customHeight="1">
      <c r="A28" s="283"/>
      <c r="B28" s="261"/>
      <c r="C28" s="294"/>
      <c r="D28" s="286"/>
      <c r="E28" s="286"/>
      <c r="F28" s="286"/>
      <c r="G28" s="286"/>
      <c r="H28" s="286"/>
      <c r="I28" s="286"/>
      <c r="J28" s="286"/>
      <c r="K28" s="286"/>
      <c r="L28" s="286"/>
      <c r="M28" s="286"/>
      <c r="N28" s="286"/>
      <c r="O28" s="286"/>
      <c r="P28" s="286"/>
      <c r="Q28" s="286"/>
      <c r="R28" s="286"/>
      <c r="S28" s="286"/>
      <c r="T28" s="286"/>
      <c r="U28" s="286"/>
      <c r="V28" s="286"/>
      <c r="W28" s="260"/>
      <c r="X28" s="260"/>
      <c r="Y28" s="260"/>
      <c r="Z28" s="260"/>
      <c r="AA28" s="260"/>
      <c r="AB28" s="291"/>
      <c r="AC28" s="291"/>
      <c r="AD28" s="260"/>
      <c r="AE28" s="260"/>
      <c r="AF28" s="260"/>
      <c r="AG28" s="260"/>
      <c r="AH28" s="260"/>
      <c r="AI28" s="260"/>
      <c r="AJ28" s="260"/>
      <c r="AK28" s="260"/>
      <c r="AL28" s="260"/>
      <c r="AM28" s="260"/>
      <c r="AN28" s="260"/>
      <c r="AO28" s="260"/>
      <c r="AP28" s="260"/>
      <c r="AQ28" s="260"/>
      <c r="AR28" s="260"/>
      <c r="AS28" s="260"/>
      <c r="AT28" s="260"/>
      <c r="AU28" s="260"/>
      <c r="AV28" s="260"/>
      <c r="AW28" s="260"/>
      <c r="AX28" s="260"/>
      <c r="AY28" s="260"/>
      <c r="AZ28" s="260"/>
      <c r="BA28" s="260"/>
      <c r="BB28" s="260"/>
      <c r="BC28" s="260"/>
      <c r="BD28" s="260"/>
      <c r="BE28" s="260"/>
      <c r="BF28" s="260"/>
      <c r="BG28" s="260"/>
      <c r="BH28" s="260"/>
    </row>
    <row r="29" spans="1:60" s="256" customFormat="1" ht="15" customHeight="1" thickBot="1">
      <c r="A29" s="283"/>
      <c r="B29" s="285" t="s">
        <v>277</v>
      </c>
      <c r="C29" s="283"/>
      <c r="D29" s="295">
        <v>2014</v>
      </c>
      <c r="E29" s="295">
        <v>2016</v>
      </c>
      <c r="F29" s="295">
        <v>2018</v>
      </c>
      <c r="G29" s="295">
        <v>2020</v>
      </c>
      <c r="H29" s="295">
        <v>2022</v>
      </c>
      <c r="I29" s="295">
        <v>2024</v>
      </c>
      <c r="J29" s="295">
        <v>2026</v>
      </c>
      <c r="K29" s="295">
        <v>2028</v>
      </c>
      <c r="L29" s="295">
        <v>2030</v>
      </c>
      <c r="M29" s="295">
        <v>2032</v>
      </c>
      <c r="N29" s="295">
        <v>2034</v>
      </c>
      <c r="O29" s="295">
        <v>2036</v>
      </c>
      <c r="P29" s="295">
        <v>2038</v>
      </c>
      <c r="Q29" s="295">
        <v>2040</v>
      </c>
      <c r="R29" s="295">
        <v>2042</v>
      </c>
      <c r="S29" s="295">
        <v>2044</v>
      </c>
      <c r="T29" s="295">
        <v>2046</v>
      </c>
      <c r="U29" s="295">
        <v>2048</v>
      </c>
      <c r="V29" s="296">
        <v>2050</v>
      </c>
      <c r="W29" s="260"/>
      <c r="X29" s="260"/>
      <c r="Y29" s="260"/>
      <c r="Z29" s="260"/>
      <c r="AA29" s="260"/>
      <c r="AB29" s="260"/>
      <c r="AC29" s="260"/>
      <c r="AD29" s="260"/>
      <c r="AE29" s="260"/>
      <c r="AF29" s="260"/>
      <c r="AG29" s="260"/>
      <c r="AH29" s="260"/>
      <c r="AI29" s="260"/>
      <c r="AJ29" s="260"/>
      <c r="AK29" s="260"/>
      <c r="AL29" s="260"/>
      <c r="AM29" s="260"/>
      <c r="AN29" s="260"/>
      <c r="AO29" s="260"/>
      <c r="AP29" s="260"/>
      <c r="AQ29" s="260"/>
      <c r="AR29" s="260"/>
      <c r="AS29" s="260"/>
      <c r="AT29" s="260"/>
      <c r="AU29" s="260"/>
      <c r="AV29" s="260"/>
      <c r="AW29" s="260"/>
      <c r="AX29" s="260"/>
      <c r="AY29" s="260"/>
      <c r="AZ29" s="260"/>
      <c r="BA29" s="260"/>
      <c r="BB29" s="260"/>
      <c r="BC29" s="260"/>
      <c r="BD29" s="260"/>
      <c r="BE29" s="260"/>
      <c r="BF29" s="260"/>
      <c r="BG29" s="260"/>
      <c r="BH29" s="260"/>
    </row>
    <row r="30" spans="1:60" s="256" customFormat="1" ht="14">
      <c r="A30" s="283"/>
      <c r="B30" s="491" t="s">
        <v>58</v>
      </c>
      <c r="C30" s="297" t="s">
        <v>262</v>
      </c>
      <c r="D30" s="326">
        <v>3979.6</v>
      </c>
      <c r="E30" s="327">
        <v>3795.8</v>
      </c>
      <c r="F30" s="327">
        <v>3633.4</v>
      </c>
      <c r="G30" s="327">
        <v>3471</v>
      </c>
      <c r="H30" s="327">
        <v>3380.2</v>
      </c>
      <c r="I30" s="327">
        <v>3289.4</v>
      </c>
      <c r="J30" s="327">
        <v>3219.6</v>
      </c>
      <c r="K30" s="327">
        <v>3170.8</v>
      </c>
      <c r="L30" s="327">
        <v>3122</v>
      </c>
      <c r="M30" s="327">
        <v>3086.4</v>
      </c>
      <c r="N30" s="327">
        <v>3050.8</v>
      </c>
      <c r="O30" s="327">
        <v>3017</v>
      </c>
      <c r="P30" s="327">
        <v>2985</v>
      </c>
      <c r="Q30" s="327">
        <v>2953</v>
      </c>
      <c r="R30" s="327">
        <v>2923.8</v>
      </c>
      <c r="S30" s="327">
        <v>2894.6</v>
      </c>
      <c r="T30" s="327">
        <v>2866.6</v>
      </c>
      <c r="U30" s="327">
        <v>2839.8</v>
      </c>
      <c r="V30" s="328">
        <v>2813</v>
      </c>
      <c r="W30" s="260"/>
      <c r="X30" s="260"/>
      <c r="Y30" s="260"/>
      <c r="Z30" s="260"/>
      <c r="AA30" s="260"/>
      <c r="AB30" s="260"/>
      <c r="AC30" s="260"/>
      <c r="AD30" s="260"/>
      <c r="AE30" s="260"/>
      <c r="AF30" s="260"/>
      <c r="AG30" s="260"/>
      <c r="AH30" s="260"/>
      <c r="AI30" s="260"/>
      <c r="AJ30" s="260"/>
      <c r="AK30" s="260"/>
      <c r="AL30" s="260"/>
      <c r="AM30" s="260"/>
      <c r="AN30" s="260"/>
      <c r="AO30" s="260"/>
      <c r="AP30" s="260"/>
      <c r="AQ30" s="260"/>
      <c r="AR30" s="260"/>
      <c r="AS30" s="260"/>
      <c r="AT30" s="260"/>
      <c r="AU30" s="260"/>
      <c r="AV30" s="260"/>
      <c r="AW30" s="260"/>
      <c r="AX30" s="260"/>
      <c r="AY30" s="260"/>
      <c r="AZ30" s="260"/>
      <c r="BA30" s="260"/>
      <c r="BB30" s="260"/>
      <c r="BC30" s="260"/>
      <c r="BD30" s="260"/>
      <c r="BE30" s="260"/>
      <c r="BF30" s="260"/>
      <c r="BG30" s="260"/>
      <c r="BH30" s="260"/>
    </row>
    <row r="31" spans="1:60" s="256" customFormat="1" ht="15" customHeight="1">
      <c r="A31" s="283"/>
      <c r="B31" s="492"/>
      <c r="C31" s="288" t="s">
        <v>263</v>
      </c>
      <c r="D31" s="329">
        <v>180</v>
      </c>
      <c r="E31" s="289">
        <v>170</v>
      </c>
      <c r="F31" s="289">
        <v>160</v>
      </c>
      <c r="G31" s="289">
        <v>165</v>
      </c>
      <c r="H31" s="289">
        <v>150</v>
      </c>
      <c r="I31" s="289">
        <v>140</v>
      </c>
      <c r="J31" s="289">
        <v>130</v>
      </c>
      <c r="K31" s="289">
        <v>130</v>
      </c>
      <c r="L31" s="289">
        <v>130</v>
      </c>
      <c r="M31" s="289">
        <v>130</v>
      </c>
      <c r="N31" s="289">
        <v>130</v>
      </c>
      <c r="O31" s="289">
        <v>130</v>
      </c>
      <c r="P31" s="289">
        <v>130</v>
      </c>
      <c r="Q31" s="290">
        <v>120</v>
      </c>
      <c r="R31" s="290">
        <v>120</v>
      </c>
      <c r="S31" s="290">
        <v>120</v>
      </c>
      <c r="T31" s="290">
        <v>120</v>
      </c>
      <c r="U31" s="290">
        <v>120</v>
      </c>
      <c r="V31" s="330">
        <v>120</v>
      </c>
      <c r="W31" s="260"/>
      <c r="X31" s="260"/>
      <c r="Y31" s="260"/>
      <c r="Z31" s="260"/>
      <c r="AA31" s="260"/>
      <c r="AB31" s="260"/>
      <c r="AC31" s="260"/>
      <c r="AD31" s="260"/>
      <c r="AE31" s="260"/>
      <c r="AF31" s="260"/>
      <c r="AG31" s="260"/>
      <c r="AH31" s="260"/>
      <c r="AI31" s="260"/>
      <c r="AJ31" s="260"/>
      <c r="AK31" s="260"/>
      <c r="AL31" s="260"/>
      <c r="AM31" s="260"/>
      <c r="AN31" s="260"/>
      <c r="AO31" s="260"/>
      <c r="AP31" s="260"/>
      <c r="AQ31" s="260"/>
      <c r="AR31" s="260"/>
      <c r="AS31" s="260"/>
      <c r="AT31" s="260"/>
      <c r="AU31" s="260"/>
      <c r="AV31" s="260"/>
      <c r="AW31" s="260"/>
      <c r="AX31" s="260"/>
      <c r="AY31" s="260"/>
      <c r="AZ31" s="260"/>
      <c r="BA31" s="260"/>
      <c r="BB31" s="260"/>
      <c r="BC31" s="260"/>
      <c r="BD31" s="260"/>
      <c r="BE31" s="260"/>
      <c r="BF31" s="260"/>
      <c r="BG31" s="260"/>
      <c r="BH31" s="260"/>
    </row>
    <row r="32" spans="1:60" s="256" customFormat="1" ht="15" customHeight="1">
      <c r="A32" s="283"/>
      <c r="B32" s="492"/>
      <c r="C32" s="208" t="s">
        <v>109</v>
      </c>
      <c r="D32" s="331">
        <v>0</v>
      </c>
      <c r="E32" s="282">
        <v>0</v>
      </c>
      <c r="F32" s="282">
        <v>0</v>
      </c>
      <c r="G32" s="282">
        <v>0</v>
      </c>
      <c r="H32" s="282">
        <v>0</v>
      </c>
      <c r="I32" s="282">
        <v>0</v>
      </c>
      <c r="J32" s="282">
        <v>0</v>
      </c>
      <c r="K32" s="282">
        <v>0</v>
      </c>
      <c r="L32" s="282">
        <v>0</v>
      </c>
      <c r="M32" s="282">
        <v>0</v>
      </c>
      <c r="N32" s="282">
        <v>0</v>
      </c>
      <c r="O32" s="282">
        <v>0</v>
      </c>
      <c r="P32" s="282">
        <v>0</v>
      </c>
      <c r="Q32" s="282">
        <v>0</v>
      </c>
      <c r="R32" s="282">
        <v>0</v>
      </c>
      <c r="S32" s="282">
        <v>0</v>
      </c>
      <c r="T32" s="282">
        <v>0</v>
      </c>
      <c r="U32" s="282">
        <v>0</v>
      </c>
      <c r="V32" s="332">
        <v>0</v>
      </c>
      <c r="W32" s="260"/>
      <c r="X32" s="260"/>
      <c r="Y32" s="260"/>
      <c r="Z32" s="260"/>
      <c r="AA32" s="260"/>
      <c r="AB32" s="260"/>
      <c r="AC32" s="260"/>
      <c r="AD32" s="260"/>
      <c r="AE32" s="260"/>
      <c r="AF32" s="260"/>
      <c r="AG32" s="260"/>
      <c r="AH32" s="260"/>
      <c r="AI32" s="260"/>
      <c r="AJ32" s="260"/>
      <c r="AK32" s="260"/>
      <c r="AL32" s="260"/>
      <c r="AM32" s="260"/>
      <c r="AN32" s="260"/>
      <c r="AO32" s="260"/>
      <c r="AP32" s="260"/>
      <c r="AQ32" s="260"/>
      <c r="AR32" s="260"/>
      <c r="AS32" s="260"/>
      <c r="AT32" s="260"/>
      <c r="AU32" s="260"/>
      <c r="AV32" s="260"/>
      <c r="AW32" s="260"/>
      <c r="AX32" s="260"/>
      <c r="AY32" s="260"/>
      <c r="AZ32" s="260"/>
      <c r="BA32" s="260"/>
      <c r="BB32" s="260"/>
      <c r="BC32" s="260"/>
      <c r="BD32" s="260"/>
      <c r="BE32" s="260"/>
      <c r="BF32" s="260"/>
      <c r="BG32" s="260"/>
      <c r="BH32" s="260"/>
    </row>
    <row r="33" spans="1:60" s="256" customFormat="1" ht="15" customHeight="1" thickBot="1">
      <c r="A33" s="283"/>
      <c r="B33" s="493"/>
      <c r="C33" s="298" t="s">
        <v>145</v>
      </c>
      <c r="D33" s="333">
        <v>0</v>
      </c>
      <c r="E33" s="334">
        <v>0</v>
      </c>
      <c r="F33" s="334">
        <v>0</v>
      </c>
      <c r="G33" s="334">
        <v>0</v>
      </c>
      <c r="H33" s="334">
        <v>0</v>
      </c>
      <c r="I33" s="334">
        <v>0</v>
      </c>
      <c r="J33" s="334">
        <v>0</v>
      </c>
      <c r="K33" s="334">
        <v>0</v>
      </c>
      <c r="L33" s="334">
        <v>0</v>
      </c>
      <c r="M33" s="334">
        <v>0</v>
      </c>
      <c r="N33" s="334">
        <v>0</v>
      </c>
      <c r="O33" s="334">
        <v>0</v>
      </c>
      <c r="P33" s="334">
        <v>0</v>
      </c>
      <c r="Q33" s="334">
        <v>0</v>
      </c>
      <c r="R33" s="334">
        <v>0</v>
      </c>
      <c r="S33" s="334">
        <v>0</v>
      </c>
      <c r="T33" s="334">
        <v>0</v>
      </c>
      <c r="U33" s="334">
        <v>0</v>
      </c>
      <c r="V33" s="335">
        <v>0</v>
      </c>
      <c r="W33" s="260"/>
      <c r="X33" s="260"/>
      <c r="Y33" s="260"/>
      <c r="Z33" s="260"/>
      <c r="AA33" s="260"/>
      <c r="AB33" s="260"/>
      <c r="AC33" s="260"/>
      <c r="AD33" s="260"/>
      <c r="AE33" s="260"/>
      <c r="AF33" s="260"/>
      <c r="AG33" s="260"/>
      <c r="AH33" s="260"/>
      <c r="AI33" s="260"/>
      <c r="AJ33" s="260"/>
      <c r="AK33" s="260"/>
      <c r="AL33" s="260"/>
      <c r="AM33" s="260"/>
      <c r="AN33" s="260"/>
      <c r="AO33" s="260"/>
      <c r="AP33" s="260"/>
      <c r="AQ33" s="260"/>
      <c r="AR33" s="260"/>
      <c r="AS33" s="260"/>
      <c r="AT33" s="260"/>
      <c r="AU33" s="260"/>
      <c r="AV33" s="260"/>
      <c r="AW33" s="260"/>
      <c r="AX33" s="260"/>
      <c r="AY33" s="260"/>
      <c r="AZ33" s="260"/>
      <c r="BA33" s="260"/>
      <c r="BB33" s="260"/>
      <c r="BC33" s="260"/>
      <c r="BD33" s="260"/>
      <c r="BE33" s="260"/>
      <c r="BF33" s="260"/>
      <c r="BG33" s="260"/>
      <c r="BH33" s="260"/>
    </row>
    <row r="34" spans="1:60" ht="14">
      <c r="A34" s="283"/>
      <c r="B34" s="261"/>
      <c r="C34" s="294"/>
      <c r="D34" s="286"/>
      <c r="E34" s="286"/>
      <c r="F34" s="286"/>
      <c r="G34" s="286"/>
      <c r="H34" s="286"/>
      <c r="I34" s="286"/>
      <c r="J34" s="286"/>
      <c r="K34" s="286"/>
      <c r="L34" s="286"/>
      <c r="M34" s="286"/>
      <c r="N34" s="286"/>
      <c r="O34" s="286"/>
      <c r="P34" s="286"/>
      <c r="Q34" s="286"/>
      <c r="R34" s="286"/>
      <c r="S34" s="286"/>
      <c r="T34" s="286"/>
      <c r="U34" s="286"/>
      <c r="V34" s="286"/>
      <c r="W34" s="260"/>
      <c r="X34" s="260"/>
      <c r="Y34" s="260"/>
      <c r="Z34" s="260"/>
      <c r="AA34" s="260"/>
      <c r="AB34" s="260"/>
      <c r="AC34" s="260"/>
    </row>
    <row r="35" spans="1:60" s="256" customFormat="1" ht="21">
      <c r="A35" s="283"/>
      <c r="B35" s="283"/>
      <c r="C35" s="283"/>
      <c r="D35" s="263" t="s">
        <v>276</v>
      </c>
      <c r="E35" s="265"/>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c r="AM35" s="260"/>
      <c r="AN35" s="260"/>
      <c r="AO35" s="260"/>
      <c r="AP35" s="260"/>
      <c r="AQ35" s="260"/>
      <c r="AR35" s="260"/>
      <c r="AS35" s="260"/>
      <c r="AT35" s="260"/>
      <c r="AU35" s="260"/>
      <c r="AV35" s="260"/>
      <c r="AW35" s="260"/>
      <c r="AX35" s="260"/>
      <c r="AY35" s="260"/>
      <c r="AZ35" s="260"/>
      <c r="BA35" s="260"/>
      <c r="BB35" s="260"/>
      <c r="BC35" s="260"/>
      <c r="BD35" s="260"/>
      <c r="BE35" s="260"/>
      <c r="BF35" s="260"/>
      <c r="BG35" s="260"/>
      <c r="BH35" s="260"/>
    </row>
    <row r="36" spans="1:60" s="256" customFormat="1" ht="13" thickBot="1">
      <c r="A36" s="283"/>
      <c r="B36" s="285" t="s">
        <v>260</v>
      </c>
      <c r="C36" s="283"/>
      <c r="D36" s="295">
        <v>2014</v>
      </c>
      <c r="E36" s="295">
        <v>2016</v>
      </c>
      <c r="F36" s="295">
        <v>2018</v>
      </c>
      <c r="G36" s="295">
        <v>2020</v>
      </c>
      <c r="H36" s="295">
        <v>2022</v>
      </c>
      <c r="I36" s="295">
        <v>2024</v>
      </c>
      <c r="J36" s="295">
        <v>2026</v>
      </c>
      <c r="K36" s="295">
        <v>2028</v>
      </c>
      <c r="L36" s="295">
        <v>2030</v>
      </c>
      <c r="M36" s="295">
        <v>2032</v>
      </c>
      <c r="N36" s="295">
        <v>2034</v>
      </c>
      <c r="O36" s="295">
        <v>2036</v>
      </c>
      <c r="P36" s="295">
        <v>2038</v>
      </c>
      <c r="Q36" s="295">
        <v>2040</v>
      </c>
      <c r="R36" s="295">
        <v>2042</v>
      </c>
      <c r="S36" s="295">
        <v>2044</v>
      </c>
      <c r="T36" s="295">
        <v>2046</v>
      </c>
      <c r="U36" s="295">
        <v>2048</v>
      </c>
      <c r="V36" s="296">
        <v>2050</v>
      </c>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row>
    <row r="37" spans="1:60" s="256" customFormat="1" ht="15" customHeight="1">
      <c r="A37" s="283"/>
      <c r="B37" s="491" t="s">
        <v>261</v>
      </c>
      <c r="C37" s="297" t="s">
        <v>262</v>
      </c>
      <c r="D37" s="391">
        <v>3375.2</v>
      </c>
      <c r="E37" s="392">
        <v>2666.7999999999997</v>
      </c>
      <c r="F37" s="392">
        <v>1958.3999999999996</v>
      </c>
      <c r="G37" s="392">
        <v>1250</v>
      </c>
      <c r="H37" s="392">
        <v>1250</v>
      </c>
      <c r="I37" s="392">
        <v>1250</v>
      </c>
      <c r="J37" s="392">
        <v>1250</v>
      </c>
      <c r="K37" s="392">
        <v>1250</v>
      </c>
      <c r="L37" s="392">
        <v>1250</v>
      </c>
      <c r="M37" s="392">
        <v>1250</v>
      </c>
      <c r="N37" s="392">
        <v>1250</v>
      </c>
      <c r="O37" s="392">
        <v>1250</v>
      </c>
      <c r="P37" s="392">
        <v>1250</v>
      </c>
      <c r="Q37" s="392">
        <v>1250</v>
      </c>
      <c r="R37" s="392">
        <v>1250</v>
      </c>
      <c r="S37" s="392">
        <v>1250</v>
      </c>
      <c r="T37" s="392">
        <v>1250</v>
      </c>
      <c r="U37" s="392">
        <v>1250</v>
      </c>
      <c r="V37" s="393">
        <v>1250</v>
      </c>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row>
    <row r="38" spans="1:60" s="256" customFormat="1" ht="15" customHeight="1">
      <c r="A38" s="283"/>
      <c r="B38" s="492"/>
      <c r="C38" s="288" t="s">
        <v>263</v>
      </c>
      <c r="D38" s="329">
        <v>180</v>
      </c>
      <c r="E38" s="289">
        <v>160</v>
      </c>
      <c r="F38" s="289">
        <v>140</v>
      </c>
      <c r="G38" s="289">
        <v>125</v>
      </c>
      <c r="H38" s="289">
        <v>125</v>
      </c>
      <c r="I38" s="289">
        <v>125</v>
      </c>
      <c r="J38" s="289">
        <v>125</v>
      </c>
      <c r="K38" s="289">
        <v>125</v>
      </c>
      <c r="L38" s="289">
        <v>125</v>
      </c>
      <c r="M38" s="289">
        <v>125</v>
      </c>
      <c r="N38" s="289">
        <v>125</v>
      </c>
      <c r="O38" s="289">
        <v>125</v>
      </c>
      <c r="P38" s="289">
        <v>125</v>
      </c>
      <c r="Q38" s="290">
        <v>125</v>
      </c>
      <c r="R38" s="290">
        <v>125</v>
      </c>
      <c r="S38" s="290">
        <v>125</v>
      </c>
      <c r="T38" s="290">
        <v>125</v>
      </c>
      <c r="U38" s="290">
        <v>125</v>
      </c>
      <c r="V38" s="330">
        <v>125</v>
      </c>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row>
    <row r="39" spans="1:60" s="256" customFormat="1" ht="15" customHeight="1">
      <c r="A39" s="283"/>
      <c r="B39" s="492"/>
      <c r="C39" s="208" t="s">
        <v>109</v>
      </c>
      <c r="D39" s="331">
        <v>0</v>
      </c>
      <c r="E39" s="282">
        <v>0</v>
      </c>
      <c r="F39" s="282">
        <v>0</v>
      </c>
      <c r="G39" s="282">
        <v>0</v>
      </c>
      <c r="H39" s="282">
        <v>0</v>
      </c>
      <c r="I39" s="282">
        <v>0</v>
      </c>
      <c r="J39" s="282">
        <v>0</v>
      </c>
      <c r="K39" s="282">
        <v>0</v>
      </c>
      <c r="L39" s="282">
        <v>0</v>
      </c>
      <c r="M39" s="282">
        <v>0</v>
      </c>
      <c r="N39" s="282">
        <v>0</v>
      </c>
      <c r="O39" s="282">
        <v>0</v>
      </c>
      <c r="P39" s="282">
        <v>0</v>
      </c>
      <c r="Q39" s="282">
        <v>0</v>
      </c>
      <c r="R39" s="282">
        <v>0</v>
      </c>
      <c r="S39" s="282">
        <v>0</v>
      </c>
      <c r="T39" s="282">
        <v>0</v>
      </c>
      <c r="U39" s="282">
        <v>0</v>
      </c>
      <c r="V39" s="332">
        <v>0</v>
      </c>
      <c r="W39" s="260"/>
      <c r="X39" s="260"/>
      <c r="Y39" s="260"/>
      <c r="Z39" s="260"/>
      <c r="AA39" s="260"/>
      <c r="AB39" s="260"/>
      <c r="AC39" s="260"/>
      <c r="AD39" s="260"/>
      <c r="AE39" s="260"/>
      <c r="AF39" s="260"/>
      <c r="AG39" s="260"/>
      <c r="AH39" s="260"/>
      <c r="AI39" s="260"/>
      <c r="AJ39" s="260"/>
      <c r="AK39" s="260"/>
      <c r="AL39" s="260"/>
      <c r="AM39" s="260"/>
      <c r="AN39" s="260"/>
      <c r="AO39" s="260"/>
      <c r="AP39" s="260"/>
      <c r="AQ39" s="260"/>
      <c r="AR39" s="260"/>
      <c r="AS39" s="260"/>
      <c r="AT39" s="260"/>
      <c r="AU39" s="260"/>
      <c r="AV39" s="260"/>
      <c r="AW39" s="260"/>
      <c r="AX39" s="260"/>
      <c r="AY39" s="260"/>
      <c r="AZ39" s="260"/>
      <c r="BA39" s="260"/>
      <c r="BB39" s="260"/>
      <c r="BC39" s="260"/>
      <c r="BD39" s="260"/>
      <c r="BE39" s="260"/>
      <c r="BF39" s="260"/>
      <c r="BG39" s="260"/>
      <c r="BH39" s="260"/>
    </row>
    <row r="40" spans="1:60" s="256" customFormat="1" ht="15" customHeight="1" thickBot="1">
      <c r="A40" s="283"/>
      <c r="B40" s="493"/>
      <c r="C40" s="298" t="s">
        <v>145</v>
      </c>
      <c r="D40" s="333">
        <v>0</v>
      </c>
      <c r="E40" s="334">
        <v>0</v>
      </c>
      <c r="F40" s="334">
        <v>0</v>
      </c>
      <c r="G40" s="334">
        <v>0</v>
      </c>
      <c r="H40" s="334">
        <v>0</v>
      </c>
      <c r="I40" s="334">
        <v>0</v>
      </c>
      <c r="J40" s="334">
        <v>0</v>
      </c>
      <c r="K40" s="334">
        <v>0</v>
      </c>
      <c r="L40" s="334">
        <v>0</v>
      </c>
      <c r="M40" s="334">
        <v>0</v>
      </c>
      <c r="N40" s="334">
        <v>0</v>
      </c>
      <c r="O40" s="334">
        <v>0</v>
      </c>
      <c r="P40" s="334">
        <v>0</v>
      </c>
      <c r="Q40" s="334">
        <v>0</v>
      </c>
      <c r="R40" s="334">
        <v>0</v>
      </c>
      <c r="S40" s="334">
        <v>0</v>
      </c>
      <c r="T40" s="334">
        <v>0</v>
      </c>
      <c r="U40" s="334">
        <v>0</v>
      </c>
      <c r="V40" s="335">
        <v>0</v>
      </c>
      <c r="W40" s="260"/>
      <c r="X40" s="260"/>
      <c r="Y40" s="260"/>
      <c r="Z40" s="260"/>
      <c r="AA40" s="260"/>
      <c r="AB40" s="260"/>
      <c r="AC40" s="260"/>
      <c r="AD40" s="260"/>
      <c r="AE40" s="260"/>
      <c r="AF40" s="260"/>
      <c r="AG40" s="260"/>
      <c r="AH40" s="260"/>
      <c r="AI40" s="260"/>
      <c r="AJ40" s="260"/>
      <c r="AK40" s="260"/>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row>
    <row r="41" spans="1:60" s="256" customFormat="1" ht="15" customHeight="1">
      <c r="A41" s="283"/>
      <c r="B41" s="261"/>
      <c r="C41" s="294"/>
      <c r="D41" s="286"/>
      <c r="E41" s="286"/>
      <c r="F41" s="286"/>
      <c r="G41" s="286"/>
      <c r="H41" s="286"/>
      <c r="I41" s="286"/>
      <c r="J41" s="286"/>
      <c r="K41" s="286"/>
      <c r="L41" s="286"/>
      <c r="M41" s="286"/>
      <c r="N41" s="286"/>
      <c r="O41" s="286"/>
      <c r="P41" s="286"/>
      <c r="Q41" s="286"/>
      <c r="R41" s="286"/>
      <c r="S41" s="286"/>
      <c r="T41" s="286"/>
      <c r="U41" s="286"/>
      <c r="V41" s="286"/>
      <c r="W41" s="260"/>
      <c r="X41" s="260"/>
      <c r="Y41" s="260"/>
      <c r="Z41" s="260"/>
      <c r="AA41" s="260"/>
      <c r="AB41" s="291"/>
      <c r="AC41" s="291"/>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row>
    <row r="42" spans="1:60" s="256" customFormat="1" ht="15" customHeight="1" thickBot="1">
      <c r="A42" s="283"/>
      <c r="B42" s="285" t="s">
        <v>277</v>
      </c>
      <c r="C42" s="283"/>
      <c r="D42" s="295">
        <v>2014</v>
      </c>
      <c r="E42" s="295">
        <v>2016</v>
      </c>
      <c r="F42" s="295">
        <v>2018</v>
      </c>
      <c r="G42" s="295">
        <v>2020</v>
      </c>
      <c r="H42" s="295">
        <v>2022</v>
      </c>
      <c r="I42" s="295">
        <v>2024</v>
      </c>
      <c r="J42" s="295">
        <v>2026</v>
      </c>
      <c r="K42" s="295">
        <v>2028</v>
      </c>
      <c r="L42" s="295">
        <v>2030</v>
      </c>
      <c r="M42" s="295">
        <v>2032</v>
      </c>
      <c r="N42" s="295">
        <v>2034</v>
      </c>
      <c r="O42" s="295">
        <v>2036</v>
      </c>
      <c r="P42" s="295">
        <v>2038</v>
      </c>
      <c r="Q42" s="295">
        <v>2040</v>
      </c>
      <c r="R42" s="295">
        <v>2042</v>
      </c>
      <c r="S42" s="295">
        <v>2044</v>
      </c>
      <c r="T42" s="295">
        <v>2046</v>
      </c>
      <c r="U42" s="295">
        <v>2048</v>
      </c>
      <c r="V42" s="296">
        <v>2050</v>
      </c>
      <c r="W42" s="260"/>
      <c r="X42" s="260"/>
      <c r="Y42" s="260"/>
      <c r="Z42" s="260"/>
      <c r="AA42" s="260"/>
      <c r="AB42" s="260"/>
      <c r="AC42" s="260"/>
      <c r="AD42" s="260"/>
      <c r="AE42" s="260"/>
      <c r="AF42" s="260"/>
      <c r="AG42" s="260"/>
      <c r="AH42" s="260"/>
      <c r="AI42" s="260"/>
      <c r="AJ42" s="260"/>
      <c r="AK42" s="260"/>
      <c r="AL42" s="260"/>
      <c r="AM42" s="260"/>
      <c r="AN42" s="260"/>
      <c r="AO42" s="260"/>
      <c r="AP42" s="260"/>
      <c r="AQ42" s="260"/>
      <c r="AR42" s="260"/>
      <c r="AS42" s="260"/>
      <c r="AT42" s="260"/>
      <c r="AU42" s="260"/>
      <c r="AV42" s="260"/>
      <c r="AW42" s="260"/>
      <c r="AX42" s="260"/>
      <c r="AY42" s="260"/>
      <c r="AZ42" s="260"/>
      <c r="BA42" s="260"/>
      <c r="BB42" s="260"/>
      <c r="BC42" s="260"/>
      <c r="BD42" s="260"/>
      <c r="BE42" s="260"/>
      <c r="BF42" s="260"/>
      <c r="BG42" s="260"/>
      <c r="BH42" s="260"/>
    </row>
    <row r="43" spans="1:60" s="256" customFormat="1" ht="14">
      <c r="A43" s="283"/>
      <c r="B43" s="491" t="s">
        <v>58</v>
      </c>
      <c r="C43" s="297" t="s">
        <v>262</v>
      </c>
      <c r="D43" s="326">
        <v>3979.6</v>
      </c>
      <c r="E43" s="327">
        <v>3795.8</v>
      </c>
      <c r="F43" s="327">
        <v>3633.4</v>
      </c>
      <c r="G43" s="327">
        <v>3471</v>
      </c>
      <c r="H43" s="327">
        <v>3380.2</v>
      </c>
      <c r="I43" s="327">
        <v>3289.4</v>
      </c>
      <c r="J43" s="327">
        <v>3219.6</v>
      </c>
      <c r="K43" s="327">
        <v>3170.8</v>
      </c>
      <c r="L43" s="327">
        <v>3122</v>
      </c>
      <c r="M43" s="327">
        <v>3086.4</v>
      </c>
      <c r="N43" s="327">
        <v>3050.8</v>
      </c>
      <c r="O43" s="327">
        <v>3017</v>
      </c>
      <c r="P43" s="327">
        <v>2985</v>
      </c>
      <c r="Q43" s="327">
        <v>2953</v>
      </c>
      <c r="R43" s="327">
        <v>2923.8</v>
      </c>
      <c r="S43" s="327">
        <v>2894.6</v>
      </c>
      <c r="T43" s="327">
        <v>2866.6</v>
      </c>
      <c r="U43" s="327">
        <v>2839.8</v>
      </c>
      <c r="V43" s="328">
        <v>2813</v>
      </c>
      <c r="W43" s="260"/>
      <c r="X43" s="260"/>
      <c r="Y43" s="260"/>
      <c r="Z43" s="260"/>
      <c r="AA43" s="260"/>
      <c r="AB43" s="260"/>
      <c r="AC43" s="260"/>
      <c r="AD43" s="260"/>
      <c r="AE43" s="260"/>
      <c r="AF43" s="260"/>
      <c r="AG43" s="260"/>
      <c r="AH43" s="260"/>
      <c r="AI43" s="260"/>
      <c r="AJ43" s="260"/>
      <c r="AK43" s="260"/>
      <c r="AL43" s="260"/>
      <c r="AM43" s="260"/>
      <c r="AN43" s="260"/>
      <c r="AO43" s="260"/>
      <c r="AP43" s="260"/>
      <c r="AQ43" s="260"/>
      <c r="AR43" s="260"/>
      <c r="AS43" s="260"/>
      <c r="AT43" s="260"/>
      <c r="AU43" s="260"/>
      <c r="AV43" s="260"/>
      <c r="AW43" s="260"/>
      <c r="AX43" s="260"/>
      <c r="AY43" s="260"/>
      <c r="AZ43" s="260"/>
      <c r="BA43" s="260"/>
      <c r="BB43" s="260"/>
      <c r="BC43" s="260"/>
      <c r="BD43" s="260"/>
      <c r="BE43" s="260"/>
      <c r="BF43" s="260"/>
      <c r="BG43" s="260"/>
      <c r="BH43" s="260"/>
    </row>
    <row r="44" spans="1:60" s="256" customFormat="1" ht="15" customHeight="1">
      <c r="A44" s="283"/>
      <c r="B44" s="492"/>
      <c r="C44" s="288" t="s">
        <v>263</v>
      </c>
      <c r="D44" s="329">
        <v>180</v>
      </c>
      <c r="E44" s="289">
        <v>170</v>
      </c>
      <c r="F44" s="289">
        <v>160</v>
      </c>
      <c r="G44" s="289">
        <v>165</v>
      </c>
      <c r="H44" s="289">
        <v>150</v>
      </c>
      <c r="I44" s="289">
        <v>140</v>
      </c>
      <c r="J44" s="289">
        <v>130</v>
      </c>
      <c r="K44" s="289">
        <v>130</v>
      </c>
      <c r="L44" s="289">
        <v>130</v>
      </c>
      <c r="M44" s="289">
        <v>130</v>
      </c>
      <c r="N44" s="289">
        <v>130</v>
      </c>
      <c r="O44" s="289">
        <v>130</v>
      </c>
      <c r="P44" s="289">
        <v>130</v>
      </c>
      <c r="Q44" s="290">
        <v>120</v>
      </c>
      <c r="R44" s="290">
        <v>120</v>
      </c>
      <c r="S44" s="290">
        <v>120</v>
      </c>
      <c r="T44" s="290">
        <v>120</v>
      </c>
      <c r="U44" s="290">
        <v>120</v>
      </c>
      <c r="V44" s="330">
        <v>120</v>
      </c>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row>
    <row r="45" spans="1:60" s="256" customFormat="1" ht="15" customHeight="1">
      <c r="A45" s="283"/>
      <c r="B45" s="492"/>
      <c r="C45" s="208" t="s">
        <v>109</v>
      </c>
      <c r="D45" s="331">
        <v>0</v>
      </c>
      <c r="E45" s="282">
        <v>0</v>
      </c>
      <c r="F45" s="282">
        <v>0</v>
      </c>
      <c r="G45" s="282">
        <v>0</v>
      </c>
      <c r="H45" s="282">
        <v>0</v>
      </c>
      <c r="I45" s="282">
        <v>0</v>
      </c>
      <c r="J45" s="282">
        <v>0</v>
      </c>
      <c r="K45" s="282">
        <v>0</v>
      </c>
      <c r="L45" s="282">
        <v>0</v>
      </c>
      <c r="M45" s="282">
        <v>0</v>
      </c>
      <c r="N45" s="282">
        <v>0</v>
      </c>
      <c r="O45" s="282">
        <v>0</v>
      </c>
      <c r="P45" s="282">
        <v>0</v>
      </c>
      <c r="Q45" s="282">
        <v>0</v>
      </c>
      <c r="R45" s="282">
        <v>0</v>
      </c>
      <c r="S45" s="282">
        <v>0</v>
      </c>
      <c r="T45" s="282">
        <v>0</v>
      </c>
      <c r="U45" s="282">
        <v>0</v>
      </c>
      <c r="V45" s="332">
        <v>0</v>
      </c>
      <c r="W45" s="260"/>
      <c r="X45" s="260"/>
      <c r="Y45" s="260"/>
      <c r="Z45" s="260"/>
      <c r="AA45" s="260"/>
      <c r="AB45" s="260"/>
      <c r="AC45" s="260"/>
      <c r="AD45" s="260"/>
      <c r="AE45" s="260"/>
      <c r="AF45" s="260"/>
      <c r="AG45" s="260"/>
      <c r="AH45" s="260"/>
      <c r="AI45" s="260"/>
      <c r="AJ45" s="260"/>
      <c r="AK45" s="260"/>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row>
    <row r="46" spans="1:60" s="256" customFormat="1" ht="15" customHeight="1" thickBot="1">
      <c r="A46" s="283"/>
      <c r="B46" s="493"/>
      <c r="C46" s="298" t="s">
        <v>145</v>
      </c>
      <c r="D46" s="333">
        <v>0</v>
      </c>
      <c r="E46" s="334">
        <v>0</v>
      </c>
      <c r="F46" s="334">
        <v>0</v>
      </c>
      <c r="G46" s="334">
        <v>0</v>
      </c>
      <c r="H46" s="334">
        <v>0</v>
      </c>
      <c r="I46" s="334">
        <v>0</v>
      </c>
      <c r="J46" s="334">
        <v>0</v>
      </c>
      <c r="K46" s="334">
        <v>0</v>
      </c>
      <c r="L46" s="334">
        <v>0</v>
      </c>
      <c r="M46" s="334">
        <v>0</v>
      </c>
      <c r="N46" s="334">
        <v>0</v>
      </c>
      <c r="O46" s="334">
        <v>0</v>
      </c>
      <c r="P46" s="334">
        <v>0</v>
      </c>
      <c r="Q46" s="334">
        <v>0</v>
      </c>
      <c r="R46" s="334">
        <v>0</v>
      </c>
      <c r="S46" s="334">
        <v>0</v>
      </c>
      <c r="T46" s="334">
        <v>0</v>
      </c>
      <c r="U46" s="334">
        <v>0</v>
      </c>
      <c r="V46" s="335">
        <v>0</v>
      </c>
      <c r="W46" s="260"/>
      <c r="X46" s="260"/>
      <c r="Y46" s="260"/>
      <c r="Z46" s="260"/>
      <c r="AA46" s="260"/>
      <c r="AB46" s="260"/>
      <c r="AC46" s="260"/>
      <c r="AD46" s="260"/>
      <c r="AE46" s="260"/>
      <c r="AF46" s="260"/>
      <c r="AG46" s="260"/>
      <c r="AH46" s="260"/>
      <c r="AI46" s="260"/>
      <c r="AJ46" s="260"/>
      <c r="AK46" s="260"/>
      <c r="AL46" s="260"/>
      <c r="AM46" s="260"/>
      <c r="AN46" s="260"/>
      <c r="AO46" s="260"/>
      <c r="AP46" s="260"/>
      <c r="AQ46" s="260"/>
      <c r="AR46" s="260"/>
      <c r="AS46" s="260"/>
      <c r="AT46" s="260"/>
      <c r="AU46" s="260"/>
      <c r="AV46" s="260"/>
      <c r="AW46" s="260"/>
      <c r="AX46" s="260"/>
      <c r="AY46" s="260"/>
      <c r="AZ46" s="260"/>
      <c r="BA46" s="260"/>
      <c r="BB46" s="260"/>
      <c r="BC46" s="260"/>
      <c r="BD46" s="260"/>
      <c r="BE46" s="260"/>
      <c r="BF46" s="260"/>
      <c r="BG46" s="260"/>
      <c r="BH46" s="260"/>
    </row>
    <row r="47" spans="1:60" s="256" customFormat="1" ht="15" customHeight="1">
      <c r="A47" s="283"/>
      <c r="B47" s="283"/>
      <c r="C47" s="283"/>
      <c r="D47" s="263"/>
      <c r="E47" s="265"/>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row>
    <row r="48" spans="1:60" ht="21">
      <c r="A48" s="260"/>
      <c r="B48" s="260"/>
      <c r="C48" s="263"/>
      <c r="D48" s="263" t="s">
        <v>266</v>
      </c>
      <c r="E48" s="260"/>
      <c r="F48" s="276"/>
      <c r="G48" s="266"/>
      <c r="H48" s="276"/>
      <c r="I48" s="276"/>
      <c r="J48" s="260"/>
      <c r="K48" s="260"/>
      <c r="L48" s="260"/>
      <c r="M48" s="260"/>
      <c r="N48" s="260"/>
      <c r="O48" s="260"/>
      <c r="P48" s="260"/>
      <c r="Q48" s="260"/>
      <c r="R48" s="260"/>
      <c r="S48" s="260"/>
      <c r="T48" s="260"/>
      <c r="U48" s="260"/>
      <c r="V48" s="260"/>
      <c r="W48" s="260"/>
      <c r="X48" s="260"/>
      <c r="Y48" s="260"/>
      <c r="Z48" s="260"/>
      <c r="AA48" s="260"/>
      <c r="AB48" s="260"/>
      <c r="AC48" s="260"/>
    </row>
    <row r="49" spans="1:29" ht="13" thickBot="1">
      <c r="A49" s="260"/>
      <c r="B49" s="260"/>
      <c r="C49" s="260"/>
      <c r="D49" s="357">
        <v>2014</v>
      </c>
      <c r="E49" s="357">
        <v>2016</v>
      </c>
      <c r="F49" s="357">
        <v>2018</v>
      </c>
      <c r="G49" s="357">
        <v>2020</v>
      </c>
      <c r="H49" s="357">
        <v>2022</v>
      </c>
      <c r="I49" s="357">
        <v>2024</v>
      </c>
      <c r="J49" s="357">
        <v>2026</v>
      </c>
      <c r="K49" s="357">
        <v>2028</v>
      </c>
      <c r="L49" s="357">
        <v>2030</v>
      </c>
      <c r="M49" s="357">
        <v>2032</v>
      </c>
      <c r="N49" s="357">
        <v>2034</v>
      </c>
      <c r="O49" s="357">
        <v>2036</v>
      </c>
      <c r="P49" s="357">
        <v>2038</v>
      </c>
      <c r="Q49" s="357">
        <v>2040</v>
      </c>
      <c r="R49" s="357">
        <v>2042</v>
      </c>
      <c r="S49" s="357">
        <v>2044</v>
      </c>
      <c r="T49" s="357">
        <v>2046</v>
      </c>
      <c r="U49" s="357">
        <v>2048</v>
      </c>
      <c r="V49" s="358">
        <v>2050</v>
      </c>
      <c r="W49" s="260"/>
      <c r="X49" s="260"/>
      <c r="Y49" s="260"/>
      <c r="Z49" s="260"/>
      <c r="AA49" s="260"/>
      <c r="AB49" s="260"/>
      <c r="AC49" s="260"/>
    </row>
    <row r="50" spans="1:29" ht="15">
      <c r="A50" s="260"/>
      <c r="B50" s="260"/>
      <c r="C50" s="355" t="s">
        <v>266</v>
      </c>
      <c r="D50" s="359">
        <v>0.20000000298023224</v>
      </c>
      <c r="E50" s="360">
        <v>0.20000000298023224</v>
      </c>
      <c r="F50" s="360">
        <v>0.20000000298023224</v>
      </c>
      <c r="G50" s="360">
        <v>0.20000000298023224</v>
      </c>
      <c r="H50" s="360">
        <v>0.15000000596046448</v>
      </c>
      <c r="I50" s="360">
        <v>0.15000000596046448</v>
      </c>
      <c r="J50" s="360">
        <v>0.15000000596046448</v>
      </c>
      <c r="K50" s="360">
        <v>0.15000000596046448</v>
      </c>
      <c r="L50" s="360">
        <v>0.15000000596046448</v>
      </c>
      <c r="M50" s="360">
        <v>0.15000000596046448</v>
      </c>
      <c r="N50" s="360">
        <v>0.15000000596046448</v>
      </c>
      <c r="O50" s="360">
        <v>0.15000000596046448</v>
      </c>
      <c r="P50" s="360">
        <v>0.15000000596046448</v>
      </c>
      <c r="Q50" s="360">
        <v>0.10000000149011612</v>
      </c>
      <c r="R50" s="360">
        <v>0.10000000149011612</v>
      </c>
      <c r="S50" s="360">
        <v>0.10000000149011612</v>
      </c>
      <c r="T50" s="360">
        <v>0.10000000149011612</v>
      </c>
      <c r="U50" s="360">
        <v>0.10000000149011612</v>
      </c>
      <c r="V50" s="361">
        <v>0.10000000149011612</v>
      </c>
      <c r="W50" s="260"/>
      <c r="X50" s="260"/>
      <c r="Y50" s="260"/>
      <c r="Z50" s="260"/>
      <c r="AA50" s="260"/>
      <c r="AB50" s="260"/>
      <c r="AC50" s="260"/>
    </row>
    <row r="51" spans="1:29" ht="13" thickBot="1">
      <c r="A51" s="260"/>
      <c r="B51" s="260"/>
      <c r="C51" s="356" t="s">
        <v>267</v>
      </c>
      <c r="D51" s="362">
        <v>0.10999999940395355</v>
      </c>
      <c r="E51" s="363">
        <v>0.10999999940395355</v>
      </c>
      <c r="F51" s="363">
        <v>0.10999999940395355</v>
      </c>
      <c r="G51" s="363">
        <v>0.10999999940395355</v>
      </c>
      <c r="H51" s="363">
        <v>0.10999999940395355</v>
      </c>
      <c r="I51" s="363">
        <v>0.10999999940395355</v>
      </c>
      <c r="J51" s="363">
        <v>0.10999999940395355</v>
      </c>
      <c r="K51" s="363">
        <v>0.10999999940395355</v>
      </c>
      <c r="L51" s="363">
        <v>0.10999999940395355</v>
      </c>
      <c r="M51" s="363">
        <v>0.10999999940395355</v>
      </c>
      <c r="N51" s="363">
        <v>0.10999999940395355</v>
      </c>
      <c r="O51" s="363">
        <v>0.10999999940395355</v>
      </c>
      <c r="P51" s="363">
        <v>0.10999999940395355</v>
      </c>
      <c r="Q51" s="363">
        <v>0.10999999940395355</v>
      </c>
      <c r="R51" s="363">
        <v>0.10999999940395355</v>
      </c>
      <c r="S51" s="363">
        <v>0.10999999940395355</v>
      </c>
      <c r="T51" s="363">
        <v>0.10999999940395355</v>
      </c>
      <c r="U51" s="363">
        <v>0.10999999940395355</v>
      </c>
      <c r="V51" s="364">
        <v>0.10999999940395355</v>
      </c>
      <c r="W51" s="260"/>
      <c r="X51" s="260"/>
      <c r="Y51" s="260"/>
      <c r="Z51" s="260"/>
      <c r="AA51" s="260"/>
      <c r="AB51" s="260"/>
      <c r="AC51" s="260"/>
    </row>
    <row r="52" spans="1:29">
      <c r="A52" s="260"/>
      <c r="B52" s="260"/>
      <c r="C52" s="260"/>
      <c r="D52" s="287"/>
      <c r="E52" s="287"/>
      <c r="F52" s="287"/>
      <c r="G52" s="287"/>
      <c r="H52" s="287"/>
      <c r="I52" s="287"/>
      <c r="J52" s="287"/>
      <c r="K52" s="287"/>
      <c r="L52" s="287"/>
      <c r="M52" s="287"/>
      <c r="N52" s="287"/>
      <c r="O52" s="287"/>
      <c r="P52" s="287"/>
      <c r="Q52" s="287"/>
      <c r="R52" s="287"/>
      <c r="S52" s="287"/>
      <c r="T52" s="287"/>
      <c r="U52" s="287"/>
      <c r="V52" s="287"/>
      <c r="W52" s="260"/>
      <c r="X52" s="260"/>
      <c r="Y52" s="260"/>
      <c r="Z52" s="260"/>
      <c r="AA52" s="260"/>
      <c r="AB52" s="260"/>
      <c r="AC52" s="260"/>
    </row>
    <row r="53" spans="1:29">
      <c r="A53" s="260"/>
      <c r="B53" s="309"/>
      <c r="C53" s="243"/>
      <c r="D53" s="243"/>
      <c r="E53" s="243"/>
      <c r="F53" s="243"/>
      <c r="G53" s="309"/>
      <c r="H53" s="309"/>
      <c r="I53" s="309"/>
      <c r="J53" s="260"/>
      <c r="K53" s="264"/>
      <c r="L53" s="264"/>
      <c r="M53" s="264"/>
      <c r="N53" s="264"/>
      <c r="O53" s="264"/>
      <c r="P53" s="264"/>
      <c r="Q53" s="264"/>
      <c r="R53" s="260"/>
      <c r="S53" s="260"/>
      <c r="T53" s="260"/>
      <c r="U53" s="260"/>
      <c r="V53" s="260"/>
      <c r="W53" s="260"/>
      <c r="X53" s="260"/>
      <c r="Y53" s="260"/>
      <c r="Z53" s="260"/>
      <c r="AA53" s="260"/>
      <c r="AB53" s="260"/>
      <c r="AC53" s="260"/>
    </row>
    <row r="54" spans="1:29" ht="15">
      <c r="A54" s="260"/>
      <c r="B54" s="309"/>
      <c r="C54" s="243"/>
      <c r="D54" s="243"/>
      <c r="E54" s="243"/>
      <c r="F54" s="243"/>
      <c r="G54" s="368"/>
      <c r="H54" s="369"/>
      <c r="I54" s="370"/>
      <c r="J54" s="261"/>
      <c r="K54" s="261"/>
      <c r="L54" s="261"/>
      <c r="M54" s="261"/>
      <c r="N54" s="272"/>
      <c r="O54" s="272"/>
      <c r="P54" s="264"/>
      <c r="Q54" s="264"/>
      <c r="R54" s="260"/>
      <c r="S54" s="260"/>
      <c r="T54" s="260"/>
      <c r="U54" s="260"/>
      <c r="V54" s="260"/>
      <c r="W54" s="260"/>
      <c r="X54" s="260"/>
      <c r="Y54" s="260"/>
      <c r="Z54" s="260"/>
      <c r="AA54" s="260"/>
      <c r="AB54" s="260"/>
      <c r="AC54" s="260"/>
    </row>
    <row r="55" spans="1:29" ht="14">
      <c r="A55" s="260"/>
      <c r="B55" s="309"/>
      <c r="C55" s="243"/>
      <c r="D55" s="243"/>
      <c r="E55" s="243"/>
      <c r="F55" s="243"/>
      <c r="G55" s="371"/>
      <c r="H55" s="370"/>
      <c r="I55" s="370"/>
      <c r="J55" s="261"/>
      <c r="K55" s="261"/>
      <c r="L55" s="261"/>
      <c r="M55" s="261"/>
      <c r="N55" s="264"/>
      <c r="O55" s="259"/>
      <c r="P55" s="274"/>
      <c r="Q55" s="274"/>
      <c r="R55" s="267"/>
      <c r="S55" s="267"/>
      <c r="T55" s="267"/>
      <c r="U55" s="267"/>
      <c r="V55" s="267"/>
      <c r="W55" s="260"/>
      <c r="X55" s="260"/>
      <c r="Y55" s="260"/>
      <c r="Z55" s="260"/>
      <c r="AA55" s="260"/>
      <c r="AB55" s="260"/>
      <c r="AC55" s="260"/>
    </row>
    <row r="56" spans="1:29" ht="14">
      <c r="A56" s="260"/>
      <c r="B56" s="309"/>
      <c r="C56" s="243"/>
      <c r="D56" s="243"/>
      <c r="E56" s="243"/>
      <c r="F56" s="243"/>
      <c r="G56" s="372"/>
      <c r="H56" s="373"/>
      <c r="I56" s="314"/>
      <c r="J56" s="269"/>
      <c r="K56" s="280"/>
      <c r="L56" s="281"/>
      <c r="M56" s="278"/>
      <c r="N56" s="264"/>
      <c r="O56" s="257"/>
      <c r="P56" s="277"/>
      <c r="Q56" s="277"/>
      <c r="R56" s="268"/>
      <c r="S56" s="268"/>
      <c r="T56" s="268"/>
      <c r="U56" s="268"/>
      <c r="V56" s="268"/>
      <c r="W56" s="260"/>
      <c r="X56" s="260"/>
      <c r="Y56" s="260"/>
      <c r="Z56" s="260"/>
      <c r="AA56" s="260"/>
      <c r="AB56" s="260"/>
      <c r="AC56" s="260"/>
    </row>
    <row r="57" spans="1:29" ht="14">
      <c r="A57" s="260"/>
      <c r="B57" s="309"/>
      <c r="C57" s="243"/>
      <c r="D57" s="243"/>
      <c r="E57" s="243"/>
      <c r="F57" s="243"/>
      <c r="G57" s="371"/>
      <c r="H57" s="370"/>
      <c r="I57" s="314"/>
      <c r="J57" s="269"/>
      <c r="K57" s="280"/>
      <c r="L57" s="281"/>
      <c r="M57" s="264"/>
      <c r="N57" s="264"/>
      <c r="O57" s="257"/>
      <c r="P57" s="280"/>
      <c r="Q57" s="280"/>
      <c r="R57" s="269"/>
      <c r="S57" s="269"/>
      <c r="T57" s="269"/>
      <c r="U57" s="269"/>
      <c r="V57" s="269"/>
      <c r="W57" s="260"/>
      <c r="X57" s="260"/>
      <c r="Y57" s="260"/>
      <c r="Z57" s="260"/>
      <c r="AA57" s="260"/>
      <c r="AB57" s="260"/>
      <c r="AC57" s="260"/>
    </row>
    <row r="58" spans="1:29">
      <c r="A58" s="260"/>
      <c r="B58" s="309"/>
      <c r="C58" s="309"/>
      <c r="D58" s="309"/>
      <c r="E58" s="309"/>
      <c r="F58" s="309"/>
      <c r="G58" s="309"/>
      <c r="H58" s="309"/>
      <c r="I58" s="309"/>
      <c r="J58" s="260"/>
      <c r="K58" s="260"/>
      <c r="L58" s="260"/>
      <c r="M58" s="260"/>
      <c r="N58" s="260"/>
      <c r="O58" s="260"/>
      <c r="P58" s="260"/>
      <c r="Q58" s="260"/>
      <c r="R58" s="260"/>
      <c r="S58" s="260"/>
      <c r="T58" s="260"/>
      <c r="U58" s="260"/>
      <c r="V58" s="260"/>
      <c r="W58" s="260"/>
      <c r="X58" s="260"/>
      <c r="Y58" s="260"/>
      <c r="Z58" s="260"/>
      <c r="AA58" s="260"/>
      <c r="AB58" s="260"/>
      <c r="AC58" s="260"/>
    </row>
    <row r="59" spans="1:29">
      <c r="A59" s="260"/>
      <c r="B59" s="309"/>
      <c r="C59" s="309"/>
      <c r="D59" s="309"/>
      <c r="E59" s="309"/>
      <c r="F59" s="309"/>
      <c r="G59" s="309"/>
      <c r="H59" s="309"/>
      <c r="I59" s="309"/>
      <c r="J59" s="260"/>
      <c r="K59" s="260"/>
      <c r="L59" s="260"/>
      <c r="M59" s="260"/>
      <c r="N59" s="260"/>
      <c r="O59" s="260"/>
      <c r="P59" s="260"/>
      <c r="Q59" s="260"/>
      <c r="R59" s="260"/>
      <c r="S59" s="260"/>
      <c r="T59" s="260"/>
      <c r="U59" s="260"/>
      <c r="V59" s="260"/>
      <c r="W59" s="260"/>
      <c r="X59" s="260"/>
      <c r="Y59" s="260"/>
      <c r="Z59" s="269"/>
      <c r="AA59" s="260"/>
      <c r="AB59" s="260"/>
      <c r="AC59" s="260"/>
    </row>
    <row r="60" spans="1:29">
      <c r="A60" s="260"/>
      <c r="B60" s="309"/>
      <c r="C60" s="309"/>
      <c r="D60" s="309"/>
      <c r="E60" s="309"/>
      <c r="F60" s="309"/>
      <c r="G60" s="309"/>
      <c r="H60" s="309"/>
      <c r="I60" s="309"/>
      <c r="J60" s="260"/>
      <c r="K60" s="260"/>
      <c r="L60" s="260"/>
      <c r="M60" s="260"/>
      <c r="N60" s="260"/>
      <c r="O60" s="260"/>
      <c r="P60" s="260"/>
      <c r="Q60" s="260"/>
      <c r="R60" s="260"/>
      <c r="S60" s="260"/>
      <c r="T60" s="260"/>
      <c r="U60" s="260"/>
      <c r="V60" s="260"/>
      <c r="W60" s="260"/>
      <c r="X60" s="260"/>
      <c r="Y60" s="260"/>
      <c r="Z60" s="269"/>
      <c r="AA60" s="260"/>
      <c r="AB60" s="260"/>
      <c r="AC60" s="260"/>
    </row>
    <row r="61" spans="1:29">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row>
    <row r="62" spans="1:29">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row>
    <row r="63" spans="1:29">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row>
    <row r="64" spans="1:29">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row>
    <row r="65" spans="1:29">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row>
    <row r="66" spans="1:29">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row>
    <row r="67" spans="1:29">
      <c r="A67" s="260"/>
      <c r="B67" s="260"/>
      <c r="C67" s="260"/>
      <c r="D67" s="269"/>
      <c r="E67" s="269"/>
      <c r="F67" s="269"/>
      <c r="G67" s="269"/>
      <c r="H67" s="269"/>
      <c r="I67" s="269"/>
      <c r="J67" s="269"/>
      <c r="K67" s="269"/>
      <c r="L67" s="269"/>
      <c r="M67" s="269"/>
      <c r="N67" s="269"/>
      <c r="O67" s="269"/>
      <c r="P67" s="269"/>
      <c r="Q67" s="269"/>
      <c r="R67" s="269"/>
      <c r="S67" s="269"/>
      <c r="T67" s="269"/>
      <c r="U67" s="269"/>
      <c r="V67" s="269"/>
      <c r="W67" s="260"/>
      <c r="X67" s="260"/>
      <c r="Y67" s="260"/>
      <c r="Z67" s="260"/>
      <c r="AA67" s="260"/>
      <c r="AB67" s="260"/>
      <c r="AC67" s="260"/>
    </row>
    <row r="68" spans="1:29">
      <c r="A68" s="260"/>
      <c r="B68" s="260"/>
      <c r="C68" s="260"/>
      <c r="D68" s="269"/>
      <c r="E68" s="269"/>
      <c r="F68" s="269"/>
      <c r="G68" s="269"/>
      <c r="H68" s="269"/>
      <c r="I68" s="269"/>
      <c r="J68" s="269"/>
      <c r="K68" s="269"/>
      <c r="L68" s="269"/>
      <c r="M68" s="269"/>
      <c r="N68" s="269"/>
      <c r="O68" s="269"/>
      <c r="P68" s="269"/>
      <c r="Q68" s="269"/>
      <c r="R68" s="269"/>
      <c r="S68" s="269"/>
      <c r="T68" s="269"/>
      <c r="U68" s="269"/>
      <c r="V68" s="269"/>
      <c r="W68" s="260"/>
      <c r="X68" s="260"/>
      <c r="Y68" s="260"/>
      <c r="Z68" s="260"/>
      <c r="AA68" s="260"/>
      <c r="AB68" s="260"/>
      <c r="AC68" s="260"/>
    </row>
    <row r="69" spans="1:29">
      <c r="A69" s="260"/>
      <c r="B69" s="260"/>
      <c r="C69" s="260"/>
      <c r="D69" s="269"/>
      <c r="E69" s="269"/>
      <c r="F69" s="269"/>
      <c r="G69" s="269"/>
      <c r="H69" s="269"/>
      <c r="I69" s="269"/>
      <c r="J69" s="269"/>
      <c r="K69" s="269"/>
      <c r="L69" s="269"/>
      <c r="M69" s="269"/>
      <c r="N69" s="269"/>
      <c r="O69" s="269"/>
      <c r="P69" s="269"/>
      <c r="Q69" s="269"/>
      <c r="R69" s="269"/>
      <c r="S69" s="269"/>
      <c r="T69" s="269"/>
      <c r="U69" s="269"/>
      <c r="V69" s="269"/>
      <c r="W69" s="260"/>
      <c r="X69" s="260"/>
      <c r="Y69" s="260"/>
      <c r="Z69" s="260"/>
      <c r="AA69" s="260"/>
      <c r="AB69" s="260"/>
      <c r="AC69" s="260"/>
    </row>
    <row r="70" spans="1:29">
      <c r="A70" s="260"/>
      <c r="B70" s="260"/>
      <c r="C70" s="260"/>
      <c r="D70" s="269"/>
      <c r="E70" s="269"/>
      <c r="F70" s="269"/>
      <c r="G70" s="269"/>
      <c r="H70" s="269"/>
      <c r="I70" s="269"/>
      <c r="J70" s="269"/>
      <c r="K70" s="269"/>
      <c r="L70" s="269"/>
      <c r="M70" s="269"/>
      <c r="N70" s="269"/>
      <c r="O70" s="269"/>
      <c r="P70" s="269"/>
      <c r="Q70" s="269"/>
      <c r="R70" s="269"/>
      <c r="S70" s="269"/>
      <c r="T70" s="269"/>
      <c r="U70" s="269"/>
      <c r="V70" s="269"/>
      <c r="W70" s="260"/>
      <c r="X70" s="260"/>
      <c r="Y70" s="260"/>
      <c r="Z70" s="260"/>
      <c r="AA70" s="260"/>
      <c r="AB70" s="260"/>
      <c r="AC70" s="260"/>
    </row>
    <row r="71" spans="1:29">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row>
    <row r="72" spans="1:29">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row>
    <row r="73" spans="1:29">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row>
    <row r="74" spans="1:29">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row>
    <row r="75" spans="1:29">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row>
    <row r="76" spans="1:29">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row>
    <row r="77" spans="1:29">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row>
    <row r="78" spans="1:29">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row>
    <row r="79" spans="1:29">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row>
    <row r="80" spans="1:29">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row>
    <row r="81" spans="1:29">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row>
    <row r="82" spans="1:29">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row>
    <row r="83" spans="1:29">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row>
    <row r="84" spans="1:29">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row>
    <row r="85" spans="1:29">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row>
    <row r="86" spans="1:29">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row>
    <row r="87" spans="1:29">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row>
    <row r="88" spans="1:29">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row>
    <row r="89" spans="1:29">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row>
    <row r="90" spans="1:29">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row>
    <row r="91" spans="1:29">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row>
    <row r="92" spans="1:29">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row>
    <row r="93" spans="1:29">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row>
    <row r="94" spans="1:29">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row>
    <row r="95" spans="1:29">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row>
    <row r="96" spans="1:29">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row>
    <row r="97" spans="1:29">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row>
    <row r="98" spans="1:29">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row>
    <row r="99" spans="1:29">
      <c r="B99" s="260"/>
      <c r="C99" s="260"/>
      <c r="D99" s="260"/>
      <c r="E99" s="260"/>
      <c r="F99" s="260"/>
      <c r="G99" s="260"/>
      <c r="H99" s="260"/>
      <c r="I99" s="260"/>
      <c r="J99" s="260"/>
      <c r="K99" s="260"/>
      <c r="L99" s="260"/>
      <c r="M99" s="260"/>
      <c r="N99" s="260"/>
      <c r="O99" s="260"/>
      <c r="P99" s="260"/>
      <c r="Q99" s="260"/>
      <c r="R99" s="260"/>
      <c r="S99" s="260"/>
      <c r="T99" s="260"/>
      <c r="U99" s="260"/>
      <c r="V99" s="260"/>
    </row>
    <row r="100" spans="1:29">
      <c r="B100" s="260"/>
      <c r="C100" s="260"/>
      <c r="D100" s="260"/>
      <c r="E100" s="260"/>
      <c r="F100" s="260"/>
      <c r="G100" s="260"/>
      <c r="H100" s="260"/>
      <c r="I100" s="260"/>
      <c r="J100" s="260"/>
      <c r="K100" s="260"/>
      <c r="L100" s="260"/>
      <c r="M100" s="260"/>
      <c r="N100" s="260"/>
      <c r="O100" s="260"/>
      <c r="P100" s="260"/>
      <c r="Q100" s="260"/>
      <c r="R100" s="260"/>
      <c r="S100" s="260"/>
      <c r="T100" s="260"/>
      <c r="U100" s="260"/>
      <c r="V100" s="260"/>
    </row>
    <row r="101" spans="1:29">
      <c r="B101" s="260"/>
      <c r="C101" s="260"/>
      <c r="D101" s="260"/>
      <c r="E101" s="260"/>
      <c r="F101" s="260"/>
      <c r="G101" s="260"/>
      <c r="H101" s="260"/>
      <c r="I101" s="260"/>
      <c r="J101" s="260"/>
      <c r="K101" s="260"/>
      <c r="L101" s="260"/>
      <c r="M101" s="260"/>
      <c r="N101" s="260"/>
      <c r="O101" s="260"/>
      <c r="P101" s="260"/>
      <c r="Q101" s="260"/>
      <c r="R101" s="260"/>
      <c r="S101" s="260"/>
      <c r="T101" s="260"/>
      <c r="U101" s="260"/>
      <c r="V101" s="260"/>
    </row>
    <row r="102" spans="1:29">
      <c r="B102" s="260"/>
      <c r="C102" s="260"/>
      <c r="D102" s="260"/>
      <c r="E102" s="260"/>
      <c r="F102" s="260"/>
      <c r="G102" s="260"/>
      <c r="H102" s="260"/>
      <c r="I102" s="260"/>
      <c r="J102" s="260"/>
      <c r="K102" s="260"/>
      <c r="L102" s="260"/>
      <c r="M102" s="260"/>
      <c r="N102" s="260"/>
      <c r="O102" s="260"/>
      <c r="P102" s="260"/>
      <c r="Q102" s="260"/>
      <c r="R102" s="260"/>
      <c r="S102" s="260"/>
      <c r="T102" s="260"/>
      <c r="U102" s="260"/>
      <c r="V102" s="260"/>
    </row>
    <row r="103" spans="1:29">
      <c r="B103" s="260"/>
      <c r="C103" s="260"/>
      <c r="D103" s="260"/>
      <c r="E103" s="260"/>
      <c r="F103" s="260"/>
      <c r="G103" s="260"/>
      <c r="H103" s="260"/>
      <c r="I103" s="260"/>
      <c r="J103" s="260"/>
      <c r="K103" s="260"/>
      <c r="L103" s="260"/>
      <c r="M103" s="260"/>
      <c r="N103" s="260"/>
      <c r="O103" s="260"/>
      <c r="P103" s="260"/>
      <c r="Q103" s="260"/>
      <c r="R103" s="260"/>
      <c r="S103" s="260"/>
      <c r="T103" s="260"/>
      <c r="U103" s="260"/>
      <c r="V103" s="260"/>
    </row>
    <row r="104" spans="1:29">
      <c r="B104" s="260"/>
      <c r="C104" s="260"/>
      <c r="D104" s="260"/>
      <c r="E104" s="260"/>
      <c r="F104" s="260"/>
      <c r="G104" s="260"/>
      <c r="H104" s="260"/>
      <c r="I104" s="260"/>
      <c r="J104" s="260"/>
      <c r="K104" s="260"/>
      <c r="L104" s="260"/>
      <c r="M104" s="260"/>
      <c r="N104" s="260"/>
      <c r="O104" s="260"/>
      <c r="P104" s="260"/>
      <c r="Q104" s="260"/>
      <c r="R104" s="260"/>
      <c r="S104" s="260"/>
      <c r="T104" s="260"/>
      <c r="U104" s="260"/>
      <c r="V104" s="260"/>
    </row>
    <row r="105" spans="1:29">
      <c r="B105" s="260"/>
      <c r="C105" s="260"/>
      <c r="D105" s="260"/>
      <c r="E105" s="260"/>
      <c r="F105" s="260"/>
      <c r="G105" s="260"/>
      <c r="H105" s="260"/>
      <c r="I105" s="260"/>
      <c r="J105" s="260"/>
      <c r="K105" s="260"/>
      <c r="L105" s="260"/>
      <c r="M105" s="260"/>
      <c r="N105" s="260"/>
      <c r="O105" s="260"/>
      <c r="P105" s="260"/>
      <c r="Q105" s="260"/>
      <c r="R105" s="260"/>
      <c r="S105" s="260"/>
      <c r="T105" s="260"/>
      <c r="U105" s="260"/>
      <c r="V105" s="260"/>
    </row>
    <row r="106" spans="1:29">
      <c r="B106" s="260"/>
      <c r="C106" s="260"/>
      <c r="D106" s="260"/>
      <c r="E106" s="260"/>
      <c r="F106" s="260"/>
      <c r="G106" s="260"/>
      <c r="H106" s="260"/>
      <c r="I106" s="260"/>
      <c r="J106" s="260"/>
      <c r="K106" s="260"/>
      <c r="L106" s="260"/>
      <c r="M106" s="260"/>
      <c r="N106" s="260"/>
      <c r="O106" s="260"/>
      <c r="P106" s="260"/>
      <c r="Q106" s="260"/>
      <c r="R106" s="260"/>
      <c r="S106" s="260"/>
      <c r="T106" s="260"/>
      <c r="U106" s="260"/>
      <c r="V106" s="260"/>
    </row>
    <row r="107" spans="1:29">
      <c r="B107" s="260"/>
      <c r="C107" s="260"/>
      <c r="D107" s="260"/>
      <c r="E107" s="260"/>
      <c r="F107" s="260"/>
      <c r="G107" s="260"/>
      <c r="H107" s="260"/>
      <c r="I107" s="260"/>
      <c r="J107" s="260"/>
      <c r="K107" s="260"/>
      <c r="L107" s="260"/>
      <c r="M107" s="260"/>
      <c r="N107" s="260"/>
      <c r="O107" s="260"/>
      <c r="P107" s="260"/>
      <c r="Q107" s="260"/>
      <c r="R107" s="260"/>
      <c r="S107" s="260"/>
      <c r="T107" s="260"/>
      <c r="U107" s="260"/>
      <c r="V107" s="260"/>
    </row>
    <row r="108" spans="1:29">
      <c r="B108" s="260"/>
      <c r="C108" s="260"/>
      <c r="D108" s="260"/>
      <c r="E108" s="260"/>
      <c r="F108" s="260"/>
      <c r="G108" s="260"/>
      <c r="H108" s="260"/>
      <c r="I108" s="260"/>
      <c r="J108" s="260"/>
      <c r="K108" s="260"/>
      <c r="L108" s="260"/>
      <c r="M108" s="260"/>
      <c r="N108" s="260"/>
      <c r="O108" s="260"/>
      <c r="P108" s="260"/>
      <c r="Q108" s="260"/>
      <c r="R108" s="260"/>
      <c r="S108" s="260"/>
      <c r="T108" s="260"/>
      <c r="U108" s="260"/>
      <c r="V108" s="260"/>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21"/>
  <sheetViews>
    <sheetView topLeftCell="A2" workbookViewId="0">
      <selection activeCell="C6" sqref="C6:U6"/>
    </sheetView>
  </sheetViews>
  <sheetFormatPr baseColWidth="10" defaultColWidth="8.83203125" defaultRowHeight="12" x14ac:dyDescent="0"/>
  <cols>
    <col min="1" max="1" width="3.5" style="243" customWidth="1"/>
    <col min="2" max="2" width="35.6640625" style="243" customWidth="1"/>
    <col min="3" max="3" width="15.33203125" style="243" customWidth="1"/>
    <col min="4" max="5" width="8.83203125" style="243"/>
    <col min="6" max="14" width="6.33203125" style="243" bestFit="1" customWidth="1"/>
    <col min="15" max="15" width="8.83203125" style="243"/>
    <col min="16" max="16" width="7.1640625" style="243" customWidth="1"/>
    <col min="17" max="19" width="6.33203125" style="243" bestFit="1" customWidth="1"/>
    <col min="20" max="20" width="7.5" style="243" customWidth="1"/>
    <col min="21" max="21" width="6.33203125" style="243" bestFit="1" customWidth="1"/>
    <col min="22" max="28" width="4.5" style="243" bestFit="1" customWidth="1"/>
    <col min="29" max="16384" width="8.83203125" style="243"/>
  </cols>
  <sheetData>
    <row r="2" spans="2:28" ht="26">
      <c r="B2" s="306" t="s">
        <v>278</v>
      </c>
    </row>
    <row r="4" spans="2:28" ht="17">
      <c r="P4" s="311" t="s">
        <v>251</v>
      </c>
      <c r="Q4" s="312"/>
      <c r="R4" s="312"/>
      <c r="S4" s="312"/>
      <c r="T4" s="313" t="s">
        <v>279</v>
      </c>
      <c r="U4" s="309"/>
    </row>
    <row r="6" spans="2:28" ht="13" thickBot="1">
      <c r="B6" s="307"/>
      <c r="C6" s="321">
        <v>2014</v>
      </c>
      <c r="D6" s="321">
        <v>2016</v>
      </c>
      <c r="E6" s="321">
        <v>2018</v>
      </c>
      <c r="F6" s="321">
        <v>2020</v>
      </c>
      <c r="G6" s="321">
        <v>2022</v>
      </c>
      <c r="H6" s="321">
        <v>2024</v>
      </c>
      <c r="I6" s="321">
        <v>2026</v>
      </c>
      <c r="J6" s="321">
        <v>2028</v>
      </c>
      <c r="K6" s="321">
        <v>2030</v>
      </c>
      <c r="L6" s="321">
        <v>2032</v>
      </c>
      <c r="M6" s="321">
        <v>2034</v>
      </c>
      <c r="N6" s="321">
        <v>2036</v>
      </c>
      <c r="O6" s="321">
        <v>2038</v>
      </c>
      <c r="P6" s="321">
        <v>2040</v>
      </c>
      <c r="Q6" s="321">
        <v>2042</v>
      </c>
      <c r="R6" s="321">
        <v>2044</v>
      </c>
      <c r="S6" s="321">
        <v>2046</v>
      </c>
      <c r="T6" s="321">
        <v>2048</v>
      </c>
      <c r="U6" s="322">
        <v>2050</v>
      </c>
      <c r="W6" s="309"/>
      <c r="X6" s="309"/>
      <c r="Y6" s="309"/>
      <c r="Z6" s="309"/>
    </row>
    <row r="7" spans="2:28">
      <c r="B7" s="336" t="s">
        <v>295</v>
      </c>
      <c r="C7" s="388">
        <v>1</v>
      </c>
      <c r="D7" s="389">
        <v>1</v>
      </c>
      <c r="E7" s="389">
        <v>1</v>
      </c>
      <c r="F7" s="389">
        <v>1</v>
      </c>
      <c r="G7" s="389">
        <v>1</v>
      </c>
      <c r="H7" s="389">
        <v>1</v>
      </c>
      <c r="I7" s="389">
        <v>1</v>
      </c>
      <c r="J7" s="389">
        <v>1</v>
      </c>
      <c r="K7" s="389">
        <v>1</v>
      </c>
      <c r="L7" s="389">
        <v>1</v>
      </c>
      <c r="M7" s="389">
        <v>1</v>
      </c>
      <c r="N7" s="389">
        <v>1</v>
      </c>
      <c r="O7" s="389">
        <v>1</v>
      </c>
      <c r="P7" s="389">
        <v>1</v>
      </c>
      <c r="Q7" s="389">
        <v>1</v>
      </c>
      <c r="R7" s="389">
        <v>1</v>
      </c>
      <c r="S7" s="389">
        <v>1</v>
      </c>
      <c r="T7" s="389">
        <v>1</v>
      </c>
      <c r="U7" s="389">
        <v>1</v>
      </c>
      <c r="Z7" s="387"/>
    </row>
    <row r="8" spans="2:28">
      <c r="B8" s="337" t="s">
        <v>296</v>
      </c>
      <c r="C8" s="339">
        <v>13.942593694229627</v>
      </c>
      <c r="D8" s="323">
        <v>14.872099940511603</v>
      </c>
      <c r="E8" s="323">
        <v>14.872099940511603</v>
      </c>
      <c r="F8" s="323">
        <v>15.801606186793579</v>
      </c>
      <c r="G8" s="323">
        <v>15.801606186793579</v>
      </c>
      <c r="H8" s="323">
        <v>16.731112433075552</v>
      </c>
      <c r="I8" s="323">
        <v>16.731112433075552</v>
      </c>
      <c r="J8" s="323">
        <v>17.66061867935753</v>
      </c>
      <c r="K8" s="323">
        <v>17.66061867935753</v>
      </c>
      <c r="L8" s="323">
        <v>18.590124925639504</v>
      </c>
      <c r="M8" s="323">
        <v>18.590124925639504</v>
      </c>
      <c r="N8" s="323">
        <v>19.519631171921478</v>
      </c>
      <c r="O8" s="323">
        <v>19.519631171921478</v>
      </c>
      <c r="P8" s="323">
        <v>20.449137418203453</v>
      </c>
      <c r="Q8" s="323">
        <v>20.449137418203453</v>
      </c>
      <c r="R8" s="323">
        <v>20.449137418203453</v>
      </c>
      <c r="S8" s="323">
        <v>20.449137418203453</v>
      </c>
      <c r="T8" s="323">
        <v>20.449137418203453</v>
      </c>
      <c r="U8" s="340">
        <v>20.449137418203453</v>
      </c>
      <c r="Z8" s="387"/>
    </row>
    <row r="9" spans="2:28">
      <c r="B9" s="337" t="s">
        <v>293</v>
      </c>
      <c r="C9" s="390">
        <v>0.82499999999999996</v>
      </c>
      <c r="D9" s="390">
        <v>0.82499999999999996</v>
      </c>
      <c r="E9" s="390">
        <v>0.82499999999999996</v>
      </c>
      <c r="F9" s="390">
        <v>0.82499999999999996</v>
      </c>
      <c r="G9" s="390">
        <v>0.82499999999999996</v>
      </c>
      <c r="H9" s="390">
        <v>0.82499999999999996</v>
      </c>
      <c r="I9" s="390">
        <v>0.82499999999999996</v>
      </c>
      <c r="J9" s="390">
        <v>0.82499999999999996</v>
      </c>
      <c r="K9" s="390">
        <v>0.82499999999999996</v>
      </c>
      <c r="L9" s="390">
        <v>0.82499999999999996</v>
      </c>
      <c r="M9" s="390">
        <v>0.82499999999999996</v>
      </c>
      <c r="N9" s="390">
        <v>0.82499999999999996</v>
      </c>
      <c r="O9" s="390">
        <v>0.82499999999999996</v>
      </c>
      <c r="P9" s="390">
        <v>0.82499999999999996</v>
      </c>
      <c r="Q9" s="390">
        <v>0.82499999999999996</v>
      </c>
      <c r="R9" s="390">
        <v>0.82499999999999996</v>
      </c>
      <c r="S9" s="390">
        <v>0.82499999999999996</v>
      </c>
      <c r="T9" s="390">
        <v>0.82499999999999996</v>
      </c>
      <c r="U9" s="390">
        <v>0.82499999999999996</v>
      </c>
      <c r="Z9" s="387"/>
    </row>
    <row r="10" spans="2:28" ht="13" thickBot="1">
      <c r="B10" s="338" t="s">
        <v>264</v>
      </c>
      <c r="C10" s="341">
        <v>10</v>
      </c>
      <c r="D10" s="342">
        <v>20</v>
      </c>
      <c r="E10" s="342">
        <v>20</v>
      </c>
      <c r="F10" s="342">
        <v>20</v>
      </c>
      <c r="G10" s="342">
        <v>20</v>
      </c>
      <c r="H10" s="342">
        <v>20</v>
      </c>
      <c r="I10" s="342">
        <v>20</v>
      </c>
      <c r="J10" s="342">
        <v>20</v>
      </c>
      <c r="K10" s="342">
        <v>20</v>
      </c>
      <c r="L10" s="342">
        <v>20</v>
      </c>
      <c r="M10" s="342">
        <v>20</v>
      </c>
      <c r="N10" s="342">
        <v>20</v>
      </c>
      <c r="O10" s="342">
        <v>20</v>
      </c>
      <c r="P10" s="342">
        <v>20</v>
      </c>
      <c r="Q10" s="342">
        <v>20</v>
      </c>
      <c r="R10" s="342">
        <v>20</v>
      </c>
      <c r="S10" s="342">
        <v>20</v>
      </c>
      <c r="T10" s="342">
        <v>20</v>
      </c>
      <c r="U10" s="343">
        <v>20</v>
      </c>
      <c r="Z10" s="345" t="s">
        <v>294</v>
      </c>
    </row>
    <row r="11" spans="2:28" ht="12.75" customHeight="1">
      <c r="Z11" s="309"/>
    </row>
    <row r="12" spans="2:28">
      <c r="D12" s="307"/>
      <c r="E12" s="307"/>
      <c r="F12" s="307"/>
      <c r="G12" s="310"/>
      <c r="H12" s="310"/>
      <c r="I12" s="310"/>
      <c r="J12" s="310"/>
      <c r="K12" s="310"/>
      <c r="L12" s="310"/>
      <c r="M12" s="310"/>
      <c r="N12" s="310"/>
      <c r="O12" s="310"/>
      <c r="P12" s="310"/>
      <c r="Q12" s="310"/>
      <c r="R12" s="310"/>
      <c r="S12" s="310"/>
      <c r="T12" s="310"/>
      <c r="U12" s="310"/>
      <c r="V12" s="310"/>
      <c r="W12" s="310"/>
      <c r="X12" s="310"/>
      <c r="Y12" s="310"/>
      <c r="Z12" s="309"/>
    </row>
    <row r="13" spans="2:28" ht="21">
      <c r="B13" s="308" t="s">
        <v>284</v>
      </c>
      <c r="C13" s="314"/>
      <c r="D13" s="314"/>
      <c r="E13" s="314"/>
      <c r="F13" s="314"/>
      <c r="G13" s="314"/>
      <c r="H13" s="314"/>
      <c r="I13" s="314"/>
      <c r="J13" s="314"/>
      <c r="K13" s="314"/>
      <c r="L13" s="314"/>
      <c r="M13" s="314"/>
      <c r="N13" s="314"/>
      <c r="O13" s="314"/>
      <c r="P13" s="314"/>
      <c r="Q13" s="314"/>
      <c r="R13" s="314"/>
      <c r="S13" s="314"/>
      <c r="T13" s="314"/>
      <c r="U13" s="314"/>
      <c r="V13" s="314"/>
      <c r="W13" s="314"/>
      <c r="X13" s="314"/>
      <c r="Y13" s="314"/>
      <c r="Z13" s="314"/>
      <c r="AA13" s="314"/>
      <c r="AB13" s="314"/>
    </row>
    <row r="14" spans="2:28" ht="13" thickBot="1"/>
    <row r="15" spans="2:28" ht="13" thickBot="1">
      <c r="B15" s="336" t="s">
        <v>283</v>
      </c>
      <c r="C15" s="344">
        <v>5.0000000000000001E-3</v>
      </c>
    </row>
    <row r="18" spans="2:28">
      <c r="B18" s="345" t="s">
        <v>285</v>
      </c>
    </row>
    <row r="19" spans="2:28" ht="13" thickBot="1"/>
    <row r="20" spans="2:28">
      <c r="B20" s="317" t="s">
        <v>2</v>
      </c>
      <c r="C20" s="319">
        <v>1</v>
      </c>
      <c r="D20" s="319">
        <v>2</v>
      </c>
      <c r="E20" s="319">
        <v>3</v>
      </c>
      <c r="F20" s="319">
        <v>4</v>
      </c>
      <c r="G20" s="319">
        <v>5</v>
      </c>
      <c r="H20" s="319">
        <v>6</v>
      </c>
      <c r="I20" s="319">
        <v>7</v>
      </c>
      <c r="J20" s="319">
        <v>8</v>
      </c>
      <c r="K20" s="319">
        <v>9</v>
      </c>
      <c r="L20" s="319">
        <v>10</v>
      </c>
      <c r="M20" s="319">
        <v>11</v>
      </c>
      <c r="N20" s="319">
        <v>12</v>
      </c>
      <c r="O20" s="319">
        <v>13</v>
      </c>
      <c r="P20" s="319">
        <v>14</v>
      </c>
      <c r="Q20" s="319">
        <v>15</v>
      </c>
      <c r="R20" s="319">
        <v>16</v>
      </c>
      <c r="S20" s="319">
        <v>17</v>
      </c>
      <c r="T20" s="319">
        <v>18</v>
      </c>
      <c r="U20" s="319">
        <v>19</v>
      </c>
      <c r="V20" s="319">
        <v>20</v>
      </c>
      <c r="W20" s="319">
        <v>21</v>
      </c>
      <c r="X20" s="319">
        <v>22</v>
      </c>
      <c r="Y20" s="319">
        <v>23</v>
      </c>
      <c r="Z20" s="319">
        <v>24</v>
      </c>
      <c r="AA20" s="319">
        <v>25</v>
      </c>
      <c r="AB20" s="320">
        <v>26</v>
      </c>
    </row>
    <row r="21" spans="2:28" ht="13" thickBot="1">
      <c r="B21" s="318" t="s">
        <v>275</v>
      </c>
      <c r="C21" s="315">
        <v>1</v>
      </c>
      <c r="D21" s="316">
        <f>C21*(1-$C$15)</f>
        <v>0.995</v>
      </c>
      <c r="E21" s="316">
        <f t="shared" ref="E21:AB21" si="0">D21*(1-$C$15)</f>
        <v>0.99002500000000004</v>
      </c>
      <c r="F21" s="316">
        <f t="shared" si="0"/>
        <v>0.98507487500000002</v>
      </c>
      <c r="G21" s="316">
        <f t="shared" si="0"/>
        <v>0.98014950062500006</v>
      </c>
      <c r="H21" s="316">
        <f t="shared" si="0"/>
        <v>0.97524875312187509</v>
      </c>
      <c r="I21" s="316">
        <f t="shared" si="0"/>
        <v>0.97037250935626573</v>
      </c>
      <c r="J21" s="316">
        <f t="shared" si="0"/>
        <v>0.96552064680948435</v>
      </c>
      <c r="K21" s="316">
        <f t="shared" si="0"/>
        <v>0.96069304357543694</v>
      </c>
      <c r="L21" s="316">
        <f t="shared" si="0"/>
        <v>0.95588957835755972</v>
      </c>
      <c r="M21" s="316">
        <f t="shared" si="0"/>
        <v>0.95111013046577186</v>
      </c>
      <c r="N21" s="316">
        <f t="shared" si="0"/>
        <v>0.94635457981344295</v>
      </c>
      <c r="O21" s="316">
        <f t="shared" si="0"/>
        <v>0.94162280691437572</v>
      </c>
      <c r="P21" s="316">
        <f t="shared" si="0"/>
        <v>0.93691469287980389</v>
      </c>
      <c r="Q21" s="316">
        <f t="shared" si="0"/>
        <v>0.9322301194154049</v>
      </c>
      <c r="R21" s="316">
        <f t="shared" si="0"/>
        <v>0.92756896881832784</v>
      </c>
      <c r="S21" s="316">
        <f t="shared" si="0"/>
        <v>0.92293112397423616</v>
      </c>
      <c r="T21" s="316">
        <f t="shared" si="0"/>
        <v>0.91831646835436498</v>
      </c>
      <c r="U21" s="316">
        <f t="shared" si="0"/>
        <v>0.91372488601259316</v>
      </c>
      <c r="V21" s="316">
        <f t="shared" si="0"/>
        <v>0.90915626158253016</v>
      </c>
      <c r="W21" s="316">
        <f t="shared" si="0"/>
        <v>0.90461048027461755</v>
      </c>
      <c r="X21" s="316">
        <f t="shared" si="0"/>
        <v>0.90008742787324447</v>
      </c>
      <c r="Y21" s="316">
        <f t="shared" si="0"/>
        <v>0.89558699073387826</v>
      </c>
      <c r="Z21" s="316">
        <f t="shared" si="0"/>
        <v>0.89110905578020883</v>
      </c>
      <c r="AA21" s="316">
        <f t="shared" si="0"/>
        <v>0.88665351050130781</v>
      </c>
      <c r="AB21" s="316">
        <f t="shared" si="0"/>
        <v>0.8822202429488013</v>
      </c>
    </row>
  </sheetData>
  <dataValidations count="2">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5"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24"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7"/>
      <c r="D6" s="171" t="s">
        <v>107</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03" t="s">
        <v>53</v>
      </c>
      <c r="D9" s="504"/>
      <c r="E9" s="245" t="s">
        <v>149</v>
      </c>
      <c r="F9" s="186" t="s">
        <v>150</v>
      </c>
      <c r="G9" s="135"/>
      <c r="H9" s="233"/>
      <c r="I9" s="233"/>
      <c r="J9" s="494" t="s">
        <v>135</v>
      </c>
      <c r="K9" s="495"/>
      <c r="L9" s="496"/>
      <c r="M9" s="164" t="s">
        <v>237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82" t="s">
        <v>130</v>
      </c>
      <c r="D10" s="182"/>
      <c r="E10" s="246">
        <v>15</v>
      </c>
      <c r="F10" s="187">
        <v>20</v>
      </c>
      <c r="G10" s="135"/>
      <c r="H10" s="136"/>
      <c r="I10" s="136"/>
      <c r="J10" s="173" t="s">
        <v>2</v>
      </c>
      <c r="K10" s="173" t="s">
        <v>142</v>
      </c>
      <c r="L10" s="173" t="s">
        <v>68</v>
      </c>
      <c r="M10" s="165" t="s">
        <v>238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82" t="s">
        <v>131</v>
      </c>
      <c r="D11" s="182"/>
      <c r="E11" s="247">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82" t="s">
        <v>132</v>
      </c>
      <c r="D12" s="182"/>
      <c r="E12" s="247">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82" t="s">
        <v>133</v>
      </c>
      <c r="D13" s="182"/>
      <c r="E13" s="247">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82" t="s">
        <v>55</v>
      </c>
      <c r="D14" s="183"/>
      <c r="E14" s="248">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43"/>
      <c r="C17" s="505" t="s">
        <v>54</v>
      </c>
      <c r="D17" s="506"/>
      <c r="E17" s="191" t="s">
        <v>149</v>
      </c>
      <c r="F17" s="192" t="s">
        <v>150</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5"/>
      <c r="C18" s="184" t="s">
        <v>134</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5"/>
      <c r="C19" s="184" t="s">
        <v>131</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5"/>
      <c r="C20" s="184" t="s">
        <v>132</v>
      </c>
      <c r="D20" s="185"/>
      <c r="E20" s="188">
        <v>1</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5"/>
      <c r="C21" s="184" t="s">
        <v>133</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5"/>
      <c r="C23" s="184" t="s">
        <v>100</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42"/>
      <c r="C26" s="507" t="s">
        <v>136</v>
      </c>
      <c r="D26" s="508"/>
      <c r="E26" s="197" t="s">
        <v>149</v>
      </c>
      <c r="F26" s="198" t="s">
        <v>150</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84" t="s">
        <v>134</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84" t="s">
        <v>131</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84" t="s">
        <v>132</v>
      </c>
      <c r="D29" s="185"/>
      <c r="E29" s="188">
        <v>1</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84" t="s">
        <v>133</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84" t="s">
        <v>100</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0" t="s">
        <v>174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23"/>
      <c r="D35" s="497" t="s">
        <v>120</v>
      </c>
      <c r="E35" s="498"/>
      <c r="F35" s="499" t="s">
        <v>121</v>
      </c>
      <c r="G35" s="500"/>
      <c r="H35" s="501" t="s">
        <v>122</v>
      </c>
      <c r="I35" s="502"/>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24" t="s">
        <v>2</v>
      </c>
      <c r="D36" s="225" t="s">
        <v>162</v>
      </c>
      <c r="E36" s="225" t="s">
        <v>163</v>
      </c>
      <c r="F36" s="225" t="s">
        <v>162</v>
      </c>
      <c r="G36" s="225" t="s">
        <v>163</v>
      </c>
      <c r="H36" s="225" t="s">
        <v>162</v>
      </c>
      <c r="I36" s="226" t="s">
        <v>163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C86" sqref="C86"/>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24"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41"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55" t="s">
        <v>127</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67" t="s">
        <v>146</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55" t="s">
        <v>159</v>
      </c>
      <c r="C11" s="249">
        <v>1</v>
      </c>
      <c r="D11" s="250">
        <v>1.0249999999999999</v>
      </c>
      <c r="E11" s="250">
        <v>1.0506249999999999</v>
      </c>
      <c r="F11" s="250">
        <v>1.0768906249999999</v>
      </c>
      <c r="G11" s="250">
        <v>1.1038128906249998</v>
      </c>
      <c r="H11" s="250">
        <v>1.1314082128906247</v>
      </c>
      <c r="I11" s="250">
        <v>1.1596934182128902</v>
      </c>
      <c r="J11" s="250">
        <v>1.1886857536682123</v>
      </c>
      <c r="K11" s="250">
        <v>1.2184028975099175</v>
      </c>
      <c r="L11" s="250">
        <v>1.2488629699476652</v>
      </c>
      <c r="M11" s="250">
        <v>1.2800845441963566</v>
      </c>
      <c r="N11" s="250">
        <v>1.3120866578012655</v>
      </c>
      <c r="O11" s="250">
        <v>1.3448888242462971</v>
      </c>
      <c r="P11" s="250">
        <v>1.3785110448524545</v>
      </c>
      <c r="Q11" s="250">
        <v>1.4129738209737657</v>
      </c>
      <c r="R11" s="250">
        <v>1.4482981664981096</v>
      </c>
      <c r="S11" s="250">
        <v>1.4845056206605622</v>
      </c>
      <c r="T11" s="250">
        <v>1.5216182611770761</v>
      </c>
      <c r="U11" s="25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55" t="s">
        <v>160</v>
      </c>
      <c r="C12" s="249">
        <v>1</v>
      </c>
      <c r="D12" s="250">
        <v>1.0249999999999999</v>
      </c>
      <c r="E12" s="250">
        <v>1.0506249999999999</v>
      </c>
      <c r="F12" s="250">
        <v>1.0768906249999999</v>
      </c>
      <c r="G12" s="250">
        <v>1.1038128906249998</v>
      </c>
      <c r="H12" s="250">
        <v>1.1314082128906247</v>
      </c>
      <c r="I12" s="250">
        <v>1.1596934182128902</v>
      </c>
      <c r="J12" s="250">
        <v>1.1886857536682123</v>
      </c>
      <c r="K12" s="250">
        <v>1.2184028975099175</v>
      </c>
      <c r="L12" s="250">
        <v>1.2488629699476652</v>
      </c>
      <c r="M12" s="250">
        <v>1.2800845441963566</v>
      </c>
      <c r="N12" s="250">
        <v>1.3120866578012655</v>
      </c>
      <c r="O12" s="250">
        <v>1.3448888242462971</v>
      </c>
      <c r="P12" s="250">
        <v>1.3785110448524545</v>
      </c>
      <c r="Q12" s="250">
        <v>1.4129738209737657</v>
      </c>
      <c r="R12" s="250">
        <v>1.4482981664981096</v>
      </c>
      <c r="S12" s="250">
        <v>1.4845056206605622</v>
      </c>
      <c r="T12" s="250">
        <v>1.5216182611770761</v>
      </c>
      <c r="U12" s="25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55" t="s">
        <v>161</v>
      </c>
      <c r="C13" s="252">
        <v>1</v>
      </c>
      <c r="D13" s="250">
        <v>1.0249999999999999</v>
      </c>
      <c r="E13" s="250">
        <v>1.0506249999999999</v>
      </c>
      <c r="F13" s="250">
        <v>1.0768906249999999</v>
      </c>
      <c r="G13" s="250">
        <v>1.1038128906249998</v>
      </c>
      <c r="H13" s="250">
        <v>1.1314082128906247</v>
      </c>
      <c r="I13" s="250">
        <v>1.1596934182128902</v>
      </c>
      <c r="J13" s="250">
        <v>1.1886857536682123</v>
      </c>
      <c r="K13" s="250">
        <v>1.2184028975099175</v>
      </c>
      <c r="L13" s="250">
        <v>1.2488629699476652</v>
      </c>
      <c r="M13" s="250">
        <v>1.2800845441963566</v>
      </c>
      <c r="N13" s="250">
        <v>1.3120866578012655</v>
      </c>
      <c r="O13" s="250">
        <v>1.3448888242462971</v>
      </c>
      <c r="P13" s="250">
        <v>1.3785110448524545</v>
      </c>
      <c r="Q13" s="250">
        <v>1.4129738209737657</v>
      </c>
      <c r="R13" s="250">
        <v>1.4482981664981096</v>
      </c>
      <c r="S13" s="250">
        <v>1.4845056206605622</v>
      </c>
      <c r="T13" s="250">
        <v>1.5216182611770761</v>
      </c>
      <c r="U13" s="25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0" t="s">
        <v>255</v>
      </c>
      <c r="C14" s="253">
        <v>1.0249999999999999</v>
      </c>
      <c r="D14" s="254">
        <v>1.0249999999999999</v>
      </c>
      <c r="E14" s="254">
        <v>1.0249999999999999</v>
      </c>
      <c r="F14" s="254">
        <v>1.0249999999999999</v>
      </c>
      <c r="G14" s="254">
        <v>1.0249999999999999</v>
      </c>
      <c r="H14" s="254">
        <v>1.0249999999999999</v>
      </c>
      <c r="I14" s="254">
        <v>1.0249999999999999</v>
      </c>
      <c r="J14" s="254">
        <v>1.0249999999999999</v>
      </c>
      <c r="K14" s="254">
        <v>1.0249999999999999</v>
      </c>
      <c r="L14" s="254">
        <v>1.0249999999999999</v>
      </c>
      <c r="M14" s="254">
        <v>1.0249999999999999</v>
      </c>
      <c r="N14" s="254">
        <v>1.0249999999999999</v>
      </c>
      <c r="O14" s="254">
        <v>1.0249999999999999</v>
      </c>
      <c r="P14" s="254">
        <v>1.0249999999999999</v>
      </c>
      <c r="Q14" s="254">
        <v>1.0249999999999999</v>
      </c>
      <c r="R14" s="254">
        <v>1.0249999999999999</v>
      </c>
      <c r="S14" s="254">
        <v>1.0249999999999999</v>
      </c>
      <c r="T14" s="254">
        <v>1.0249999999999999</v>
      </c>
      <c r="U14" s="25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86" t="s">
        <v>226</v>
      </c>
      <c r="Z16" s="386" t="s">
        <v>227</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0"/>
      <c r="C17" s="101"/>
      <c r="D17" s="102"/>
      <c r="E17" s="101"/>
      <c r="F17" s="85"/>
      <c r="G17" s="85"/>
      <c r="H17" s="85"/>
      <c r="I17" s="81"/>
      <c r="J17" s="81"/>
      <c r="K17" s="35"/>
      <c r="L17" s="35"/>
      <c r="M17" s="35"/>
      <c r="N17" s="35"/>
      <c r="O17" s="35"/>
      <c r="P17" s="35"/>
      <c r="Q17" s="35"/>
      <c r="R17" s="35"/>
      <c r="S17" s="35"/>
      <c r="T17" s="35"/>
      <c r="U17" s="35"/>
      <c r="V17" s="35"/>
      <c r="W17" s="35"/>
      <c r="X17" s="235" t="s">
        <v>176</v>
      </c>
      <c r="Y17" s="416">
        <v>2.744201934324435E-4</v>
      </c>
      <c r="Z17" s="416">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0"/>
      <c r="C18" s="101"/>
      <c r="D18" s="102"/>
      <c r="E18" s="101"/>
      <c r="F18" s="85"/>
      <c r="G18" s="85"/>
      <c r="H18" s="85"/>
      <c r="I18" s="81"/>
      <c r="J18" s="81"/>
      <c r="K18" s="35"/>
      <c r="L18" s="35"/>
      <c r="M18" s="35"/>
      <c r="N18" s="35"/>
      <c r="O18" s="35"/>
      <c r="P18" s="35"/>
      <c r="Q18" s="35"/>
      <c r="R18" s="35"/>
      <c r="S18" s="35"/>
      <c r="T18" s="35"/>
      <c r="U18" s="35"/>
      <c r="V18" s="35"/>
      <c r="W18" s="35"/>
      <c r="X18" s="235" t="s">
        <v>178</v>
      </c>
      <c r="Y18" s="416">
        <v>2.8579410620991442E-4</v>
      </c>
      <c r="Z18" s="416">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0"/>
      <c r="C19" s="101"/>
      <c r="D19" s="102"/>
      <c r="E19" s="101"/>
      <c r="F19" s="85"/>
      <c r="G19" s="85"/>
      <c r="H19" s="85"/>
      <c r="I19" s="81"/>
      <c r="J19" s="81"/>
      <c r="K19" s="35"/>
      <c r="L19" s="35"/>
      <c r="M19" s="35"/>
      <c r="N19" s="35"/>
      <c r="O19" s="35"/>
      <c r="P19" s="35"/>
      <c r="Q19" s="35"/>
      <c r="R19" s="35"/>
      <c r="S19" s="35"/>
      <c r="T19" s="35"/>
      <c r="U19" s="35"/>
      <c r="V19" s="35"/>
      <c r="W19" s="35"/>
      <c r="X19" s="235" t="s">
        <v>179</v>
      </c>
      <c r="Y19" s="416">
        <v>4.7716993008320446E-4</v>
      </c>
      <c r="Z19" s="416">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0"/>
      <c r="C20" s="101"/>
      <c r="D20" s="102"/>
      <c r="E20" s="101"/>
      <c r="F20" s="85"/>
      <c r="G20" s="85"/>
      <c r="H20" s="85"/>
      <c r="I20" s="81"/>
      <c r="J20" s="81"/>
      <c r="K20" s="35"/>
      <c r="L20" s="35"/>
      <c r="M20" s="35"/>
      <c r="N20" s="35"/>
      <c r="O20" s="35"/>
      <c r="P20" s="35"/>
      <c r="Q20" s="35"/>
      <c r="R20" s="35"/>
      <c r="S20" s="35"/>
      <c r="T20" s="35"/>
      <c r="U20" s="35"/>
      <c r="V20" s="35"/>
      <c r="W20" s="35"/>
      <c r="X20" s="235" t="s">
        <v>180</v>
      </c>
      <c r="Y20" s="416">
        <v>2.0499097618064069E-4</v>
      </c>
      <c r="Z20" s="416">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0"/>
      <c r="C21" s="101"/>
      <c r="D21" s="102"/>
      <c r="E21" s="101"/>
      <c r="F21" s="85"/>
      <c r="G21" s="85"/>
      <c r="H21" s="85"/>
      <c r="I21" s="81"/>
      <c r="J21" s="81"/>
      <c r="K21" s="35"/>
      <c r="L21" s="35"/>
      <c r="M21" s="35"/>
      <c r="N21" s="35"/>
      <c r="O21" s="35"/>
      <c r="P21" s="35"/>
      <c r="Q21" s="35"/>
      <c r="R21" s="35"/>
      <c r="S21" s="35"/>
      <c r="T21" s="35"/>
      <c r="U21" s="35"/>
      <c r="V21" s="35"/>
      <c r="W21" s="35"/>
      <c r="X21" s="235" t="s">
        <v>181</v>
      </c>
      <c r="Y21" s="416">
        <v>7.3634398159432295E-4</v>
      </c>
      <c r="Z21" s="416">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0"/>
      <c r="C22" s="101"/>
      <c r="D22" s="102"/>
      <c r="E22" s="101"/>
      <c r="F22" s="85"/>
      <c r="G22" s="85"/>
      <c r="H22" s="85"/>
      <c r="I22" s="81"/>
      <c r="J22" s="81"/>
      <c r="K22" s="35"/>
      <c r="L22" s="35"/>
      <c r="M22" s="35"/>
      <c r="N22" s="35"/>
      <c r="O22" s="35"/>
      <c r="P22" s="35"/>
      <c r="Q22" s="35"/>
      <c r="R22" s="35"/>
      <c r="S22" s="35"/>
      <c r="T22" s="35"/>
      <c r="U22" s="35"/>
      <c r="V22" s="35"/>
      <c r="W22" s="35"/>
      <c r="X22" s="235" t="s">
        <v>182</v>
      </c>
      <c r="Y22" s="416">
        <v>1.5933500996702843E-4</v>
      </c>
      <c r="Z22" s="416">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0"/>
      <c r="C23" s="101"/>
      <c r="D23" s="102"/>
      <c r="E23" s="101"/>
      <c r="F23" s="85"/>
      <c r="G23" s="85"/>
      <c r="H23" s="85"/>
      <c r="I23" s="81"/>
      <c r="J23" s="81"/>
      <c r="K23" s="35"/>
      <c r="L23" s="35"/>
      <c r="M23" s="35"/>
      <c r="N23" s="35"/>
      <c r="O23" s="35"/>
      <c r="P23" s="35"/>
      <c r="Q23" s="35"/>
      <c r="R23" s="35"/>
      <c r="S23" s="35"/>
      <c r="T23" s="35"/>
      <c r="U23" s="35"/>
      <c r="V23" s="35"/>
      <c r="W23" s="35"/>
      <c r="X23" s="235" t="s">
        <v>183</v>
      </c>
      <c r="Y23" s="416">
        <v>5.0685048336163163E-4</v>
      </c>
      <c r="Z23" s="416">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0"/>
      <c r="C24" s="101"/>
      <c r="D24" s="102"/>
      <c r="E24" s="101"/>
      <c r="F24" s="87"/>
      <c r="G24" s="87"/>
      <c r="H24" s="85"/>
      <c r="I24" s="81"/>
      <c r="J24" s="81"/>
      <c r="K24" s="35"/>
      <c r="L24" s="35"/>
      <c r="M24" s="35"/>
      <c r="N24" s="35"/>
      <c r="O24" s="35"/>
      <c r="P24" s="35"/>
      <c r="Q24" s="35"/>
      <c r="R24" s="35"/>
      <c r="S24" s="35"/>
      <c r="T24" s="35"/>
      <c r="U24" s="35"/>
      <c r="V24" s="35"/>
      <c r="W24" s="35"/>
      <c r="X24" s="235" t="s">
        <v>11</v>
      </c>
      <c r="Y24" s="416">
        <v>8.3442486284763834E-4</v>
      </c>
      <c r="Z24" s="416">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0"/>
      <c r="C25" s="101"/>
      <c r="D25" s="102"/>
      <c r="E25" s="101"/>
      <c r="F25" s="86"/>
      <c r="G25" s="86"/>
      <c r="H25" s="85"/>
      <c r="I25" s="81"/>
      <c r="J25" s="81"/>
      <c r="K25" s="35"/>
      <c r="L25" s="35"/>
      <c r="M25" s="35"/>
      <c r="N25" s="35"/>
      <c r="O25" s="35"/>
      <c r="P25" s="35"/>
      <c r="Q25" s="35"/>
      <c r="R25" s="35"/>
      <c r="S25" s="35"/>
      <c r="T25" s="35"/>
      <c r="U25" s="35"/>
      <c r="V25" s="35"/>
      <c r="W25" s="35"/>
      <c r="X25" s="235" t="s">
        <v>184</v>
      </c>
      <c r="Y25" s="416">
        <v>4.5283915436484851E-4</v>
      </c>
      <c r="Z25" s="416">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0"/>
      <c r="C26" s="101"/>
      <c r="D26" s="102"/>
      <c r="E26" s="101"/>
      <c r="F26" s="85"/>
      <c r="G26" s="85"/>
      <c r="H26" s="85"/>
      <c r="I26" s="81"/>
      <c r="J26" s="81"/>
      <c r="K26" s="35"/>
      <c r="L26" s="35"/>
      <c r="M26" s="35"/>
      <c r="N26" s="35"/>
      <c r="O26" s="35"/>
      <c r="P26" s="35"/>
      <c r="Q26" s="35"/>
      <c r="R26" s="35"/>
      <c r="S26" s="35"/>
      <c r="T26" s="35"/>
      <c r="U26" s="35"/>
      <c r="V26" s="35"/>
      <c r="W26" s="35"/>
      <c r="X26" s="235" t="s">
        <v>185</v>
      </c>
      <c r="Y26" s="416">
        <v>3.486895207898603E-4</v>
      </c>
      <c r="Z26" s="416">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0"/>
      <c r="C27" s="101"/>
      <c r="D27" s="102"/>
      <c r="E27" s="101"/>
      <c r="F27" s="85"/>
      <c r="G27" s="85"/>
      <c r="H27" s="85"/>
      <c r="I27" s="81"/>
      <c r="J27" s="81"/>
      <c r="K27" s="35"/>
      <c r="L27" s="35"/>
      <c r="M27" s="35"/>
      <c r="N27" s="35"/>
      <c r="O27" s="35"/>
      <c r="P27" s="35"/>
      <c r="Q27" s="35"/>
      <c r="R27" s="35"/>
      <c r="S27" s="35"/>
      <c r="T27" s="35"/>
      <c r="U27" s="35"/>
      <c r="V27" s="35"/>
      <c r="W27" s="35"/>
      <c r="X27" s="235" t="s">
        <v>187</v>
      </c>
      <c r="Y27" s="416">
        <v>6.1012381532656111E-4</v>
      </c>
      <c r="Z27" s="416">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0"/>
      <c r="C28" s="101"/>
      <c r="D28" s="102"/>
      <c r="E28" s="101"/>
      <c r="F28" s="85"/>
      <c r="G28" s="85"/>
      <c r="H28" s="85"/>
      <c r="I28" s="81"/>
      <c r="J28" s="81"/>
      <c r="K28" s="35"/>
      <c r="L28" s="35"/>
      <c r="M28" s="35"/>
      <c r="N28" s="35"/>
      <c r="O28" s="35"/>
      <c r="P28" s="35"/>
      <c r="Q28" s="35"/>
      <c r="R28" s="35"/>
      <c r="S28" s="35"/>
      <c r="T28" s="35"/>
      <c r="U28" s="35"/>
      <c r="V28" s="35"/>
      <c r="W28" s="35"/>
      <c r="X28" s="235" t="s">
        <v>188</v>
      </c>
      <c r="Y28" s="416">
        <v>3.9139311155092061E-5</v>
      </c>
      <c r="Z28" s="416">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0"/>
      <c r="C29" s="101"/>
      <c r="D29" s="102"/>
      <c r="E29" s="101"/>
      <c r="F29" s="85"/>
      <c r="G29" s="85"/>
      <c r="H29" s="85"/>
      <c r="I29" s="81"/>
      <c r="J29" s="81"/>
      <c r="K29" s="35"/>
      <c r="L29" s="35"/>
      <c r="M29" s="35"/>
      <c r="N29" s="35"/>
      <c r="O29" s="35"/>
      <c r="P29" s="35"/>
      <c r="Q29" s="35"/>
      <c r="R29" s="35"/>
      <c r="S29" s="35"/>
      <c r="T29" s="35"/>
      <c r="U29" s="35"/>
      <c r="V29" s="35"/>
      <c r="W29" s="35"/>
      <c r="X29" s="235" t="s">
        <v>189</v>
      </c>
      <c r="Y29" s="416">
        <v>3.2453938138303045E-4</v>
      </c>
      <c r="Z29" s="416">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00"/>
      <c r="C30" s="101"/>
      <c r="D30" s="102"/>
      <c r="E30" s="101"/>
      <c r="F30" s="85"/>
      <c r="G30" s="85"/>
      <c r="H30" s="85"/>
      <c r="I30" s="81"/>
      <c r="J30" s="81"/>
      <c r="K30" s="35"/>
      <c r="L30" s="35"/>
      <c r="M30" s="35"/>
      <c r="N30" s="35"/>
      <c r="O30" s="35"/>
      <c r="P30" s="35"/>
      <c r="Q30" s="35"/>
      <c r="R30" s="35"/>
      <c r="S30" s="35"/>
      <c r="T30" s="35"/>
      <c r="U30" s="35"/>
      <c r="V30" s="35"/>
      <c r="W30" s="35"/>
      <c r="X30" s="235" t="s">
        <v>190</v>
      </c>
      <c r="Y30" s="416">
        <v>7.9415196034054991E-4</v>
      </c>
      <c r="Z30" s="416">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9" thickBot="1">
      <c r="A31" s="21"/>
      <c r="B31" s="135"/>
      <c r="C31" s="324" t="s">
        <v>298</v>
      </c>
      <c r="D31" s="109"/>
      <c r="E31" s="109"/>
      <c r="F31" s="109"/>
      <c r="G31" s="85"/>
      <c r="H31" s="85"/>
      <c r="I31" s="81"/>
      <c r="J31" s="81"/>
      <c r="K31" s="35"/>
      <c r="L31" s="35"/>
      <c r="M31" s="35"/>
      <c r="N31" s="402"/>
      <c r="O31" s="135" t="s">
        <v>300</v>
      </c>
      <c r="P31" s="35"/>
      <c r="Q31" s="35"/>
      <c r="R31" s="35"/>
      <c r="S31" s="35"/>
      <c r="T31" s="35"/>
      <c r="U31" s="35"/>
      <c r="V31" s="35"/>
      <c r="W31" s="28"/>
      <c r="X31" s="235" t="s">
        <v>191</v>
      </c>
      <c r="Y31" s="416">
        <v>3.2602707909398565E-4</v>
      </c>
      <c r="Z31" s="416">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394"/>
      <c r="C32" s="509" t="s">
        <v>299</v>
      </c>
      <c r="D32" s="509"/>
      <c r="E32" s="509"/>
      <c r="F32" s="510"/>
      <c r="G32" s="207">
        <v>2020</v>
      </c>
      <c r="H32" s="85"/>
      <c r="I32" s="81"/>
      <c r="J32" s="81"/>
      <c r="K32" s="35"/>
      <c r="L32" s="35"/>
      <c r="M32" s="35"/>
      <c r="N32" s="35"/>
      <c r="O32" s="35"/>
      <c r="P32" s="35"/>
      <c r="Q32" s="35"/>
      <c r="R32" s="35"/>
      <c r="S32" s="35"/>
      <c r="T32" s="35"/>
      <c r="U32" s="35"/>
      <c r="V32" s="35"/>
      <c r="W32" s="80"/>
      <c r="X32" s="235" t="s">
        <v>192</v>
      </c>
      <c r="Y32" s="416">
        <v>8.465955465067626E-4</v>
      </c>
      <c r="Z32" s="416">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394"/>
      <c r="C33" s="101"/>
      <c r="D33" s="102"/>
      <c r="E33" s="101"/>
      <c r="F33" s="86"/>
      <c r="G33" s="86"/>
      <c r="H33" s="86"/>
      <c r="I33" s="82"/>
      <c r="J33" s="82"/>
      <c r="K33" s="28"/>
      <c r="L33" s="28"/>
      <c r="M33" s="28"/>
      <c r="N33" s="28"/>
      <c r="O33" s="28"/>
      <c r="P33" s="28"/>
      <c r="Q33" s="28"/>
      <c r="R33" s="28"/>
      <c r="S33" s="28"/>
      <c r="T33" s="28"/>
      <c r="U33" s="28"/>
      <c r="V33" s="28"/>
      <c r="W33" s="37"/>
      <c r="X33" s="235" t="s">
        <v>193</v>
      </c>
      <c r="Y33" s="416">
        <v>3.0858219124592655E-4</v>
      </c>
      <c r="Z33" s="416">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142"/>
      <c r="B34" s="135"/>
      <c r="C34" s="417" t="s">
        <v>301</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35" t="s">
        <v>194</v>
      </c>
      <c r="Y34" s="416">
        <v>2.7443623595127412E-4</v>
      </c>
      <c r="Z34" s="416">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395"/>
      <c r="C35" s="399" t="s">
        <v>176</v>
      </c>
      <c r="D35" s="403" t="b">
        <v>0</v>
      </c>
      <c r="E35" s="404" t="b">
        <v>0</v>
      </c>
      <c r="F35" s="403" t="b">
        <v>0</v>
      </c>
      <c r="G35" s="405" t="b">
        <v>1</v>
      </c>
      <c r="H35" s="405" t="b">
        <v>1</v>
      </c>
      <c r="I35" s="405" t="b">
        <v>1</v>
      </c>
      <c r="J35" s="405" t="b">
        <v>1</v>
      </c>
      <c r="K35" s="405" t="b">
        <v>1</v>
      </c>
      <c r="L35" s="406" t="b">
        <v>1</v>
      </c>
      <c r="M35" s="406" t="b">
        <v>1</v>
      </c>
      <c r="N35" s="406" t="b">
        <v>1</v>
      </c>
      <c r="O35" s="406" t="b">
        <v>1</v>
      </c>
      <c r="P35" s="406" t="b">
        <v>1</v>
      </c>
      <c r="Q35" s="406" t="b">
        <v>1</v>
      </c>
      <c r="R35" s="406" t="b">
        <v>1</v>
      </c>
      <c r="S35" s="406" t="b">
        <v>1</v>
      </c>
      <c r="T35" s="406" t="b">
        <v>1</v>
      </c>
      <c r="U35" s="406" t="b">
        <v>1</v>
      </c>
      <c r="V35" s="407" t="b">
        <v>1</v>
      </c>
      <c r="W35" s="37"/>
      <c r="X35" s="235" t="s">
        <v>195</v>
      </c>
      <c r="Y35" s="416">
        <v>5.3598020242062749E-4</v>
      </c>
      <c r="Z35" s="416">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395"/>
      <c r="C36" s="399" t="s">
        <v>178</v>
      </c>
      <c r="D36" s="403" t="b">
        <v>0</v>
      </c>
      <c r="E36" s="404" t="b">
        <v>0</v>
      </c>
      <c r="F36" s="403" t="b">
        <v>0</v>
      </c>
      <c r="G36" s="405" t="b">
        <v>1</v>
      </c>
      <c r="H36" s="405" t="b">
        <v>1</v>
      </c>
      <c r="I36" s="405" t="b">
        <v>1</v>
      </c>
      <c r="J36" s="405" t="b">
        <v>1</v>
      </c>
      <c r="K36" s="405" t="b">
        <v>1</v>
      </c>
      <c r="L36" s="406" t="b">
        <v>1</v>
      </c>
      <c r="M36" s="406" t="b">
        <v>1</v>
      </c>
      <c r="N36" s="406" t="b">
        <v>1</v>
      </c>
      <c r="O36" s="406" t="b">
        <v>1</v>
      </c>
      <c r="P36" s="406" t="b">
        <v>1</v>
      </c>
      <c r="Q36" s="406" t="b">
        <v>1</v>
      </c>
      <c r="R36" s="406" t="b">
        <v>1</v>
      </c>
      <c r="S36" s="406" t="b">
        <v>1</v>
      </c>
      <c r="T36" s="406" t="b">
        <v>1</v>
      </c>
      <c r="U36" s="406" t="b">
        <v>1</v>
      </c>
      <c r="V36" s="407" t="b">
        <v>1</v>
      </c>
      <c r="W36" s="37"/>
      <c r="X36" s="235" t="s">
        <v>196</v>
      </c>
      <c r="Y36" s="416">
        <v>2.0322708687071074E-4</v>
      </c>
      <c r="Z36" s="416">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395"/>
      <c r="C37" s="401" t="s">
        <v>179</v>
      </c>
      <c r="D37" s="403" t="b">
        <v>1</v>
      </c>
      <c r="E37" s="404" t="b">
        <v>1</v>
      </c>
      <c r="F37" s="403" t="b">
        <v>1</v>
      </c>
      <c r="G37" s="405" t="b">
        <v>1</v>
      </c>
      <c r="H37" s="405" t="b">
        <v>1</v>
      </c>
      <c r="I37" s="405" t="b">
        <v>1</v>
      </c>
      <c r="J37" s="405" t="b">
        <v>1</v>
      </c>
      <c r="K37" s="405" t="b">
        <v>1</v>
      </c>
      <c r="L37" s="406" t="b">
        <v>1</v>
      </c>
      <c r="M37" s="406" t="b">
        <v>1</v>
      </c>
      <c r="N37" s="408" t="b">
        <v>1</v>
      </c>
      <c r="O37" s="406" t="b">
        <v>1</v>
      </c>
      <c r="P37" s="406" t="b">
        <v>1</v>
      </c>
      <c r="Q37" s="406" t="b">
        <v>1</v>
      </c>
      <c r="R37" s="406" t="b">
        <v>1</v>
      </c>
      <c r="S37" s="406" t="b">
        <v>1</v>
      </c>
      <c r="T37" s="406" t="b">
        <v>1</v>
      </c>
      <c r="U37" s="406" t="b">
        <v>1</v>
      </c>
      <c r="V37" s="407" t="b">
        <v>1</v>
      </c>
      <c r="W37" s="37"/>
      <c r="X37" s="235" t="s">
        <v>197</v>
      </c>
      <c r="Y37" s="416">
        <v>5.0054878730029545E-4</v>
      </c>
      <c r="Z37" s="416">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395"/>
      <c r="C38" s="401" t="s">
        <v>180</v>
      </c>
      <c r="D38" s="403" t="b">
        <v>1</v>
      </c>
      <c r="E38" s="404" t="b">
        <v>1</v>
      </c>
      <c r="F38" s="403" t="b">
        <v>1</v>
      </c>
      <c r="G38" s="405" t="b">
        <v>1</v>
      </c>
      <c r="H38" s="405" t="b">
        <v>1</v>
      </c>
      <c r="I38" s="405" t="b">
        <v>1</v>
      </c>
      <c r="J38" s="405" t="b">
        <v>1</v>
      </c>
      <c r="K38" s="405" t="b">
        <v>1</v>
      </c>
      <c r="L38" s="406" t="b">
        <v>1</v>
      </c>
      <c r="M38" s="406" t="b">
        <v>1</v>
      </c>
      <c r="N38" s="406" t="b">
        <v>1</v>
      </c>
      <c r="O38" s="406" t="b">
        <v>1</v>
      </c>
      <c r="P38" s="406" t="b">
        <v>1</v>
      </c>
      <c r="Q38" s="406" t="b">
        <v>1</v>
      </c>
      <c r="R38" s="406" t="b">
        <v>1</v>
      </c>
      <c r="S38" s="406" t="b">
        <v>1</v>
      </c>
      <c r="T38" s="406" t="b">
        <v>1</v>
      </c>
      <c r="U38" s="406" t="b">
        <v>1</v>
      </c>
      <c r="V38" s="407" t="b">
        <v>1</v>
      </c>
      <c r="W38" s="37"/>
      <c r="X38" s="235" t="s">
        <v>198</v>
      </c>
      <c r="Y38" s="416">
        <v>5.4427544121789305E-4</v>
      </c>
      <c r="Z38" s="416">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395"/>
      <c r="C39" s="401" t="s">
        <v>181</v>
      </c>
      <c r="D39" s="403" t="b">
        <v>1</v>
      </c>
      <c r="E39" s="404" t="b">
        <v>1</v>
      </c>
      <c r="F39" s="403" t="b">
        <v>1</v>
      </c>
      <c r="G39" s="405" t="b">
        <v>1</v>
      </c>
      <c r="H39" s="405" t="b">
        <v>1</v>
      </c>
      <c r="I39" s="405" t="b">
        <v>1</v>
      </c>
      <c r="J39" s="405" t="b">
        <v>1</v>
      </c>
      <c r="K39" s="405" t="b">
        <v>1</v>
      </c>
      <c r="L39" s="406" t="b">
        <v>1</v>
      </c>
      <c r="M39" s="406" t="b">
        <v>1</v>
      </c>
      <c r="N39" s="406" t="b">
        <v>1</v>
      </c>
      <c r="O39" s="406" t="b">
        <v>1</v>
      </c>
      <c r="P39" s="406" t="b">
        <v>1</v>
      </c>
      <c r="Q39" s="406" t="b">
        <v>1</v>
      </c>
      <c r="R39" s="406" t="b">
        <v>1</v>
      </c>
      <c r="S39" s="406" t="b">
        <v>1</v>
      </c>
      <c r="T39" s="406" t="b">
        <v>1</v>
      </c>
      <c r="U39" s="406" t="b">
        <v>1</v>
      </c>
      <c r="V39" s="407" t="b">
        <v>1</v>
      </c>
      <c r="W39" s="37"/>
      <c r="X39" s="235" t="s">
        <v>199</v>
      </c>
      <c r="Y39" s="416">
        <v>6.8060201713878701E-4</v>
      </c>
      <c r="Z39" s="416">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395"/>
      <c r="C40" s="401" t="s">
        <v>182</v>
      </c>
      <c r="D40" s="403" t="b">
        <v>1</v>
      </c>
      <c r="E40" s="404" t="b">
        <v>1</v>
      </c>
      <c r="F40" s="403" t="b">
        <v>1</v>
      </c>
      <c r="G40" s="405" t="b">
        <v>1</v>
      </c>
      <c r="H40" s="405" t="b">
        <v>1</v>
      </c>
      <c r="I40" s="405" t="b">
        <v>1</v>
      </c>
      <c r="J40" s="405" t="b">
        <v>1</v>
      </c>
      <c r="K40" s="405" t="b">
        <v>1</v>
      </c>
      <c r="L40" s="406" t="b">
        <v>1</v>
      </c>
      <c r="M40" s="406" t="b">
        <v>1</v>
      </c>
      <c r="N40" s="406" t="b">
        <v>1</v>
      </c>
      <c r="O40" s="406" t="b">
        <v>1</v>
      </c>
      <c r="P40" s="406" t="b">
        <v>1</v>
      </c>
      <c r="Q40" s="406" t="b">
        <v>1</v>
      </c>
      <c r="R40" s="406" t="b">
        <v>1</v>
      </c>
      <c r="S40" s="406" t="b">
        <v>1</v>
      </c>
      <c r="T40" s="406" t="b">
        <v>1</v>
      </c>
      <c r="U40" s="406" t="b">
        <v>1</v>
      </c>
      <c r="V40" s="407" t="b">
        <v>1</v>
      </c>
      <c r="W40" s="37"/>
      <c r="X40" s="235" t="s">
        <v>200</v>
      </c>
      <c r="Y40" s="416">
        <v>3.457177533004125E-4</v>
      </c>
      <c r="Z40" s="416">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395"/>
      <c r="C41" s="401" t="s">
        <v>183</v>
      </c>
      <c r="D41" s="403" t="b">
        <v>1</v>
      </c>
      <c r="E41" s="404" t="b">
        <v>1</v>
      </c>
      <c r="F41" s="403" t="b">
        <v>1</v>
      </c>
      <c r="G41" s="405" t="b">
        <v>1</v>
      </c>
      <c r="H41" s="405" t="b">
        <v>1</v>
      </c>
      <c r="I41" s="405" t="b">
        <v>1</v>
      </c>
      <c r="J41" s="405" t="b">
        <v>1</v>
      </c>
      <c r="K41" s="405" t="b">
        <v>1</v>
      </c>
      <c r="L41" s="406" t="b">
        <v>1</v>
      </c>
      <c r="M41" s="406" t="b">
        <v>1</v>
      </c>
      <c r="N41" s="406" t="b">
        <v>1</v>
      </c>
      <c r="O41" s="406" t="b">
        <v>1</v>
      </c>
      <c r="P41" s="406" t="b">
        <v>1</v>
      </c>
      <c r="Q41" s="406" t="b">
        <v>1</v>
      </c>
      <c r="R41" s="406" t="b">
        <v>1</v>
      </c>
      <c r="S41" s="406" t="b">
        <v>1</v>
      </c>
      <c r="T41" s="406" t="b">
        <v>1</v>
      </c>
      <c r="U41" s="406" t="b">
        <v>1</v>
      </c>
      <c r="V41" s="407" t="b">
        <v>1</v>
      </c>
      <c r="W41" s="35"/>
      <c r="X41" s="235" t="s">
        <v>201</v>
      </c>
      <c r="Y41" s="416">
        <v>2.7139739187690266E-4</v>
      </c>
      <c r="Z41" s="416">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395"/>
      <c r="C42" s="401" t="s">
        <v>11</v>
      </c>
      <c r="D42" s="403" t="b">
        <v>1</v>
      </c>
      <c r="E42" s="404" t="b">
        <v>1</v>
      </c>
      <c r="F42" s="403" t="b">
        <v>1</v>
      </c>
      <c r="G42" s="405" t="b">
        <v>1</v>
      </c>
      <c r="H42" s="405" t="b">
        <v>1</v>
      </c>
      <c r="I42" s="405" t="b">
        <v>1</v>
      </c>
      <c r="J42" s="405" t="b">
        <v>1</v>
      </c>
      <c r="K42" s="405" t="b">
        <v>1</v>
      </c>
      <c r="L42" s="406" t="b">
        <v>1</v>
      </c>
      <c r="M42" s="406" t="b">
        <v>1</v>
      </c>
      <c r="N42" s="406" t="b">
        <v>1</v>
      </c>
      <c r="O42" s="406" t="b">
        <v>1</v>
      </c>
      <c r="P42" s="406" t="b">
        <v>1</v>
      </c>
      <c r="Q42" s="406" t="b">
        <v>1</v>
      </c>
      <c r="R42" s="406" t="b">
        <v>1</v>
      </c>
      <c r="S42" s="406" t="b">
        <v>1</v>
      </c>
      <c r="T42" s="406" t="b">
        <v>1</v>
      </c>
      <c r="U42" s="406" t="b">
        <v>1</v>
      </c>
      <c r="V42" s="407" t="b">
        <v>1</v>
      </c>
      <c r="W42" s="35"/>
      <c r="X42" s="235" t="s">
        <v>202</v>
      </c>
      <c r="Y42" s="416">
        <v>4.6005555553392324E-4</v>
      </c>
      <c r="Z42" s="416">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395"/>
      <c r="C43" s="399" t="s">
        <v>184</v>
      </c>
      <c r="D43" s="403" t="b">
        <v>0</v>
      </c>
      <c r="E43" s="404" t="b">
        <v>0</v>
      </c>
      <c r="F43" s="403" t="b">
        <v>0</v>
      </c>
      <c r="G43" s="409" t="b">
        <v>1</v>
      </c>
      <c r="H43" s="409" t="b">
        <v>1</v>
      </c>
      <c r="I43" s="409" t="b">
        <v>1</v>
      </c>
      <c r="J43" s="409" t="b">
        <v>1</v>
      </c>
      <c r="K43" s="409" t="b">
        <v>1</v>
      </c>
      <c r="L43" s="410" t="b">
        <v>1</v>
      </c>
      <c r="M43" s="410" t="b">
        <v>1</v>
      </c>
      <c r="N43" s="410" t="b">
        <v>1</v>
      </c>
      <c r="O43" s="410" t="b">
        <v>1</v>
      </c>
      <c r="P43" s="410" t="b">
        <v>1</v>
      </c>
      <c r="Q43" s="410" t="b">
        <v>1</v>
      </c>
      <c r="R43" s="410" t="b">
        <v>1</v>
      </c>
      <c r="S43" s="410" t="b">
        <v>1</v>
      </c>
      <c r="T43" s="410" t="b">
        <v>1</v>
      </c>
      <c r="U43" s="410" t="b">
        <v>1</v>
      </c>
      <c r="V43" s="411" t="b">
        <v>1</v>
      </c>
      <c r="W43" s="35"/>
      <c r="X43" s="235" t="s">
        <v>203</v>
      </c>
      <c r="Y43" s="416">
        <v>7.7706033252806421E-4</v>
      </c>
      <c r="Z43" s="416">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395"/>
      <c r="C44" s="399" t="s">
        <v>185</v>
      </c>
      <c r="D44" s="403" t="b">
        <v>0</v>
      </c>
      <c r="E44" s="404" t="b">
        <v>0</v>
      </c>
      <c r="F44" s="403" t="b">
        <v>0</v>
      </c>
      <c r="G44" s="409" t="b">
        <v>1</v>
      </c>
      <c r="H44" s="409" t="b">
        <v>1</v>
      </c>
      <c r="I44" s="409" t="b">
        <v>1</v>
      </c>
      <c r="J44" s="409" t="b">
        <v>1</v>
      </c>
      <c r="K44" s="409" t="b">
        <v>1</v>
      </c>
      <c r="L44" s="410" t="b">
        <v>1</v>
      </c>
      <c r="M44" s="410" t="b">
        <v>1</v>
      </c>
      <c r="N44" s="410" t="b">
        <v>1</v>
      </c>
      <c r="O44" s="410" t="b">
        <v>1</v>
      </c>
      <c r="P44" s="410" t="b">
        <v>1</v>
      </c>
      <c r="Q44" s="410" t="b">
        <v>1</v>
      </c>
      <c r="R44" s="410" t="b">
        <v>1</v>
      </c>
      <c r="S44" s="410" t="b">
        <v>1</v>
      </c>
      <c r="T44" s="410" t="b">
        <v>1</v>
      </c>
      <c r="U44" s="410" t="b">
        <v>1</v>
      </c>
      <c r="V44" s="411" t="b">
        <v>1</v>
      </c>
      <c r="W44" s="35"/>
      <c r="X44" s="235" t="s">
        <v>204</v>
      </c>
      <c r="Y44" s="416">
        <v>6.5903358116509451E-4</v>
      </c>
      <c r="Z44" s="416">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395"/>
      <c r="C45" s="399" t="s">
        <v>187</v>
      </c>
      <c r="D45" s="403" t="b">
        <v>0</v>
      </c>
      <c r="E45" s="404" t="b">
        <v>0</v>
      </c>
      <c r="F45" s="403" t="b">
        <v>0</v>
      </c>
      <c r="G45" s="409" t="b">
        <v>1</v>
      </c>
      <c r="H45" s="409" t="b">
        <v>1</v>
      </c>
      <c r="I45" s="409" t="b">
        <v>1</v>
      </c>
      <c r="J45" s="409" t="b">
        <v>1</v>
      </c>
      <c r="K45" s="409" t="b">
        <v>1</v>
      </c>
      <c r="L45" s="410" t="b">
        <v>1</v>
      </c>
      <c r="M45" s="410" t="b">
        <v>1</v>
      </c>
      <c r="N45" s="410" t="b">
        <v>1</v>
      </c>
      <c r="O45" s="410" t="b">
        <v>1</v>
      </c>
      <c r="P45" s="410" t="b">
        <v>1</v>
      </c>
      <c r="Q45" s="410" t="b">
        <v>1</v>
      </c>
      <c r="R45" s="410" t="b">
        <v>1</v>
      </c>
      <c r="S45" s="410" t="b">
        <v>1</v>
      </c>
      <c r="T45" s="410" t="b">
        <v>1</v>
      </c>
      <c r="U45" s="410" t="b">
        <v>1</v>
      </c>
      <c r="V45" s="411" t="b">
        <v>1</v>
      </c>
      <c r="W45" s="35"/>
      <c r="X45" s="235" t="s">
        <v>205</v>
      </c>
      <c r="Y45" s="416">
        <v>1.3708824581532242E-4</v>
      </c>
      <c r="Z45" s="416">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395"/>
      <c r="C46" s="399" t="s">
        <v>188</v>
      </c>
      <c r="D46" s="403" t="b">
        <v>0</v>
      </c>
      <c r="E46" s="404" t="b">
        <v>0</v>
      </c>
      <c r="F46" s="403" t="b">
        <v>0</v>
      </c>
      <c r="G46" s="410" t="b">
        <v>1</v>
      </c>
      <c r="H46" s="410" t="b">
        <v>1</v>
      </c>
      <c r="I46" s="410" t="b">
        <v>1</v>
      </c>
      <c r="J46" s="410" t="b">
        <v>1</v>
      </c>
      <c r="K46" s="410" t="b">
        <v>1</v>
      </c>
      <c r="L46" s="410" t="b">
        <v>1</v>
      </c>
      <c r="M46" s="410" t="b">
        <v>1</v>
      </c>
      <c r="N46" s="410" t="b">
        <v>1</v>
      </c>
      <c r="O46" s="410" t="b">
        <v>1</v>
      </c>
      <c r="P46" s="410" t="b">
        <v>1</v>
      </c>
      <c r="Q46" s="410" t="b">
        <v>1</v>
      </c>
      <c r="R46" s="410" t="b">
        <v>1</v>
      </c>
      <c r="S46" s="410" t="b">
        <v>1</v>
      </c>
      <c r="T46" s="410" t="b">
        <v>1</v>
      </c>
      <c r="U46" s="410" t="b">
        <v>1</v>
      </c>
      <c r="V46" s="411" t="b">
        <v>1</v>
      </c>
      <c r="W46" s="35"/>
      <c r="X46" s="235" t="s">
        <v>206</v>
      </c>
      <c r="Y46" s="416">
        <v>2.4826092420676649E-4</v>
      </c>
      <c r="Z46" s="416">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395"/>
      <c r="C47" s="401" t="s">
        <v>189</v>
      </c>
      <c r="D47" s="403" t="b">
        <v>1</v>
      </c>
      <c r="E47" s="404" t="b">
        <v>1</v>
      </c>
      <c r="F47" s="403" t="b">
        <v>1</v>
      </c>
      <c r="G47" s="410" t="b">
        <v>1</v>
      </c>
      <c r="H47" s="410" t="b">
        <v>1</v>
      </c>
      <c r="I47" s="410" t="b">
        <v>1</v>
      </c>
      <c r="J47" s="410" t="b">
        <v>1</v>
      </c>
      <c r="K47" s="410" t="b">
        <v>1</v>
      </c>
      <c r="L47" s="410" t="b">
        <v>1</v>
      </c>
      <c r="M47" s="410" t="b">
        <v>1</v>
      </c>
      <c r="N47" s="410" t="b">
        <v>1</v>
      </c>
      <c r="O47" s="410" t="b">
        <v>1</v>
      </c>
      <c r="P47" s="410" t="b">
        <v>1</v>
      </c>
      <c r="Q47" s="410" t="b">
        <v>1</v>
      </c>
      <c r="R47" s="410" t="b">
        <v>1</v>
      </c>
      <c r="S47" s="410" t="b">
        <v>1</v>
      </c>
      <c r="T47" s="410" t="b">
        <v>1</v>
      </c>
      <c r="U47" s="410" t="b">
        <v>1</v>
      </c>
      <c r="V47" s="411" t="b">
        <v>1</v>
      </c>
      <c r="W47" s="35"/>
      <c r="X47" s="235" t="s">
        <v>207</v>
      </c>
      <c r="Y47" s="416">
        <v>6.5123632733018436E-4</v>
      </c>
      <c r="Z47" s="416">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395"/>
      <c r="C48" s="399" t="s">
        <v>190</v>
      </c>
      <c r="D48" s="403" t="b">
        <v>0</v>
      </c>
      <c r="E48" s="404" t="b">
        <v>0</v>
      </c>
      <c r="F48" s="403" t="b">
        <v>0</v>
      </c>
      <c r="G48" s="410" t="b">
        <v>1</v>
      </c>
      <c r="H48" s="410" t="b">
        <v>1</v>
      </c>
      <c r="I48" s="410" t="b">
        <v>1</v>
      </c>
      <c r="J48" s="410" t="b">
        <v>1</v>
      </c>
      <c r="K48" s="410" t="b">
        <v>1</v>
      </c>
      <c r="L48" s="410" t="b">
        <v>1</v>
      </c>
      <c r="M48" s="410" t="b">
        <v>1</v>
      </c>
      <c r="N48" s="410" t="b">
        <v>1</v>
      </c>
      <c r="O48" s="410" t="b">
        <v>1</v>
      </c>
      <c r="P48" s="410" t="b">
        <v>1</v>
      </c>
      <c r="Q48" s="410" t="b">
        <v>1</v>
      </c>
      <c r="R48" s="410" t="b">
        <v>1</v>
      </c>
      <c r="S48" s="410" t="b">
        <v>1</v>
      </c>
      <c r="T48" s="410" t="b">
        <v>1</v>
      </c>
      <c r="U48" s="410" t="b">
        <v>1</v>
      </c>
      <c r="V48" s="411" t="b">
        <v>1</v>
      </c>
      <c r="W48" s="35"/>
      <c r="X48" s="235" t="s">
        <v>208</v>
      </c>
      <c r="Y48" s="416">
        <v>4.4027318096914698E-4</v>
      </c>
      <c r="Z48" s="416">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395"/>
      <c r="C49" s="399" t="s">
        <v>191</v>
      </c>
      <c r="D49" s="403" t="b">
        <v>0</v>
      </c>
      <c r="E49" s="404" t="b">
        <v>0</v>
      </c>
      <c r="F49" s="403" t="b">
        <v>0</v>
      </c>
      <c r="G49" s="410" t="b">
        <v>1</v>
      </c>
      <c r="H49" s="410" t="b">
        <v>1</v>
      </c>
      <c r="I49" s="410" t="b">
        <v>1</v>
      </c>
      <c r="J49" s="410" t="b">
        <v>1</v>
      </c>
      <c r="K49" s="410" t="b">
        <v>1</v>
      </c>
      <c r="L49" s="410" t="b">
        <v>1</v>
      </c>
      <c r="M49" s="410" t="b">
        <v>1</v>
      </c>
      <c r="N49" s="410" t="b">
        <v>1</v>
      </c>
      <c r="O49" s="410" t="b">
        <v>1</v>
      </c>
      <c r="P49" s="410" t="b">
        <v>1</v>
      </c>
      <c r="Q49" s="410" t="b">
        <v>1</v>
      </c>
      <c r="R49" s="410" t="b">
        <v>1</v>
      </c>
      <c r="S49" s="410" t="b">
        <v>1</v>
      </c>
      <c r="T49" s="410" t="b">
        <v>1</v>
      </c>
      <c r="U49" s="410" t="b">
        <v>1</v>
      </c>
      <c r="V49" s="411" t="b">
        <v>1</v>
      </c>
      <c r="W49" s="35"/>
      <c r="X49" s="235" t="s">
        <v>209</v>
      </c>
      <c r="Y49" s="416">
        <v>1.931816909789435E-4</v>
      </c>
      <c r="Z49" s="416">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395"/>
      <c r="C50" s="399" t="s">
        <v>192</v>
      </c>
      <c r="D50" s="403" t="b">
        <v>0</v>
      </c>
      <c r="E50" s="404" t="b">
        <v>0</v>
      </c>
      <c r="F50" s="403" t="b">
        <v>0</v>
      </c>
      <c r="G50" s="410" t="b">
        <v>1</v>
      </c>
      <c r="H50" s="410" t="b">
        <v>1</v>
      </c>
      <c r="I50" s="410" t="b">
        <v>1</v>
      </c>
      <c r="J50" s="410" t="b">
        <v>1</v>
      </c>
      <c r="K50" s="410" t="b">
        <v>1</v>
      </c>
      <c r="L50" s="410" t="b">
        <v>1</v>
      </c>
      <c r="M50" s="410" t="b">
        <v>1</v>
      </c>
      <c r="N50" s="410" t="b">
        <v>1</v>
      </c>
      <c r="O50" s="410" t="b">
        <v>1</v>
      </c>
      <c r="P50" s="410" t="b">
        <v>1</v>
      </c>
      <c r="Q50" s="410" t="b">
        <v>1</v>
      </c>
      <c r="R50" s="410" t="b">
        <v>1</v>
      </c>
      <c r="S50" s="410" t="b">
        <v>1</v>
      </c>
      <c r="T50" s="410" t="b">
        <v>1</v>
      </c>
      <c r="U50" s="410" t="b">
        <v>1</v>
      </c>
      <c r="V50" s="411" t="b">
        <v>1</v>
      </c>
      <c r="W50" s="35"/>
      <c r="X50" s="235" t="s">
        <v>210</v>
      </c>
      <c r="Y50" s="416">
        <v>7.0176185178426537E-4</v>
      </c>
      <c r="Z50" s="416">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395"/>
      <c r="C51" s="399" t="s">
        <v>193</v>
      </c>
      <c r="D51" s="403" t="b">
        <v>0</v>
      </c>
      <c r="E51" s="404" t="b">
        <v>0</v>
      </c>
      <c r="F51" s="403" t="b">
        <v>0</v>
      </c>
      <c r="G51" s="410" t="b">
        <v>1</v>
      </c>
      <c r="H51" s="410" t="b">
        <v>1</v>
      </c>
      <c r="I51" s="410" t="b">
        <v>1</v>
      </c>
      <c r="J51" s="410" t="b">
        <v>1</v>
      </c>
      <c r="K51" s="410" t="b">
        <v>1</v>
      </c>
      <c r="L51" s="410" t="b">
        <v>1</v>
      </c>
      <c r="M51" s="410" t="b">
        <v>1</v>
      </c>
      <c r="N51" s="410" t="b">
        <v>1</v>
      </c>
      <c r="O51" s="410" t="b">
        <v>1</v>
      </c>
      <c r="P51" s="410" t="b">
        <v>1</v>
      </c>
      <c r="Q51" s="410" t="b">
        <v>1</v>
      </c>
      <c r="R51" s="410" t="b">
        <v>1</v>
      </c>
      <c r="S51" s="410" t="b">
        <v>1</v>
      </c>
      <c r="T51" s="410" t="b">
        <v>1</v>
      </c>
      <c r="U51" s="410" t="b">
        <v>1</v>
      </c>
      <c r="V51" s="411" t="b">
        <v>1</v>
      </c>
      <c r="W51" s="35"/>
      <c r="X51" s="235" t="s">
        <v>211</v>
      </c>
      <c r="Y51" s="416">
        <v>3.7480116346849359E-4</v>
      </c>
      <c r="Z51" s="416">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395"/>
      <c r="C52" s="401" t="s">
        <v>194</v>
      </c>
      <c r="D52" s="403" t="b">
        <v>1</v>
      </c>
      <c r="E52" s="404" t="b">
        <v>1</v>
      </c>
      <c r="F52" s="403" t="b">
        <v>1</v>
      </c>
      <c r="G52" s="410" t="b">
        <v>1</v>
      </c>
      <c r="H52" s="410" t="b">
        <v>1</v>
      </c>
      <c r="I52" s="410" t="b">
        <v>1</v>
      </c>
      <c r="J52" s="410" t="b">
        <v>1</v>
      </c>
      <c r="K52" s="410" t="b">
        <v>1</v>
      </c>
      <c r="L52" s="410" t="b">
        <v>1</v>
      </c>
      <c r="M52" s="410" t="b">
        <v>1</v>
      </c>
      <c r="N52" s="410" t="b">
        <v>1</v>
      </c>
      <c r="O52" s="410" t="b">
        <v>1</v>
      </c>
      <c r="P52" s="410" t="b">
        <v>1</v>
      </c>
      <c r="Q52" s="410" t="b">
        <v>1</v>
      </c>
      <c r="R52" s="410" t="b">
        <v>1</v>
      </c>
      <c r="S52" s="410" t="b">
        <v>1</v>
      </c>
      <c r="T52" s="410" t="b">
        <v>1</v>
      </c>
      <c r="U52" s="410" t="b">
        <v>1</v>
      </c>
      <c r="V52" s="411" t="b">
        <v>1</v>
      </c>
      <c r="W52" s="35"/>
      <c r="X52" s="235" t="s">
        <v>212</v>
      </c>
      <c r="Y52" s="416">
        <v>1.2706954449993432E-4</v>
      </c>
      <c r="Z52" s="416">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395"/>
      <c r="C53" s="401" t="s">
        <v>195</v>
      </c>
      <c r="D53" s="403" t="b">
        <v>1</v>
      </c>
      <c r="E53" s="404" t="b">
        <v>1</v>
      </c>
      <c r="F53" s="403" t="b">
        <v>1</v>
      </c>
      <c r="G53" s="410" t="b">
        <v>1</v>
      </c>
      <c r="H53" s="410" t="b">
        <v>1</v>
      </c>
      <c r="I53" s="410" t="b">
        <v>1</v>
      </c>
      <c r="J53" s="410" t="b">
        <v>1</v>
      </c>
      <c r="K53" s="410" t="b">
        <v>1</v>
      </c>
      <c r="L53" s="410" t="b">
        <v>1</v>
      </c>
      <c r="M53" s="410" t="b">
        <v>1</v>
      </c>
      <c r="N53" s="410" t="b">
        <v>1</v>
      </c>
      <c r="O53" s="410" t="b">
        <v>1</v>
      </c>
      <c r="P53" s="410" t="b">
        <v>1</v>
      </c>
      <c r="Q53" s="410" t="b">
        <v>1</v>
      </c>
      <c r="R53" s="410" t="b">
        <v>1</v>
      </c>
      <c r="S53" s="410" t="b">
        <v>1</v>
      </c>
      <c r="T53" s="410" t="b">
        <v>1</v>
      </c>
      <c r="U53" s="410" t="b">
        <v>1</v>
      </c>
      <c r="V53" s="411" t="b">
        <v>1</v>
      </c>
      <c r="W53" s="35"/>
      <c r="X53" s="235" t="s">
        <v>213</v>
      </c>
      <c r="Y53" s="416">
        <v>4.3552522745260029E-4</v>
      </c>
      <c r="Z53" s="416">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395"/>
      <c r="C54" s="399" t="s">
        <v>196</v>
      </c>
      <c r="D54" s="403" t="b">
        <v>0</v>
      </c>
      <c r="E54" s="404" t="b">
        <v>0</v>
      </c>
      <c r="F54" s="403" t="b">
        <v>0</v>
      </c>
      <c r="G54" s="410" t="b">
        <v>1</v>
      </c>
      <c r="H54" s="410" t="b">
        <v>1</v>
      </c>
      <c r="I54" s="410" t="b">
        <v>1</v>
      </c>
      <c r="J54" s="410" t="b">
        <v>1</v>
      </c>
      <c r="K54" s="410" t="b">
        <v>1</v>
      </c>
      <c r="L54" s="410" t="b">
        <v>1</v>
      </c>
      <c r="M54" s="410" t="b">
        <v>1</v>
      </c>
      <c r="N54" s="410" t="b">
        <v>1</v>
      </c>
      <c r="O54" s="410" t="b">
        <v>1</v>
      </c>
      <c r="P54" s="410" t="b">
        <v>1</v>
      </c>
      <c r="Q54" s="410" t="b">
        <v>1</v>
      </c>
      <c r="R54" s="410" t="b">
        <v>1</v>
      </c>
      <c r="S54" s="410" t="b">
        <v>1</v>
      </c>
      <c r="T54" s="410" t="b">
        <v>1</v>
      </c>
      <c r="U54" s="410" t="b">
        <v>1</v>
      </c>
      <c r="V54" s="411" t="b">
        <v>1</v>
      </c>
      <c r="W54" s="35"/>
      <c r="X54" s="235" t="s">
        <v>214</v>
      </c>
      <c r="Y54" s="416">
        <v>3.7217229024403897E-4</v>
      </c>
      <c r="Z54" s="416">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395"/>
      <c r="C55" s="401" t="s">
        <v>197</v>
      </c>
      <c r="D55" s="403" t="b">
        <v>1</v>
      </c>
      <c r="E55" s="404" t="b">
        <v>1</v>
      </c>
      <c r="F55" s="403" t="b">
        <v>1</v>
      </c>
      <c r="G55" s="410" t="b">
        <v>1</v>
      </c>
      <c r="H55" s="410" t="b">
        <v>1</v>
      </c>
      <c r="I55" s="410" t="b">
        <v>1</v>
      </c>
      <c r="J55" s="410" t="b">
        <v>1</v>
      </c>
      <c r="K55" s="410" t="b">
        <v>1</v>
      </c>
      <c r="L55" s="410" t="b">
        <v>1</v>
      </c>
      <c r="M55" s="410" t="b">
        <v>1</v>
      </c>
      <c r="N55" s="410" t="b">
        <v>1</v>
      </c>
      <c r="O55" s="410" t="b">
        <v>1</v>
      </c>
      <c r="P55" s="410" t="b">
        <v>1</v>
      </c>
      <c r="Q55" s="410" t="b">
        <v>1</v>
      </c>
      <c r="R55" s="410" t="b">
        <v>1</v>
      </c>
      <c r="S55" s="410" t="b">
        <v>1</v>
      </c>
      <c r="T55" s="410" t="b">
        <v>1</v>
      </c>
      <c r="U55" s="410" t="b">
        <v>1</v>
      </c>
      <c r="V55" s="411" t="b">
        <v>1</v>
      </c>
      <c r="W55" s="35"/>
      <c r="X55" s="235" t="s">
        <v>215</v>
      </c>
      <c r="Y55" s="416">
        <v>2.3421760822486782E-4</v>
      </c>
      <c r="Z55" s="416">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395"/>
      <c r="C56" s="399" t="s">
        <v>198</v>
      </c>
      <c r="D56" s="403" t="b">
        <v>0</v>
      </c>
      <c r="E56" s="404" t="b">
        <v>0</v>
      </c>
      <c r="F56" s="403" t="b">
        <v>0</v>
      </c>
      <c r="G56" s="410" t="b">
        <v>1</v>
      </c>
      <c r="H56" s="410" t="b">
        <v>1</v>
      </c>
      <c r="I56" s="410" t="b">
        <v>1</v>
      </c>
      <c r="J56" s="410" t="b">
        <v>1</v>
      </c>
      <c r="K56" s="410" t="b">
        <v>1</v>
      </c>
      <c r="L56" s="410" t="b">
        <v>1</v>
      </c>
      <c r="M56" s="410" t="b">
        <v>1</v>
      </c>
      <c r="N56" s="410" t="b">
        <v>1</v>
      </c>
      <c r="O56" s="410" t="b">
        <v>1</v>
      </c>
      <c r="P56" s="410" t="b">
        <v>1</v>
      </c>
      <c r="Q56" s="410" t="b">
        <v>1</v>
      </c>
      <c r="R56" s="410" t="b">
        <v>1</v>
      </c>
      <c r="S56" s="410" t="b">
        <v>1</v>
      </c>
      <c r="T56" s="410" t="b">
        <v>1</v>
      </c>
      <c r="U56" s="410" t="b">
        <v>1</v>
      </c>
      <c r="V56" s="411" t="b">
        <v>1</v>
      </c>
      <c r="W56" s="35"/>
      <c r="X56" s="235" t="s">
        <v>216</v>
      </c>
      <c r="Y56" s="416">
        <v>3.9218138779391148E-4</v>
      </c>
      <c r="Z56" s="416">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395"/>
      <c r="C57" s="399" t="s">
        <v>199</v>
      </c>
      <c r="D57" s="403" t="b">
        <v>0</v>
      </c>
      <c r="E57" s="404" t="b">
        <v>0</v>
      </c>
      <c r="F57" s="403" t="b">
        <v>0</v>
      </c>
      <c r="G57" s="410" t="b">
        <v>1</v>
      </c>
      <c r="H57" s="410" t="b">
        <v>1</v>
      </c>
      <c r="I57" s="410" t="b">
        <v>1</v>
      </c>
      <c r="J57" s="410" t="b">
        <v>1</v>
      </c>
      <c r="K57" s="410" t="b">
        <v>1</v>
      </c>
      <c r="L57" s="410" t="b">
        <v>1</v>
      </c>
      <c r="M57" s="410" t="b">
        <v>1</v>
      </c>
      <c r="N57" s="410" t="b">
        <v>1</v>
      </c>
      <c r="O57" s="410" t="b">
        <v>1</v>
      </c>
      <c r="P57" s="410" t="b">
        <v>1</v>
      </c>
      <c r="Q57" s="410" t="b">
        <v>1</v>
      </c>
      <c r="R57" s="410" t="b">
        <v>1</v>
      </c>
      <c r="S57" s="410" t="b">
        <v>1</v>
      </c>
      <c r="T57" s="410" t="b">
        <v>1</v>
      </c>
      <c r="U57" s="410" t="b">
        <v>1</v>
      </c>
      <c r="V57" s="411" t="b">
        <v>1</v>
      </c>
      <c r="W57" s="35"/>
      <c r="X57" s="235" t="s">
        <v>217</v>
      </c>
      <c r="Y57" s="416">
        <v>2.51710742463223E-4</v>
      </c>
      <c r="Z57" s="416">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395"/>
      <c r="C58" s="399" t="s">
        <v>200</v>
      </c>
      <c r="D58" s="403" t="b">
        <v>0</v>
      </c>
      <c r="E58" s="404" t="b">
        <v>0</v>
      </c>
      <c r="F58" s="403" t="b">
        <v>0</v>
      </c>
      <c r="G58" s="410" t="b">
        <v>1</v>
      </c>
      <c r="H58" s="410" t="b">
        <v>1</v>
      </c>
      <c r="I58" s="410" t="b">
        <v>1</v>
      </c>
      <c r="J58" s="410" t="b">
        <v>1</v>
      </c>
      <c r="K58" s="410" t="b">
        <v>1</v>
      </c>
      <c r="L58" s="410" t="b">
        <v>1</v>
      </c>
      <c r="M58" s="410" t="b">
        <v>1</v>
      </c>
      <c r="N58" s="410" t="b">
        <v>1</v>
      </c>
      <c r="O58" s="410" t="b">
        <v>1</v>
      </c>
      <c r="P58" s="410" t="b">
        <v>1</v>
      </c>
      <c r="Q58" s="410" t="b">
        <v>1</v>
      </c>
      <c r="R58" s="410" t="b">
        <v>1</v>
      </c>
      <c r="S58" s="410" t="b">
        <v>1</v>
      </c>
      <c r="T58" s="410" t="b">
        <v>1</v>
      </c>
      <c r="U58" s="410" t="b">
        <v>1</v>
      </c>
      <c r="V58" s="411" t="b">
        <v>1</v>
      </c>
      <c r="W58" s="35"/>
      <c r="X58" s="235" t="s">
        <v>218</v>
      </c>
      <c r="Y58" s="416">
        <v>4.9438144200333368E-4</v>
      </c>
      <c r="Z58" s="416">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395"/>
      <c r="C59" s="399" t="s">
        <v>201</v>
      </c>
      <c r="D59" s="403" t="b">
        <v>0</v>
      </c>
      <c r="E59" s="404" t="b">
        <v>0</v>
      </c>
      <c r="F59" s="403" t="b">
        <v>0</v>
      </c>
      <c r="G59" s="410" t="b">
        <v>1</v>
      </c>
      <c r="H59" s="410" t="b">
        <v>1</v>
      </c>
      <c r="I59" s="410" t="b">
        <v>1</v>
      </c>
      <c r="J59" s="410" t="b">
        <v>1</v>
      </c>
      <c r="K59" s="410" t="b">
        <v>1</v>
      </c>
      <c r="L59" s="410" t="b">
        <v>1</v>
      </c>
      <c r="M59" s="410" t="b">
        <v>1</v>
      </c>
      <c r="N59" s="410" t="b">
        <v>1</v>
      </c>
      <c r="O59" s="410" t="b">
        <v>1</v>
      </c>
      <c r="P59" s="410" t="b">
        <v>1</v>
      </c>
      <c r="Q59" s="410" t="b">
        <v>1</v>
      </c>
      <c r="R59" s="410" t="b">
        <v>1</v>
      </c>
      <c r="S59" s="410" t="b">
        <v>1</v>
      </c>
      <c r="T59" s="410" t="b">
        <v>1</v>
      </c>
      <c r="U59" s="410" t="b">
        <v>1</v>
      </c>
      <c r="V59" s="411" t="b">
        <v>1</v>
      </c>
      <c r="W59" s="35"/>
      <c r="X59" s="235" t="s">
        <v>219</v>
      </c>
      <c r="Y59" s="416">
        <v>7.6676322767228755E-4</v>
      </c>
      <c r="Z59" s="416">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395"/>
      <c r="C60" s="399" t="s">
        <v>202</v>
      </c>
      <c r="D60" s="403" t="b">
        <v>0</v>
      </c>
      <c r="E60" s="404" t="b">
        <v>0</v>
      </c>
      <c r="F60" s="403" t="b">
        <v>0</v>
      </c>
      <c r="G60" s="410" t="b">
        <v>1</v>
      </c>
      <c r="H60" s="410" t="b">
        <v>1</v>
      </c>
      <c r="I60" s="410" t="b">
        <v>1</v>
      </c>
      <c r="J60" s="410" t="b">
        <v>1</v>
      </c>
      <c r="K60" s="410" t="b">
        <v>1</v>
      </c>
      <c r="L60" s="410" t="b">
        <v>1</v>
      </c>
      <c r="M60" s="410" t="b">
        <v>1</v>
      </c>
      <c r="N60" s="410" t="b">
        <v>1</v>
      </c>
      <c r="O60" s="410" t="b">
        <v>1</v>
      </c>
      <c r="P60" s="410" t="b">
        <v>1</v>
      </c>
      <c r="Q60" s="410" t="b">
        <v>1</v>
      </c>
      <c r="R60" s="410" t="b">
        <v>1</v>
      </c>
      <c r="S60" s="410" t="b">
        <v>1</v>
      </c>
      <c r="T60" s="410" t="b">
        <v>1</v>
      </c>
      <c r="U60" s="410" t="b">
        <v>1</v>
      </c>
      <c r="V60" s="411" t="b">
        <v>1</v>
      </c>
      <c r="W60" s="35"/>
      <c r="X60" s="235" t="s">
        <v>220</v>
      </c>
      <c r="Y60" s="416">
        <v>3.3864707385370345E-4</v>
      </c>
      <c r="Z60" s="416">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395"/>
      <c r="C61" s="399" t="s">
        <v>203</v>
      </c>
      <c r="D61" s="403" t="b">
        <v>0</v>
      </c>
      <c r="E61" s="404" t="b">
        <v>0</v>
      </c>
      <c r="F61" s="403" t="b">
        <v>0</v>
      </c>
      <c r="G61" s="410" t="b">
        <v>1</v>
      </c>
      <c r="H61" s="410" t="b">
        <v>1</v>
      </c>
      <c r="I61" s="410" t="b">
        <v>1</v>
      </c>
      <c r="J61" s="410" t="b">
        <v>1</v>
      </c>
      <c r="K61" s="410" t="b">
        <v>1</v>
      </c>
      <c r="L61" s="410" t="b">
        <v>1</v>
      </c>
      <c r="M61" s="410" t="b">
        <v>1</v>
      </c>
      <c r="N61" s="410" t="b">
        <v>1</v>
      </c>
      <c r="O61" s="410" t="b">
        <v>1</v>
      </c>
      <c r="P61" s="410" t="b">
        <v>1</v>
      </c>
      <c r="Q61" s="410" t="b">
        <v>1</v>
      </c>
      <c r="R61" s="410" t="b">
        <v>1</v>
      </c>
      <c r="S61" s="410" t="b">
        <v>1</v>
      </c>
      <c r="T61" s="410" t="b">
        <v>1</v>
      </c>
      <c r="U61" s="410" t="b">
        <v>1</v>
      </c>
      <c r="V61" s="411" t="b">
        <v>1</v>
      </c>
      <c r="W61" s="35"/>
      <c r="X61" s="235" t="s">
        <v>221</v>
      </c>
      <c r="Y61" s="416">
        <v>0</v>
      </c>
      <c r="Z61" s="416">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395"/>
      <c r="C62" s="399" t="s">
        <v>204</v>
      </c>
      <c r="D62" s="403" t="b">
        <v>0</v>
      </c>
      <c r="E62" s="404" t="b">
        <v>0</v>
      </c>
      <c r="F62" s="403" t="b">
        <v>0</v>
      </c>
      <c r="G62" s="410" t="b">
        <v>1</v>
      </c>
      <c r="H62" s="410" t="b">
        <v>1</v>
      </c>
      <c r="I62" s="410" t="b">
        <v>1</v>
      </c>
      <c r="J62" s="410" t="b">
        <v>1</v>
      </c>
      <c r="K62" s="410" t="b">
        <v>1</v>
      </c>
      <c r="L62" s="410" t="b">
        <v>1</v>
      </c>
      <c r="M62" s="410" t="b">
        <v>1</v>
      </c>
      <c r="N62" s="410" t="b">
        <v>1</v>
      </c>
      <c r="O62" s="410" t="b">
        <v>1</v>
      </c>
      <c r="P62" s="410" t="b">
        <v>1</v>
      </c>
      <c r="Q62" s="410" t="b">
        <v>1</v>
      </c>
      <c r="R62" s="410" t="b">
        <v>1</v>
      </c>
      <c r="S62" s="410" t="b">
        <v>1</v>
      </c>
      <c r="T62" s="410" t="b">
        <v>1</v>
      </c>
      <c r="U62" s="410" t="b">
        <v>1</v>
      </c>
      <c r="V62" s="411" t="b">
        <v>1</v>
      </c>
      <c r="W62" s="35"/>
      <c r="X62" s="235" t="s">
        <v>222</v>
      </c>
      <c r="Y62" s="416">
        <v>2.2923348213669437E-5</v>
      </c>
      <c r="Z62" s="416">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395"/>
      <c r="C63" s="401" t="s">
        <v>205</v>
      </c>
      <c r="D63" s="403" t="b">
        <v>1</v>
      </c>
      <c r="E63" s="404" t="b">
        <v>1</v>
      </c>
      <c r="F63" s="403" t="b">
        <v>1</v>
      </c>
      <c r="G63" s="410" t="b">
        <v>1</v>
      </c>
      <c r="H63" s="410" t="b">
        <v>1</v>
      </c>
      <c r="I63" s="410" t="b">
        <v>1</v>
      </c>
      <c r="J63" s="410" t="b">
        <v>1</v>
      </c>
      <c r="K63" s="410" t="b">
        <v>1</v>
      </c>
      <c r="L63" s="410" t="b">
        <v>1</v>
      </c>
      <c r="M63" s="410" t="b">
        <v>1</v>
      </c>
      <c r="N63" s="410" t="b">
        <v>1</v>
      </c>
      <c r="O63" s="410" t="b">
        <v>1</v>
      </c>
      <c r="P63" s="410" t="b">
        <v>1</v>
      </c>
      <c r="Q63" s="410" t="b">
        <v>1</v>
      </c>
      <c r="R63" s="410" t="b">
        <v>1</v>
      </c>
      <c r="S63" s="410" t="b">
        <v>1</v>
      </c>
      <c r="T63" s="410" t="b">
        <v>1</v>
      </c>
      <c r="U63" s="410" t="b">
        <v>1</v>
      </c>
      <c r="V63" s="411" t="b">
        <v>1</v>
      </c>
      <c r="W63" s="35"/>
      <c r="X63" s="235" t="s">
        <v>223</v>
      </c>
      <c r="Y63" s="416">
        <v>5.8465338475716154E-4</v>
      </c>
      <c r="Z63" s="416">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395"/>
      <c r="C64" s="401" t="s">
        <v>206</v>
      </c>
      <c r="D64" s="403" t="b">
        <v>1</v>
      </c>
      <c r="E64" s="404" t="b">
        <v>1</v>
      </c>
      <c r="F64" s="403" t="b">
        <v>1</v>
      </c>
      <c r="G64" s="410" t="b">
        <v>1</v>
      </c>
      <c r="H64" s="410" t="b">
        <v>1</v>
      </c>
      <c r="I64" s="410" t="b">
        <v>1</v>
      </c>
      <c r="J64" s="410" t="b">
        <v>1</v>
      </c>
      <c r="K64" s="410" t="b">
        <v>1</v>
      </c>
      <c r="L64" s="410" t="b">
        <v>1</v>
      </c>
      <c r="M64" s="410" t="b">
        <v>1</v>
      </c>
      <c r="N64" s="410" t="b">
        <v>1</v>
      </c>
      <c r="O64" s="410" t="b">
        <v>1</v>
      </c>
      <c r="P64" s="410" t="b">
        <v>1</v>
      </c>
      <c r="Q64" s="410" t="b">
        <v>1</v>
      </c>
      <c r="R64" s="410" t="b">
        <v>1</v>
      </c>
      <c r="S64" s="410" t="b">
        <v>1</v>
      </c>
      <c r="T64" s="410" t="b">
        <v>1</v>
      </c>
      <c r="U64" s="410" t="b">
        <v>1</v>
      </c>
      <c r="V64" s="411" t="b">
        <v>1</v>
      </c>
      <c r="W64" s="35"/>
      <c r="X64" s="235" t="s">
        <v>224</v>
      </c>
      <c r="Y64" s="416">
        <v>8.3039048317398809E-4</v>
      </c>
      <c r="Z64" s="416">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395"/>
      <c r="C65" s="401" t="s">
        <v>207</v>
      </c>
      <c r="D65" s="403" t="b">
        <v>1</v>
      </c>
      <c r="E65" s="404" t="b">
        <v>1</v>
      </c>
      <c r="F65" s="403" t="b">
        <v>1</v>
      </c>
      <c r="G65" s="410" t="b">
        <v>1</v>
      </c>
      <c r="H65" s="410" t="b">
        <v>1</v>
      </c>
      <c r="I65" s="410" t="b">
        <v>1</v>
      </c>
      <c r="J65" s="410" t="b">
        <v>1</v>
      </c>
      <c r="K65" s="410" t="b">
        <v>1</v>
      </c>
      <c r="L65" s="410" t="b">
        <v>1</v>
      </c>
      <c r="M65" s="410" t="b">
        <v>1</v>
      </c>
      <c r="N65" s="410" t="b">
        <v>1</v>
      </c>
      <c r="O65" s="410" t="b">
        <v>1</v>
      </c>
      <c r="P65" s="410" t="b">
        <v>1</v>
      </c>
      <c r="Q65" s="410" t="b">
        <v>1</v>
      </c>
      <c r="R65" s="410" t="b">
        <v>1</v>
      </c>
      <c r="S65" s="410" t="b">
        <v>1</v>
      </c>
      <c r="T65" s="410" t="b">
        <v>1</v>
      </c>
      <c r="U65" s="410" t="b">
        <v>1</v>
      </c>
      <c r="V65" s="411" t="b">
        <v>1</v>
      </c>
      <c r="W65" s="35"/>
      <c r="X65" s="236" t="s">
        <v>225</v>
      </c>
      <c r="Y65" s="416">
        <v>7.5840059121394163E-4</v>
      </c>
      <c r="Z65" s="416">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395"/>
      <c r="C66" s="401" t="s">
        <v>208</v>
      </c>
      <c r="D66" s="403" t="b">
        <v>1</v>
      </c>
      <c r="E66" s="404" t="b">
        <v>1</v>
      </c>
      <c r="F66" s="403" t="b">
        <v>1</v>
      </c>
      <c r="G66" s="410" t="b">
        <v>1</v>
      </c>
      <c r="H66" s="410" t="b">
        <v>1</v>
      </c>
      <c r="I66" s="410" t="b">
        <v>1</v>
      </c>
      <c r="J66" s="410" t="b">
        <v>1</v>
      </c>
      <c r="K66" s="410" t="b">
        <v>1</v>
      </c>
      <c r="L66" s="410" t="b">
        <v>1</v>
      </c>
      <c r="M66" s="410" t="b">
        <v>1</v>
      </c>
      <c r="N66" s="410" t="b">
        <v>1</v>
      </c>
      <c r="O66" s="410" t="b">
        <v>1</v>
      </c>
      <c r="P66" s="410" t="b">
        <v>1</v>
      </c>
      <c r="Q66" s="410" t="b">
        <v>1</v>
      </c>
      <c r="R66" s="410" t="b">
        <v>1</v>
      </c>
      <c r="S66" s="410" t="b">
        <v>1</v>
      </c>
      <c r="T66" s="410" t="b">
        <v>1</v>
      </c>
      <c r="U66" s="410" t="b">
        <v>1</v>
      </c>
      <c r="V66" s="411"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395"/>
      <c r="C67" s="401" t="s">
        <v>209</v>
      </c>
      <c r="D67" s="403" t="b">
        <v>1</v>
      </c>
      <c r="E67" s="404" t="b">
        <v>1</v>
      </c>
      <c r="F67" s="403" t="b">
        <v>1</v>
      </c>
      <c r="G67" s="410" t="b">
        <v>1</v>
      </c>
      <c r="H67" s="410" t="b">
        <v>1</v>
      </c>
      <c r="I67" s="410" t="b">
        <v>1</v>
      </c>
      <c r="J67" s="410" t="b">
        <v>1</v>
      </c>
      <c r="K67" s="410" t="b">
        <v>1</v>
      </c>
      <c r="L67" s="410" t="b">
        <v>1</v>
      </c>
      <c r="M67" s="410" t="b">
        <v>1</v>
      </c>
      <c r="N67" s="410" t="b">
        <v>1</v>
      </c>
      <c r="O67" s="410" t="b">
        <v>1</v>
      </c>
      <c r="P67" s="410" t="b">
        <v>1</v>
      </c>
      <c r="Q67" s="410" t="b">
        <v>1</v>
      </c>
      <c r="R67" s="410" t="b">
        <v>1</v>
      </c>
      <c r="S67" s="410" t="b">
        <v>1</v>
      </c>
      <c r="T67" s="410" t="b">
        <v>1</v>
      </c>
      <c r="U67" s="410" t="b">
        <v>1</v>
      </c>
      <c r="V67" s="411"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395"/>
      <c r="C68" s="401" t="s">
        <v>210</v>
      </c>
      <c r="D68" s="403" t="b">
        <v>1</v>
      </c>
      <c r="E68" s="404" t="b">
        <v>1</v>
      </c>
      <c r="F68" s="403" t="b">
        <v>1</v>
      </c>
      <c r="G68" s="410" t="b">
        <v>1</v>
      </c>
      <c r="H68" s="410" t="b">
        <v>1</v>
      </c>
      <c r="I68" s="410" t="b">
        <v>1</v>
      </c>
      <c r="J68" s="410" t="b">
        <v>1</v>
      </c>
      <c r="K68" s="410" t="b">
        <v>1</v>
      </c>
      <c r="L68" s="410" t="b">
        <v>1</v>
      </c>
      <c r="M68" s="410" t="b">
        <v>1</v>
      </c>
      <c r="N68" s="410" t="b">
        <v>1</v>
      </c>
      <c r="O68" s="410" t="b">
        <v>1</v>
      </c>
      <c r="P68" s="410" t="b">
        <v>1</v>
      </c>
      <c r="Q68" s="410" t="b">
        <v>1</v>
      </c>
      <c r="R68" s="410" t="b">
        <v>1</v>
      </c>
      <c r="S68" s="410" t="b">
        <v>1</v>
      </c>
      <c r="T68" s="410" t="b">
        <v>1</v>
      </c>
      <c r="U68" s="410" t="b">
        <v>1</v>
      </c>
      <c r="V68" s="411"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395"/>
      <c r="C69" s="399" t="s">
        <v>211</v>
      </c>
      <c r="D69" s="403" t="b">
        <v>0</v>
      </c>
      <c r="E69" s="404" t="b">
        <v>0</v>
      </c>
      <c r="F69" s="403" t="b">
        <v>0</v>
      </c>
      <c r="G69" s="410" t="b">
        <v>1</v>
      </c>
      <c r="H69" s="410" t="b">
        <v>1</v>
      </c>
      <c r="I69" s="410" t="b">
        <v>1</v>
      </c>
      <c r="J69" s="410" t="b">
        <v>1</v>
      </c>
      <c r="K69" s="410" t="b">
        <v>1</v>
      </c>
      <c r="L69" s="410" t="b">
        <v>1</v>
      </c>
      <c r="M69" s="410" t="b">
        <v>1</v>
      </c>
      <c r="N69" s="410" t="b">
        <v>1</v>
      </c>
      <c r="O69" s="410" t="b">
        <v>1</v>
      </c>
      <c r="P69" s="410" t="b">
        <v>1</v>
      </c>
      <c r="Q69" s="410" t="b">
        <v>1</v>
      </c>
      <c r="R69" s="410" t="b">
        <v>1</v>
      </c>
      <c r="S69" s="410" t="b">
        <v>1</v>
      </c>
      <c r="T69" s="410" t="b">
        <v>1</v>
      </c>
      <c r="U69" s="410" t="b">
        <v>1</v>
      </c>
      <c r="V69" s="411"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396"/>
      <c r="C70" s="401" t="s">
        <v>212</v>
      </c>
      <c r="D70" s="412" t="b">
        <v>1</v>
      </c>
      <c r="E70" s="410" t="b">
        <v>1</v>
      </c>
      <c r="F70" s="413" t="b">
        <v>1</v>
      </c>
      <c r="G70" s="410" t="b">
        <v>1</v>
      </c>
      <c r="H70" s="410" t="b">
        <v>1</v>
      </c>
      <c r="I70" s="410" t="b">
        <v>1</v>
      </c>
      <c r="J70" s="410" t="b">
        <v>1</v>
      </c>
      <c r="K70" s="410" t="b">
        <v>1</v>
      </c>
      <c r="L70" s="410" t="b">
        <v>1</v>
      </c>
      <c r="M70" s="410" t="b">
        <v>1</v>
      </c>
      <c r="N70" s="410" t="b">
        <v>1</v>
      </c>
      <c r="O70" s="410" t="b">
        <v>1</v>
      </c>
      <c r="P70" s="410" t="b">
        <v>1</v>
      </c>
      <c r="Q70" s="410" t="b">
        <v>1</v>
      </c>
      <c r="R70" s="410" t="b">
        <v>1</v>
      </c>
      <c r="S70" s="410" t="b">
        <v>1</v>
      </c>
      <c r="T70" s="410" t="b">
        <v>1</v>
      </c>
      <c r="U70" s="410" t="b">
        <v>1</v>
      </c>
      <c r="V70" s="411"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397"/>
      <c r="C71" s="401" t="s">
        <v>213</v>
      </c>
      <c r="D71" s="410" t="b">
        <v>1</v>
      </c>
      <c r="E71" s="410" t="b">
        <v>1</v>
      </c>
      <c r="F71" s="410" t="b">
        <v>1</v>
      </c>
      <c r="G71" s="410" t="b">
        <v>1</v>
      </c>
      <c r="H71" s="410" t="b">
        <v>1</v>
      </c>
      <c r="I71" s="410" t="b">
        <v>1</v>
      </c>
      <c r="J71" s="410" t="b">
        <v>1</v>
      </c>
      <c r="K71" s="410" t="b">
        <v>1</v>
      </c>
      <c r="L71" s="410" t="b">
        <v>1</v>
      </c>
      <c r="M71" s="410" t="b">
        <v>1</v>
      </c>
      <c r="N71" s="410" t="b">
        <v>1</v>
      </c>
      <c r="O71" s="410" t="b">
        <v>1</v>
      </c>
      <c r="P71" s="410" t="b">
        <v>1</v>
      </c>
      <c r="Q71" s="410" t="b">
        <v>1</v>
      </c>
      <c r="R71" s="410" t="b">
        <v>1</v>
      </c>
      <c r="S71" s="410" t="b">
        <v>1</v>
      </c>
      <c r="T71" s="410" t="b">
        <v>1</v>
      </c>
      <c r="U71" s="410" t="b">
        <v>1</v>
      </c>
      <c r="V71" s="411"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397"/>
      <c r="C72" s="401" t="s">
        <v>214</v>
      </c>
      <c r="D72" s="410" t="b">
        <v>1</v>
      </c>
      <c r="E72" s="410" t="b">
        <v>1</v>
      </c>
      <c r="F72" s="410" t="b">
        <v>1</v>
      </c>
      <c r="G72" s="410" t="b">
        <v>1</v>
      </c>
      <c r="H72" s="410" t="b">
        <v>1</v>
      </c>
      <c r="I72" s="410" t="b">
        <v>1</v>
      </c>
      <c r="J72" s="410" t="b">
        <v>1</v>
      </c>
      <c r="K72" s="410" t="b">
        <v>1</v>
      </c>
      <c r="L72" s="410" t="b">
        <v>1</v>
      </c>
      <c r="M72" s="410" t="b">
        <v>1</v>
      </c>
      <c r="N72" s="410" t="b">
        <v>1</v>
      </c>
      <c r="O72" s="410" t="b">
        <v>1</v>
      </c>
      <c r="P72" s="410" t="b">
        <v>1</v>
      </c>
      <c r="Q72" s="410" t="b">
        <v>1</v>
      </c>
      <c r="R72" s="410" t="b">
        <v>1</v>
      </c>
      <c r="S72" s="410" t="b">
        <v>1</v>
      </c>
      <c r="T72" s="410" t="b">
        <v>1</v>
      </c>
      <c r="U72" s="410" t="b">
        <v>1</v>
      </c>
      <c r="V72" s="411"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397"/>
      <c r="C73" s="399" t="s">
        <v>215</v>
      </c>
      <c r="D73" s="410" t="b">
        <v>0</v>
      </c>
      <c r="E73" s="410" t="b">
        <v>0</v>
      </c>
      <c r="F73" s="410" t="b">
        <v>0</v>
      </c>
      <c r="G73" s="410" t="b">
        <v>1</v>
      </c>
      <c r="H73" s="410" t="b">
        <v>1</v>
      </c>
      <c r="I73" s="410" t="b">
        <v>1</v>
      </c>
      <c r="J73" s="410" t="b">
        <v>1</v>
      </c>
      <c r="K73" s="410" t="b">
        <v>1</v>
      </c>
      <c r="L73" s="410" t="b">
        <v>1</v>
      </c>
      <c r="M73" s="410" t="b">
        <v>1</v>
      </c>
      <c r="N73" s="410" t="b">
        <v>1</v>
      </c>
      <c r="O73" s="410" t="b">
        <v>1</v>
      </c>
      <c r="P73" s="410" t="b">
        <v>1</v>
      </c>
      <c r="Q73" s="410" t="b">
        <v>1</v>
      </c>
      <c r="R73" s="410" t="b">
        <v>1</v>
      </c>
      <c r="S73" s="410" t="b">
        <v>1</v>
      </c>
      <c r="T73" s="410" t="b">
        <v>1</v>
      </c>
      <c r="U73" s="410" t="b">
        <v>1</v>
      </c>
      <c r="V73" s="411"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397"/>
      <c r="C74" s="399" t="s">
        <v>216</v>
      </c>
      <c r="D74" s="410" t="b">
        <v>0</v>
      </c>
      <c r="E74" s="410" t="b">
        <v>0</v>
      </c>
      <c r="F74" s="410" t="b">
        <v>0</v>
      </c>
      <c r="G74" s="410" t="b">
        <v>1</v>
      </c>
      <c r="H74" s="410" t="b">
        <v>1</v>
      </c>
      <c r="I74" s="410" t="b">
        <v>1</v>
      </c>
      <c r="J74" s="410" t="b">
        <v>1</v>
      </c>
      <c r="K74" s="410" t="b">
        <v>1</v>
      </c>
      <c r="L74" s="410" t="b">
        <v>1</v>
      </c>
      <c r="M74" s="410" t="b">
        <v>1</v>
      </c>
      <c r="N74" s="410" t="b">
        <v>1</v>
      </c>
      <c r="O74" s="410" t="b">
        <v>1</v>
      </c>
      <c r="P74" s="410" t="b">
        <v>1</v>
      </c>
      <c r="Q74" s="410" t="b">
        <v>1</v>
      </c>
      <c r="R74" s="410" t="b">
        <v>1</v>
      </c>
      <c r="S74" s="410" t="b">
        <v>1</v>
      </c>
      <c r="T74" s="410" t="b">
        <v>1</v>
      </c>
      <c r="U74" s="410" t="b">
        <v>1</v>
      </c>
      <c r="V74" s="411"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397"/>
      <c r="C75" s="399" t="s">
        <v>217</v>
      </c>
      <c r="D75" s="410" t="b">
        <v>0</v>
      </c>
      <c r="E75" s="410" t="b">
        <v>0</v>
      </c>
      <c r="F75" s="410" t="b">
        <v>0</v>
      </c>
      <c r="G75" s="410" t="b">
        <v>1</v>
      </c>
      <c r="H75" s="410" t="b">
        <v>1</v>
      </c>
      <c r="I75" s="410" t="b">
        <v>1</v>
      </c>
      <c r="J75" s="410" t="b">
        <v>1</v>
      </c>
      <c r="K75" s="410" t="b">
        <v>1</v>
      </c>
      <c r="L75" s="410" t="b">
        <v>1</v>
      </c>
      <c r="M75" s="410" t="b">
        <v>1</v>
      </c>
      <c r="N75" s="410" t="b">
        <v>1</v>
      </c>
      <c r="O75" s="410" t="b">
        <v>1</v>
      </c>
      <c r="P75" s="410" t="b">
        <v>1</v>
      </c>
      <c r="Q75" s="410" t="b">
        <v>1</v>
      </c>
      <c r="R75" s="410" t="b">
        <v>1</v>
      </c>
      <c r="S75" s="410" t="b">
        <v>1</v>
      </c>
      <c r="T75" s="410" t="b">
        <v>1</v>
      </c>
      <c r="U75" s="410" t="b">
        <v>1</v>
      </c>
      <c r="V75" s="411"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397"/>
      <c r="C76" s="401" t="s">
        <v>218</v>
      </c>
      <c r="D76" s="410" t="b">
        <v>1</v>
      </c>
      <c r="E76" s="410" t="b">
        <v>1</v>
      </c>
      <c r="F76" s="410" t="b">
        <v>1</v>
      </c>
      <c r="G76" s="410" t="b">
        <v>1</v>
      </c>
      <c r="H76" s="410" t="b">
        <v>1</v>
      </c>
      <c r="I76" s="410" t="b">
        <v>1</v>
      </c>
      <c r="J76" s="410" t="b">
        <v>1</v>
      </c>
      <c r="K76" s="410" t="b">
        <v>1</v>
      </c>
      <c r="L76" s="410" t="b">
        <v>1</v>
      </c>
      <c r="M76" s="410" t="b">
        <v>1</v>
      </c>
      <c r="N76" s="410" t="b">
        <v>1</v>
      </c>
      <c r="O76" s="410" t="b">
        <v>1</v>
      </c>
      <c r="P76" s="410" t="b">
        <v>1</v>
      </c>
      <c r="Q76" s="410" t="b">
        <v>1</v>
      </c>
      <c r="R76" s="410" t="b">
        <v>1</v>
      </c>
      <c r="S76" s="410" t="b">
        <v>1</v>
      </c>
      <c r="T76" s="410" t="b">
        <v>1</v>
      </c>
      <c r="U76" s="410" t="b">
        <v>1</v>
      </c>
      <c r="V76" s="411"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97"/>
      <c r="C77" s="401" t="s">
        <v>219</v>
      </c>
      <c r="D77" s="410" t="b">
        <v>1</v>
      </c>
      <c r="E77" s="410" t="b">
        <v>1</v>
      </c>
      <c r="F77" s="410" t="b">
        <v>1</v>
      </c>
      <c r="G77" s="410" t="b">
        <v>1</v>
      </c>
      <c r="H77" s="410" t="b">
        <v>1</v>
      </c>
      <c r="I77" s="410" t="b">
        <v>1</v>
      </c>
      <c r="J77" s="410" t="b">
        <v>1</v>
      </c>
      <c r="K77" s="410" t="b">
        <v>1</v>
      </c>
      <c r="L77" s="410" t="b">
        <v>1</v>
      </c>
      <c r="M77" s="410" t="b">
        <v>1</v>
      </c>
      <c r="N77" s="410" t="b">
        <v>1</v>
      </c>
      <c r="O77" s="410" t="b">
        <v>1</v>
      </c>
      <c r="P77" s="410" t="b">
        <v>1</v>
      </c>
      <c r="Q77" s="410" t="b">
        <v>1</v>
      </c>
      <c r="R77" s="410" t="b">
        <v>1</v>
      </c>
      <c r="S77" s="410" t="b">
        <v>1</v>
      </c>
      <c r="T77" s="410" t="b">
        <v>1</v>
      </c>
      <c r="U77" s="410" t="b">
        <v>1</v>
      </c>
      <c r="V77" s="411"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97"/>
      <c r="C78" s="399" t="s">
        <v>220</v>
      </c>
      <c r="D78" s="410" t="b">
        <v>0</v>
      </c>
      <c r="E78" s="410" t="b">
        <v>0</v>
      </c>
      <c r="F78" s="410" t="b">
        <v>0</v>
      </c>
      <c r="G78" s="410" t="b">
        <v>1</v>
      </c>
      <c r="H78" s="410" t="b">
        <v>1</v>
      </c>
      <c r="I78" s="410" t="b">
        <v>1</v>
      </c>
      <c r="J78" s="410" t="b">
        <v>1</v>
      </c>
      <c r="K78" s="410" t="b">
        <v>1</v>
      </c>
      <c r="L78" s="410" t="b">
        <v>1</v>
      </c>
      <c r="M78" s="410" t="b">
        <v>1</v>
      </c>
      <c r="N78" s="410" t="b">
        <v>1</v>
      </c>
      <c r="O78" s="410" t="b">
        <v>1</v>
      </c>
      <c r="P78" s="410" t="b">
        <v>1</v>
      </c>
      <c r="Q78" s="410" t="b">
        <v>1</v>
      </c>
      <c r="R78" s="410" t="b">
        <v>1</v>
      </c>
      <c r="S78" s="410" t="b">
        <v>1</v>
      </c>
      <c r="T78" s="410" t="b">
        <v>1</v>
      </c>
      <c r="U78" s="410" t="b">
        <v>1</v>
      </c>
      <c r="V78" s="411"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98"/>
      <c r="C79" s="401" t="s">
        <v>221</v>
      </c>
      <c r="D79" s="410" t="b">
        <v>1</v>
      </c>
      <c r="E79" s="410" t="b">
        <v>1</v>
      </c>
      <c r="F79" s="410" t="b">
        <v>1</v>
      </c>
      <c r="G79" s="410" t="b">
        <v>1</v>
      </c>
      <c r="H79" s="410" t="b">
        <v>1</v>
      </c>
      <c r="I79" s="410" t="b">
        <v>1</v>
      </c>
      <c r="J79" s="410" t="b">
        <v>1</v>
      </c>
      <c r="K79" s="410" t="b">
        <v>1</v>
      </c>
      <c r="L79" s="410" t="b">
        <v>1</v>
      </c>
      <c r="M79" s="410" t="b">
        <v>1</v>
      </c>
      <c r="N79" s="410" t="b">
        <v>1</v>
      </c>
      <c r="O79" s="410" t="b">
        <v>1</v>
      </c>
      <c r="P79" s="410" t="b">
        <v>1</v>
      </c>
      <c r="Q79" s="410" t="b">
        <v>1</v>
      </c>
      <c r="R79" s="410" t="b">
        <v>1</v>
      </c>
      <c r="S79" s="410" t="b">
        <v>1</v>
      </c>
      <c r="T79" s="410" t="b">
        <v>1</v>
      </c>
      <c r="U79" s="410" t="b">
        <v>1</v>
      </c>
      <c r="V79" s="411"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98"/>
      <c r="C80" s="399" t="s">
        <v>222</v>
      </c>
      <c r="D80" s="410" t="b">
        <v>0</v>
      </c>
      <c r="E80" s="410" t="b">
        <v>0</v>
      </c>
      <c r="F80" s="410" t="b">
        <v>0</v>
      </c>
      <c r="G80" s="410" t="b">
        <v>1</v>
      </c>
      <c r="H80" s="410" t="b">
        <v>1</v>
      </c>
      <c r="I80" s="410" t="b">
        <v>1</v>
      </c>
      <c r="J80" s="410" t="b">
        <v>1</v>
      </c>
      <c r="K80" s="410" t="b">
        <v>1</v>
      </c>
      <c r="L80" s="410" t="b">
        <v>1</v>
      </c>
      <c r="M80" s="410" t="b">
        <v>1</v>
      </c>
      <c r="N80" s="410" t="b">
        <v>1</v>
      </c>
      <c r="O80" s="410" t="b">
        <v>1</v>
      </c>
      <c r="P80" s="410" t="b">
        <v>1</v>
      </c>
      <c r="Q80" s="410" t="b">
        <v>1</v>
      </c>
      <c r="R80" s="410" t="b">
        <v>1</v>
      </c>
      <c r="S80" s="410" t="b">
        <v>1</v>
      </c>
      <c r="T80" s="410" t="b">
        <v>1</v>
      </c>
      <c r="U80" s="410" t="b">
        <v>1</v>
      </c>
      <c r="V80" s="411"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98"/>
      <c r="C81" s="399" t="s">
        <v>223</v>
      </c>
      <c r="D81" s="410" t="b">
        <v>0</v>
      </c>
      <c r="E81" s="410" t="b">
        <v>0</v>
      </c>
      <c r="F81" s="410" t="b">
        <v>0</v>
      </c>
      <c r="G81" s="410" t="b">
        <v>1</v>
      </c>
      <c r="H81" s="410" t="b">
        <v>1</v>
      </c>
      <c r="I81" s="410" t="b">
        <v>1</v>
      </c>
      <c r="J81" s="410" t="b">
        <v>1</v>
      </c>
      <c r="K81" s="410" t="b">
        <v>1</v>
      </c>
      <c r="L81" s="410" t="b">
        <v>1</v>
      </c>
      <c r="M81" s="410" t="b">
        <v>1</v>
      </c>
      <c r="N81" s="410" t="b">
        <v>1</v>
      </c>
      <c r="O81" s="410" t="b">
        <v>1</v>
      </c>
      <c r="P81" s="410" t="b">
        <v>1</v>
      </c>
      <c r="Q81" s="410" t="b">
        <v>1</v>
      </c>
      <c r="R81" s="410" t="b">
        <v>1</v>
      </c>
      <c r="S81" s="410" t="b">
        <v>1</v>
      </c>
      <c r="T81" s="410" t="b">
        <v>1</v>
      </c>
      <c r="U81" s="410" t="b">
        <v>1</v>
      </c>
      <c r="V81" s="411"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98"/>
      <c r="C82" s="399" t="s">
        <v>224</v>
      </c>
      <c r="D82" s="410" t="b">
        <v>0</v>
      </c>
      <c r="E82" s="410" t="b">
        <v>0</v>
      </c>
      <c r="F82" s="410" t="b">
        <v>0</v>
      </c>
      <c r="G82" s="410" t="b">
        <v>1</v>
      </c>
      <c r="H82" s="410" t="b">
        <v>1</v>
      </c>
      <c r="I82" s="410" t="b">
        <v>1</v>
      </c>
      <c r="J82" s="410" t="b">
        <v>1</v>
      </c>
      <c r="K82" s="410" t="b">
        <v>1</v>
      </c>
      <c r="L82" s="410" t="b">
        <v>1</v>
      </c>
      <c r="M82" s="410" t="b">
        <v>1</v>
      </c>
      <c r="N82" s="410" t="b">
        <v>1</v>
      </c>
      <c r="O82" s="410" t="b">
        <v>1</v>
      </c>
      <c r="P82" s="410" t="b">
        <v>1</v>
      </c>
      <c r="Q82" s="410" t="b">
        <v>1</v>
      </c>
      <c r="R82" s="410" t="b">
        <v>1</v>
      </c>
      <c r="S82" s="410" t="b">
        <v>1</v>
      </c>
      <c r="T82" s="410" t="b">
        <v>1</v>
      </c>
      <c r="U82" s="410" t="b">
        <v>1</v>
      </c>
      <c r="V82" s="411"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98"/>
      <c r="C83" s="400" t="s">
        <v>225</v>
      </c>
      <c r="D83" s="414" t="b">
        <v>0</v>
      </c>
      <c r="E83" s="414" t="b">
        <v>0</v>
      </c>
      <c r="F83" s="414" t="b">
        <v>0</v>
      </c>
      <c r="G83" s="414" t="b">
        <v>1</v>
      </c>
      <c r="H83" s="414" t="b">
        <v>1</v>
      </c>
      <c r="I83" s="414" t="b">
        <v>1</v>
      </c>
      <c r="J83" s="414" t="b">
        <v>1</v>
      </c>
      <c r="K83" s="414" t="b">
        <v>1</v>
      </c>
      <c r="L83" s="414" t="b">
        <v>1</v>
      </c>
      <c r="M83" s="414" t="b">
        <v>1</v>
      </c>
      <c r="N83" s="414" t="b">
        <v>1</v>
      </c>
      <c r="O83" s="414" t="b">
        <v>1</v>
      </c>
      <c r="P83" s="414" t="b">
        <v>1</v>
      </c>
      <c r="Q83" s="414" t="b">
        <v>1</v>
      </c>
      <c r="R83" s="414" t="b">
        <v>1</v>
      </c>
      <c r="S83" s="414" t="b">
        <v>1</v>
      </c>
      <c r="T83" s="414" t="b">
        <v>1</v>
      </c>
      <c r="U83" s="414" t="b">
        <v>1</v>
      </c>
      <c r="V83" s="415"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98"/>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98"/>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98"/>
      <c r="C86" s="31" t="s">
        <v>305</v>
      </c>
      <c r="D86" s="425"/>
      <c r="E86" s="425"/>
      <c r="F86" s="425"/>
      <c r="G86" s="35"/>
      <c r="H86" s="35"/>
      <c r="I86" s="35"/>
      <c r="J86" s="31" t="s">
        <v>319</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 customHeight="1" thickBot="1">
      <c r="A87" s="21"/>
      <c r="B87" s="135"/>
      <c r="C87" s="429" t="s">
        <v>301</v>
      </c>
      <c r="D87" s="430" t="s">
        <v>306</v>
      </c>
      <c r="E87" s="430" t="s">
        <v>307</v>
      </c>
      <c r="F87" s="430" t="s">
        <v>308</v>
      </c>
      <c r="G87" s="35"/>
      <c r="H87" s="35"/>
      <c r="I87" s="243"/>
      <c r="J87" s="444"/>
      <c r="K87" s="445" t="s">
        <v>120</v>
      </c>
      <c r="L87" s="446" t="s">
        <v>317</v>
      </c>
      <c r="M87" s="443"/>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146"/>
      <c r="B88" s="420"/>
      <c r="C88" s="426" t="s">
        <v>177</v>
      </c>
      <c r="D88" s="427">
        <v>0.18</v>
      </c>
      <c r="E88" s="427">
        <v>0.15</v>
      </c>
      <c r="F88" s="428">
        <v>0.17</v>
      </c>
      <c r="G88" s="35"/>
      <c r="H88" s="35"/>
      <c r="I88" s="243"/>
      <c r="J88" s="442" t="s">
        <v>309</v>
      </c>
      <c r="K88" s="433">
        <v>0.2</v>
      </c>
      <c r="L88" s="436">
        <v>0.05</v>
      </c>
      <c r="M88" s="439"/>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146"/>
      <c r="B89" s="420"/>
      <c r="C89" s="418" t="s">
        <v>176</v>
      </c>
      <c r="D89" s="421">
        <v>0.11</v>
      </c>
      <c r="E89" s="421">
        <v>0.11</v>
      </c>
      <c r="F89" s="422">
        <v>0.06</v>
      </c>
      <c r="G89" s="35"/>
      <c r="H89" s="35"/>
      <c r="I89" s="243"/>
      <c r="J89" s="431" t="s">
        <v>310</v>
      </c>
      <c r="K89" s="434">
        <v>0</v>
      </c>
      <c r="L89" s="437">
        <v>0.2</v>
      </c>
      <c r="M89" s="439"/>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146"/>
      <c r="B90" s="420"/>
      <c r="C90" s="418" t="s">
        <v>179</v>
      </c>
      <c r="D90" s="421">
        <v>0.09</v>
      </c>
      <c r="E90" s="421">
        <v>0.08</v>
      </c>
      <c r="F90" s="422">
        <v>0.06</v>
      </c>
      <c r="G90" s="35"/>
      <c r="H90" s="35"/>
      <c r="I90" s="243"/>
      <c r="J90" s="431" t="s">
        <v>311</v>
      </c>
      <c r="K90" s="434">
        <v>0.2</v>
      </c>
      <c r="L90" s="437">
        <v>0.05</v>
      </c>
      <c r="M90" s="439"/>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146"/>
      <c r="B91" s="420"/>
      <c r="C91" s="418" t="s">
        <v>178</v>
      </c>
      <c r="D91" s="421">
        <v>0.11</v>
      </c>
      <c r="E91" s="421">
        <v>0.1</v>
      </c>
      <c r="F91" s="422">
        <v>7.0000000000000007E-2</v>
      </c>
      <c r="G91" s="35"/>
      <c r="H91" s="35"/>
      <c r="I91" s="243"/>
      <c r="J91" s="431" t="s">
        <v>312</v>
      </c>
      <c r="K91" s="434">
        <v>0.2</v>
      </c>
      <c r="L91" s="437">
        <v>0.05</v>
      </c>
      <c r="M91" s="439"/>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146"/>
      <c r="B92" s="420"/>
      <c r="C92" s="418" t="s">
        <v>180</v>
      </c>
      <c r="D92" s="421">
        <v>0.15</v>
      </c>
      <c r="E92" s="421">
        <v>0.13</v>
      </c>
      <c r="F92" s="422">
        <v>0.1</v>
      </c>
      <c r="G92" s="35"/>
      <c r="H92" s="35"/>
      <c r="I92" s="243"/>
      <c r="J92" s="431" t="s">
        <v>313</v>
      </c>
      <c r="K92" s="434">
        <v>0.15</v>
      </c>
      <c r="L92" s="437">
        <v>0.1</v>
      </c>
      <c r="M92" s="439"/>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146"/>
      <c r="B93" s="420"/>
      <c r="C93" s="418" t="s">
        <v>181</v>
      </c>
      <c r="D93" s="421">
        <v>0.11</v>
      </c>
      <c r="E93" s="421">
        <v>0.09</v>
      </c>
      <c r="F93" s="422">
        <v>7.0000000000000007E-2</v>
      </c>
      <c r="G93" s="35"/>
      <c r="H93" s="35"/>
      <c r="I93" s="243"/>
      <c r="J93" s="431" t="s">
        <v>314</v>
      </c>
      <c r="K93" s="434">
        <v>0</v>
      </c>
      <c r="L93" s="437">
        <v>0.3</v>
      </c>
      <c r="M93" s="439"/>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146"/>
      <c r="B94" s="420"/>
      <c r="C94" s="418" t="s">
        <v>182</v>
      </c>
      <c r="D94" s="421">
        <v>0.17</v>
      </c>
      <c r="E94" s="421">
        <v>0.15</v>
      </c>
      <c r="F94" s="422">
        <v>0.13</v>
      </c>
      <c r="G94" s="35"/>
      <c r="H94" s="35"/>
      <c r="I94" s="243"/>
      <c r="J94" s="431" t="s">
        <v>315</v>
      </c>
      <c r="K94" s="434">
        <v>0.2</v>
      </c>
      <c r="L94" s="437">
        <v>0.05</v>
      </c>
      <c r="M94" s="439"/>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146"/>
      <c r="B95" s="420"/>
      <c r="C95" s="418" t="s">
        <v>11</v>
      </c>
      <c r="D95" s="421">
        <v>0.12</v>
      </c>
      <c r="E95" s="421">
        <v>0.12</v>
      </c>
      <c r="F95" s="422">
        <v>0.05</v>
      </c>
      <c r="G95" s="35"/>
      <c r="H95" s="35"/>
      <c r="I95" s="243"/>
      <c r="J95" s="431" t="s">
        <v>316</v>
      </c>
      <c r="K95" s="434">
        <v>0</v>
      </c>
      <c r="L95" s="437">
        <v>0.15</v>
      </c>
      <c r="M95" s="439"/>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146"/>
      <c r="B96" s="420"/>
      <c r="C96" s="418" t="s">
        <v>183</v>
      </c>
      <c r="D96" s="421">
        <v>0.14000000000000001</v>
      </c>
      <c r="E96" s="421">
        <v>0.1</v>
      </c>
      <c r="F96" s="422">
        <v>0.08</v>
      </c>
      <c r="G96" s="35"/>
      <c r="H96" s="35"/>
      <c r="I96" s="243"/>
      <c r="J96" s="432" t="s">
        <v>320</v>
      </c>
      <c r="K96" s="435">
        <v>0.05</v>
      </c>
      <c r="L96" s="438">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146"/>
      <c r="B97" s="420"/>
      <c r="C97" s="418" t="s">
        <v>184</v>
      </c>
      <c r="D97" s="421">
        <v>0.11</v>
      </c>
      <c r="E97" s="421">
        <v>0.1</v>
      </c>
      <c r="F97" s="422">
        <v>0.08</v>
      </c>
      <c r="G97" s="35"/>
      <c r="H97" s="35"/>
      <c r="I97" s="243"/>
      <c r="J97" s="441" t="s">
        <v>318</v>
      </c>
      <c r="K97" s="440">
        <f>SUM(K88:K96)</f>
        <v>1.0000000000000002</v>
      </c>
      <c r="L97" s="440">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146"/>
      <c r="B98" s="420"/>
      <c r="C98" s="418" t="s">
        <v>185</v>
      </c>
      <c r="D98" s="421">
        <v>0.11</v>
      </c>
      <c r="E98" s="421">
        <v>0.1</v>
      </c>
      <c r="F98" s="422">
        <v>0.06</v>
      </c>
      <c r="G98" s="35"/>
      <c r="H98" s="35"/>
      <c r="I98" s="243"/>
      <c r="J98" s="243"/>
      <c r="K98" s="243"/>
      <c r="L98" s="243"/>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146"/>
      <c r="B99" s="420"/>
      <c r="C99" s="418" t="s">
        <v>186</v>
      </c>
      <c r="D99" s="421">
        <v>0.37</v>
      </c>
      <c r="E99" s="421">
        <v>0.35</v>
      </c>
      <c r="F99" s="422">
        <v>0.31</v>
      </c>
      <c r="G99" s="35"/>
      <c r="H99" s="35"/>
      <c r="I99" s="243"/>
      <c r="J99" s="243"/>
      <c r="K99" s="243"/>
      <c r="L99" s="243"/>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146"/>
      <c r="B100" s="420"/>
      <c r="C100" s="418" t="s">
        <v>190</v>
      </c>
      <c r="D100" s="421">
        <v>0.11</v>
      </c>
      <c r="E100" s="421">
        <v>0.08</v>
      </c>
      <c r="F100" s="422">
        <v>0.05</v>
      </c>
      <c r="G100" s="35"/>
      <c r="H100" s="35"/>
      <c r="I100" s="243"/>
      <c r="J100" s="243"/>
      <c r="K100" s="243"/>
      <c r="L100" s="243"/>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146"/>
      <c r="B101" s="420"/>
      <c r="C101" s="418" t="s">
        <v>187</v>
      </c>
      <c r="D101" s="421">
        <v>0.09</v>
      </c>
      <c r="E101" s="421">
        <v>7.0000000000000007E-2</v>
      </c>
      <c r="F101" s="422">
        <v>0.05</v>
      </c>
      <c r="G101" s="35"/>
      <c r="H101" s="35"/>
      <c r="I101" s="243"/>
      <c r="J101" s="243"/>
      <c r="K101" s="243"/>
      <c r="L101" s="243"/>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146"/>
      <c r="B102" s="420"/>
      <c r="C102" s="418" t="s">
        <v>188</v>
      </c>
      <c r="D102" s="421">
        <v>0.11</v>
      </c>
      <c r="E102" s="421">
        <v>0.08</v>
      </c>
      <c r="F102" s="422">
        <v>0.06</v>
      </c>
      <c r="G102" s="35"/>
      <c r="H102" s="35"/>
      <c r="I102" s="243"/>
      <c r="J102" s="243"/>
      <c r="K102" s="243"/>
      <c r="L102" s="243"/>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146"/>
      <c r="B103" s="420"/>
      <c r="C103" s="418" t="s">
        <v>189</v>
      </c>
      <c r="D103" s="421">
        <v>0.11</v>
      </c>
      <c r="E103" s="421">
        <v>0.09</v>
      </c>
      <c r="F103" s="422">
        <v>0.06</v>
      </c>
      <c r="G103" s="35"/>
      <c r="H103" s="35"/>
      <c r="I103" s="243"/>
      <c r="J103" s="243"/>
      <c r="K103" s="243"/>
      <c r="L103" s="243"/>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146"/>
      <c r="B104" s="420"/>
      <c r="C104" s="418" t="s">
        <v>191</v>
      </c>
      <c r="D104" s="421">
        <v>0.11</v>
      </c>
      <c r="E104" s="421">
        <v>0.09</v>
      </c>
      <c r="F104" s="422">
        <v>7.0000000000000007E-2</v>
      </c>
      <c r="G104" s="35"/>
      <c r="H104" s="35"/>
      <c r="I104" s="243"/>
      <c r="J104" s="243"/>
      <c r="K104" s="243"/>
      <c r="L104" s="243"/>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146"/>
      <c r="B105" s="420"/>
      <c r="C105" s="418" t="s">
        <v>192</v>
      </c>
      <c r="D105" s="421">
        <v>0.09</v>
      </c>
      <c r="E105" s="421">
        <v>0.09</v>
      </c>
      <c r="F105" s="422">
        <v>0.05</v>
      </c>
      <c r="G105" s="35"/>
      <c r="H105" s="35"/>
      <c r="I105" s="243"/>
      <c r="J105" s="243"/>
      <c r="K105" s="243"/>
      <c r="L105" s="243"/>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146"/>
      <c r="B106" s="420"/>
      <c r="C106" s="418" t="s">
        <v>193</v>
      </c>
      <c r="D106" s="421">
        <v>0.08</v>
      </c>
      <c r="E106" s="421">
        <v>0.08</v>
      </c>
      <c r="F106" s="422">
        <v>0.05</v>
      </c>
      <c r="G106" s="35"/>
      <c r="H106" s="35"/>
      <c r="I106" s="243"/>
      <c r="J106" s="243"/>
      <c r="K106" s="243"/>
      <c r="L106" s="243"/>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146"/>
      <c r="B107" s="420"/>
      <c r="C107" s="418" t="s">
        <v>196</v>
      </c>
      <c r="D107" s="421">
        <v>0.15</v>
      </c>
      <c r="E107" s="421">
        <v>0.14000000000000001</v>
      </c>
      <c r="F107" s="422">
        <v>0.13</v>
      </c>
      <c r="G107" s="35"/>
      <c r="H107" s="35"/>
      <c r="I107" s="243"/>
      <c r="J107" s="243"/>
      <c r="K107" s="243"/>
      <c r="L107" s="243"/>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146"/>
      <c r="B108" s="420"/>
      <c r="C108" s="418" t="s">
        <v>195</v>
      </c>
      <c r="D108" s="421">
        <v>0.13</v>
      </c>
      <c r="E108" s="421">
        <v>0.1</v>
      </c>
      <c r="F108" s="422">
        <v>0.08</v>
      </c>
      <c r="G108" s="35"/>
      <c r="H108" s="35"/>
      <c r="I108" s="243"/>
      <c r="J108" s="243"/>
      <c r="K108" s="243"/>
      <c r="L108" s="243"/>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146"/>
      <c r="B109" s="420"/>
      <c r="C109" s="418" t="s">
        <v>194</v>
      </c>
      <c r="D109" s="421">
        <v>0.15</v>
      </c>
      <c r="E109" s="421">
        <v>0.12</v>
      </c>
      <c r="F109" s="422">
        <v>0.08</v>
      </c>
      <c r="G109" s="35"/>
      <c r="H109" s="35"/>
      <c r="I109" s="243"/>
      <c r="J109" s="243"/>
      <c r="K109" s="243"/>
      <c r="L109" s="243"/>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146"/>
      <c r="B110" s="420"/>
      <c r="C110" s="418" t="s">
        <v>197</v>
      </c>
      <c r="D110" s="421">
        <v>0.14000000000000001</v>
      </c>
      <c r="E110" s="421">
        <v>0.11</v>
      </c>
      <c r="F110" s="422">
        <v>0.08</v>
      </c>
      <c r="G110" s="35"/>
      <c r="H110" s="35"/>
      <c r="I110" s="243"/>
      <c r="J110" s="243"/>
      <c r="K110" s="243"/>
      <c r="L110" s="243"/>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146"/>
      <c r="B111" s="420"/>
      <c r="C111" s="418" t="s">
        <v>198</v>
      </c>
      <c r="D111" s="421">
        <v>0.11</v>
      </c>
      <c r="E111" s="421">
        <v>0.09</v>
      </c>
      <c r="F111" s="422">
        <v>7.0000000000000007E-2</v>
      </c>
      <c r="G111" s="35"/>
      <c r="H111" s="35"/>
      <c r="I111" s="243"/>
      <c r="J111" s="243"/>
      <c r="K111" s="243"/>
      <c r="L111" s="243"/>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146"/>
      <c r="B112" s="420"/>
      <c r="C112" s="418" t="s">
        <v>200</v>
      </c>
      <c r="D112" s="421">
        <v>0.1</v>
      </c>
      <c r="E112" s="421">
        <v>0.08</v>
      </c>
      <c r="F112" s="422">
        <v>0.06</v>
      </c>
      <c r="G112" s="35"/>
      <c r="H112" s="35"/>
      <c r="I112" s="243"/>
      <c r="J112" s="243"/>
      <c r="K112" s="243"/>
      <c r="L112" s="243"/>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146"/>
      <c r="B113" s="420"/>
      <c r="C113" s="418" t="s">
        <v>199</v>
      </c>
      <c r="D113" s="421">
        <v>0.1</v>
      </c>
      <c r="E113" s="421">
        <v>0.09</v>
      </c>
      <c r="F113" s="422">
        <v>0.06</v>
      </c>
      <c r="G113" s="35"/>
      <c r="H113" s="35"/>
      <c r="I113" s="243"/>
      <c r="J113" s="243"/>
      <c r="K113" s="243"/>
      <c r="L113" s="243"/>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146"/>
      <c r="B114" s="420"/>
      <c r="C114" s="418" t="s">
        <v>201</v>
      </c>
      <c r="D114" s="421">
        <v>0.1</v>
      </c>
      <c r="E114" s="421">
        <v>0.09</v>
      </c>
      <c r="F114" s="422">
        <v>0.05</v>
      </c>
      <c r="G114" s="35"/>
      <c r="H114" s="35"/>
      <c r="I114" s="243"/>
      <c r="J114" s="243"/>
      <c r="K114" s="243"/>
      <c r="L114" s="243"/>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146"/>
      <c r="B115" s="420"/>
      <c r="C115" s="418" t="s">
        <v>208</v>
      </c>
      <c r="D115" s="421">
        <v>0.11</v>
      </c>
      <c r="E115" s="421">
        <v>0.09</v>
      </c>
      <c r="F115" s="422">
        <v>0.06</v>
      </c>
      <c r="G115" s="35"/>
      <c r="H115" s="35"/>
      <c r="I115" s="243"/>
      <c r="J115" s="243"/>
      <c r="K115" s="243"/>
      <c r="L115" s="243"/>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146"/>
      <c r="B116" s="420"/>
      <c r="C116" s="418" t="s">
        <v>209</v>
      </c>
      <c r="D116" s="421">
        <v>0.09</v>
      </c>
      <c r="E116" s="421">
        <v>0.08</v>
      </c>
      <c r="F116" s="422">
        <v>7.0000000000000007E-2</v>
      </c>
      <c r="G116" s="35"/>
      <c r="H116" s="35"/>
      <c r="I116" s="243"/>
      <c r="J116" s="243"/>
      <c r="K116" s="243"/>
      <c r="L116" s="243"/>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146"/>
      <c r="B117" s="420"/>
      <c r="C117" s="418" t="s">
        <v>202</v>
      </c>
      <c r="D117" s="421">
        <v>0.1</v>
      </c>
      <c r="E117" s="421">
        <v>0.08</v>
      </c>
      <c r="F117" s="422">
        <v>7.0000000000000007E-2</v>
      </c>
      <c r="G117" s="35"/>
      <c r="H117" s="35"/>
      <c r="I117" s="243"/>
      <c r="J117" s="243"/>
      <c r="K117" s="243"/>
      <c r="L117" s="243"/>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146"/>
      <c r="B118" s="420"/>
      <c r="C118" s="418" t="s">
        <v>204</v>
      </c>
      <c r="D118" s="421">
        <v>0.16</v>
      </c>
      <c r="E118" s="421">
        <v>0.13</v>
      </c>
      <c r="F118" s="422">
        <v>0.12</v>
      </c>
      <c r="G118" s="35"/>
      <c r="H118" s="35"/>
      <c r="I118" s="243"/>
      <c r="J118" s="243"/>
      <c r="K118" s="243"/>
      <c r="L118" s="243"/>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146"/>
      <c r="B119" s="420"/>
      <c r="C119" s="418" t="s">
        <v>205</v>
      </c>
      <c r="D119" s="421">
        <v>0.16</v>
      </c>
      <c r="E119" s="421">
        <v>0.13</v>
      </c>
      <c r="F119" s="422">
        <v>0.11</v>
      </c>
      <c r="G119" s="35"/>
      <c r="H119" s="35"/>
      <c r="I119" s="243"/>
      <c r="J119" s="243"/>
      <c r="K119" s="243"/>
      <c r="L119" s="243"/>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146"/>
      <c r="B120" s="420"/>
      <c r="C120" s="418" t="s">
        <v>206</v>
      </c>
      <c r="D120" s="421">
        <v>0.11</v>
      </c>
      <c r="E120" s="421">
        <v>0.09</v>
      </c>
      <c r="F120" s="422">
        <v>0.06</v>
      </c>
      <c r="G120" s="35"/>
      <c r="H120" s="35"/>
      <c r="I120" s="243"/>
      <c r="J120" s="243"/>
      <c r="K120" s="243"/>
      <c r="L120" s="243"/>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146"/>
      <c r="B121" s="420"/>
      <c r="C121" s="418" t="s">
        <v>203</v>
      </c>
      <c r="D121" s="421">
        <v>0.12</v>
      </c>
      <c r="E121" s="421">
        <v>0.09</v>
      </c>
      <c r="F121" s="422">
        <v>0.06</v>
      </c>
      <c r="G121" s="35"/>
      <c r="H121" s="35"/>
      <c r="I121" s="243"/>
      <c r="J121" s="243"/>
      <c r="K121" s="243"/>
      <c r="L121" s="243"/>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146"/>
      <c r="B122" s="420"/>
      <c r="C122" s="418" t="s">
        <v>207</v>
      </c>
      <c r="D122" s="421">
        <v>0.18</v>
      </c>
      <c r="E122" s="421">
        <v>0.15</v>
      </c>
      <c r="F122" s="422">
        <v>7.0000000000000007E-2</v>
      </c>
      <c r="G122" s="35"/>
      <c r="H122" s="35"/>
      <c r="I122" s="243"/>
      <c r="J122" s="243"/>
      <c r="K122" s="243"/>
      <c r="L122" s="243"/>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146"/>
      <c r="B123" s="420"/>
      <c r="C123" s="418" t="s">
        <v>210</v>
      </c>
      <c r="D123" s="421">
        <v>0.12</v>
      </c>
      <c r="E123" s="421">
        <v>0.09</v>
      </c>
      <c r="F123" s="422">
        <v>0.06</v>
      </c>
      <c r="G123" s="35"/>
      <c r="H123" s="35"/>
      <c r="I123" s="243"/>
      <c r="J123" s="243"/>
      <c r="K123" s="243"/>
      <c r="L123" s="243"/>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146"/>
      <c r="B124" s="420"/>
      <c r="C124" s="418" t="s">
        <v>211</v>
      </c>
      <c r="D124" s="421">
        <v>0.1</v>
      </c>
      <c r="E124" s="421">
        <v>7.0000000000000007E-2</v>
      </c>
      <c r="F124" s="422">
        <v>0.05</v>
      </c>
      <c r="G124" s="35"/>
      <c r="H124" s="35"/>
      <c r="I124" s="243"/>
      <c r="J124" s="243"/>
      <c r="K124" s="243"/>
      <c r="L124" s="243"/>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146"/>
      <c r="B125" s="420"/>
      <c r="C125" s="418" t="s">
        <v>212</v>
      </c>
      <c r="D125" s="421">
        <v>0.1</v>
      </c>
      <c r="E125" s="421">
        <v>0.08</v>
      </c>
      <c r="F125" s="422">
        <v>0.06</v>
      </c>
      <c r="G125" s="35"/>
      <c r="H125" s="35"/>
      <c r="I125" s="243"/>
      <c r="J125" s="243"/>
      <c r="K125" s="243"/>
      <c r="L125" s="243"/>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146"/>
      <c r="B126" s="420"/>
      <c r="C126" s="418" t="s">
        <v>213</v>
      </c>
      <c r="D126" s="421">
        <v>0.13</v>
      </c>
      <c r="E126" s="421">
        <v>0.09</v>
      </c>
      <c r="F126" s="422">
        <v>7.0000000000000007E-2</v>
      </c>
      <c r="G126" s="35"/>
      <c r="H126" s="35"/>
      <c r="I126" s="243"/>
      <c r="J126" s="243"/>
      <c r="K126" s="243"/>
      <c r="L126" s="243"/>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146"/>
      <c r="B127" s="420"/>
      <c r="C127" s="418" t="s">
        <v>214</v>
      </c>
      <c r="D127" s="421">
        <v>0.14000000000000001</v>
      </c>
      <c r="E127" s="421">
        <v>0.12</v>
      </c>
      <c r="F127" s="422">
        <v>0.11</v>
      </c>
      <c r="G127" s="35"/>
      <c r="H127" s="35"/>
      <c r="I127" s="243"/>
      <c r="J127" s="243"/>
      <c r="K127" s="243"/>
      <c r="L127" s="243"/>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146"/>
      <c r="B128" s="420"/>
      <c r="C128" s="418" t="s">
        <v>215</v>
      </c>
      <c r="D128" s="421">
        <v>0.12</v>
      </c>
      <c r="E128" s="421">
        <v>0.1</v>
      </c>
      <c r="F128" s="422">
        <v>0.06</v>
      </c>
      <c r="G128" s="35"/>
      <c r="H128" s="35"/>
      <c r="I128" s="243"/>
      <c r="J128" s="243"/>
      <c r="K128" s="243"/>
      <c r="L128" s="243"/>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146"/>
      <c r="B129" s="420"/>
      <c r="C129" s="418" t="s">
        <v>216</v>
      </c>
      <c r="D129" s="421">
        <v>0.1</v>
      </c>
      <c r="E129" s="421">
        <v>0.08</v>
      </c>
      <c r="F129" s="422">
        <v>7.0000000000000007E-2</v>
      </c>
      <c r="G129" s="35"/>
      <c r="H129" s="35"/>
      <c r="I129" s="243"/>
      <c r="J129" s="243"/>
      <c r="K129" s="243"/>
      <c r="L129" s="243"/>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146"/>
      <c r="B130" s="420"/>
      <c r="C130" s="418" t="s">
        <v>217</v>
      </c>
      <c r="D130" s="421">
        <v>0.1</v>
      </c>
      <c r="E130" s="421">
        <v>0.1</v>
      </c>
      <c r="F130" s="422">
        <v>7.0000000000000007E-2</v>
      </c>
      <c r="G130" s="35"/>
      <c r="H130" s="35"/>
      <c r="I130" s="243"/>
      <c r="J130" s="243"/>
      <c r="K130" s="243"/>
      <c r="L130" s="243"/>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146"/>
      <c r="B131" s="420"/>
      <c r="C131" s="418" t="s">
        <v>218</v>
      </c>
      <c r="D131" s="421">
        <v>0.11</v>
      </c>
      <c r="E131" s="421">
        <v>0.08</v>
      </c>
      <c r="F131" s="422">
        <v>0.06</v>
      </c>
      <c r="G131" s="35"/>
      <c r="H131" s="35"/>
      <c r="I131" s="243"/>
      <c r="J131" s="243"/>
      <c r="K131" s="243"/>
      <c r="L131" s="243"/>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146"/>
      <c r="B132" s="420"/>
      <c r="C132" s="418" t="s">
        <v>219</v>
      </c>
      <c r="D132" s="421">
        <v>0.1</v>
      </c>
      <c r="E132" s="421">
        <v>0.08</v>
      </c>
      <c r="F132" s="422">
        <v>0.06</v>
      </c>
      <c r="G132" s="35"/>
      <c r="H132" s="35"/>
      <c r="I132" s="243"/>
      <c r="J132" s="243"/>
      <c r="K132" s="243"/>
      <c r="L132" s="243"/>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146"/>
      <c r="B133" s="420"/>
      <c r="C133" s="418" t="s">
        <v>221</v>
      </c>
      <c r="D133" s="421">
        <v>0.11</v>
      </c>
      <c r="E133" s="421">
        <v>0.08</v>
      </c>
      <c r="F133" s="422">
        <v>7.0000000000000007E-2</v>
      </c>
      <c r="G133" s="35"/>
      <c r="H133" s="35"/>
      <c r="I133" s="243"/>
      <c r="J133" s="243"/>
      <c r="K133" s="243"/>
      <c r="L133" s="243"/>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146"/>
      <c r="B134" s="420"/>
      <c r="C134" s="418" t="s">
        <v>220</v>
      </c>
      <c r="D134" s="421">
        <v>0.17</v>
      </c>
      <c r="E134" s="421">
        <v>0.14000000000000001</v>
      </c>
      <c r="F134" s="422">
        <v>0.1</v>
      </c>
      <c r="G134" s="35"/>
      <c r="H134" s="35"/>
      <c r="I134" s="243"/>
      <c r="J134" s="243"/>
      <c r="K134" s="243"/>
      <c r="L134" s="243"/>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146"/>
      <c r="B135" s="420"/>
      <c r="C135" s="418" t="s">
        <v>222</v>
      </c>
      <c r="D135" s="421">
        <v>0.09</v>
      </c>
      <c r="E135" s="421">
        <v>0.08</v>
      </c>
      <c r="F135" s="422">
        <v>0.04</v>
      </c>
      <c r="G135" s="35"/>
      <c r="H135" s="35"/>
      <c r="I135" s="243"/>
      <c r="J135" s="243"/>
      <c r="K135" s="243"/>
      <c r="L135" s="243"/>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146"/>
      <c r="B136" s="420"/>
      <c r="C136" s="418" t="s">
        <v>224</v>
      </c>
      <c r="D136" s="421">
        <v>0.13</v>
      </c>
      <c r="E136" s="421">
        <v>0.11</v>
      </c>
      <c r="F136" s="422">
        <v>7.0000000000000007E-2</v>
      </c>
      <c r="G136" s="35"/>
      <c r="H136" s="35"/>
      <c r="I136" s="243"/>
      <c r="J136" s="243"/>
      <c r="K136" s="243"/>
      <c r="L136" s="243"/>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146"/>
      <c r="B137" s="420"/>
      <c r="C137" s="418" t="s">
        <v>223</v>
      </c>
      <c r="D137" s="421">
        <v>0.1</v>
      </c>
      <c r="E137" s="421">
        <v>0.08</v>
      </c>
      <c r="F137" s="422">
        <v>0.06</v>
      </c>
      <c r="G137" s="35"/>
      <c r="H137" s="35"/>
      <c r="I137" s="243"/>
      <c r="J137" s="243"/>
      <c r="K137" s="243"/>
      <c r="L137" s="243"/>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146"/>
      <c r="B138" s="420"/>
      <c r="C138" s="419" t="s">
        <v>225</v>
      </c>
      <c r="D138" s="423">
        <v>0.1</v>
      </c>
      <c r="E138" s="423">
        <v>0.08</v>
      </c>
      <c r="F138" s="424">
        <v>0.06</v>
      </c>
      <c r="G138" s="35"/>
      <c r="H138" s="35"/>
      <c r="I138" s="243"/>
      <c r="J138" s="243"/>
      <c r="K138" s="243"/>
      <c r="L138" s="243"/>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146"/>
      <c r="B139" s="397"/>
      <c r="C139" s="35"/>
      <c r="D139" s="35"/>
      <c r="E139" s="35"/>
      <c r="F139" s="35"/>
      <c r="G139" s="35"/>
      <c r="H139" s="35"/>
      <c r="I139" s="243"/>
      <c r="J139" s="243"/>
      <c r="K139" s="243"/>
      <c r="L139" s="243"/>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98"/>
      <c r="C140" s="35"/>
      <c r="D140" s="35"/>
      <c r="E140" s="35"/>
      <c r="F140" s="35"/>
      <c r="G140" s="35"/>
      <c r="H140" s="35"/>
      <c r="I140" s="243"/>
      <c r="J140" s="243"/>
      <c r="K140" s="243"/>
      <c r="L140" s="243"/>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98"/>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98"/>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98"/>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98"/>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98"/>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98"/>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98"/>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398"/>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398"/>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c r="A246" s="15"/>
      <c r="F246" s="15"/>
      <c r="G246" s="15"/>
      <c r="H246" s="15"/>
      <c r="I246" s="15"/>
      <c r="J246" s="15"/>
      <c r="K246" s="15"/>
      <c r="L246" s="15"/>
      <c r="M246" s="15"/>
      <c r="N246" s="15"/>
      <c r="O246" s="15"/>
      <c r="P246" s="15"/>
      <c r="Q246" s="15"/>
      <c r="R246" s="15"/>
      <c r="S246" s="15"/>
      <c r="T246" s="15"/>
      <c r="U246" s="15"/>
      <c r="V246" s="15"/>
    </row>
    <row r="247" spans="1:81">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abSelected="1" zoomScale="70" zoomScaleNormal="70" zoomScalePageLayoutView="70" workbookViewId="0">
      <selection activeCell="O5" sqref="O5"/>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09"/>
      <c r="B2" s="33"/>
      <c r="C2" s="33"/>
      <c r="D2" s="239" t="s">
        <v>117</v>
      </c>
      <c r="E2" s="109"/>
      <c r="F2" s="109"/>
      <c r="G2" s="109"/>
      <c r="H2" s="109"/>
      <c r="I2" s="33"/>
      <c r="J2" s="33"/>
      <c r="K2" s="30"/>
      <c r="L2" s="33"/>
      <c r="M2" s="239" t="s">
        <v>151</v>
      </c>
      <c r="N2" s="109"/>
      <c r="O2" s="109"/>
      <c r="P2" s="109"/>
      <c r="Q2" s="109"/>
      <c r="R2" s="33"/>
      <c r="S2" s="33"/>
      <c r="T2" s="33"/>
      <c r="U2" s="33"/>
      <c r="V2" s="109"/>
      <c r="W2" s="109"/>
      <c r="X2" s="109"/>
      <c r="Y2" s="109"/>
      <c r="Z2" s="109"/>
      <c r="AA2" s="243"/>
      <c r="AB2" s="243"/>
      <c r="AC2" s="243"/>
      <c r="AD2" s="135"/>
      <c r="AE2" s="241"/>
      <c r="AF2" s="109"/>
      <c r="AG2" s="109"/>
      <c r="AH2" s="109"/>
      <c r="AI2" s="109"/>
      <c r="AJ2" s="109"/>
      <c r="AK2" s="109"/>
      <c r="AL2" s="109"/>
      <c r="AM2" s="109"/>
      <c r="AN2" s="109"/>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09"/>
      <c r="B3" s="33"/>
      <c r="C3" s="33"/>
      <c r="D3" s="33"/>
      <c r="E3" s="109"/>
      <c r="F3" s="33"/>
      <c r="G3" s="109"/>
      <c r="H3" s="109"/>
      <c r="I3" s="30"/>
      <c r="J3" s="33"/>
      <c r="K3" s="109"/>
      <c r="L3" s="33"/>
      <c r="M3" s="108" t="s">
        <v>152</v>
      </c>
      <c r="N3" s="108"/>
      <c r="O3" s="108"/>
      <c r="P3" s="207" t="b">
        <v>0</v>
      </c>
      <c r="Q3" s="244" t="s">
        <v>244</v>
      </c>
      <c r="R3" s="33"/>
      <c r="S3" s="33"/>
      <c r="T3" s="33"/>
      <c r="U3" s="33"/>
      <c r="V3" s="109"/>
      <c r="W3" s="109"/>
      <c r="X3" s="109"/>
      <c r="Y3" s="109"/>
      <c r="Z3" s="109"/>
      <c r="AA3" s="243"/>
      <c r="AB3" s="243"/>
      <c r="AC3" s="243"/>
      <c r="AD3" s="135"/>
      <c r="AE3" s="135"/>
      <c r="AF3" s="109"/>
      <c r="AG3" s="109"/>
      <c r="AH3" s="109"/>
      <c r="AI3" s="109"/>
      <c r="AJ3" s="109"/>
      <c r="AK3" s="109"/>
      <c r="AL3" s="109"/>
      <c r="AM3" s="109"/>
      <c r="AN3" s="109"/>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09"/>
      <c r="B4" s="33"/>
      <c r="C4" s="156" t="s">
        <v>252</v>
      </c>
      <c r="D4" s="33"/>
      <c r="E4" s="109"/>
      <c r="F4" s="33"/>
      <c r="G4" s="109"/>
      <c r="H4" s="109"/>
      <c r="I4" s="30"/>
      <c r="J4" s="33"/>
      <c r="K4" s="109"/>
      <c r="L4" s="33"/>
      <c r="M4" s="199" t="s">
        <v>241</v>
      </c>
      <c r="N4" s="108"/>
      <c r="O4" s="108"/>
      <c r="P4" s="200">
        <v>2014</v>
      </c>
      <c r="Q4" s="238" t="s">
        <v>153</v>
      </c>
      <c r="R4" s="33"/>
      <c r="S4" s="33"/>
      <c r="T4" s="33"/>
      <c r="U4" s="33"/>
      <c r="V4" s="109"/>
      <c r="W4" s="109"/>
      <c r="X4" s="109"/>
      <c r="Y4" s="109"/>
      <c r="Z4" s="109"/>
      <c r="AA4" s="243"/>
      <c r="AB4" s="243"/>
      <c r="AC4" s="243"/>
      <c r="AD4" s="109"/>
      <c r="AE4" s="109"/>
      <c r="AF4" s="109"/>
      <c r="AG4" s="109"/>
      <c r="AH4" s="109"/>
      <c r="AI4" s="109"/>
      <c r="AJ4" s="109"/>
      <c r="AK4" s="109"/>
      <c r="AL4" s="109"/>
      <c r="AM4" s="109"/>
      <c r="AN4" s="109"/>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09"/>
      <c r="B5" s="33"/>
      <c r="C5" s="156" t="s">
        <v>253</v>
      </c>
      <c r="D5" s="33"/>
      <c r="E5" s="109"/>
      <c r="F5" s="33"/>
      <c r="G5" s="109"/>
      <c r="H5" s="109"/>
      <c r="I5" s="30"/>
      <c r="J5" s="33"/>
      <c r="K5" s="109"/>
      <c r="L5" s="33"/>
      <c r="M5" s="199" t="s">
        <v>242</v>
      </c>
      <c r="N5" s="108"/>
      <c r="O5" s="240"/>
      <c r="P5" s="207" t="s">
        <v>233</v>
      </c>
      <c r="Q5" s="242" t="s">
        <v>243</v>
      </c>
      <c r="R5" s="112"/>
      <c r="S5" s="33"/>
      <c r="T5" s="33"/>
      <c r="U5" s="33"/>
      <c r="V5" s="109"/>
      <c r="W5" s="109"/>
      <c r="X5" s="109"/>
      <c r="Y5" s="109"/>
      <c r="Z5" s="109"/>
      <c r="AA5" s="243"/>
      <c r="AB5" s="243"/>
      <c r="AC5" s="243"/>
      <c r="AD5" s="109"/>
      <c r="AE5" s="109"/>
      <c r="AF5" s="109"/>
      <c r="AG5" s="109"/>
      <c r="AH5" s="109"/>
      <c r="AI5" s="109"/>
      <c r="AJ5" s="109"/>
      <c r="AK5" s="109"/>
      <c r="AL5" s="109"/>
      <c r="AM5" s="109"/>
      <c r="AN5" s="109"/>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09"/>
      <c r="B6" s="33"/>
      <c r="C6" s="156" t="s">
        <v>254</v>
      </c>
      <c r="D6" s="33"/>
      <c r="E6" s="109"/>
      <c r="F6" s="33"/>
      <c r="G6" s="109"/>
      <c r="H6" s="109"/>
      <c r="I6" s="109"/>
      <c r="J6" s="109"/>
      <c r="K6" s="33"/>
      <c r="L6" s="135"/>
      <c r="M6" s="135"/>
      <c r="N6" s="520"/>
      <c r="O6" s="520"/>
      <c r="P6" s="135"/>
      <c r="Q6" s="135"/>
      <c r="R6" s="112"/>
      <c r="S6" s="109"/>
      <c r="T6" s="109"/>
      <c r="U6" s="109"/>
      <c r="V6" s="109"/>
      <c r="W6" s="109"/>
      <c r="X6" s="109"/>
      <c r="Y6" s="109"/>
      <c r="Z6" s="109"/>
      <c r="AA6" s="243"/>
      <c r="AB6" s="243"/>
      <c r="AC6" s="243"/>
      <c r="AD6" s="109"/>
      <c r="AE6" s="109"/>
      <c r="AF6" s="109"/>
      <c r="AG6" s="109"/>
      <c r="AH6" s="109"/>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09"/>
      <c r="B7" s="150"/>
      <c r="C7" s="110"/>
      <c r="D7" s="111"/>
      <c r="E7" s="157" t="s">
        <v>124</v>
      </c>
      <c r="F7" s="158" t="s">
        <v>240</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09"/>
      <c r="B8" s="135"/>
      <c r="C8" s="110"/>
      <c r="D8" s="111"/>
      <c r="E8" s="201" t="s">
        <v>125</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09"/>
      <c r="B9" s="135"/>
      <c r="C9" s="110"/>
      <c r="D9" s="111"/>
      <c r="E9" s="202" t="s">
        <v>126</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09"/>
      <c r="B10" s="135"/>
      <c r="C10" s="110"/>
      <c r="D10" s="111"/>
      <c r="E10" s="202" t="s">
        <v>138</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09"/>
      <c r="B11" s="135"/>
      <c r="C11" s="110"/>
      <c r="D11" s="111"/>
      <c r="E11" s="203" t="s">
        <v>139</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4" customFormat="1" ht="23.5" customHeight="1" thickBot="1">
      <c r="A13" s="132"/>
      <c r="B13" s="31" t="s">
        <v>239</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2"/>
      <c r="AE13" s="132"/>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row>
    <row r="14" spans="1:85" s="1" customFormat="1" ht="32.25" customHeight="1" thickBot="1">
      <c r="A14" s="109"/>
      <c r="B14" s="521"/>
      <c r="C14" s="522" t="s">
        <v>118</v>
      </c>
      <c r="D14" s="523"/>
      <c r="E14" s="523"/>
      <c r="F14" s="523"/>
      <c r="G14" s="523"/>
      <c r="H14" s="523"/>
      <c r="I14" s="523"/>
      <c r="J14" s="523"/>
      <c r="K14" s="523"/>
      <c r="L14" s="522" t="s">
        <v>123</v>
      </c>
      <c r="M14" s="523"/>
      <c r="N14" s="523"/>
      <c r="O14" s="523"/>
      <c r="P14" s="523"/>
      <c r="Q14" s="523"/>
      <c r="R14" s="523"/>
      <c r="S14" s="523"/>
      <c r="T14" s="523"/>
      <c r="U14" s="522" t="s">
        <v>119</v>
      </c>
      <c r="V14" s="523"/>
      <c r="W14" s="523"/>
      <c r="X14" s="523"/>
      <c r="Y14" s="523"/>
      <c r="Z14" s="523"/>
      <c r="AA14" s="523"/>
      <c r="AB14" s="523"/>
      <c r="AC14" s="524"/>
      <c r="AD14" s="132"/>
      <c r="AE14" s="109"/>
      <c r="AF14" s="109"/>
      <c r="AG14" s="109"/>
      <c r="AH14" s="109"/>
      <c r="AI14" s="109"/>
      <c r="AJ14" s="109"/>
      <c r="AK14" s="109"/>
      <c r="AL14" s="109"/>
      <c r="AM14" s="109"/>
      <c r="AN14" s="109"/>
      <c r="AO14" s="109"/>
      <c r="AP14" s="109"/>
      <c r="AQ14" s="109"/>
      <c r="AR14" s="109"/>
      <c r="AS14" s="109"/>
      <c r="AT14" s="109"/>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09"/>
      <c r="B15" s="525"/>
      <c r="C15" s="512" t="s">
        <v>120</v>
      </c>
      <c r="D15" s="511"/>
      <c r="E15" s="511"/>
      <c r="F15" s="511" t="s">
        <v>121</v>
      </c>
      <c r="G15" s="511"/>
      <c r="H15" s="511"/>
      <c r="I15" s="511" t="s">
        <v>122</v>
      </c>
      <c r="J15" s="513"/>
      <c r="K15" s="513"/>
      <c r="L15" s="512" t="s">
        <v>120</v>
      </c>
      <c r="M15" s="511"/>
      <c r="N15" s="511"/>
      <c r="O15" s="511" t="s">
        <v>121</v>
      </c>
      <c r="P15" s="511"/>
      <c r="Q15" s="511"/>
      <c r="R15" s="511" t="s">
        <v>122</v>
      </c>
      <c r="S15" s="513"/>
      <c r="T15" s="513"/>
      <c r="U15" s="512" t="s">
        <v>120</v>
      </c>
      <c r="V15" s="511"/>
      <c r="W15" s="511"/>
      <c r="X15" s="511" t="s">
        <v>121</v>
      </c>
      <c r="Y15" s="511"/>
      <c r="Z15" s="511"/>
      <c r="AA15" s="511" t="s">
        <v>122</v>
      </c>
      <c r="AB15" s="511"/>
      <c r="AC15" s="526"/>
      <c r="AD15" s="109"/>
      <c r="AE15" s="117"/>
      <c r="AF15" s="117"/>
      <c r="AG15" s="117"/>
      <c r="AH15" s="117"/>
      <c r="AI15" s="117"/>
      <c r="AJ15" s="117"/>
      <c r="AK15" s="117"/>
      <c r="AL15" s="117"/>
      <c r="AM15" s="117"/>
      <c r="AN15" s="117"/>
      <c r="AO15" s="112"/>
      <c r="AP15" s="109"/>
      <c r="AQ15" s="109"/>
      <c r="AR15" s="109"/>
      <c r="AS15" s="109"/>
      <c r="AT15" s="109"/>
      <c r="AU15" s="109"/>
      <c r="AV15" s="109"/>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09"/>
      <c r="B16" s="527" t="s">
        <v>110</v>
      </c>
      <c r="C16" s="217" t="s">
        <v>111</v>
      </c>
      <c r="D16" s="218" t="s">
        <v>112</v>
      </c>
      <c r="E16" s="218" t="s">
        <v>113</v>
      </c>
      <c r="F16" s="219" t="s">
        <v>111</v>
      </c>
      <c r="G16" s="218" t="s">
        <v>112</v>
      </c>
      <c r="H16" s="218" t="s">
        <v>113</v>
      </c>
      <c r="I16" s="219" t="s">
        <v>111</v>
      </c>
      <c r="J16" s="218" t="s">
        <v>112</v>
      </c>
      <c r="K16" s="218" t="s">
        <v>113</v>
      </c>
      <c r="L16" s="220" t="s">
        <v>114</v>
      </c>
      <c r="M16" s="218" t="s">
        <v>115</v>
      </c>
      <c r="N16" s="221" t="s">
        <v>113</v>
      </c>
      <c r="O16" s="222" t="s">
        <v>114</v>
      </c>
      <c r="P16" s="218" t="s">
        <v>115</v>
      </c>
      <c r="Q16" s="218" t="s">
        <v>113</v>
      </c>
      <c r="R16" s="219" t="s">
        <v>114</v>
      </c>
      <c r="S16" s="218" t="s">
        <v>115</v>
      </c>
      <c r="T16" s="221" t="s">
        <v>113</v>
      </c>
      <c r="U16" s="220" t="s">
        <v>116</v>
      </c>
      <c r="V16" s="218" t="s">
        <v>112</v>
      </c>
      <c r="W16" s="221" t="s">
        <v>113</v>
      </c>
      <c r="X16" s="222" t="s">
        <v>116</v>
      </c>
      <c r="Y16" s="218" t="s">
        <v>112</v>
      </c>
      <c r="Z16" s="218" t="s">
        <v>113</v>
      </c>
      <c r="AA16" s="219" t="s">
        <v>116</v>
      </c>
      <c r="AB16" s="218" t="s">
        <v>112</v>
      </c>
      <c r="AC16" s="528" t="s">
        <v>113</v>
      </c>
      <c r="AD16" s="137" t="s">
        <v>110</v>
      </c>
      <c r="AE16" s="117"/>
      <c r="AF16" s="117"/>
      <c r="AG16" s="117"/>
      <c r="AH16" s="117"/>
      <c r="AI16" s="117"/>
      <c r="AJ16" s="117"/>
      <c r="AK16" s="117"/>
      <c r="AL16" s="117"/>
      <c r="AM16" s="117"/>
      <c r="AN16" s="117"/>
      <c r="AO16" s="112"/>
      <c r="AP16" s="109"/>
      <c r="AQ16" s="109"/>
      <c r="AR16" s="109"/>
      <c r="AS16" s="109"/>
      <c r="AT16" s="109"/>
      <c r="AU16" s="109"/>
      <c r="AV16" s="109"/>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09"/>
      <c r="B17" s="235" t="s">
        <v>176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529"/>
      <c r="AD17" s="138" t="s">
        <v>5</v>
      </c>
      <c r="AE17" s="117"/>
      <c r="AF17" s="117"/>
      <c r="AG17" s="117"/>
      <c r="AH17" s="117"/>
      <c r="AI17" s="117"/>
      <c r="AJ17" s="117"/>
      <c r="AK17" s="117"/>
      <c r="AL17" s="117"/>
      <c r="AM17" s="117"/>
      <c r="AN17" s="117"/>
      <c r="AO17" s="112"/>
      <c r="AP17" s="109"/>
      <c r="AQ17" s="109"/>
      <c r="AR17" s="109"/>
      <c r="AS17" s="109"/>
      <c r="AT17" s="109"/>
      <c r="AU17" s="109"/>
      <c r="AV17" s="109"/>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09"/>
      <c r="B18" s="235" t="s">
        <v>177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530"/>
      <c r="AD18" s="138" t="s">
        <v>143</v>
      </c>
      <c r="AE18" s="117"/>
      <c r="AF18" s="117"/>
      <c r="AG18" s="117"/>
      <c r="AH18" s="117"/>
      <c r="AI18" s="117"/>
      <c r="AJ18" s="117"/>
      <c r="AK18" s="117"/>
      <c r="AL18" s="117"/>
      <c r="AM18" s="117"/>
      <c r="AN18" s="117"/>
      <c r="AO18" s="112"/>
      <c r="AP18" s="109"/>
      <c r="AQ18" s="109"/>
      <c r="AR18" s="109"/>
      <c r="AS18" s="109"/>
      <c r="AT18" s="109"/>
      <c r="AU18" s="109"/>
      <c r="AV18" s="109"/>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09"/>
      <c r="B19" s="235" t="s">
        <v>178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530"/>
      <c r="AD19" s="138" t="s">
        <v>6</v>
      </c>
      <c r="AE19" s="117"/>
      <c r="AF19" s="117"/>
      <c r="AG19" s="117"/>
      <c r="AH19" s="117"/>
      <c r="AI19" s="117"/>
      <c r="AJ19" s="117"/>
      <c r="AK19" s="117"/>
      <c r="AL19" s="117"/>
      <c r="AM19" s="117"/>
      <c r="AN19" s="117"/>
      <c r="AO19" s="112"/>
      <c r="AP19" s="109"/>
      <c r="AQ19" s="109"/>
      <c r="AR19" s="109"/>
      <c r="AS19" s="109"/>
      <c r="AT19" s="109"/>
      <c r="AU19" s="109"/>
      <c r="AV19" s="109"/>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09"/>
      <c r="B20" s="235" t="s">
        <v>179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530"/>
      <c r="AD20" s="138" t="s">
        <v>7</v>
      </c>
      <c r="AE20" s="117"/>
      <c r="AF20" s="117"/>
      <c r="AG20" s="117"/>
      <c r="AH20" s="117"/>
      <c r="AI20" s="117"/>
      <c r="AJ20" s="117"/>
      <c r="AK20" s="117"/>
      <c r="AL20" s="117"/>
      <c r="AM20" s="117"/>
      <c r="AN20" s="117"/>
      <c r="AO20" s="112"/>
      <c r="AP20" s="109"/>
      <c r="AQ20" s="109"/>
      <c r="AR20" s="109"/>
      <c r="AS20" s="109"/>
      <c r="AT20" s="109"/>
      <c r="AU20" s="109"/>
      <c r="AV20" s="109"/>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09"/>
      <c r="B21" s="235" t="s">
        <v>180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530"/>
      <c r="AD21" s="138" t="s">
        <v>8</v>
      </c>
      <c r="AE21" s="117"/>
      <c r="AF21" s="117"/>
      <c r="AG21" s="117"/>
      <c r="AH21" s="117"/>
      <c r="AI21" s="117"/>
      <c r="AJ21" s="117"/>
      <c r="AK21" s="117"/>
      <c r="AL21" s="117"/>
      <c r="AM21" s="117"/>
      <c r="AN21" s="117"/>
      <c r="AO21" s="112"/>
      <c r="AP21" s="109"/>
      <c r="AQ21" s="109"/>
      <c r="AR21" s="109"/>
      <c r="AS21" s="109"/>
      <c r="AT21" s="109"/>
      <c r="AU21" s="109"/>
      <c r="AV21" s="109"/>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09"/>
      <c r="B22" s="235" t="s">
        <v>181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530"/>
      <c r="AD22" s="138" t="s">
        <v>0</v>
      </c>
      <c r="AE22" s="117"/>
      <c r="AF22" s="117"/>
      <c r="AG22" s="117"/>
      <c r="AH22" s="117"/>
      <c r="AI22" s="117"/>
      <c r="AJ22" s="117"/>
      <c r="AK22" s="117"/>
      <c r="AL22" s="117"/>
      <c r="AM22" s="117"/>
      <c r="AN22" s="117"/>
      <c r="AO22" s="112"/>
      <c r="AP22" s="109"/>
      <c r="AQ22" s="109"/>
      <c r="AR22" s="109"/>
      <c r="AS22" s="109"/>
      <c r="AT22" s="109"/>
      <c r="AU22" s="109"/>
      <c r="AV22" s="109"/>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09"/>
      <c r="B23" s="235" t="s">
        <v>182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530"/>
      <c r="AD23" s="138" t="s">
        <v>9</v>
      </c>
      <c r="AE23" s="117"/>
      <c r="AF23" s="117"/>
      <c r="AG23" s="117"/>
      <c r="AH23" s="117"/>
      <c r="AI23" s="117"/>
      <c r="AJ23" s="117"/>
      <c r="AK23" s="117"/>
      <c r="AL23" s="117"/>
      <c r="AM23" s="117"/>
      <c r="AN23" s="117"/>
      <c r="AO23" s="112"/>
      <c r="AP23" s="109"/>
      <c r="AQ23" s="109"/>
      <c r="AR23" s="109"/>
      <c r="AS23" s="109"/>
      <c r="AT23" s="109"/>
      <c r="AU23" s="109"/>
      <c r="AV23" s="109"/>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09"/>
      <c r="B24" s="235" t="s">
        <v>183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530"/>
      <c r="AD24" s="138" t="s">
        <v>10</v>
      </c>
      <c r="AE24" s="117"/>
      <c r="AF24" s="117"/>
      <c r="AG24" s="531"/>
      <c r="AH24" s="531"/>
      <c r="AI24" s="531"/>
      <c r="AJ24" s="117"/>
      <c r="AK24" s="117"/>
      <c r="AL24" s="117"/>
      <c r="AM24" s="117"/>
      <c r="AN24" s="117"/>
      <c r="AO24" s="112"/>
      <c r="AP24" s="109"/>
      <c r="AQ24" s="109"/>
      <c r="AR24" s="109"/>
      <c r="AS24" s="109"/>
      <c r="AT24" s="109"/>
      <c r="AU24" s="109"/>
      <c r="AV24" s="109"/>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09"/>
      <c r="B25" s="235"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530"/>
      <c r="AD25" s="138" t="s">
        <v>11</v>
      </c>
      <c r="AE25" s="117"/>
      <c r="AF25" s="117"/>
      <c r="AG25" s="531"/>
      <c r="AH25" s="531"/>
      <c r="AI25" s="531"/>
      <c r="AJ25" s="117"/>
      <c r="AK25" s="117"/>
      <c r="AL25" s="117"/>
      <c r="AM25" s="117"/>
      <c r="AN25" s="117"/>
      <c r="AO25" s="112"/>
      <c r="AP25" s="109"/>
      <c r="AQ25" s="109"/>
      <c r="AR25" s="109"/>
      <c r="AS25" s="109"/>
      <c r="AT25" s="109"/>
      <c r="AU25" s="109"/>
      <c r="AV25" s="109"/>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09"/>
      <c r="B26" s="235" t="s">
        <v>184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530"/>
      <c r="AD26" s="138" t="s">
        <v>12</v>
      </c>
      <c r="AE26" s="117"/>
      <c r="AF26" s="117"/>
      <c r="AG26" s="531"/>
      <c r="AH26" s="531"/>
      <c r="AI26" s="531"/>
      <c r="AJ26" s="117"/>
      <c r="AK26" s="117"/>
      <c r="AL26" s="117"/>
      <c r="AM26" s="117"/>
      <c r="AN26" s="117"/>
      <c r="AO26" s="112"/>
      <c r="AP26" s="109"/>
      <c r="AQ26" s="109"/>
      <c r="AR26" s="109"/>
      <c r="AS26" s="109"/>
      <c r="AT26" s="109"/>
      <c r="AU26" s="109"/>
      <c r="AV26" s="109"/>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09"/>
      <c r="B27" s="235" t="s">
        <v>185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530"/>
      <c r="AD27" s="138" t="s">
        <v>13</v>
      </c>
      <c r="AE27" s="117"/>
      <c r="AF27" s="117"/>
      <c r="AG27" s="531"/>
      <c r="AH27" s="531"/>
      <c r="AI27" s="531"/>
      <c r="AJ27" s="117"/>
      <c r="AK27" s="117"/>
      <c r="AL27" s="117"/>
      <c r="AM27" s="117"/>
      <c r="AN27" s="117"/>
      <c r="AO27" s="112"/>
      <c r="AP27" s="109"/>
      <c r="AQ27" s="109"/>
      <c r="AR27" s="109"/>
      <c r="AS27" s="109"/>
      <c r="AT27" s="109"/>
      <c r="AU27" s="109"/>
      <c r="AV27" s="109"/>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09"/>
      <c r="B28" s="235" t="s">
        <v>186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530"/>
      <c r="AD28" s="138" t="s">
        <v>144</v>
      </c>
      <c r="AE28" s="117"/>
      <c r="AF28" s="117"/>
      <c r="AG28" s="531"/>
      <c r="AH28" s="531"/>
      <c r="AI28" s="531"/>
      <c r="AJ28" s="117"/>
      <c r="AK28" s="117"/>
      <c r="AL28" s="117"/>
      <c r="AM28" s="117"/>
      <c r="AN28" s="117"/>
      <c r="AO28" s="112"/>
      <c r="AP28" s="109"/>
      <c r="AQ28" s="109"/>
      <c r="AR28" s="109"/>
      <c r="AS28" s="109"/>
      <c r="AT28" s="109"/>
      <c r="AU28" s="109"/>
      <c r="AV28" s="109"/>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09"/>
      <c r="B29" s="235" t="s">
        <v>187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530"/>
      <c r="AD29" s="138" t="s">
        <v>14</v>
      </c>
      <c r="AE29" s="117"/>
      <c r="AF29" s="117"/>
      <c r="AG29" s="531"/>
      <c r="AH29" s="531"/>
      <c r="AI29" s="531"/>
      <c r="AJ29" s="117"/>
      <c r="AK29" s="117"/>
      <c r="AL29" s="117"/>
      <c r="AM29" s="117"/>
      <c r="AN29" s="117"/>
      <c r="AO29" s="112"/>
      <c r="AP29" s="109"/>
      <c r="AQ29" s="109"/>
      <c r="AR29" s="109"/>
      <c r="AS29" s="109"/>
      <c r="AT29" s="109"/>
      <c r="AU29" s="109"/>
      <c r="AV29" s="109"/>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09"/>
      <c r="B30" s="235" t="s">
        <v>188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530"/>
      <c r="AD30" s="138" t="s">
        <v>15</v>
      </c>
      <c r="AE30" s="117"/>
      <c r="AF30" s="117"/>
      <c r="AG30" s="531"/>
      <c r="AH30" s="531"/>
      <c r="AI30" s="531"/>
      <c r="AJ30" s="117"/>
      <c r="AK30" s="117"/>
      <c r="AL30" s="117"/>
      <c r="AM30" s="117"/>
      <c r="AN30" s="117"/>
      <c r="AO30" s="112"/>
      <c r="AP30" s="109"/>
      <c r="AQ30" s="109"/>
      <c r="AR30" s="109"/>
      <c r="AS30" s="109"/>
      <c r="AT30" s="109"/>
      <c r="AU30" s="109"/>
      <c r="AV30" s="109"/>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09"/>
      <c r="B31" s="235" t="s">
        <v>189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530"/>
      <c r="AD31" s="138" t="s">
        <v>16</v>
      </c>
      <c r="AE31" s="117"/>
      <c r="AF31" s="117"/>
      <c r="AG31" s="532"/>
      <c r="AH31" s="531"/>
      <c r="AI31" s="531"/>
      <c r="AJ31" s="117"/>
      <c r="AK31" s="117"/>
      <c r="AL31" s="117"/>
      <c r="AM31" s="117"/>
      <c r="AN31" s="117"/>
      <c r="AO31" s="112"/>
      <c r="AP31" s="109"/>
      <c r="AQ31" s="109"/>
      <c r="AR31" s="109"/>
      <c r="AS31" s="109"/>
      <c r="AT31" s="109"/>
      <c r="AU31" s="109"/>
      <c r="AV31" s="109"/>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09"/>
      <c r="B32" s="235" t="s">
        <v>190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530"/>
      <c r="AD32" s="138" t="s">
        <v>17</v>
      </c>
      <c r="AE32" s="117"/>
      <c r="AF32" s="117"/>
      <c r="AG32" s="531"/>
      <c r="AH32" s="531"/>
      <c r="AI32" s="531"/>
      <c r="AJ32" s="117"/>
      <c r="AK32" s="117"/>
      <c r="AL32" s="117"/>
      <c r="AM32" s="117"/>
      <c r="AN32" s="117"/>
      <c r="AO32" s="112"/>
      <c r="AP32" s="109"/>
      <c r="AQ32" s="109"/>
      <c r="AR32" s="109"/>
      <c r="AS32" s="109"/>
      <c r="AT32" s="109"/>
      <c r="AU32" s="109"/>
      <c r="AV32" s="109"/>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09"/>
      <c r="B33" s="235" t="s">
        <v>191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530"/>
      <c r="AD33" s="138" t="s">
        <v>18</v>
      </c>
      <c r="AE33" s="117"/>
      <c r="AF33" s="117"/>
      <c r="AG33" s="531"/>
      <c r="AH33" s="531"/>
      <c r="AI33" s="531"/>
      <c r="AJ33" s="117"/>
      <c r="AK33" s="117"/>
      <c r="AL33" s="117"/>
      <c r="AM33" s="117"/>
      <c r="AN33" s="117"/>
      <c r="AO33" s="112"/>
      <c r="AP33" s="109"/>
      <c r="AQ33" s="109"/>
      <c r="AR33" s="109"/>
      <c r="AS33" s="109"/>
      <c r="AT33" s="109"/>
      <c r="AU33" s="109"/>
      <c r="AV33" s="109"/>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09"/>
      <c r="B34" s="235" t="s">
        <v>192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530"/>
      <c r="AD34" s="138" t="s">
        <v>19</v>
      </c>
      <c r="AE34" s="117"/>
      <c r="AF34" s="117"/>
      <c r="AG34" s="531"/>
      <c r="AH34" s="531"/>
      <c r="AI34" s="531"/>
      <c r="AJ34" s="117"/>
      <c r="AK34" s="117"/>
      <c r="AL34" s="117"/>
      <c r="AM34" s="117"/>
      <c r="AN34" s="117"/>
      <c r="AO34" s="112"/>
      <c r="AP34" s="109"/>
      <c r="AQ34" s="109"/>
      <c r="AR34" s="109"/>
      <c r="AS34" s="109"/>
      <c r="AT34" s="109"/>
      <c r="AU34" s="109"/>
      <c r="AV34" s="109"/>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09"/>
      <c r="B35" s="235" t="s">
        <v>193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530"/>
      <c r="AD35" s="138" t="s">
        <v>20</v>
      </c>
      <c r="AE35" s="117"/>
      <c r="AF35" s="117"/>
      <c r="AG35" s="117"/>
      <c r="AH35" s="117"/>
      <c r="AI35" s="117"/>
      <c r="AJ35" s="117"/>
      <c r="AK35" s="117"/>
      <c r="AL35" s="117"/>
      <c r="AM35" s="117"/>
      <c r="AN35" s="117"/>
      <c r="AO35" s="112"/>
      <c r="AP35" s="109"/>
      <c r="AQ35" s="109"/>
      <c r="AR35" s="109"/>
      <c r="AS35" s="109"/>
      <c r="AT35" s="109"/>
      <c r="AU35" s="109"/>
      <c r="AV35" s="109"/>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09"/>
      <c r="B36" s="235" t="s">
        <v>194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530"/>
      <c r="AD36" s="138" t="s">
        <v>21</v>
      </c>
      <c r="AE36" s="117"/>
      <c r="AF36" s="117"/>
      <c r="AG36" s="117"/>
      <c r="AH36" s="117"/>
      <c r="AI36" s="117"/>
      <c r="AJ36" s="117"/>
      <c r="AK36" s="117"/>
      <c r="AL36" s="117"/>
      <c r="AM36" s="117"/>
      <c r="AN36" s="117"/>
      <c r="AO36" s="112"/>
      <c r="AP36" s="109"/>
      <c r="AQ36" s="109"/>
      <c r="AR36" s="109"/>
      <c r="AS36" s="109"/>
      <c r="AT36" s="109"/>
      <c r="AU36" s="109"/>
      <c r="AV36" s="109"/>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09"/>
      <c r="B37" s="235" t="s">
        <v>195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530"/>
      <c r="AD37" s="138" t="s">
        <v>22</v>
      </c>
      <c r="AE37" s="117"/>
      <c r="AF37" s="117"/>
      <c r="AG37" s="117"/>
      <c r="AH37" s="117"/>
      <c r="AI37" s="117"/>
      <c r="AJ37" s="117"/>
      <c r="AK37" s="117"/>
      <c r="AL37" s="117"/>
      <c r="AM37" s="117"/>
      <c r="AN37" s="117"/>
      <c r="AO37" s="112"/>
      <c r="AP37" s="109"/>
      <c r="AQ37" s="109"/>
      <c r="AR37" s="109"/>
      <c r="AS37" s="109"/>
      <c r="AT37" s="109"/>
      <c r="AU37" s="109"/>
      <c r="AV37" s="109"/>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09"/>
      <c r="B38" s="235" t="s">
        <v>196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530"/>
      <c r="AD38" s="138" t="s">
        <v>23</v>
      </c>
      <c r="AE38" s="117"/>
      <c r="AF38" s="117"/>
      <c r="AG38" s="117"/>
      <c r="AH38" s="117"/>
      <c r="AI38" s="117"/>
      <c r="AJ38" s="117"/>
      <c r="AK38" s="117"/>
      <c r="AL38" s="117"/>
      <c r="AM38" s="117"/>
      <c r="AN38" s="117"/>
      <c r="AO38" s="112"/>
      <c r="AP38" s="109"/>
      <c r="AQ38" s="109"/>
      <c r="AR38" s="109"/>
      <c r="AS38" s="109"/>
      <c r="AT38" s="109"/>
      <c r="AU38" s="109"/>
      <c r="AV38" s="109"/>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09"/>
      <c r="B39" s="235" t="s">
        <v>197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530"/>
      <c r="AD39" s="138" t="s">
        <v>24</v>
      </c>
      <c r="AE39" s="117"/>
      <c r="AF39" s="117"/>
      <c r="AG39" s="117"/>
      <c r="AH39" s="117"/>
      <c r="AI39" s="117"/>
      <c r="AJ39" s="117"/>
      <c r="AK39" s="117"/>
      <c r="AL39" s="117"/>
      <c r="AM39" s="117"/>
      <c r="AN39" s="117"/>
      <c r="AO39" s="112"/>
      <c r="AP39" s="109"/>
      <c r="AQ39" s="109"/>
      <c r="AR39" s="109"/>
      <c r="AS39" s="109"/>
      <c r="AT39" s="109"/>
      <c r="AU39" s="109"/>
      <c r="AV39" s="109"/>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09"/>
      <c r="B40" s="235" t="s">
        <v>198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530"/>
      <c r="AD40" s="138" t="s">
        <v>25</v>
      </c>
      <c r="AE40" s="117"/>
      <c r="AF40" s="117"/>
      <c r="AG40" s="117"/>
      <c r="AH40" s="117"/>
      <c r="AI40" s="117"/>
      <c r="AJ40" s="117"/>
      <c r="AK40" s="117"/>
      <c r="AL40" s="117"/>
      <c r="AM40" s="117"/>
      <c r="AN40" s="117"/>
      <c r="AO40" s="112"/>
      <c r="AP40" s="109"/>
      <c r="AQ40" s="109"/>
      <c r="AR40" s="109"/>
      <c r="AS40" s="109"/>
      <c r="AT40" s="109"/>
      <c r="AU40" s="109"/>
      <c r="AV40" s="109"/>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09"/>
      <c r="B41" s="235" t="s">
        <v>199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530"/>
      <c r="AD41" s="138" t="s">
        <v>26</v>
      </c>
      <c r="AE41" s="117"/>
      <c r="AF41" s="117"/>
      <c r="AG41" s="117"/>
      <c r="AH41" s="117"/>
      <c r="AI41" s="117"/>
      <c r="AJ41" s="117"/>
      <c r="AK41" s="117"/>
      <c r="AL41" s="117"/>
      <c r="AM41" s="117"/>
      <c r="AN41" s="117"/>
      <c r="AO41" s="112"/>
      <c r="AP41" s="109"/>
      <c r="AQ41" s="109"/>
      <c r="AR41" s="109"/>
      <c r="AS41" s="109"/>
      <c r="AT41" s="109"/>
      <c r="AU41" s="109"/>
      <c r="AV41" s="109"/>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09"/>
      <c r="B42" s="235" t="s">
        <v>200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530"/>
      <c r="AD42" s="138" t="s">
        <v>27</v>
      </c>
      <c r="AE42" s="117"/>
      <c r="AF42" s="117"/>
      <c r="AG42" s="117"/>
      <c r="AH42" s="117"/>
      <c r="AI42" s="117"/>
      <c r="AJ42" s="117"/>
      <c r="AK42" s="117"/>
      <c r="AL42" s="117"/>
      <c r="AM42" s="117"/>
      <c r="AN42" s="117"/>
      <c r="AO42" s="112"/>
      <c r="AP42" s="109"/>
      <c r="AQ42" s="109"/>
      <c r="AR42" s="109"/>
      <c r="AS42" s="109"/>
      <c r="AT42" s="109"/>
      <c r="AU42" s="109"/>
      <c r="AV42" s="109"/>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09"/>
      <c r="B43" s="235" t="s">
        <v>201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530"/>
      <c r="AD43" s="138" t="s">
        <v>28</v>
      </c>
      <c r="AE43" s="117"/>
      <c r="AF43" s="117"/>
      <c r="AG43" s="117"/>
      <c r="AH43" s="117"/>
      <c r="AI43" s="117"/>
      <c r="AJ43" s="117"/>
      <c r="AK43" s="117"/>
      <c r="AL43" s="117"/>
      <c r="AM43" s="117"/>
      <c r="AN43" s="117"/>
      <c r="AO43" s="112"/>
      <c r="AP43" s="109"/>
      <c r="AQ43" s="109"/>
      <c r="AR43" s="109"/>
      <c r="AS43" s="109"/>
      <c r="AT43" s="109"/>
      <c r="AU43" s="109"/>
      <c r="AV43" s="109"/>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09"/>
      <c r="B44" s="235" t="s">
        <v>202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530"/>
      <c r="AD44" s="138" t="s">
        <v>29</v>
      </c>
      <c r="AE44" s="117"/>
      <c r="AF44" s="117"/>
      <c r="AG44" s="117"/>
      <c r="AH44" s="117"/>
      <c r="AI44" s="117"/>
      <c r="AJ44" s="117"/>
      <c r="AK44" s="117"/>
      <c r="AL44" s="117"/>
      <c r="AM44" s="117"/>
      <c r="AN44" s="117"/>
      <c r="AO44" s="112"/>
      <c r="AP44" s="109"/>
      <c r="AQ44" s="109"/>
      <c r="AR44" s="109"/>
      <c r="AS44" s="109"/>
      <c r="AT44" s="109"/>
      <c r="AU44" s="109"/>
      <c r="AV44" s="109"/>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09"/>
      <c r="B45" s="235" t="s">
        <v>203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530"/>
      <c r="AD45" s="138" t="s">
        <v>30</v>
      </c>
      <c r="AE45" s="117"/>
      <c r="AF45" s="117"/>
      <c r="AG45" s="117"/>
      <c r="AH45" s="117"/>
      <c r="AI45" s="117"/>
      <c r="AJ45" s="117"/>
      <c r="AK45" s="117"/>
      <c r="AL45" s="117"/>
      <c r="AM45" s="117"/>
      <c r="AN45" s="117"/>
      <c r="AO45" s="112"/>
      <c r="AP45" s="109"/>
      <c r="AQ45" s="109"/>
      <c r="AR45" s="109"/>
      <c r="AS45" s="109"/>
      <c r="AT45" s="109"/>
      <c r="AU45" s="109"/>
      <c r="AV45" s="109"/>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09"/>
      <c r="B46" s="235" t="s">
        <v>204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530"/>
      <c r="AD46" s="138" t="s">
        <v>31</v>
      </c>
      <c r="AE46" s="117"/>
      <c r="AF46" s="117"/>
      <c r="AG46" s="117"/>
      <c r="AH46" s="117"/>
      <c r="AI46" s="117"/>
      <c r="AJ46" s="117"/>
      <c r="AK46" s="117"/>
      <c r="AL46" s="117"/>
      <c r="AM46" s="117"/>
      <c r="AN46" s="117"/>
      <c r="AO46" s="112"/>
      <c r="AP46" s="109"/>
      <c r="AQ46" s="109"/>
      <c r="AR46" s="109"/>
      <c r="AS46" s="109"/>
      <c r="AT46" s="109"/>
      <c r="AU46" s="109"/>
      <c r="AV46" s="109"/>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09"/>
      <c r="B47" s="235" t="s">
        <v>205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530"/>
      <c r="AD47" s="138" t="s">
        <v>32</v>
      </c>
      <c r="AE47" s="117"/>
      <c r="AF47" s="117"/>
      <c r="AG47" s="117"/>
      <c r="AH47" s="117"/>
      <c r="AI47" s="117"/>
      <c r="AJ47" s="117"/>
      <c r="AK47" s="117"/>
      <c r="AL47" s="117"/>
      <c r="AM47" s="117"/>
      <c r="AN47" s="117"/>
      <c r="AO47" s="112"/>
      <c r="AP47" s="109"/>
      <c r="AQ47" s="109"/>
      <c r="AR47" s="109"/>
      <c r="AS47" s="109"/>
      <c r="AT47" s="109"/>
      <c r="AU47" s="109"/>
      <c r="AV47" s="109"/>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09"/>
      <c r="B48" s="235" t="s">
        <v>206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530"/>
      <c r="AD48" s="138" t="s">
        <v>33</v>
      </c>
      <c r="AE48" s="117"/>
      <c r="AF48" s="117"/>
      <c r="AG48" s="117"/>
      <c r="AH48" s="117"/>
      <c r="AI48" s="117"/>
      <c r="AJ48" s="117"/>
      <c r="AK48" s="117"/>
      <c r="AL48" s="117"/>
      <c r="AM48" s="117"/>
      <c r="AN48" s="117"/>
      <c r="AO48" s="112"/>
      <c r="AP48" s="109"/>
      <c r="AQ48" s="109"/>
      <c r="AR48" s="109"/>
      <c r="AS48" s="109"/>
      <c r="AT48" s="109"/>
      <c r="AU48" s="109"/>
      <c r="AV48" s="109"/>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09"/>
      <c r="B49" s="235" t="s">
        <v>207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530"/>
      <c r="AD49" s="138" t="s">
        <v>34</v>
      </c>
      <c r="AE49" s="117"/>
      <c r="AF49" s="117"/>
      <c r="AG49" s="117"/>
      <c r="AH49" s="117"/>
      <c r="AI49" s="117"/>
      <c r="AJ49" s="117"/>
      <c r="AK49" s="117"/>
      <c r="AL49" s="117"/>
      <c r="AM49" s="117"/>
      <c r="AN49" s="117"/>
      <c r="AO49" s="112"/>
      <c r="AP49" s="109"/>
      <c r="AQ49" s="109"/>
      <c r="AR49" s="109"/>
      <c r="AS49" s="109"/>
      <c r="AT49" s="109"/>
      <c r="AU49" s="109"/>
      <c r="AV49" s="109"/>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09"/>
      <c r="B50" s="235" t="s">
        <v>208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530"/>
      <c r="AD50" s="138" t="s">
        <v>35</v>
      </c>
      <c r="AE50" s="117"/>
      <c r="AF50" s="117"/>
      <c r="AG50" s="117"/>
      <c r="AH50" s="117"/>
      <c r="AI50" s="117"/>
      <c r="AJ50" s="117"/>
      <c r="AK50" s="117"/>
      <c r="AL50" s="117"/>
      <c r="AM50" s="117"/>
      <c r="AN50" s="117"/>
      <c r="AO50" s="112"/>
      <c r="AP50" s="109"/>
      <c r="AQ50" s="109"/>
      <c r="AR50" s="109"/>
      <c r="AS50" s="109"/>
      <c r="AT50" s="109"/>
      <c r="AU50" s="109"/>
      <c r="AV50" s="109"/>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09"/>
      <c r="B51" s="235" t="s">
        <v>209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530"/>
      <c r="AD51" s="138" t="s">
        <v>36</v>
      </c>
      <c r="AE51" s="117"/>
      <c r="AF51" s="117"/>
      <c r="AG51" s="117"/>
      <c r="AH51" s="117"/>
      <c r="AI51" s="117"/>
      <c r="AJ51" s="117"/>
      <c r="AK51" s="117"/>
      <c r="AL51" s="117"/>
      <c r="AM51" s="117"/>
      <c r="AN51" s="117"/>
      <c r="AO51" s="112"/>
      <c r="AP51" s="109"/>
      <c r="AQ51" s="109"/>
      <c r="AR51" s="109"/>
      <c r="AS51" s="109"/>
      <c r="AT51" s="109"/>
      <c r="AU51" s="109"/>
      <c r="AV51" s="109"/>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09"/>
      <c r="B52" s="235" t="s">
        <v>210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530"/>
      <c r="AD52" s="138" t="s">
        <v>37</v>
      </c>
      <c r="AE52" s="117"/>
      <c r="AF52" s="117"/>
      <c r="AG52" s="117"/>
      <c r="AH52" s="117"/>
      <c r="AI52" s="117"/>
      <c r="AJ52" s="117"/>
      <c r="AK52" s="117"/>
      <c r="AL52" s="117"/>
      <c r="AM52" s="117"/>
      <c r="AN52" s="117"/>
      <c r="AO52" s="112"/>
      <c r="AP52" s="109"/>
      <c r="AQ52" s="109"/>
      <c r="AR52" s="109"/>
      <c r="AS52" s="109"/>
      <c r="AT52" s="109"/>
      <c r="AU52" s="109"/>
      <c r="AV52" s="109"/>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09"/>
      <c r="B53" s="235" t="s">
        <v>211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530"/>
      <c r="AD53" s="138" t="s">
        <v>38</v>
      </c>
      <c r="AE53" s="117"/>
      <c r="AF53" s="117"/>
      <c r="AG53" s="117"/>
      <c r="AH53" s="117"/>
      <c r="AI53" s="117"/>
      <c r="AJ53" s="117"/>
      <c r="AK53" s="117"/>
      <c r="AL53" s="117"/>
      <c r="AM53" s="117"/>
      <c r="AN53" s="117"/>
      <c r="AO53" s="112"/>
      <c r="AP53" s="109"/>
      <c r="AQ53" s="109"/>
      <c r="AR53" s="109"/>
      <c r="AS53" s="109"/>
      <c r="AT53" s="109"/>
      <c r="AU53" s="109"/>
      <c r="AV53" s="109"/>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09"/>
      <c r="B54" s="235" t="s">
        <v>212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530"/>
      <c r="AD54" s="138" t="s">
        <v>39</v>
      </c>
      <c r="AE54" s="117"/>
      <c r="AF54" s="117"/>
      <c r="AG54" s="117"/>
      <c r="AH54" s="117"/>
      <c r="AI54" s="117"/>
      <c r="AJ54" s="117"/>
      <c r="AK54" s="117"/>
      <c r="AL54" s="117"/>
      <c r="AM54" s="117"/>
      <c r="AN54" s="117"/>
      <c r="AO54" s="112"/>
      <c r="AP54" s="109"/>
      <c r="AQ54" s="109"/>
      <c r="AR54" s="109"/>
      <c r="AS54" s="109"/>
      <c r="AT54" s="109"/>
      <c r="AU54" s="109"/>
      <c r="AV54" s="109"/>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09"/>
      <c r="B55" s="235" t="s">
        <v>213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530"/>
      <c r="AD55" s="138" t="s">
        <v>40</v>
      </c>
      <c r="AE55" s="117"/>
      <c r="AF55" s="117"/>
      <c r="AG55" s="117"/>
      <c r="AH55" s="117"/>
      <c r="AI55" s="117"/>
      <c r="AJ55" s="117"/>
      <c r="AK55" s="117"/>
      <c r="AL55" s="117"/>
      <c r="AM55" s="117"/>
      <c r="AN55" s="117"/>
      <c r="AO55" s="112"/>
      <c r="AP55" s="109"/>
      <c r="AQ55" s="109"/>
      <c r="AR55" s="109"/>
      <c r="AS55" s="109"/>
      <c r="AT55" s="109"/>
      <c r="AU55" s="109"/>
      <c r="AV55" s="109"/>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09"/>
      <c r="B56" s="235" t="s">
        <v>214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530"/>
      <c r="AD56" s="138" t="s">
        <v>41</v>
      </c>
      <c r="AE56" s="117"/>
      <c r="AF56" s="117"/>
      <c r="AG56" s="117"/>
      <c r="AH56" s="117"/>
      <c r="AI56" s="117"/>
      <c r="AJ56" s="117"/>
      <c r="AK56" s="117"/>
      <c r="AL56" s="117"/>
      <c r="AM56" s="117"/>
      <c r="AN56" s="117"/>
      <c r="AO56" s="112"/>
      <c r="AP56" s="109"/>
      <c r="AQ56" s="109"/>
      <c r="AR56" s="109"/>
      <c r="AS56" s="109"/>
      <c r="AT56" s="109"/>
      <c r="AU56" s="109"/>
      <c r="AV56" s="109"/>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09"/>
      <c r="B57" s="235" t="s">
        <v>215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530"/>
      <c r="AD57" s="138" t="s">
        <v>42</v>
      </c>
      <c r="AE57" s="117"/>
      <c r="AF57" s="117"/>
      <c r="AG57" s="117"/>
      <c r="AH57" s="117"/>
      <c r="AI57" s="117"/>
      <c r="AJ57" s="117"/>
      <c r="AK57" s="117"/>
      <c r="AL57" s="117"/>
      <c r="AM57" s="117"/>
      <c r="AN57" s="117"/>
      <c r="AO57" s="112"/>
      <c r="AP57" s="109"/>
      <c r="AQ57" s="109"/>
      <c r="AR57" s="109"/>
      <c r="AS57" s="109"/>
      <c r="AT57" s="109"/>
      <c r="AU57" s="109"/>
      <c r="AV57" s="109"/>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09"/>
      <c r="B58" s="235" t="s">
        <v>216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530"/>
      <c r="AD58" s="138" t="s">
        <v>43</v>
      </c>
      <c r="AE58" s="117"/>
      <c r="AF58" s="117"/>
      <c r="AG58" s="117"/>
      <c r="AH58" s="117"/>
      <c r="AI58" s="117"/>
      <c r="AJ58" s="117"/>
      <c r="AK58" s="117"/>
      <c r="AL58" s="117"/>
      <c r="AM58" s="117"/>
      <c r="AN58" s="117"/>
      <c r="AO58" s="112"/>
      <c r="AP58" s="109"/>
      <c r="AQ58" s="109"/>
      <c r="AR58" s="109"/>
      <c r="AS58" s="109"/>
      <c r="AT58" s="109"/>
      <c r="AU58" s="109"/>
      <c r="AV58" s="109"/>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09"/>
      <c r="B59" s="235" t="s">
        <v>217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530"/>
      <c r="AD59" s="138" t="s">
        <v>44</v>
      </c>
      <c r="AE59" s="117"/>
      <c r="AF59" s="117"/>
      <c r="AG59" s="117"/>
      <c r="AH59" s="117"/>
      <c r="AI59" s="117"/>
      <c r="AJ59" s="117"/>
      <c r="AK59" s="117"/>
      <c r="AL59" s="117"/>
      <c r="AM59" s="117"/>
      <c r="AN59" s="117"/>
      <c r="AO59" s="112"/>
      <c r="AP59" s="109"/>
      <c r="AQ59" s="109"/>
      <c r="AR59" s="109"/>
      <c r="AS59" s="109"/>
      <c r="AT59" s="109"/>
      <c r="AU59" s="109"/>
      <c r="AV59" s="109"/>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09"/>
      <c r="B60" s="235" t="s">
        <v>218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530"/>
      <c r="AD60" s="138" t="s">
        <v>45</v>
      </c>
      <c r="AE60" s="117"/>
      <c r="AF60" s="117"/>
      <c r="AG60" s="117"/>
      <c r="AH60" s="117"/>
      <c r="AI60" s="117"/>
      <c r="AJ60" s="117"/>
      <c r="AK60" s="117"/>
      <c r="AL60" s="117"/>
      <c r="AM60" s="117"/>
      <c r="AN60" s="117"/>
      <c r="AO60" s="112"/>
      <c r="AP60" s="109"/>
      <c r="AQ60" s="109"/>
      <c r="AR60" s="109"/>
      <c r="AS60" s="109"/>
      <c r="AT60" s="109"/>
      <c r="AU60" s="109"/>
      <c r="AV60" s="109"/>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09"/>
      <c r="B61" s="235" t="s">
        <v>219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530"/>
      <c r="AD61" s="138" t="s">
        <v>46</v>
      </c>
      <c r="AE61" s="117"/>
      <c r="AF61" s="117"/>
      <c r="AG61" s="117"/>
      <c r="AH61" s="117"/>
      <c r="AI61" s="117"/>
      <c r="AJ61" s="117"/>
      <c r="AK61" s="117"/>
      <c r="AL61" s="117"/>
      <c r="AM61" s="117"/>
      <c r="AN61" s="117"/>
      <c r="AO61" s="112"/>
      <c r="AP61" s="109"/>
      <c r="AQ61" s="109"/>
      <c r="AR61" s="109"/>
      <c r="AS61" s="109"/>
      <c r="AT61" s="109"/>
      <c r="AU61" s="109"/>
      <c r="AV61" s="109"/>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09"/>
      <c r="B62" s="235" t="s">
        <v>220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530"/>
      <c r="AD62" s="138" t="s">
        <v>47</v>
      </c>
      <c r="AE62" s="117"/>
      <c r="AF62" s="117"/>
      <c r="AG62" s="117"/>
      <c r="AH62" s="117"/>
      <c r="AI62" s="117"/>
      <c r="AJ62" s="117"/>
      <c r="AK62" s="117"/>
      <c r="AL62" s="117"/>
      <c r="AM62" s="117"/>
      <c r="AN62" s="117"/>
      <c r="AO62" s="112"/>
      <c r="AP62" s="109"/>
      <c r="AQ62" s="109"/>
      <c r="AR62" s="109"/>
      <c r="AS62" s="109"/>
      <c r="AT62" s="109"/>
      <c r="AU62" s="109"/>
      <c r="AV62" s="109"/>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09"/>
      <c r="B63" s="235" t="s">
        <v>221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530"/>
      <c r="AD63" s="138" t="s">
        <v>48</v>
      </c>
      <c r="AE63" s="117"/>
      <c r="AF63" s="117"/>
      <c r="AG63" s="117"/>
      <c r="AH63" s="117"/>
      <c r="AI63" s="117"/>
      <c r="AJ63" s="117"/>
      <c r="AK63" s="117"/>
      <c r="AL63" s="117"/>
      <c r="AM63" s="117"/>
      <c r="AN63" s="117"/>
      <c r="AO63" s="112"/>
      <c r="AP63" s="109"/>
      <c r="AQ63" s="109"/>
      <c r="AR63" s="109"/>
      <c r="AS63" s="109"/>
      <c r="AT63" s="109"/>
      <c r="AU63" s="109"/>
      <c r="AV63" s="109"/>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09"/>
      <c r="B64" s="235" t="s">
        <v>222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530"/>
      <c r="AD64" s="138" t="s">
        <v>49</v>
      </c>
      <c r="AE64" s="117"/>
      <c r="AF64" s="117"/>
      <c r="AG64" s="117"/>
      <c r="AH64" s="117"/>
      <c r="AI64" s="117"/>
      <c r="AJ64" s="117"/>
      <c r="AK64" s="117"/>
      <c r="AL64" s="117"/>
      <c r="AM64" s="117"/>
      <c r="AN64" s="117"/>
      <c r="AO64" s="112"/>
      <c r="AP64" s="109"/>
      <c r="AQ64" s="109"/>
      <c r="AR64" s="109"/>
      <c r="AS64" s="109"/>
      <c r="AT64" s="109"/>
      <c r="AU64" s="109"/>
      <c r="AV64" s="109"/>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09"/>
      <c r="B65" s="235" t="s">
        <v>223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530"/>
      <c r="AD65" s="138" t="s">
        <v>50</v>
      </c>
      <c r="AE65" s="117"/>
      <c r="AF65" s="117"/>
      <c r="AG65" s="117"/>
      <c r="AH65" s="117"/>
      <c r="AI65" s="117"/>
      <c r="AJ65" s="117"/>
      <c r="AK65" s="117"/>
      <c r="AL65" s="117"/>
      <c r="AM65" s="117"/>
      <c r="AN65" s="117"/>
      <c r="AO65" s="112"/>
      <c r="AP65" s="109"/>
      <c r="AQ65" s="109"/>
      <c r="AR65" s="109"/>
      <c r="AS65" s="109"/>
      <c r="AT65" s="109"/>
      <c r="AU65" s="109"/>
      <c r="AV65" s="109"/>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12"/>
      <c r="B66" s="235" t="s">
        <v>224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530"/>
      <c r="AD66" s="138" t="s">
        <v>51</v>
      </c>
      <c r="AE66" s="117"/>
      <c r="AF66" s="117"/>
      <c r="AG66" s="117"/>
      <c r="AH66" s="117"/>
      <c r="AI66" s="117"/>
      <c r="AJ66" s="117"/>
      <c r="AK66" s="117"/>
      <c r="AL66" s="117"/>
      <c r="AM66" s="117"/>
      <c r="AN66" s="117"/>
      <c r="AO66" s="117"/>
      <c r="AP66" s="117"/>
      <c r="AQ66" s="117"/>
      <c r="AR66" s="112"/>
      <c r="AS66" s="109"/>
      <c r="AT66" s="109"/>
      <c r="AU66" s="109"/>
      <c r="AV66" s="109"/>
      <c r="AW66" s="109"/>
      <c r="AX66" s="109"/>
      <c r="AY66" s="109"/>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12"/>
      <c r="B67" s="236" t="s">
        <v>225</v>
      </c>
      <c r="C67" s="538"/>
      <c r="D67" s="533"/>
      <c r="E67" s="539"/>
      <c r="F67" s="540"/>
      <c r="G67" s="533"/>
      <c r="H67" s="539"/>
      <c r="I67" s="540"/>
      <c r="J67" s="533"/>
      <c r="K67" s="533"/>
      <c r="L67" s="533"/>
      <c r="M67" s="533"/>
      <c r="N67" s="533"/>
      <c r="O67" s="533"/>
      <c r="P67" s="533"/>
      <c r="Q67" s="533"/>
      <c r="R67" s="533"/>
      <c r="S67" s="533"/>
      <c r="T67" s="533"/>
      <c r="U67" s="533"/>
      <c r="V67" s="533"/>
      <c r="W67" s="533"/>
      <c r="X67" s="533"/>
      <c r="Y67" s="533"/>
      <c r="Z67" s="533"/>
      <c r="AA67" s="533"/>
      <c r="AB67" s="533"/>
      <c r="AC67" s="534"/>
      <c r="AD67" s="139" t="s">
        <v>52</v>
      </c>
      <c r="AE67" s="117"/>
      <c r="AF67" s="112"/>
      <c r="AG67" s="109"/>
      <c r="AH67" s="109"/>
      <c r="AI67" s="109"/>
      <c r="AJ67" s="109"/>
      <c r="AK67" s="109"/>
      <c r="AL67" s="109"/>
      <c r="AM67" s="109"/>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2"/>
      <c r="AJ68" s="109"/>
      <c r="AK68" s="109"/>
      <c r="AL68" s="109"/>
      <c r="AM68" s="109"/>
      <c r="AN68" s="109"/>
      <c r="AO68" s="109"/>
      <c r="AP68" s="109"/>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2"/>
      <c r="AJ69" s="109"/>
      <c r="AK69" s="109"/>
      <c r="AL69" s="109"/>
      <c r="AM69" s="109"/>
      <c r="AN69" s="109"/>
      <c r="AO69" s="109"/>
      <c r="AP69" s="109"/>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2"/>
      <c r="AJ70" s="109"/>
      <c r="AK70" s="109"/>
      <c r="AL70" s="109"/>
      <c r="AM70" s="109"/>
      <c r="AN70" s="109"/>
      <c r="AO70" s="109"/>
      <c r="AP70" s="109"/>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09"/>
      <c r="B71" s="119"/>
      <c r="C71" s="119"/>
      <c r="D71" s="119"/>
      <c r="E71" s="119"/>
      <c r="F71" s="119"/>
      <c r="G71" s="119"/>
      <c r="H71" s="119"/>
      <c r="I71" s="119"/>
      <c r="J71" s="119"/>
      <c r="K71" s="119"/>
      <c r="L71" s="119"/>
      <c r="M71" s="119"/>
      <c r="N71" s="117"/>
      <c r="O71" s="117"/>
      <c r="P71" s="120"/>
      <c r="Q71" s="117"/>
      <c r="R71" s="117"/>
      <c r="S71" s="121"/>
      <c r="T71" s="117"/>
      <c r="U71" s="117"/>
      <c r="V71" s="117"/>
      <c r="W71" s="117"/>
      <c r="X71" s="117"/>
      <c r="Y71" s="117"/>
      <c r="Z71" s="117"/>
      <c r="AA71" s="117"/>
      <c r="AB71" s="117"/>
      <c r="AC71" s="117"/>
      <c r="AD71" s="117"/>
      <c r="AE71" s="117"/>
      <c r="AF71" s="117"/>
      <c r="AG71" s="117"/>
      <c r="AH71" s="117"/>
      <c r="AI71" s="112"/>
      <c r="AJ71" s="109"/>
      <c r="AK71" s="109"/>
      <c r="AL71" s="109"/>
      <c r="AM71" s="109"/>
      <c r="AN71" s="109"/>
      <c r="AO71" s="109"/>
      <c r="AP71" s="109"/>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12"/>
      <c r="B72" s="119"/>
      <c r="C72" s="119"/>
      <c r="D72" s="119"/>
      <c r="E72" s="119"/>
      <c r="F72" s="119"/>
      <c r="G72" s="119"/>
      <c r="H72" s="119"/>
      <c r="I72" s="119"/>
      <c r="J72" s="119"/>
      <c r="K72" s="119"/>
      <c r="L72" s="119"/>
      <c r="M72" s="119"/>
      <c r="N72" s="117"/>
      <c r="O72" s="117"/>
      <c r="P72" s="120"/>
      <c r="Q72" s="117"/>
      <c r="R72" s="117"/>
      <c r="S72" s="121"/>
      <c r="T72" s="117"/>
      <c r="U72" s="117"/>
      <c r="V72" s="117"/>
      <c r="W72" s="117"/>
      <c r="X72" s="117"/>
      <c r="Y72" s="117"/>
      <c r="Z72" s="117"/>
      <c r="AA72" s="117"/>
      <c r="AB72" s="117"/>
      <c r="AC72" s="117"/>
      <c r="AD72" s="117"/>
      <c r="AE72" s="117"/>
      <c r="AF72" s="117"/>
      <c r="AG72" s="117"/>
      <c r="AH72" s="117"/>
      <c r="AI72" s="112"/>
      <c r="AJ72" s="109"/>
      <c r="AK72" s="109"/>
      <c r="AL72" s="109"/>
      <c r="AM72" s="109"/>
      <c r="AN72" s="109"/>
      <c r="AO72" s="109"/>
      <c r="AP72" s="109"/>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09"/>
      <c r="B73" s="119"/>
      <c r="C73" s="119"/>
      <c r="D73" s="119"/>
      <c r="E73" s="119"/>
      <c r="F73" s="119"/>
      <c r="G73" s="119"/>
      <c r="H73" s="119"/>
      <c r="I73" s="119"/>
      <c r="J73" s="119"/>
      <c r="K73" s="119"/>
      <c r="L73" s="119"/>
      <c r="M73" s="119"/>
      <c r="N73" s="117"/>
      <c r="O73" s="117"/>
      <c r="P73" s="120"/>
      <c r="Q73" s="117"/>
      <c r="R73" s="117"/>
      <c r="S73" s="121"/>
      <c r="T73" s="117"/>
      <c r="U73" s="117"/>
      <c r="V73" s="117"/>
      <c r="W73" s="117"/>
      <c r="X73" s="117"/>
      <c r="Y73" s="117"/>
      <c r="Z73" s="117"/>
      <c r="AA73" s="117"/>
      <c r="AB73" s="117"/>
      <c r="AC73" s="117"/>
      <c r="AD73" s="117"/>
      <c r="AE73" s="117"/>
      <c r="AF73" s="117"/>
      <c r="AG73" s="117"/>
      <c r="AH73" s="117"/>
      <c r="AI73" s="112"/>
      <c r="AJ73" s="109"/>
      <c r="AK73" s="109"/>
      <c r="AL73" s="109"/>
      <c r="AM73" s="109"/>
      <c r="AN73" s="109"/>
      <c r="AO73" s="109"/>
      <c r="AP73" s="109"/>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09"/>
      <c r="B74" s="119"/>
      <c r="C74" s="119"/>
      <c r="D74" s="119"/>
      <c r="E74" s="119"/>
      <c r="F74" s="119"/>
      <c r="G74" s="119"/>
      <c r="H74" s="119"/>
      <c r="I74" s="119"/>
      <c r="J74" s="119"/>
      <c r="K74" s="119"/>
      <c r="L74" s="119"/>
      <c r="M74" s="119"/>
      <c r="N74" s="117"/>
      <c r="O74" s="117"/>
      <c r="P74" s="120"/>
      <c r="Q74" s="117"/>
      <c r="R74" s="117"/>
      <c r="S74" s="120"/>
      <c r="T74" s="117"/>
      <c r="U74" s="117"/>
      <c r="V74" s="117"/>
      <c r="W74" s="117"/>
      <c r="X74" s="117"/>
      <c r="Y74" s="117"/>
      <c r="Z74" s="117"/>
      <c r="AA74" s="117"/>
      <c r="AB74" s="117"/>
      <c r="AC74" s="117"/>
      <c r="AD74" s="117"/>
      <c r="AE74" s="117"/>
      <c r="AF74" s="117"/>
      <c r="AG74" s="117"/>
      <c r="AH74" s="117"/>
      <c r="AI74" s="112"/>
      <c r="AJ74" s="109"/>
      <c r="AK74" s="109"/>
      <c r="AL74" s="109"/>
      <c r="AM74" s="109"/>
      <c r="AN74" s="109"/>
      <c r="AO74" s="109"/>
      <c r="AP74" s="109"/>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09"/>
      <c r="B75" s="119"/>
      <c r="C75" s="119"/>
      <c r="D75" s="119"/>
      <c r="E75" s="119"/>
      <c r="F75" s="119"/>
      <c r="G75" s="119"/>
      <c r="H75" s="119"/>
      <c r="I75" s="119"/>
      <c r="J75" s="119"/>
      <c r="K75" s="119"/>
      <c r="L75" s="119"/>
      <c r="M75" s="119"/>
      <c r="N75" s="117"/>
      <c r="O75" s="117"/>
      <c r="P75" s="120"/>
      <c r="Q75" s="117"/>
      <c r="R75" s="117"/>
      <c r="S75" s="121"/>
      <c r="T75" s="117"/>
      <c r="U75" s="117"/>
      <c r="V75" s="117"/>
      <c r="W75" s="117"/>
      <c r="X75" s="117"/>
      <c r="Y75" s="117"/>
      <c r="Z75" s="117"/>
      <c r="AA75" s="117"/>
      <c r="AB75" s="117"/>
      <c r="AC75" s="117"/>
      <c r="AD75" s="117"/>
      <c r="AE75" s="117"/>
      <c r="AF75" s="117"/>
      <c r="AG75" s="117"/>
      <c r="AH75" s="117"/>
      <c r="AI75" s="112"/>
      <c r="AJ75" s="109"/>
      <c r="AK75" s="109"/>
      <c r="AL75" s="109"/>
      <c r="AM75" s="109"/>
      <c r="AN75" s="109"/>
      <c r="AO75" s="109"/>
      <c r="AP75" s="109"/>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09"/>
      <c r="B76" s="119"/>
      <c r="C76" s="119"/>
      <c r="D76" s="119"/>
      <c r="E76" s="119"/>
      <c r="F76" s="119"/>
      <c r="G76" s="119"/>
      <c r="H76" s="119"/>
      <c r="I76" s="119"/>
      <c r="J76" s="119"/>
      <c r="K76" s="119"/>
      <c r="L76" s="119"/>
      <c r="M76" s="119"/>
      <c r="N76" s="117"/>
      <c r="O76" s="117"/>
      <c r="P76" s="120"/>
      <c r="Q76" s="117"/>
      <c r="R76" s="117"/>
      <c r="S76" s="121"/>
      <c r="T76" s="117"/>
      <c r="U76" s="117"/>
      <c r="V76" s="117"/>
      <c r="W76" s="117"/>
      <c r="X76" s="117"/>
      <c r="Y76" s="117"/>
      <c r="Z76" s="117"/>
      <c r="AA76" s="117"/>
      <c r="AB76" s="117"/>
      <c r="AC76" s="117"/>
      <c r="AD76" s="117"/>
      <c r="AE76" s="117"/>
      <c r="AF76" s="117"/>
      <c r="AG76" s="117"/>
      <c r="AH76" s="117"/>
      <c r="AI76" s="112"/>
      <c r="AJ76" s="109"/>
      <c r="AK76" s="109"/>
      <c r="AL76" s="109"/>
      <c r="AM76" s="109"/>
      <c r="AN76" s="109"/>
      <c r="AO76" s="109"/>
      <c r="AP76" s="109"/>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09"/>
      <c r="B77" s="119"/>
      <c r="C77" s="119"/>
      <c r="D77" s="119"/>
      <c r="E77" s="119"/>
      <c r="F77" s="119"/>
      <c r="G77" s="119"/>
      <c r="H77" s="119"/>
      <c r="I77" s="119"/>
      <c r="J77" s="119"/>
      <c r="K77" s="119"/>
      <c r="L77" s="119"/>
      <c r="M77" s="119"/>
      <c r="N77" s="117"/>
      <c r="O77" s="117"/>
      <c r="P77" s="120"/>
      <c r="Q77" s="117"/>
      <c r="R77" s="117"/>
      <c r="S77" s="121"/>
      <c r="T77" s="117"/>
      <c r="U77" s="117"/>
      <c r="V77" s="117"/>
      <c r="W77" s="117"/>
      <c r="X77" s="117"/>
      <c r="Y77" s="117"/>
      <c r="Z77" s="117"/>
      <c r="AA77" s="117"/>
      <c r="AB77" s="117"/>
      <c r="AC77" s="117"/>
      <c r="AD77" s="117"/>
      <c r="AE77" s="117"/>
      <c r="AF77" s="117"/>
      <c r="AG77" s="117"/>
      <c r="AH77" s="117"/>
      <c r="AI77" s="112"/>
      <c r="AJ77" s="109"/>
      <c r="AK77" s="109"/>
      <c r="AL77" s="109"/>
      <c r="AM77" s="109"/>
      <c r="AN77" s="109"/>
      <c r="AO77" s="109"/>
      <c r="AP77" s="109"/>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12"/>
      <c r="B78" s="119"/>
      <c r="C78" s="119"/>
      <c r="D78" s="119"/>
      <c r="E78" s="119"/>
      <c r="F78" s="119"/>
      <c r="G78" s="119"/>
      <c r="H78" s="119"/>
      <c r="I78" s="119"/>
      <c r="J78" s="119"/>
      <c r="K78" s="119"/>
      <c r="L78" s="119"/>
      <c r="M78" s="119"/>
      <c r="N78" s="117"/>
      <c r="O78" s="117"/>
      <c r="P78" s="120"/>
      <c r="Q78" s="117"/>
      <c r="R78" s="117"/>
      <c r="S78" s="121"/>
      <c r="T78" s="117"/>
      <c r="U78" s="117"/>
      <c r="V78" s="117"/>
      <c r="W78" s="117"/>
      <c r="X78" s="117"/>
      <c r="Y78" s="117"/>
      <c r="Z78" s="117"/>
      <c r="AA78" s="117"/>
      <c r="AB78" s="117"/>
      <c r="AC78" s="117"/>
      <c r="AD78" s="117"/>
      <c r="AE78" s="117"/>
      <c r="AF78" s="117"/>
      <c r="AG78" s="117"/>
      <c r="AH78" s="117"/>
      <c r="AI78" s="117"/>
      <c r="AJ78" s="117"/>
      <c r="AK78" s="109"/>
      <c r="AL78" s="109"/>
      <c r="AM78" s="109"/>
      <c r="AN78" s="109"/>
      <c r="AO78" s="109"/>
      <c r="AP78" s="109"/>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09"/>
      <c r="B79" s="119"/>
      <c r="C79" s="119"/>
      <c r="D79" s="119"/>
      <c r="E79" s="119"/>
      <c r="F79" s="119"/>
      <c r="G79" s="119"/>
      <c r="H79" s="119"/>
      <c r="I79" s="119"/>
      <c r="J79" s="119"/>
      <c r="K79" s="119"/>
      <c r="L79" s="119"/>
      <c r="M79" s="119"/>
      <c r="N79" s="117"/>
      <c r="O79" s="117"/>
      <c r="P79" s="120"/>
      <c r="Q79" s="117"/>
      <c r="R79" s="117"/>
      <c r="S79" s="121"/>
      <c r="T79" s="117"/>
      <c r="U79" s="117"/>
      <c r="V79" s="117"/>
      <c r="W79" s="123"/>
      <c r="X79" s="123"/>
      <c r="Y79" s="123"/>
      <c r="Z79" s="123"/>
      <c r="AA79" s="123"/>
      <c r="AB79" s="123"/>
      <c r="AC79" s="123"/>
      <c r="AD79" s="117"/>
      <c r="AE79" s="117"/>
      <c r="AF79" s="117"/>
      <c r="AG79" s="117"/>
      <c r="AH79" s="117"/>
      <c r="AI79" s="117"/>
      <c r="AJ79" s="117"/>
      <c r="AK79" s="109"/>
      <c r="AL79" s="109"/>
      <c r="AM79" s="109"/>
      <c r="AN79" s="109"/>
      <c r="AO79" s="109"/>
      <c r="AP79" s="109"/>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09"/>
      <c r="B80" s="119"/>
      <c r="C80" s="119"/>
      <c r="D80" s="119"/>
      <c r="E80" s="119"/>
      <c r="F80" s="119"/>
      <c r="G80" s="119"/>
      <c r="H80" s="119"/>
      <c r="I80" s="119"/>
      <c r="J80" s="119"/>
      <c r="K80" s="119"/>
      <c r="L80" s="119"/>
      <c r="M80" s="119"/>
      <c r="N80" s="123"/>
      <c r="O80" s="123"/>
      <c r="P80" s="535"/>
      <c r="Q80" s="123"/>
      <c r="R80" s="123"/>
      <c r="S80" s="535"/>
      <c r="T80" s="123"/>
      <c r="U80" s="123"/>
      <c r="V80" s="123"/>
      <c r="W80" s="117"/>
      <c r="X80" s="117"/>
      <c r="Y80" s="117"/>
      <c r="Z80" s="117"/>
      <c r="AA80" s="117"/>
      <c r="AB80" s="117"/>
      <c r="AC80" s="117"/>
      <c r="AD80" s="117"/>
      <c r="AE80" s="117"/>
      <c r="AF80" s="117"/>
      <c r="AG80" s="117"/>
      <c r="AH80" s="117"/>
      <c r="AI80" s="117"/>
      <c r="AJ80" s="117"/>
      <c r="AK80" s="124"/>
      <c r="AL80" s="124"/>
      <c r="AM80" s="109"/>
      <c r="AN80" s="109"/>
      <c r="AO80" s="109"/>
      <c r="AP80" s="109"/>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09"/>
      <c r="B81" s="119"/>
      <c r="C81" s="119"/>
      <c r="D81" s="119"/>
      <c r="E81" s="119"/>
      <c r="F81" s="119"/>
      <c r="G81" s="119"/>
      <c r="H81" s="119"/>
      <c r="I81" s="119"/>
      <c r="J81" s="119"/>
      <c r="K81" s="119"/>
      <c r="L81" s="119"/>
      <c r="M81" s="119"/>
      <c r="N81" s="117"/>
      <c r="O81" s="117"/>
      <c r="P81" s="120"/>
      <c r="Q81" s="117"/>
      <c r="R81" s="117"/>
      <c r="S81" s="121"/>
      <c r="T81" s="117"/>
      <c r="U81" s="117"/>
      <c r="V81" s="117"/>
      <c r="W81" s="117"/>
      <c r="X81" s="117"/>
      <c r="Y81" s="117"/>
      <c r="Z81" s="117"/>
      <c r="AA81" s="117"/>
      <c r="AB81" s="117"/>
      <c r="AC81" s="117"/>
      <c r="AD81" s="117"/>
      <c r="AE81" s="117"/>
      <c r="AF81" s="117"/>
      <c r="AG81" s="117"/>
      <c r="AH81" s="117"/>
      <c r="AI81" s="117"/>
      <c r="AJ81" s="117"/>
      <c r="AM81" s="109"/>
      <c r="AN81" s="109"/>
      <c r="AO81" s="109"/>
      <c r="AP81" s="109"/>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09"/>
      <c r="B82" s="119"/>
      <c r="C82" s="119"/>
      <c r="D82" s="119"/>
      <c r="E82" s="119"/>
      <c r="F82" s="119"/>
      <c r="G82" s="119"/>
      <c r="H82" s="119"/>
      <c r="I82" s="119"/>
      <c r="J82" s="119"/>
      <c r="K82" s="119"/>
      <c r="L82" s="119"/>
      <c r="M82" s="119"/>
      <c r="N82" s="117"/>
      <c r="O82" s="117"/>
      <c r="P82" s="120"/>
      <c r="Q82" s="117"/>
      <c r="R82" s="117"/>
      <c r="S82" s="121"/>
      <c r="T82" s="117"/>
      <c r="U82" s="117"/>
      <c r="V82" s="117"/>
      <c r="W82" s="117"/>
      <c r="X82" s="117"/>
      <c r="Y82" s="117"/>
      <c r="Z82" s="117"/>
      <c r="AA82" s="117"/>
      <c r="AB82" s="117"/>
      <c r="AC82" s="117"/>
      <c r="AD82" s="117"/>
      <c r="AE82" s="117"/>
      <c r="AF82" s="117"/>
      <c r="AG82" s="117"/>
      <c r="AH82" s="117"/>
      <c r="AI82" s="117"/>
      <c r="AJ82" s="117"/>
      <c r="AK82" s="109"/>
      <c r="AL82" s="109"/>
      <c r="AM82" s="109"/>
      <c r="AN82" s="109"/>
      <c r="AO82" s="109"/>
      <c r="AP82" s="109"/>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09"/>
      <c r="B83" s="119"/>
      <c r="C83" s="119"/>
      <c r="D83" s="119"/>
      <c r="E83" s="119"/>
      <c r="F83" s="119"/>
      <c r="G83" s="119"/>
      <c r="H83" s="119"/>
      <c r="I83" s="119"/>
      <c r="J83" s="119"/>
      <c r="K83" s="119"/>
      <c r="L83" s="119"/>
      <c r="M83" s="119"/>
      <c r="N83" s="117"/>
      <c r="O83" s="117"/>
      <c r="P83" s="120"/>
      <c r="Q83" s="117"/>
      <c r="R83" s="117"/>
      <c r="S83" s="121"/>
      <c r="T83" s="117"/>
      <c r="U83" s="117"/>
      <c r="V83" s="117"/>
      <c r="W83" s="117"/>
      <c r="X83" s="117"/>
      <c r="Y83" s="117"/>
      <c r="Z83" s="117"/>
      <c r="AA83" s="117"/>
      <c r="AB83" s="117"/>
      <c r="AC83" s="117"/>
      <c r="AD83" s="117"/>
      <c r="AE83" s="117"/>
      <c r="AF83" s="117"/>
      <c r="AG83" s="117"/>
      <c r="AH83" s="117"/>
      <c r="AI83" s="117"/>
      <c r="AJ83" s="117"/>
      <c r="AK83" s="109"/>
      <c r="AL83" s="109"/>
      <c r="AM83" s="109"/>
      <c r="AN83" s="109"/>
      <c r="AO83" s="109"/>
      <c r="AP83" s="109"/>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12"/>
      <c r="B84" s="119"/>
      <c r="C84" s="119"/>
      <c r="D84" s="119"/>
      <c r="E84" s="119"/>
      <c r="F84" s="119"/>
      <c r="G84" s="119"/>
      <c r="H84" s="119"/>
      <c r="I84" s="119"/>
      <c r="J84" s="119"/>
      <c r="K84" s="119"/>
      <c r="L84" s="119"/>
      <c r="M84" s="119"/>
      <c r="N84" s="117"/>
      <c r="O84" s="117"/>
      <c r="P84" s="120"/>
      <c r="Q84" s="117"/>
      <c r="R84" s="117"/>
      <c r="S84" s="121"/>
      <c r="T84" s="117"/>
      <c r="U84" s="117"/>
      <c r="V84" s="117"/>
      <c r="W84" s="117"/>
      <c r="X84" s="117"/>
      <c r="Y84" s="117"/>
      <c r="Z84" s="117"/>
      <c r="AA84" s="117"/>
      <c r="AB84" s="117"/>
      <c r="AC84" s="117"/>
      <c r="AD84" s="117"/>
      <c r="AE84" s="117"/>
      <c r="AF84" s="117"/>
      <c r="AG84" s="117"/>
      <c r="AH84" s="117"/>
      <c r="AI84" s="117"/>
      <c r="AJ84" s="117"/>
      <c r="AK84" s="109"/>
      <c r="AL84" s="109"/>
      <c r="AM84" s="109"/>
      <c r="AN84" s="109"/>
      <c r="AO84" s="109"/>
      <c r="AP84" s="109"/>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09"/>
      <c r="B85" s="119"/>
      <c r="C85" s="119"/>
      <c r="D85" s="119"/>
      <c r="E85" s="119"/>
      <c r="F85" s="119"/>
      <c r="G85" s="119"/>
      <c r="H85" s="119"/>
      <c r="I85" s="119"/>
      <c r="J85" s="119"/>
      <c r="K85" s="119"/>
      <c r="L85" s="119"/>
      <c r="M85" s="119"/>
      <c r="N85" s="117"/>
      <c r="O85" s="117"/>
      <c r="P85" s="120"/>
      <c r="Q85" s="117"/>
      <c r="R85" s="117"/>
      <c r="S85" s="121"/>
      <c r="T85" s="117"/>
      <c r="U85" s="117"/>
      <c r="V85" s="117"/>
      <c r="W85" s="117"/>
      <c r="X85" s="117"/>
      <c r="Y85" s="117"/>
      <c r="Z85" s="117"/>
      <c r="AA85" s="117"/>
      <c r="AB85" s="117"/>
      <c r="AC85" s="117"/>
      <c r="AD85" s="117"/>
      <c r="AE85" s="117"/>
      <c r="AF85" s="117"/>
      <c r="AG85" s="117"/>
      <c r="AH85" s="117"/>
      <c r="AI85" s="117"/>
      <c r="AJ85" s="117"/>
      <c r="AK85" s="109"/>
      <c r="AL85" s="109"/>
      <c r="AM85" s="109"/>
      <c r="AN85" s="109"/>
      <c r="AO85" s="109"/>
      <c r="AP85" s="109"/>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09"/>
      <c r="B86" s="119"/>
      <c r="C86" s="119"/>
      <c r="D86" s="119"/>
      <c r="E86" s="119"/>
      <c r="F86" s="119"/>
      <c r="G86" s="119"/>
      <c r="H86" s="119"/>
      <c r="I86" s="119"/>
      <c r="J86" s="119"/>
      <c r="K86" s="119"/>
      <c r="L86" s="119"/>
      <c r="M86" s="119"/>
      <c r="N86" s="117"/>
      <c r="O86" s="117"/>
      <c r="P86" s="120"/>
      <c r="Q86" s="117"/>
      <c r="R86" s="117"/>
      <c r="S86" s="120"/>
      <c r="T86" s="117"/>
      <c r="U86" s="117"/>
      <c r="V86" s="117"/>
      <c r="W86" s="117"/>
      <c r="X86" s="117"/>
      <c r="Y86" s="117"/>
      <c r="Z86" s="117"/>
      <c r="AA86" s="117"/>
      <c r="AB86" s="117"/>
      <c r="AC86" s="117"/>
      <c r="AD86" s="117"/>
      <c r="AE86" s="117"/>
      <c r="AF86" s="117"/>
      <c r="AG86" s="117"/>
      <c r="AH86" s="117"/>
      <c r="AI86" s="117"/>
      <c r="AJ86" s="117"/>
      <c r="AK86" s="109"/>
      <c r="AL86" s="109"/>
      <c r="AM86" s="124"/>
      <c r="AN86" s="109"/>
      <c r="AO86" s="109"/>
      <c r="AP86" s="109"/>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09"/>
      <c r="B87" s="119"/>
      <c r="C87" s="119"/>
      <c r="D87" s="119"/>
      <c r="E87" s="119"/>
      <c r="F87" s="119"/>
      <c r="G87" s="119"/>
      <c r="H87" s="119"/>
      <c r="I87" s="119"/>
      <c r="J87" s="119"/>
      <c r="K87" s="119"/>
      <c r="L87" s="119"/>
      <c r="M87" s="119"/>
      <c r="N87" s="117"/>
      <c r="O87" s="117"/>
      <c r="P87" s="120"/>
      <c r="Q87" s="117"/>
      <c r="R87" s="117"/>
      <c r="S87" s="121"/>
      <c r="T87" s="117"/>
      <c r="U87" s="117"/>
      <c r="V87" s="117"/>
      <c r="W87" s="117"/>
      <c r="X87" s="117"/>
      <c r="Y87" s="117"/>
      <c r="Z87" s="117"/>
      <c r="AA87" s="117"/>
      <c r="AB87" s="117"/>
      <c r="AC87" s="117"/>
      <c r="AD87" s="117"/>
      <c r="AE87" s="117"/>
      <c r="AF87" s="117"/>
      <c r="AG87" s="117"/>
      <c r="AH87" s="117"/>
      <c r="AI87" s="117"/>
      <c r="AJ87" s="117"/>
      <c r="AK87" s="109"/>
      <c r="AL87" s="109"/>
      <c r="AM87" s="109"/>
      <c r="AN87" s="109"/>
      <c r="AO87" s="109"/>
      <c r="AP87" s="109"/>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09"/>
      <c r="B88" s="119"/>
      <c r="C88" s="119"/>
      <c r="D88" s="119"/>
      <c r="E88" s="119"/>
      <c r="F88" s="119"/>
      <c r="G88" s="119"/>
      <c r="H88" s="119"/>
      <c r="I88" s="119"/>
      <c r="J88" s="119"/>
      <c r="K88" s="119"/>
      <c r="L88" s="119"/>
      <c r="M88" s="119"/>
      <c r="N88" s="117"/>
      <c r="O88" s="117"/>
      <c r="P88" s="120"/>
      <c r="Q88" s="117"/>
      <c r="R88" s="117"/>
      <c r="S88" s="121"/>
      <c r="T88" s="117"/>
      <c r="U88" s="117"/>
      <c r="V88" s="117"/>
      <c r="W88" s="117"/>
      <c r="X88" s="117"/>
      <c r="Y88" s="117"/>
      <c r="Z88" s="117"/>
      <c r="AA88" s="117"/>
      <c r="AB88" s="117"/>
      <c r="AC88" s="117"/>
      <c r="AD88" s="117"/>
      <c r="AE88" s="117"/>
      <c r="AF88" s="117"/>
      <c r="AG88" s="117"/>
      <c r="AH88" s="117"/>
      <c r="AI88" s="117"/>
      <c r="AJ88" s="117"/>
      <c r="AK88" s="109"/>
      <c r="AL88" s="109"/>
      <c r="AM88" s="109"/>
      <c r="AN88" s="109"/>
      <c r="AO88" s="109"/>
      <c r="AP88" s="109"/>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09"/>
      <c r="B89" s="119"/>
      <c r="C89" s="119"/>
      <c r="D89" s="119"/>
      <c r="E89" s="119"/>
      <c r="F89" s="119"/>
      <c r="G89" s="119"/>
      <c r="H89" s="119"/>
      <c r="I89" s="119"/>
      <c r="J89" s="119"/>
      <c r="K89" s="119"/>
      <c r="L89" s="119"/>
      <c r="M89" s="119"/>
      <c r="N89" s="117"/>
      <c r="O89" s="117"/>
      <c r="P89" s="120"/>
      <c r="Q89" s="117"/>
      <c r="R89" s="117"/>
      <c r="S89" s="121"/>
      <c r="T89" s="117"/>
      <c r="U89" s="117"/>
      <c r="V89" s="117"/>
      <c r="W89" s="117"/>
      <c r="X89" s="117"/>
      <c r="Y89" s="117"/>
      <c r="Z89" s="117"/>
      <c r="AA89" s="117"/>
      <c r="AB89" s="117"/>
      <c r="AC89" s="117"/>
      <c r="AD89" s="117"/>
      <c r="AE89" s="117"/>
      <c r="AF89" s="117"/>
      <c r="AG89" s="117"/>
      <c r="AH89" s="117"/>
      <c r="AI89" s="117"/>
      <c r="AJ89" s="117"/>
      <c r="AK89" s="109"/>
      <c r="AL89" s="109"/>
      <c r="AM89" s="109"/>
      <c r="AN89" s="109"/>
      <c r="AO89" s="109"/>
      <c r="AP89" s="109"/>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12"/>
      <c r="B90" s="119"/>
      <c r="C90" s="119"/>
      <c r="D90" s="119"/>
      <c r="E90" s="119"/>
      <c r="F90" s="119"/>
      <c r="G90" s="119"/>
      <c r="H90" s="119"/>
      <c r="I90" s="119"/>
      <c r="J90" s="119"/>
      <c r="K90" s="119"/>
      <c r="L90" s="119"/>
      <c r="M90" s="119"/>
      <c r="N90" s="117"/>
      <c r="O90" s="117"/>
      <c r="P90" s="120"/>
      <c r="Q90" s="117"/>
      <c r="R90" s="117"/>
      <c r="S90" s="121"/>
      <c r="T90" s="117"/>
      <c r="U90" s="117"/>
      <c r="V90" s="117"/>
      <c r="W90" s="117"/>
      <c r="X90" s="117"/>
      <c r="Y90" s="117"/>
      <c r="Z90" s="117"/>
      <c r="AA90" s="117"/>
      <c r="AB90" s="117"/>
      <c r="AC90" s="117"/>
      <c r="AD90" s="117"/>
      <c r="AE90" s="117"/>
      <c r="AF90" s="117"/>
      <c r="AG90" s="117"/>
      <c r="AH90" s="117"/>
      <c r="AI90" s="117"/>
      <c r="AJ90" s="117"/>
      <c r="AK90" s="109"/>
      <c r="AL90" s="109"/>
      <c r="AM90" s="109"/>
      <c r="AN90" s="109"/>
      <c r="AO90" s="109"/>
      <c r="AP90" s="109"/>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09"/>
      <c r="B91" s="119"/>
      <c r="C91" s="119"/>
      <c r="D91" s="119"/>
      <c r="E91" s="119"/>
      <c r="F91" s="119"/>
      <c r="G91" s="119"/>
      <c r="H91" s="119"/>
      <c r="I91" s="119"/>
      <c r="J91" s="119"/>
      <c r="K91" s="119"/>
      <c r="L91" s="119"/>
      <c r="M91" s="119"/>
      <c r="N91" s="117"/>
      <c r="O91" s="117"/>
      <c r="P91" s="120"/>
      <c r="Q91" s="117"/>
      <c r="R91" s="117"/>
      <c r="S91" s="121"/>
      <c r="T91" s="117"/>
      <c r="U91" s="117"/>
      <c r="V91" s="117"/>
      <c r="W91" s="117"/>
      <c r="X91" s="117"/>
      <c r="Y91" s="117"/>
      <c r="Z91" s="117"/>
      <c r="AA91" s="117"/>
      <c r="AB91" s="117"/>
      <c r="AC91" s="117"/>
      <c r="AD91" s="117"/>
      <c r="AE91" s="117"/>
      <c r="AF91" s="117"/>
      <c r="AG91" s="117"/>
      <c r="AH91" s="117"/>
      <c r="AI91" s="117"/>
      <c r="AJ91" s="117"/>
      <c r="AK91" s="109"/>
      <c r="AL91" s="109"/>
      <c r="AM91" s="109"/>
      <c r="AN91" s="109"/>
      <c r="AO91" s="109"/>
      <c r="AP91" s="109"/>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09"/>
      <c r="B92" s="119"/>
      <c r="C92" s="119"/>
      <c r="D92" s="119"/>
      <c r="E92" s="119"/>
      <c r="F92" s="119"/>
      <c r="G92" s="119"/>
      <c r="H92" s="119"/>
      <c r="I92" s="119"/>
      <c r="J92" s="119"/>
      <c r="K92" s="119"/>
      <c r="L92" s="119"/>
      <c r="M92" s="119"/>
      <c r="N92" s="117"/>
      <c r="O92" s="117"/>
      <c r="P92" s="120"/>
      <c r="Q92" s="117"/>
      <c r="R92" s="117"/>
      <c r="S92" s="120"/>
      <c r="T92" s="117"/>
      <c r="U92" s="117"/>
      <c r="V92" s="117"/>
      <c r="W92" s="117"/>
      <c r="X92" s="117"/>
      <c r="Y92" s="117"/>
      <c r="Z92" s="117"/>
      <c r="AA92" s="117"/>
      <c r="AB92" s="117"/>
      <c r="AC92" s="117"/>
      <c r="AD92" s="117"/>
      <c r="AE92" s="117"/>
      <c r="AF92" s="117"/>
      <c r="AG92" s="117"/>
      <c r="AH92" s="117"/>
      <c r="AI92" s="117"/>
      <c r="AJ92" s="117"/>
      <c r="AK92" s="109"/>
      <c r="AL92" s="109"/>
      <c r="AM92" s="124"/>
      <c r="AN92" s="109"/>
      <c r="AO92" s="109"/>
      <c r="AP92" s="109"/>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09"/>
      <c r="B93" s="119"/>
      <c r="C93" s="119"/>
      <c r="D93" s="119"/>
      <c r="E93" s="119"/>
      <c r="F93" s="119"/>
      <c r="G93" s="119"/>
      <c r="H93" s="119"/>
      <c r="I93" s="119"/>
      <c r="J93" s="119"/>
      <c r="K93" s="119"/>
      <c r="L93" s="119"/>
      <c r="M93" s="119"/>
      <c r="N93" s="117"/>
      <c r="O93" s="117"/>
      <c r="P93" s="120"/>
      <c r="Q93" s="117"/>
      <c r="R93" s="117"/>
      <c r="S93" s="121"/>
      <c r="T93" s="117"/>
      <c r="U93" s="117"/>
      <c r="V93" s="117"/>
      <c r="W93" s="117"/>
      <c r="X93" s="117"/>
      <c r="Y93" s="117"/>
      <c r="Z93" s="117"/>
      <c r="AA93" s="117"/>
      <c r="AB93" s="117"/>
      <c r="AC93" s="117"/>
      <c r="AD93" s="117"/>
      <c r="AE93" s="117"/>
      <c r="AF93" s="117"/>
      <c r="AG93" s="117"/>
      <c r="AH93" s="117"/>
      <c r="AI93" s="117"/>
      <c r="AJ93" s="117"/>
      <c r="AK93" s="109"/>
      <c r="AL93" s="109"/>
      <c r="AM93" s="109"/>
      <c r="AN93" s="109"/>
      <c r="AO93" s="109"/>
      <c r="AP93" s="109"/>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09"/>
      <c r="B94" s="119"/>
      <c r="C94" s="119"/>
      <c r="D94" s="119"/>
      <c r="E94" s="119"/>
      <c r="F94" s="119"/>
      <c r="G94" s="119"/>
      <c r="H94" s="119"/>
      <c r="I94" s="119"/>
      <c r="J94" s="119"/>
      <c r="K94" s="119"/>
      <c r="L94" s="119"/>
      <c r="M94" s="119"/>
      <c r="N94" s="117"/>
      <c r="O94" s="117"/>
      <c r="P94" s="120"/>
      <c r="Q94" s="117"/>
      <c r="R94" s="117"/>
      <c r="S94" s="121"/>
      <c r="T94" s="117"/>
      <c r="U94" s="117"/>
      <c r="V94" s="117"/>
      <c r="W94" s="117"/>
      <c r="X94" s="117"/>
      <c r="Y94" s="117"/>
      <c r="Z94" s="117"/>
      <c r="AA94" s="117"/>
      <c r="AB94" s="117"/>
      <c r="AC94" s="117"/>
      <c r="AD94" s="117"/>
      <c r="AE94" s="117"/>
      <c r="AF94" s="117"/>
      <c r="AG94" s="117"/>
      <c r="AH94" s="117"/>
      <c r="AI94" s="117"/>
      <c r="AJ94" s="117"/>
      <c r="AK94" s="109"/>
      <c r="AL94" s="109"/>
      <c r="AM94" s="109"/>
      <c r="AN94" s="109"/>
      <c r="AO94" s="109"/>
      <c r="AP94" s="109"/>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09"/>
      <c r="B95" s="119"/>
      <c r="C95" s="119"/>
      <c r="D95" s="119"/>
      <c r="E95" s="119"/>
      <c r="F95" s="119"/>
      <c r="G95" s="119"/>
      <c r="H95" s="119"/>
      <c r="I95" s="119"/>
      <c r="J95" s="119"/>
      <c r="K95" s="119"/>
      <c r="L95" s="119"/>
      <c r="M95" s="119"/>
      <c r="N95" s="117"/>
      <c r="O95" s="117"/>
      <c r="P95" s="120"/>
      <c r="Q95" s="117"/>
      <c r="R95" s="117"/>
      <c r="S95" s="121"/>
      <c r="T95" s="117"/>
      <c r="U95" s="117"/>
      <c r="V95" s="117"/>
      <c r="W95" s="117"/>
      <c r="X95" s="117"/>
      <c r="Y95" s="117"/>
      <c r="Z95" s="117"/>
      <c r="AA95" s="117"/>
      <c r="AB95" s="117"/>
      <c r="AC95" s="117"/>
      <c r="AD95" s="117"/>
      <c r="AE95" s="117"/>
      <c r="AF95" s="117"/>
      <c r="AG95" s="117"/>
      <c r="AH95" s="117"/>
      <c r="AI95" s="112"/>
      <c r="AJ95" s="109"/>
      <c r="AK95" s="109"/>
      <c r="AL95" s="109"/>
      <c r="AM95" s="109"/>
      <c r="AN95" s="109"/>
      <c r="AO95" s="109"/>
      <c r="AP95" s="109"/>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12"/>
      <c r="B96" s="119"/>
      <c r="C96" s="119"/>
      <c r="D96" s="119"/>
      <c r="E96" s="119"/>
      <c r="F96" s="119"/>
      <c r="G96" s="119"/>
      <c r="H96" s="119"/>
      <c r="I96" s="119"/>
      <c r="J96" s="119"/>
      <c r="K96" s="119"/>
      <c r="L96" s="119"/>
      <c r="M96" s="119"/>
      <c r="N96" s="117"/>
      <c r="O96" s="117"/>
      <c r="P96" s="120"/>
      <c r="Q96" s="117"/>
      <c r="R96" s="117"/>
      <c r="S96" s="121"/>
      <c r="T96" s="117"/>
      <c r="U96" s="117"/>
      <c r="V96" s="117"/>
      <c r="W96" s="117"/>
      <c r="X96" s="117"/>
      <c r="Y96" s="117"/>
      <c r="Z96" s="117"/>
      <c r="AA96" s="117"/>
      <c r="AB96" s="117"/>
      <c r="AC96" s="117"/>
      <c r="AD96" s="117"/>
      <c r="AE96" s="117"/>
      <c r="AF96" s="117"/>
      <c r="AG96" s="117"/>
      <c r="AH96" s="117"/>
      <c r="AI96" s="112"/>
      <c r="AJ96" s="109"/>
      <c r="AK96" s="109"/>
      <c r="AL96" s="109"/>
      <c r="AM96" s="109"/>
      <c r="AN96" s="109"/>
      <c r="AO96" s="109"/>
      <c r="AP96" s="109"/>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09"/>
      <c r="B97" s="119"/>
      <c r="C97" s="119"/>
      <c r="D97" s="119"/>
      <c r="E97" s="119"/>
      <c r="F97" s="119"/>
      <c r="G97" s="119"/>
      <c r="H97" s="119"/>
      <c r="I97" s="119"/>
      <c r="J97" s="119"/>
      <c r="K97" s="119"/>
      <c r="L97" s="119"/>
      <c r="M97" s="119"/>
      <c r="N97" s="117"/>
      <c r="O97" s="117"/>
      <c r="P97" s="120"/>
      <c r="Q97" s="117"/>
      <c r="R97" s="117"/>
      <c r="S97" s="121"/>
      <c r="T97" s="117"/>
      <c r="U97" s="117"/>
      <c r="V97" s="117"/>
      <c r="W97" s="117"/>
      <c r="X97" s="117"/>
      <c r="Y97" s="117"/>
      <c r="Z97" s="117"/>
      <c r="AA97" s="117"/>
      <c r="AB97" s="117"/>
      <c r="AC97" s="117"/>
      <c r="AD97" s="117"/>
      <c r="AE97" s="117"/>
      <c r="AF97" s="117"/>
      <c r="AG97" s="117"/>
      <c r="AH97" s="117"/>
      <c r="AI97" s="112"/>
      <c r="AJ97" s="109"/>
      <c r="AK97" s="109"/>
      <c r="AL97" s="109"/>
      <c r="AM97" s="109"/>
      <c r="AN97" s="109"/>
      <c r="AO97" s="109"/>
      <c r="AP97" s="109"/>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09"/>
      <c r="B98" s="119"/>
      <c r="C98" s="119"/>
      <c r="D98" s="119"/>
      <c r="E98" s="119"/>
      <c r="F98" s="119"/>
      <c r="G98" s="119"/>
      <c r="H98" s="119"/>
      <c r="I98" s="119"/>
      <c r="J98" s="119"/>
      <c r="K98" s="119"/>
      <c r="L98" s="119"/>
      <c r="M98" s="119"/>
      <c r="N98" s="117"/>
      <c r="O98" s="117"/>
      <c r="P98" s="120"/>
      <c r="Q98" s="117"/>
      <c r="R98" s="117"/>
      <c r="S98" s="120"/>
      <c r="T98" s="117"/>
      <c r="U98" s="117"/>
      <c r="V98" s="117"/>
      <c r="W98" s="117"/>
      <c r="X98" s="117"/>
      <c r="Y98" s="117"/>
      <c r="Z98" s="117"/>
      <c r="AA98" s="117"/>
      <c r="AB98" s="117"/>
      <c r="AC98" s="117"/>
      <c r="AD98" s="117"/>
      <c r="AE98" s="117"/>
      <c r="AF98" s="117"/>
      <c r="AG98" s="117"/>
      <c r="AH98" s="117"/>
      <c r="AI98" s="112"/>
      <c r="AJ98" s="109"/>
      <c r="AK98" s="109"/>
      <c r="AL98" s="109"/>
      <c r="AM98" s="124"/>
      <c r="AN98" s="109"/>
      <c r="AO98" s="109"/>
      <c r="AP98" s="109"/>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09"/>
      <c r="B99" s="119"/>
      <c r="C99" s="119"/>
      <c r="D99" s="119"/>
      <c r="E99" s="119"/>
      <c r="F99" s="119"/>
      <c r="G99" s="119"/>
      <c r="H99" s="119"/>
      <c r="I99" s="119"/>
      <c r="J99" s="119"/>
      <c r="K99" s="119"/>
      <c r="L99" s="119"/>
      <c r="M99" s="119"/>
      <c r="N99" s="117"/>
      <c r="O99" s="117"/>
      <c r="P99" s="120"/>
      <c r="Q99" s="117"/>
      <c r="R99" s="117"/>
      <c r="S99" s="121"/>
      <c r="T99" s="117"/>
      <c r="U99" s="117"/>
      <c r="V99" s="117"/>
      <c r="W99" s="117"/>
      <c r="X99" s="117"/>
      <c r="Y99" s="117"/>
      <c r="Z99" s="117"/>
      <c r="AA99" s="117"/>
      <c r="AB99" s="117"/>
      <c r="AC99" s="117"/>
      <c r="AD99" s="117"/>
      <c r="AE99" s="117"/>
      <c r="AF99" s="117"/>
      <c r="AG99" s="117"/>
      <c r="AH99" s="117"/>
      <c r="AI99" s="112"/>
      <c r="AJ99" s="109"/>
      <c r="AK99" s="109"/>
      <c r="AL99" s="109"/>
      <c r="AM99" s="109"/>
      <c r="AN99" s="109"/>
      <c r="AO99" s="109"/>
      <c r="AP99" s="109"/>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09"/>
      <c r="B100" s="119"/>
      <c r="C100" s="119"/>
      <c r="D100" s="119"/>
      <c r="E100" s="119"/>
      <c r="F100" s="119"/>
      <c r="G100" s="119"/>
      <c r="H100" s="119"/>
      <c r="I100" s="119"/>
      <c r="J100" s="119"/>
      <c r="K100" s="119"/>
      <c r="L100" s="119"/>
      <c r="M100" s="119"/>
      <c r="N100" s="117"/>
      <c r="O100" s="117"/>
      <c r="P100" s="120"/>
      <c r="Q100" s="117"/>
      <c r="R100" s="117"/>
      <c r="S100" s="121"/>
      <c r="T100" s="117"/>
      <c r="U100" s="117"/>
      <c r="V100" s="117"/>
      <c r="W100" s="117"/>
      <c r="X100" s="117"/>
      <c r="Y100" s="117"/>
      <c r="Z100" s="117"/>
      <c r="AA100" s="117"/>
      <c r="AB100" s="117"/>
      <c r="AC100" s="117"/>
      <c r="AD100" s="117"/>
      <c r="AE100" s="117"/>
      <c r="AF100" s="117"/>
      <c r="AG100" s="117"/>
      <c r="AH100" s="117"/>
      <c r="AI100" s="112"/>
      <c r="AJ100" s="109"/>
      <c r="AK100" s="109"/>
      <c r="AL100" s="109"/>
      <c r="AM100" s="109"/>
      <c r="AN100" s="109"/>
      <c r="AO100" s="109"/>
      <c r="AP100" s="109"/>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09"/>
      <c r="B101" s="119"/>
      <c r="C101" s="119"/>
      <c r="D101" s="119"/>
      <c r="E101" s="119"/>
      <c r="F101" s="119"/>
      <c r="G101" s="119"/>
      <c r="H101" s="119"/>
      <c r="I101" s="119"/>
      <c r="J101" s="119"/>
      <c r="K101" s="119"/>
      <c r="L101" s="119"/>
      <c r="M101" s="119"/>
      <c r="N101" s="117"/>
      <c r="O101" s="117"/>
      <c r="P101" s="120"/>
      <c r="Q101" s="117"/>
      <c r="R101" s="117"/>
      <c r="S101" s="121"/>
      <c r="T101" s="117"/>
      <c r="U101" s="117"/>
      <c r="V101" s="117"/>
      <c r="W101" s="117"/>
      <c r="X101" s="117"/>
      <c r="Y101" s="117"/>
      <c r="Z101" s="117"/>
      <c r="AA101" s="117"/>
      <c r="AB101" s="117"/>
      <c r="AC101" s="117"/>
      <c r="AD101" s="117"/>
      <c r="AE101" s="117"/>
      <c r="AF101" s="117"/>
      <c r="AG101" s="117"/>
      <c r="AH101" s="117"/>
      <c r="AI101" s="112"/>
      <c r="AJ101" s="109"/>
      <c r="AK101" s="109"/>
      <c r="AL101" s="109"/>
      <c r="AM101" s="109"/>
      <c r="AN101" s="109"/>
      <c r="AO101" s="109"/>
      <c r="AP101" s="109"/>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12"/>
      <c r="B102" s="119"/>
      <c r="C102" s="119"/>
      <c r="D102" s="119"/>
      <c r="E102" s="119"/>
      <c r="F102" s="119"/>
      <c r="G102" s="119"/>
      <c r="H102" s="119"/>
      <c r="I102" s="119"/>
      <c r="J102" s="119"/>
      <c r="K102" s="119"/>
      <c r="L102" s="119"/>
      <c r="M102" s="119"/>
      <c r="N102" s="117"/>
      <c r="O102" s="117"/>
      <c r="P102" s="120"/>
      <c r="Q102" s="117"/>
      <c r="R102" s="117"/>
      <c r="S102" s="121"/>
      <c r="T102" s="117"/>
      <c r="U102" s="117"/>
      <c r="V102" s="117"/>
      <c r="W102" s="117"/>
      <c r="X102" s="117"/>
      <c r="Y102" s="117"/>
      <c r="Z102" s="117"/>
      <c r="AA102" s="117"/>
      <c r="AB102" s="117"/>
      <c r="AC102" s="117"/>
      <c r="AD102" s="117"/>
      <c r="AE102" s="117"/>
      <c r="AF102" s="117"/>
      <c r="AG102" s="117"/>
      <c r="AH102" s="117"/>
      <c r="AI102" s="112"/>
      <c r="AJ102" s="109"/>
      <c r="AK102" s="109"/>
      <c r="AL102" s="109"/>
      <c r="AM102" s="109"/>
      <c r="AN102" s="109"/>
      <c r="AO102" s="109"/>
      <c r="AP102" s="109"/>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09"/>
      <c r="B103" s="119"/>
      <c r="C103" s="119"/>
      <c r="D103" s="119"/>
      <c r="E103" s="119"/>
      <c r="F103" s="119"/>
      <c r="G103" s="119"/>
      <c r="H103" s="119"/>
      <c r="I103" s="119"/>
      <c r="J103" s="119"/>
      <c r="K103" s="119"/>
      <c r="L103" s="119"/>
      <c r="M103" s="119"/>
      <c r="N103" s="117"/>
      <c r="O103" s="117"/>
      <c r="P103" s="120"/>
      <c r="Q103" s="117"/>
      <c r="R103" s="117"/>
      <c r="S103" s="121"/>
      <c r="T103" s="117"/>
      <c r="U103" s="117"/>
      <c r="V103" s="117"/>
      <c r="W103" s="117"/>
      <c r="X103" s="117"/>
      <c r="Y103" s="117"/>
      <c r="Z103" s="117"/>
      <c r="AA103" s="117"/>
      <c r="AB103" s="117"/>
      <c r="AC103" s="117"/>
      <c r="AD103" s="117"/>
      <c r="AE103" s="117"/>
      <c r="AF103" s="117"/>
      <c r="AG103" s="117"/>
      <c r="AH103" s="117"/>
      <c r="AI103" s="112"/>
      <c r="AJ103" s="109"/>
      <c r="AK103" s="109"/>
      <c r="AL103" s="109"/>
      <c r="AM103" s="109"/>
      <c r="AN103" s="109"/>
      <c r="AO103" s="109"/>
      <c r="AP103" s="109"/>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09"/>
      <c r="B104" s="119"/>
      <c r="C104" s="119"/>
      <c r="D104" s="119"/>
      <c r="E104" s="119"/>
      <c r="F104" s="119"/>
      <c r="G104" s="119"/>
      <c r="H104" s="119"/>
      <c r="I104" s="119"/>
      <c r="J104" s="119"/>
      <c r="K104" s="119"/>
      <c r="L104" s="119"/>
      <c r="M104" s="119"/>
      <c r="N104" s="117"/>
      <c r="O104" s="117"/>
      <c r="P104" s="120"/>
      <c r="Q104" s="117"/>
      <c r="R104" s="117"/>
      <c r="S104" s="120"/>
      <c r="T104" s="117"/>
      <c r="U104" s="117"/>
      <c r="V104" s="117"/>
      <c r="W104" s="117"/>
      <c r="X104" s="117"/>
      <c r="Y104" s="117"/>
      <c r="Z104" s="117"/>
      <c r="AA104" s="117"/>
      <c r="AB104" s="117"/>
      <c r="AC104" s="117"/>
      <c r="AD104" s="117"/>
      <c r="AE104" s="117"/>
      <c r="AF104" s="117"/>
      <c r="AG104" s="117"/>
      <c r="AH104" s="117"/>
      <c r="AI104" s="112"/>
      <c r="AJ104" s="109"/>
      <c r="AK104" s="109"/>
      <c r="AL104" s="109"/>
      <c r="AM104" s="109"/>
      <c r="AN104" s="109"/>
      <c r="AO104" s="109"/>
      <c r="AP104" s="109"/>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09"/>
      <c r="B105" s="119"/>
      <c r="C105" s="119"/>
      <c r="D105" s="119"/>
      <c r="E105" s="119"/>
      <c r="F105" s="119"/>
      <c r="G105" s="119"/>
      <c r="H105" s="119"/>
      <c r="I105" s="119"/>
      <c r="J105" s="119"/>
      <c r="K105" s="119"/>
      <c r="L105" s="119"/>
      <c r="M105" s="119"/>
      <c r="N105" s="117"/>
      <c r="O105" s="117"/>
      <c r="P105" s="120"/>
      <c r="Q105" s="117"/>
      <c r="R105" s="117"/>
      <c r="S105" s="121"/>
      <c r="T105" s="117"/>
      <c r="U105" s="117"/>
      <c r="V105" s="117"/>
      <c r="W105" s="117"/>
      <c r="X105" s="117"/>
      <c r="Y105" s="117"/>
      <c r="Z105" s="117"/>
      <c r="AA105" s="117"/>
      <c r="AB105" s="117"/>
      <c r="AC105" s="117"/>
      <c r="AD105" s="117"/>
      <c r="AE105" s="117"/>
      <c r="AF105" s="117"/>
      <c r="AG105" s="117"/>
      <c r="AH105" s="117"/>
      <c r="AI105" s="112"/>
      <c r="AJ105" s="109"/>
      <c r="AK105" s="109"/>
      <c r="AL105" s="109"/>
      <c r="AM105" s="109"/>
      <c r="AN105" s="109"/>
      <c r="AO105" s="109"/>
      <c r="AP105" s="109"/>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09"/>
      <c r="B106" s="119"/>
      <c r="C106" s="119"/>
      <c r="D106" s="119"/>
      <c r="E106" s="119"/>
      <c r="F106" s="119"/>
      <c r="G106" s="119"/>
      <c r="H106" s="119"/>
      <c r="I106" s="119"/>
      <c r="J106" s="119"/>
      <c r="K106" s="119"/>
      <c r="L106" s="119"/>
      <c r="M106" s="119"/>
      <c r="N106" s="117"/>
      <c r="O106" s="117"/>
      <c r="P106" s="120"/>
      <c r="Q106" s="117"/>
      <c r="R106" s="117"/>
      <c r="S106" s="121"/>
      <c r="T106" s="117"/>
      <c r="U106" s="117"/>
      <c r="V106" s="117"/>
      <c r="W106" s="117"/>
      <c r="X106" s="117"/>
      <c r="Y106" s="117"/>
      <c r="Z106" s="117"/>
      <c r="AA106" s="117"/>
      <c r="AB106" s="117"/>
      <c r="AC106" s="117"/>
      <c r="AD106" s="117"/>
      <c r="AE106" s="117"/>
      <c r="AF106" s="117"/>
      <c r="AG106" s="117"/>
      <c r="AH106" s="117"/>
      <c r="AI106" s="112"/>
      <c r="AJ106" s="109"/>
      <c r="AK106" s="109"/>
      <c r="AL106" s="109"/>
      <c r="AM106" s="109"/>
      <c r="AN106" s="109"/>
      <c r="AO106" s="109"/>
      <c r="AP106" s="109"/>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09"/>
      <c r="B107" s="119"/>
      <c r="C107" s="119"/>
      <c r="D107" s="119"/>
      <c r="E107" s="119"/>
      <c r="F107" s="119"/>
      <c r="G107" s="119"/>
      <c r="H107" s="119"/>
      <c r="I107" s="119"/>
      <c r="J107" s="119"/>
      <c r="K107" s="119"/>
      <c r="L107" s="119"/>
      <c r="M107" s="119"/>
      <c r="N107" s="117"/>
      <c r="O107" s="117"/>
      <c r="P107" s="120"/>
      <c r="Q107" s="117"/>
      <c r="R107" s="117"/>
      <c r="S107" s="121"/>
      <c r="T107" s="117"/>
      <c r="U107" s="117"/>
      <c r="V107" s="117"/>
      <c r="W107" s="117"/>
      <c r="X107" s="117"/>
      <c r="Y107" s="117"/>
      <c r="Z107" s="117"/>
      <c r="AA107" s="117"/>
      <c r="AB107" s="117"/>
      <c r="AC107" s="117"/>
      <c r="AD107" s="117"/>
      <c r="AE107" s="117"/>
      <c r="AF107" s="117"/>
      <c r="AG107" s="117"/>
      <c r="AH107" s="117"/>
      <c r="AI107" s="112"/>
      <c r="AJ107" s="109"/>
      <c r="AK107" s="109"/>
      <c r="AL107" s="109"/>
      <c r="AM107" s="109"/>
      <c r="AN107" s="109"/>
      <c r="AO107" s="109"/>
      <c r="AP107" s="109"/>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12"/>
      <c r="B108" s="119"/>
      <c r="C108" s="119"/>
      <c r="D108" s="119"/>
      <c r="E108" s="119"/>
      <c r="F108" s="119"/>
      <c r="G108" s="119"/>
      <c r="H108" s="119"/>
      <c r="I108" s="119"/>
      <c r="J108" s="119"/>
      <c r="K108" s="119"/>
      <c r="L108" s="119"/>
      <c r="M108" s="119"/>
      <c r="N108" s="117"/>
      <c r="O108" s="117"/>
      <c r="P108" s="120"/>
      <c r="Q108" s="117"/>
      <c r="R108" s="117"/>
      <c r="S108" s="121"/>
      <c r="T108" s="117"/>
      <c r="U108" s="117"/>
      <c r="V108" s="117"/>
      <c r="W108" s="117"/>
      <c r="X108" s="117"/>
      <c r="Y108" s="117"/>
      <c r="Z108" s="117"/>
      <c r="AA108" s="117"/>
      <c r="AB108" s="117"/>
      <c r="AC108" s="117"/>
      <c r="AD108" s="117"/>
      <c r="AE108" s="117"/>
      <c r="AF108" s="117"/>
      <c r="AG108" s="117"/>
      <c r="AH108" s="117"/>
      <c r="AI108" s="112"/>
      <c r="AJ108" s="109"/>
      <c r="AK108" s="109"/>
      <c r="AL108" s="109"/>
      <c r="AM108" s="109"/>
      <c r="AN108" s="109"/>
      <c r="AO108" s="109"/>
      <c r="AP108" s="109"/>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09"/>
      <c r="B109" s="119"/>
      <c r="C109" s="119"/>
      <c r="D109" s="119"/>
      <c r="E109" s="119"/>
      <c r="F109" s="119"/>
      <c r="G109" s="119"/>
      <c r="H109" s="119"/>
      <c r="I109" s="119"/>
      <c r="J109" s="119"/>
      <c r="K109" s="119"/>
      <c r="L109" s="119"/>
      <c r="M109" s="119"/>
      <c r="N109" s="117"/>
      <c r="O109" s="117"/>
      <c r="P109" s="120"/>
      <c r="Q109" s="117"/>
      <c r="R109" s="117"/>
      <c r="S109" s="121"/>
      <c r="T109" s="117"/>
      <c r="U109" s="117"/>
      <c r="V109" s="117"/>
      <c r="W109" s="117"/>
      <c r="X109" s="117"/>
      <c r="Y109" s="117"/>
      <c r="Z109" s="117"/>
      <c r="AA109" s="117"/>
      <c r="AB109" s="117"/>
      <c r="AC109" s="117"/>
      <c r="AD109" s="117"/>
      <c r="AE109" s="117"/>
      <c r="AF109" s="117"/>
      <c r="AG109" s="117"/>
      <c r="AH109" s="117"/>
      <c r="AI109" s="112"/>
      <c r="AJ109" s="109"/>
      <c r="AK109" s="109"/>
      <c r="AL109" s="109"/>
      <c r="AM109" s="109"/>
      <c r="AN109" s="109"/>
      <c r="AO109" s="109"/>
      <c r="AP109" s="109"/>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09"/>
      <c r="B110" s="119"/>
      <c r="C110" s="119"/>
      <c r="D110" s="119"/>
      <c r="E110" s="119"/>
      <c r="F110" s="119"/>
      <c r="G110" s="119"/>
      <c r="H110" s="119"/>
      <c r="I110" s="119"/>
      <c r="J110" s="119"/>
      <c r="K110" s="119"/>
      <c r="L110" s="119"/>
      <c r="M110" s="119"/>
      <c r="N110" s="117"/>
      <c r="O110" s="117"/>
      <c r="P110" s="120"/>
      <c r="Q110" s="117"/>
      <c r="R110" s="117"/>
      <c r="S110" s="120"/>
      <c r="T110" s="117"/>
      <c r="U110" s="117"/>
      <c r="V110" s="117"/>
      <c r="W110" s="117"/>
      <c r="X110" s="117"/>
      <c r="Y110" s="117"/>
      <c r="Z110" s="117"/>
      <c r="AA110" s="117"/>
      <c r="AB110" s="117"/>
      <c r="AC110" s="117"/>
      <c r="AD110" s="117"/>
      <c r="AE110" s="117"/>
      <c r="AF110" s="117"/>
      <c r="AG110" s="117"/>
      <c r="AH110" s="117"/>
      <c r="AI110" s="112"/>
      <c r="AJ110" s="109"/>
      <c r="AK110" s="109"/>
      <c r="AL110" s="109"/>
      <c r="AM110" s="109"/>
      <c r="AN110" s="109"/>
      <c r="AO110" s="109"/>
      <c r="AP110" s="109"/>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09"/>
      <c r="B111" s="119"/>
      <c r="C111" s="119"/>
      <c r="D111" s="119"/>
      <c r="E111" s="119"/>
      <c r="F111" s="119"/>
      <c r="G111" s="119"/>
      <c r="H111" s="119"/>
      <c r="I111" s="119"/>
      <c r="J111" s="119"/>
      <c r="K111" s="119"/>
      <c r="L111" s="119"/>
      <c r="M111" s="119"/>
      <c r="N111" s="117"/>
      <c r="O111" s="117"/>
      <c r="P111" s="120"/>
      <c r="Q111" s="117"/>
      <c r="R111" s="117"/>
      <c r="S111" s="121"/>
      <c r="T111" s="117"/>
      <c r="U111" s="117"/>
      <c r="V111" s="117"/>
      <c r="W111" s="117"/>
      <c r="X111" s="117"/>
      <c r="Y111" s="117"/>
      <c r="Z111" s="117"/>
      <c r="AA111" s="117"/>
      <c r="AB111" s="117"/>
      <c r="AC111" s="117"/>
      <c r="AD111" s="117"/>
      <c r="AE111" s="117"/>
      <c r="AF111" s="117"/>
      <c r="AG111" s="117"/>
      <c r="AH111" s="117"/>
      <c r="AI111" s="112"/>
      <c r="AJ111" s="109"/>
      <c r="AK111" s="109"/>
      <c r="AL111" s="109"/>
      <c r="AM111" s="109"/>
      <c r="AN111" s="109"/>
      <c r="AO111" s="109"/>
      <c r="AP111" s="109"/>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09"/>
      <c r="B112" s="119"/>
      <c r="C112" s="119"/>
      <c r="D112" s="119"/>
      <c r="E112" s="119"/>
      <c r="F112" s="119"/>
      <c r="G112" s="119"/>
      <c r="H112" s="119"/>
      <c r="I112" s="119"/>
      <c r="J112" s="119"/>
      <c r="K112" s="119"/>
      <c r="L112" s="119"/>
      <c r="M112" s="119"/>
      <c r="N112" s="117"/>
      <c r="O112" s="117"/>
      <c r="P112" s="120"/>
      <c r="Q112" s="117"/>
      <c r="R112" s="117"/>
      <c r="S112" s="121"/>
      <c r="T112" s="117"/>
      <c r="U112" s="117"/>
      <c r="V112" s="117"/>
      <c r="W112" s="117"/>
      <c r="X112" s="117"/>
      <c r="Y112" s="117"/>
      <c r="Z112" s="117"/>
      <c r="AA112" s="117"/>
      <c r="AB112" s="117"/>
      <c r="AC112" s="117"/>
      <c r="AD112" s="117"/>
      <c r="AE112" s="117"/>
      <c r="AF112" s="117"/>
      <c r="AG112" s="117"/>
      <c r="AH112" s="117"/>
      <c r="AI112" s="112"/>
      <c r="AJ112" s="109"/>
      <c r="AK112" s="109"/>
      <c r="AL112" s="109"/>
      <c r="AM112" s="109"/>
      <c r="AN112" s="109"/>
      <c r="AO112" s="109"/>
      <c r="AP112" s="109"/>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09"/>
      <c r="B113" s="119"/>
      <c r="C113" s="119"/>
      <c r="D113" s="119"/>
      <c r="E113" s="119"/>
      <c r="F113" s="119"/>
      <c r="G113" s="119"/>
      <c r="H113" s="119"/>
      <c r="I113" s="119"/>
      <c r="J113" s="119"/>
      <c r="K113" s="119"/>
      <c r="L113" s="119"/>
      <c r="M113" s="119"/>
      <c r="N113" s="117"/>
      <c r="O113" s="117"/>
      <c r="P113" s="120"/>
      <c r="Q113" s="117"/>
      <c r="R113" s="117"/>
      <c r="S113" s="121"/>
      <c r="T113" s="117"/>
      <c r="U113" s="117"/>
      <c r="V113" s="117"/>
      <c r="W113" s="117"/>
      <c r="X113" s="117"/>
      <c r="Y113" s="117"/>
      <c r="Z113" s="117"/>
      <c r="AA113" s="117"/>
      <c r="AB113" s="117"/>
      <c r="AC113" s="117"/>
      <c r="AD113" s="117"/>
      <c r="AE113" s="117"/>
      <c r="AF113" s="117"/>
      <c r="AG113" s="117"/>
      <c r="AH113" s="117"/>
      <c r="AI113" s="112"/>
      <c r="AJ113" s="109"/>
      <c r="AK113" s="109"/>
      <c r="AL113" s="109"/>
      <c r="AM113" s="109"/>
      <c r="AN113" s="109"/>
      <c r="AO113" s="109"/>
      <c r="AP113" s="109"/>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12"/>
      <c r="B114" s="119"/>
      <c r="C114" s="119"/>
      <c r="D114" s="119"/>
      <c r="E114" s="119"/>
      <c r="F114" s="119"/>
      <c r="G114" s="119"/>
      <c r="H114" s="119"/>
      <c r="I114" s="119"/>
      <c r="J114" s="119"/>
      <c r="K114" s="119"/>
      <c r="L114" s="119"/>
      <c r="M114" s="119"/>
      <c r="N114" s="117"/>
      <c r="O114" s="117"/>
      <c r="P114" s="120"/>
      <c r="Q114" s="117"/>
      <c r="R114" s="117"/>
      <c r="S114" s="121"/>
      <c r="T114" s="117"/>
      <c r="U114" s="117"/>
      <c r="V114" s="117"/>
      <c r="W114" s="117"/>
      <c r="X114" s="117"/>
      <c r="Y114" s="117"/>
      <c r="Z114" s="117"/>
      <c r="AA114" s="117"/>
      <c r="AB114" s="117"/>
      <c r="AC114" s="117"/>
      <c r="AD114" s="117"/>
      <c r="AE114" s="117"/>
      <c r="AF114" s="117"/>
      <c r="AG114" s="117"/>
      <c r="AH114" s="117"/>
      <c r="AI114" s="112"/>
      <c r="AJ114" s="109"/>
      <c r="AK114" s="109"/>
      <c r="AL114" s="109"/>
      <c r="AM114" s="109"/>
      <c r="AN114" s="109"/>
      <c r="AO114" s="109"/>
      <c r="AP114" s="109"/>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09"/>
      <c r="B115" s="119"/>
      <c r="C115" s="119"/>
      <c r="D115" s="119"/>
      <c r="E115" s="119"/>
      <c r="F115" s="119"/>
      <c r="G115" s="119"/>
      <c r="H115" s="119"/>
      <c r="I115" s="119"/>
      <c r="J115" s="119"/>
      <c r="K115" s="119"/>
      <c r="L115" s="119"/>
      <c r="M115" s="119"/>
      <c r="N115" s="117"/>
      <c r="O115" s="117"/>
      <c r="P115" s="120"/>
      <c r="Q115" s="117"/>
      <c r="R115" s="117"/>
      <c r="S115" s="121"/>
      <c r="T115" s="117"/>
      <c r="U115" s="117"/>
      <c r="V115" s="117"/>
      <c r="W115" s="117"/>
      <c r="X115" s="117"/>
      <c r="Y115" s="117"/>
      <c r="Z115" s="117"/>
      <c r="AA115" s="117"/>
      <c r="AB115" s="117"/>
      <c r="AC115" s="117"/>
      <c r="AD115" s="117"/>
      <c r="AE115" s="117"/>
      <c r="AF115" s="117"/>
      <c r="AG115" s="117"/>
      <c r="AH115" s="117"/>
      <c r="AI115" s="112"/>
      <c r="AJ115" s="109"/>
      <c r="AK115" s="109"/>
      <c r="AL115" s="109"/>
      <c r="AM115" s="109"/>
      <c r="AN115" s="109"/>
      <c r="AO115" s="109"/>
      <c r="AP115" s="109"/>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09"/>
      <c r="B116" s="119"/>
      <c r="C116" s="119"/>
      <c r="D116" s="119"/>
      <c r="E116" s="119"/>
      <c r="F116" s="119"/>
      <c r="G116" s="119"/>
      <c r="H116" s="119"/>
      <c r="I116" s="119"/>
      <c r="J116" s="119"/>
      <c r="K116" s="119"/>
      <c r="L116" s="119"/>
      <c r="M116" s="119"/>
      <c r="N116" s="117"/>
      <c r="O116" s="117"/>
      <c r="P116" s="120"/>
      <c r="Q116" s="117"/>
      <c r="R116" s="117"/>
      <c r="S116" s="120"/>
      <c r="T116" s="117"/>
      <c r="U116" s="117"/>
      <c r="V116" s="117"/>
      <c r="W116" s="117"/>
      <c r="X116" s="117"/>
      <c r="Y116" s="117"/>
      <c r="Z116" s="117"/>
      <c r="AA116" s="117"/>
      <c r="AB116" s="117"/>
      <c r="AC116" s="117"/>
      <c r="AD116" s="117"/>
      <c r="AE116" s="117"/>
      <c r="AF116" s="117"/>
      <c r="AG116" s="117"/>
      <c r="AH116" s="117"/>
      <c r="AI116" s="112"/>
      <c r="AJ116" s="109"/>
      <c r="AK116" s="109"/>
      <c r="AL116" s="109"/>
      <c r="AM116" s="109"/>
      <c r="AN116" s="109"/>
      <c r="AO116" s="109"/>
      <c r="AP116" s="109"/>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09"/>
      <c r="B117" s="119"/>
      <c r="C117" s="119"/>
      <c r="D117" s="119"/>
      <c r="E117" s="119"/>
      <c r="F117" s="119"/>
      <c r="G117" s="119"/>
      <c r="H117" s="119"/>
      <c r="I117" s="119"/>
      <c r="J117" s="119"/>
      <c r="K117" s="119"/>
      <c r="L117" s="119"/>
      <c r="M117" s="119"/>
      <c r="N117" s="117"/>
      <c r="O117" s="117"/>
      <c r="P117" s="120"/>
      <c r="Q117" s="117"/>
      <c r="R117" s="117"/>
      <c r="S117" s="121"/>
      <c r="T117" s="117"/>
      <c r="U117" s="117"/>
      <c r="V117" s="117"/>
      <c r="W117" s="117"/>
      <c r="X117" s="117"/>
      <c r="Y117" s="117"/>
      <c r="Z117" s="117"/>
      <c r="AA117" s="117"/>
      <c r="AB117" s="117"/>
      <c r="AC117" s="117"/>
      <c r="AD117" s="117"/>
      <c r="AE117" s="117"/>
      <c r="AF117" s="117"/>
      <c r="AG117" s="117"/>
      <c r="AH117" s="117"/>
      <c r="AI117" s="112"/>
      <c r="AJ117" s="109"/>
      <c r="AK117" s="109"/>
      <c r="AL117" s="109"/>
      <c r="AM117" s="109"/>
      <c r="AN117" s="109"/>
      <c r="AO117" s="109"/>
      <c r="AP117" s="109"/>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09"/>
      <c r="B118" s="119"/>
      <c r="C118" s="119"/>
      <c r="D118" s="119"/>
      <c r="E118" s="119"/>
      <c r="F118" s="119"/>
      <c r="G118" s="119"/>
      <c r="H118" s="119"/>
      <c r="I118" s="119"/>
      <c r="J118" s="119"/>
      <c r="K118" s="119"/>
      <c r="L118" s="119"/>
      <c r="M118" s="119"/>
      <c r="N118" s="117"/>
      <c r="O118" s="117"/>
      <c r="P118" s="120"/>
      <c r="Q118" s="117"/>
      <c r="R118" s="117"/>
      <c r="S118" s="121"/>
      <c r="T118" s="117"/>
      <c r="U118" s="117"/>
      <c r="V118" s="117"/>
      <c r="W118" s="117"/>
      <c r="X118" s="117"/>
      <c r="Y118" s="117"/>
      <c r="Z118" s="117"/>
      <c r="AA118" s="117"/>
      <c r="AB118" s="117"/>
      <c r="AC118" s="117"/>
      <c r="AD118" s="117"/>
      <c r="AE118" s="117"/>
      <c r="AF118" s="117"/>
      <c r="AG118" s="117"/>
      <c r="AH118" s="117"/>
      <c r="AI118" s="112"/>
      <c r="AJ118" s="109"/>
      <c r="AK118" s="109"/>
      <c r="AL118" s="109"/>
      <c r="AM118" s="109"/>
      <c r="AN118" s="109"/>
      <c r="AO118" s="109"/>
      <c r="AP118" s="109"/>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09"/>
      <c r="B119" s="119"/>
      <c r="C119" s="119"/>
      <c r="D119" s="119"/>
      <c r="E119" s="119"/>
      <c r="F119" s="119"/>
      <c r="G119" s="119"/>
      <c r="H119" s="119"/>
      <c r="I119" s="119"/>
      <c r="J119" s="119"/>
      <c r="K119" s="119"/>
      <c r="L119" s="119"/>
      <c r="M119" s="119"/>
      <c r="N119" s="117"/>
      <c r="O119" s="117"/>
      <c r="P119" s="120"/>
      <c r="Q119" s="117"/>
      <c r="R119" s="117"/>
      <c r="S119" s="121"/>
      <c r="T119" s="117"/>
      <c r="U119" s="117"/>
      <c r="V119" s="117"/>
      <c r="W119" s="117"/>
      <c r="X119" s="117"/>
      <c r="Y119" s="117"/>
      <c r="Z119" s="117"/>
      <c r="AA119" s="117"/>
      <c r="AB119" s="117"/>
      <c r="AC119" s="117"/>
      <c r="AD119" s="117"/>
      <c r="AE119" s="117"/>
      <c r="AF119" s="117"/>
      <c r="AG119" s="117"/>
      <c r="AH119" s="117"/>
      <c r="AI119" s="112"/>
      <c r="AJ119" s="109"/>
      <c r="AK119" s="109"/>
      <c r="AL119" s="109"/>
      <c r="AM119" s="109"/>
      <c r="AN119" s="109"/>
      <c r="AO119" s="109"/>
      <c r="AP119" s="109"/>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12"/>
      <c r="B120" s="119"/>
      <c r="C120" s="119"/>
      <c r="D120" s="119"/>
      <c r="E120" s="119"/>
      <c r="F120" s="119"/>
      <c r="G120" s="119"/>
      <c r="H120" s="119"/>
      <c r="I120" s="119"/>
      <c r="J120" s="119"/>
      <c r="K120" s="119"/>
      <c r="L120" s="119"/>
      <c r="M120" s="119"/>
      <c r="N120" s="117"/>
      <c r="O120" s="117"/>
      <c r="P120" s="120"/>
      <c r="Q120" s="117"/>
      <c r="R120" s="117"/>
      <c r="S120" s="121"/>
      <c r="T120" s="117"/>
      <c r="U120" s="117"/>
      <c r="V120" s="117"/>
      <c r="W120" s="117"/>
      <c r="X120" s="117"/>
      <c r="Y120" s="117"/>
      <c r="Z120" s="117"/>
      <c r="AA120" s="117"/>
      <c r="AB120" s="117"/>
      <c r="AC120" s="117"/>
      <c r="AD120" s="117"/>
      <c r="AE120" s="117"/>
      <c r="AF120" s="117"/>
      <c r="AG120" s="117"/>
      <c r="AH120" s="117"/>
      <c r="AI120" s="112"/>
      <c r="AJ120" s="109"/>
      <c r="AK120" s="109"/>
      <c r="AL120" s="109"/>
      <c r="AM120" s="109"/>
      <c r="AN120" s="109"/>
      <c r="AO120" s="109"/>
      <c r="AP120" s="109"/>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09"/>
      <c r="B121" s="119"/>
      <c r="C121" s="119"/>
      <c r="D121" s="119"/>
      <c r="E121" s="119"/>
      <c r="F121" s="119"/>
      <c r="G121" s="119"/>
      <c r="H121" s="119"/>
      <c r="I121" s="119"/>
      <c r="J121" s="119"/>
      <c r="K121" s="119"/>
      <c r="L121" s="119"/>
      <c r="M121" s="119"/>
      <c r="N121" s="117"/>
      <c r="O121" s="117"/>
      <c r="P121" s="120"/>
      <c r="Q121" s="117"/>
      <c r="R121" s="117"/>
      <c r="S121" s="121"/>
      <c r="T121" s="117"/>
      <c r="U121" s="117"/>
      <c r="V121" s="117"/>
      <c r="W121" s="117"/>
      <c r="X121" s="117"/>
      <c r="Y121" s="117"/>
      <c r="Z121" s="117"/>
      <c r="AA121" s="117"/>
      <c r="AB121" s="117"/>
      <c r="AC121" s="117"/>
      <c r="AD121" s="117"/>
      <c r="AE121" s="117"/>
      <c r="AF121" s="117"/>
      <c r="AG121" s="117"/>
      <c r="AH121" s="117"/>
      <c r="AI121" s="112"/>
      <c r="AJ121" s="109"/>
      <c r="AK121" s="109"/>
      <c r="AL121" s="109"/>
      <c r="AM121" s="109"/>
      <c r="AN121" s="109"/>
      <c r="AO121" s="109"/>
      <c r="AP121" s="109"/>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09"/>
      <c r="B122" s="119"/>
      <c r="C122" s="119"/>
      <c r="D122" s="119"/>
      <c r="E122" s="119"/>
      <c r="F122" s="119"/>
      <c r="G122" s="119"/>
      <c r="H122" s="119"/>
      <c r="I122" s="119"/>
      <c r="J122" s="119"/>
      <c r="K122" s="119"/>
      <c r="L122" s="119"/>
      <c r="M122" s="119"/>
      <c r="N122" s="117"/>
      <c r="O122" s="117"/>
      <c r="P122" s="120"/>
      <c r="Q122" s="117"/>
      <c r="R122" s="117"/>
      <c r="S122" s="120"/>
      <c r="T122" s="117"/>
      <c r="U122" s="117"/>
      <c r="V122" s="117"/>
      <c r="W122" s="117"/>
      <c r="X122" s="117"/>
      <c r="Y122" s="117"/>
      <c r="Z122" s="117"/>
      <c r="AA122" s="117"/>
      <c r="AB122" s="117"/>
      <c r="AC122" s="117"/>
      <c r="AD122" s="117"/>
      <c r="AE122" s="117"/>
      <c r="AF122" s="117"/>
      <c r="AG122" s="117"/>
      <c r="AH122" s="117"/>
      <c r="AI122" s="112"/>
      <c r="AJ122" s="109"/>
      <c r="AK122" s="109"/>
      <c r="AL122" s="109"/>
      <c r="AM122" s="109"/>
      <c r="AN122" s="109"/>
      <c r="AO122" s="109"/>
      <c r="AP122" s="109"/>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09"/>
      <c r="B123" s="119"/>
      <c r="C123" s="119"/>
      <c r="D123" s="119"/>
      <c r="E123" s="119"/>
      <c r="F123" s="119"/>
      <c r="G123" s="119"/>
      <c r="H123" s="119"/>
      <c r="I123" s="119"/>
      <c r="J123" s="119"/>
      <c r="K123" s="119"/>
      <c r="L123" s="119"/>
      <c r="M123" s="119"/>
      <c r="N123" s="117"/>
      <c r="O123" s="117"/>
      <c r="P123" s="120"/>
      <c r="Q123" s="117"/>
      <c r="R123" s="117"/>
      <c r="S123" s="121"/>
      <c r="T123" s="117"/>
      <c r="U123" s="117"/>
      <c r="V123" s="117"/>
      <c r="W123" s="117"/>
      <c r="X123" s="117"/>
      <c r="Y123" s="117"/>
      <c r="Z123" s="117"/>
      <c r="AA123" s="117"/>
      <c r="AB123" s="117"/>
      <c r="AC123" s="117"/>
      <c r="AD123" s="117"/>
      <c r="AE123" s="117"/>
      <c r="AF123" s="117"/>
      <c r="AG123" s="117"/>
      <c r="AH123" s="117"/>
      <c r="AI123" s="112"/>
      <c r="AJ123" s="109"/>
      <c r="AK123" s="109"/>
      <c r="AL123" s="109"/>
      <c r="AM123" s="109"/>
      <c r="AN123" s="109"/>
      <c r="AO123" s="109"/>
      <c r="AP123" s="109"/>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2"/>
      <c r="AJ124" s="109"/>
      <c r="AK124" s="109"/>
      <c r="AL124" s="109"/>
      <c r="AM124" s="109"/>
      <c r="AN124" s="109"/>
      <c r="AO124" s="109"/>
      <c r="AP124" s="109"/>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2"/>
      <c r="AJ125" s="109"/>
      <c r="AK125" s="109"/>
      <c r="AL125" s="109"/>
      <c r="AM125" s="109"/>
      <c r="AN125" s="109"/>
      <c r="AO125" s="109"/>
      <c r="AP125" s="109"/>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2"/>
      <c r="AJ126" s="109"/>
      <c r="AK126" s="109"/>
      <c r="AL126" s="109"/>
      <c r="AM126" s="109"/>
      <c r="AN126" s="109"/>
      <c r="AO126" s="109"/>
      <c r="AP126" s="109"/>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2"/>
      <c r="AJ127" s="109"/>
      <c r="AK127" s="109"/>
      <c r="AL127" s="109"/>
      <c r="AM127" s="109"/>
      <c r="AN127" s="109"/>
      <c r="AO127" s="109"/>
      <c r="AP127" s="109"/>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2"/>
      <c r="AJ128" s="109"/>
      <c r="AK128" s="109"/>
      <c r="AL128" s="109"/>
      <c r="AM128" s="109"/>
      <c r="AN128" s="109"/>
      <c r="AO128" s="109"/>
      <c r="AP128" s="109"/>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2"/>
      <c r="AJ129" s="109"/>
      <c r="AK129" s="109"/>
      <c r="AL129" s="109"/>
      <c r="AM129" s="109"/>
      <c r="AN129" s="109"/>
      <c r="AO129" s="109"/>
      <c r="AP129" s="109"/>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2"/>
      <c r="AJ130" s="109"/>
      <c r="AK130" s="109"/>
      <c r="AL130" s="109"/>
      <c r="AM130" s="109"/>
      <c r="AN130" s="109"/>
      <c r="AO130" s="109"/>
      <c r="AP130" s="109"/>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2"/>
      <c r="AJ131" s="109"/>
      <c r="AK131" s="109"/>
      <c r="AL131" s="109"/>
      <c r="AM131" s="109"/>
      <c r="AN131" s="109"/>
      <c r="AO131" s="109"/>
      <c r="AP131" s="109"/>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2"/>
      <c r="AJ132" s="109"/>
      <c r="AK132" s="109"/>
      <c r="AL132" s="109"/>
      <c r="AM132" s="109"/>
      <c r="AN132" s="109"/>
      <c r="AO132" s="109"/>
      <c r="AP132" s="109"/>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17"/>
      <c r="AE133" s="117"/>
      <c r="AF133" s="117"/>
      <c r="AG133" s="117"/>
      <c r="AH133" s="117"/>
      <c r="AI133" s="112"/>
      <c r="AJ133" s="109"/>
      <c r="AK133" s="109"/>
      <c r="AL133" s="109"/>
      <c r="AM133" s="109"/>
      <c r="AN133" s="109"/>
      <c r="AO133" s="109"/>
      <c r="AP133" s="109"/>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2"/>
      <c r="AJ134" s="109"/>
      <c r="AK134" s="109"/>
      <c r="AL134" s="109"/>
      <c r="AM134" s="109"/>
      <c r="AN134" s="109"/>
      <c r="AO134" s="109"/>
      <c r="AP134" s="109"/>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2"/>
      <c r="AJ135" s="109"/>
      <c r="AK135" s="109"/>
      <c r="AL135" s="109"/>
      <c r="AM135" s="109"/>
      <c r="AN135" s="109"/>
      <c r="AO135" s="109"/>
      <c r="AP135" s="109"/>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2"/>
      <c r="AJ136" s="109"/>
      <c r="AK136" s="109"/>
      <c r="AL136" s="109"/>
      <c r="AM136" s="109"/>
      <c r="AN136" s="109"/>
      <c r="AO136" s="109"/>
      <c r="AP136" s="109"/>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2"/>
      <c r="AJ137" s="109"/>
      <c r="AK137" s="109"/>
      <c r="AL137" s="109"/>
      <c r="AM137" s="109"/>
      <c r="AN137" s="109"/>
      <c r="AO137" s="109"/>
      <c r="AP137" s="109"/>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2"/>
      <c r="AJ138" s="109"/>
      <c r="AK138" s="109"/>
      <c r="AL138" s="109"/>
      <c r="AM138" s="109"/>
      <c r="AN138" s="109"/>
      <c r="AO138" s="109"/>
      <c r="AP138" s="109"/>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2"/>
      <c r="AJ139" s="109"/>
      <c r="AK139" s="109"/>
      <c r="AL139" s="109"/>
      <c r="AM139" s="109"/>
      <c r="AN139" s="109"/>
      <c r="AO139" s="109"/>
      <c r="AP139" s="109"/>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2"/>
      <c r="AJ140" s="109"/>
      <c r="AK140" s="109"/>
      <c r="AL140" s="109"/>
      <c r="AM140" s="109"/>
      <c r="AN140" s="109"/>
      <c r="AO140" s="109"/>
      <c r="AP140" s="109"/>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2"/>
      <c r="AJ141" s="109"/>
      <c r="AK141" s="109"/>
      <c r="AL141" s="109"/>
      <c r="AM141" s="109"/>
      <c r="AN141" s="109"/>
      <c r="AO141" s="109"/>
      <c r="AP141" s="109"/>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2"/>
      <c r="AJ142" s="109"/>
      <c r="AK142" s="109"/>
      <c r="AL142" s="109"/>
      <c r="AM142" s="109"/>
      <c r="AN142" s="109"/>
      <c r="AO142" s="109"/>
      <c r="AP142" s="109"/>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2"/>
      <c r="AJ143" s="109"/>
      <c r="AK143" s="109"/>
      <c r="AL143" s="109"/>
      <c r="AM143" s="109"/>
      <c r="AN143" s="109"/>
      <c r="AO143" s="109"/>
      <c r="AP143" s="109"/>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2"/>
      <c r="AJ144" s="109"/>
      <c r="AK144" s="109"/>
      <c r="AL144" s="109"/>
      <c r="AM144" s="109"/>
      <c r="AN144" s="109"/>
      <c r="AO144" s="109"/>
      <c r="AP144" s="109"/>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2"/>
      <c r="AJ145" s="109"/>
      <c r="AK145" s="109"/>
      <c r="AL145" s="109"/>
      <c r="AM145" s="109"/>
      <c r="AN145" s="109"/>
      <c r="AO145" s="109"/>
      <c r="AP145" s="109"/>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2"/>
      <c r="AJ146" s="109"/>
      <c r="AK146" s="109"/>
      <c r="AL146" s="109"/>
      <c r="AM146" s="109"/>
      <c r="AN146" s="109"/>
      <c r="AO146" s="109"/>
      <c r="AP146" s="109"/>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2"/>
      <c r="AJ147" s="109"/>
      <c r="AK147" s="109"/>
      <c r="AL147" s="109"/>
      <c r="AM147" s="109"/>
      <c r="AN147" s="109"/>
      <c r="AO147" s="109"/>
      <c r="AP147" s="109"/>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2"/>
      <c r="AJ148" s="109"/>
      <c r="AK148" s="109"/>
      <c r="AL148" s="109"/>
      <c r="AM148" s="109"/>
      <c r="AN148" s="109"/>
      <c r="AO148" s="109"/>
      <c r="AP148" s="109"/>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2"/>
      <c r="AJ149" s="109"/>
      <c r="AK149" s="109"/>
      <c r="AL149" s="109"/>
      <c r="AM149" s="109"/>
      <c r="AN149" s="109"/>
      <c r="AO149" s="109"/>
      <c r="AP149" s="109"/>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2"/>
      <c r="AJ150" s="109"/>
      <c r="AK150" s="109"/>
      <c r="AL150" s="109"/>
      <c r="AM150" s="109"/>
      <c r="AN150" s="109"/>
      <c r="AO150" s="109"/>
      <c r="AP150" s="109"/>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2"/>
      <c r="AJ151" s="109"/>
      <c r="AK151" s="109"/>
      <c r="AL151" s="109"/>
      <c r="AM151" s="109"/>
      <c r="AN151" s="109"/>
      <c r="AO151" s="109"/>
      <c r="AP151" s="109"/>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2"/>
      <c r="AJ152" s="109"/>
      <c r="AK152" s="109"/>
      <c r="AL152" s="109"/>
      <c r="AM152" s="109"/>
      <c r="AN152" s="109"/>
      <c r="AO152" s="109"/>
      <c r="AP152" s="109"/>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2"/>
      <c r="AJ153" s="109"/>
      <c r="AK153" s="109"/>
      <c r="AL153" s="109"/>
      <c r="AM153" s="109"/>
      <c r="AN153" s="109"/>
      <c r="AO153" s="109"/>
      <c r="AP153" s="109"/>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2"/>
      <c r="AJ154" s="109"/>
      <c r="AK154" s="109"/>
      <c r="AL154" s="109"/>
      <c r="AM154" s="109"/>
      <c r="AN154" s="109"/>
      <c r="AO154" s="109"/>
      <c r="AP154" s="109"/>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2"/>
      <c r="AJ155" s="109"/>
      <c r="AK155" s="109"/>
      <c r="AL155" s="109"/>
      <c r="AM155" s="109"/>
      <c r="AN155" s="109"/>
      <c r="AO155" s="109"/>
      <c r="AP155" s="109"/>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2"/>
      <c r="AJ156" s="109"/>
      <c r="AK156" s="109"/>
      <c r="AL156" s="109"/>
      <c r="AM156" s="109"/>
      <c r="AN156" s="109"/>
      <c r="AO156" s="109"/>
      <c r="AP156" s="109"/>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2"/>
      <c r="AJ157" s="109"/>
      <c r="AK157" s="109"/>
      <c r="AL157" s="109"/>
      <c r="AM157" s="109"/>
      <c r="AN157" s="109"/>
      <c r="AO157" s="109"/>
      <c r="AP157" s="109"/>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2"/>
      <c r="AJ158" s="109"/>
      <c r="AK158" s="109"/>
      <c r="AL158" s="109"/>
      <c r="AM158" s="109"/>
      <c r="AN158" s="124"/>
      <c r="AO158" s="124"/>
      <c r="AP158" s="124"/>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2"/>
      <c r="AJ159" s="109"/>
      <c r="AK159" s="109"/>
      <c r="AL159" s="109"/>
      <c r="AM159" s="109"/>
      <c r="AN159" s="109"/>
      <c r="AO159" s="109"/>
      <c r="AP159" s="109"/>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2"/>
      <c r="AJ160" s="109"/>
      <c r="AK160" s="109"/>
      <c r="AL160" s="109"/>
      <c r="AM160" s="109"/>
      <c r="AN160" s="109"/>
      <c r="AO160" s="109"/>
      <c r="AP160" s="109"/>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2"/>
      <c r="AJ161" s="109"/>
      <c r="AK161" s="109"/>
      <c r="AL161" s="109"/>
      <c r="AM161" s="109"/>
      <c r="AN161" s="109"/>
      <c r="AO161" s="109"/>
      <c r="AP161" s="109"/>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2"/>
      <c r="AJ162" s="109"/>
      <c r="AK162" s="109"/>
      <c r="AL162" s="109"/>
      <c r="AM162" s="109"/>
      <c r="AN162" s="109"/>
      <c r="AO162" s="109"/>
      <c r="AP162" s="109"/>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2"/>
      <c r="AJ163" s="109"/>
      <c r="AK163" s="109"/>
      <c r="AL163" s="109"/>
      <c r="AM163" s="109"/>
      <c r="AN163" s="109"/>
      <c r="AO163" s="109"/>
      <c r="AP163" s="109"/>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2"/>
      <c r="AJ164" s="109"/>
      <c r="AK164" s="109"/>
      <c r="AL164" s="109"/>
      <c r="AM164" s="109"/>
      <c r="AN164" s="124"/>
      <c r="AO164" s="124"/>
      <c r="AP164" s="124"/>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2"/>
      <c r="AJ165" s="109"/>
      <c r="AK165" s="109"/>
      <c r="AL165" s="109"/>
      <c r="AM165" s="109"/>
      <c r="AN165" s="109"/>
      <c r="AO165" s="109"/>
      <c r="AP165" s="109"/>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2"/>
      <c r="AJ166" s="109"/>
      <c r="AK166" s="109"/>
      <c r="AL166" s="109"/>
      <c r="AM166" s="109"/>
      <c r="AN166" s="109"/>
      <c r="AO166" s="109"/>
      <c r="AP166" s="109"/>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2"/>
      <c r="AJ167" s="109"/>
      <c r="AK167" s="109"/>
      <c r="AL167" s="109"/>
      <c r="AM167" s="109"/>
      <c r="AN167" s="109"/>
      <c r="AO167" s="109"/>
      <c r="AP167" s="109"/>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2"/>
      <c r="AJ168" s="109"/>
      <c r="AK168" s="109"/>
      <c r="AL168" s="109"/>
      <c r="AM168" s="109"/>
      <c r="AN168" s="109"/>
      <c r="AO168" s="109"/>
      <c r="AP168" s="109"/>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2"/>
      <c r="AJ169" s="109"/>
      <c r="AK169" s="109"/>
      <c r="AL169" s="109"/>
      <c r="AM169" s="109"/>
      <c r="AN169" s="109"/>
      <c r="AO169" s="109"/>
      <c r="AP169" s="109"/>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2"/>
      <c r="AJ170" s="109"/>
      <c r="AK170" s="109"/>
      <c r="AL170" s="109"/>
      <c r="AM170" s="109"/>
      <c r="AN170" s="124"/>
      <c r="AO170" s="124"/>
      <c r="AP170" s="124"/>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2"/>
      <c r="AJ171" s="109"/>
      <c r="AK171" s="109"/>
      <c r="AL171" s="109"/>
      <c r="AM171" s="109"/>
      <c r="AN171" s="109"/>
      <c r="AO171" s="109"/>
      <c r="AP171" s="109"/>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09"/>
      <c r="B172" s="119"/>
      <c r="C172" s="119"/>
      <c r="D172" s="119"/>
      <c r="E172" s="119"/>
      <c r="F172" s="536"/>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2"/>
      <c r="AJ172" s="109"/>
      <c r="AK172" s="109"/>
      <c r="AL172" s="109"/>
      <c r="AM172" s="109"/>
      <c r="AN172" s="109"/>
      <c r="AO172" s="109"/>
      <c r="AP172" s="109"/>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09"/>
      <c r="B173" s="119"/>
      <c r="C173" s="119"/>
      <c r="D173" s="119"/>
      <c r="E173" s="537" t="b">
        <v>1</v>
      </c>
      <c r="F173" s="536" t="s">
        <v>102</v>
      </c>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2"/>
      <c r="AJ173" s="109"/>
      <c r="AK173" s="109"/>
      <c r="AL173" s="109"/>
      <c r="AM173" s="109"/>
      <c r="AN173" s="109"/>
      <c r="AO173" s="109"/>
      <c r="AP173" s="109"/>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12"/>
      <c r="B174" s="119"/>
      <c r="C174" s="119"/>
      <c r="D174" s="119"/>
      <c r="E174" s="537" t="b">
        <v>0</v>
      </c>
      <c r="F174" s="536" t="s">
        <v>231</v>
      </c>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2"/>
      <c r="AJ174" s="109"/>
      <c r="AK174" s="109"/>
      <c r="AL174" s="109"/>
      <c r="AM174" s="109"/>
      <c r="AN174" s="109"/>
      <c r="AO174" s="109"/>
      <c r="AP174" s="109"/>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09"/>
      <c r="B175" s="119"/>
      <c r="C175" s="119"/>
      <c r="D175" s="119"/>
      <c r="E175" s="537"/>
      <c r="F175" s="536" t="s">
        <v>233</v>
      </c>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2"/>
      <c r="AJ175" s="109"/>
      <c r="AK175" s="109"/>
      <c r="AL175" s="109"/>
      <c r="AM175" s="109"/>
      <c r="AN175" s="109"/>
      <c r="AO175" s="109"/>
      <c r="AP175" s="109"/>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09"/>
      <c r="B176" s="119"/>
      <c r="C176" s="119"/>
      <c r="D176" s="119"/>
      <c r="E176" s="119"/>
      <c r="F176" s="536" t="s">
        <v>175</v>
      </c>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2"/>
      <c r="AJ176" s="109"/>
      <c r="AK176" s="109"/>
      <c r="AL176" s="109"/>
      <c r="AM176" s="109"/>
      <c r="AN176" s="109"/>
      <c r="AO176" s="109"/>
      <c r="AP176" s="109"/>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09"/>
      <c r="B177" s="119"/>
      <c r="C177" s="119"/>
      <c r="D177" s="119"/>
      <c r="E177" s="119"/>
      <c r="F177" s="536" t="s">
        <v>232</v>
      </c>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2"/>
      <c r="AJ177" s="109"/>
      <c r="AK177" s="109"/>
      <c r="AL177" s="109"/>
      <c r="AM177" s="109"/>
      <c r="AN177" s="109"/>
      <c r="AO177" s="109"/>
      <c r="AP177" s="109"/>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09"/>
      <c r="B178" s="119"/>
      <c r="C178" s="119"/>
      <c r="D178" s="119"/>
      <c r="E178" s="119"/>
      <c r="F178" s="536" t="s">
        <v>228</v>
      </c>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2"/>
      <c r="AJ178" s="109"/>
      <c r="AK178" s="109"/>
      <c r="AL178" s="109"/>
      <c r="AM178" s="109"/>
      <c r="AN178" s="109"/>
      <c r="AO178" s="109"/>
      <c r="AP178" s="109"/>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09"/>
      <c r="B179" s="119"/>
      <c r="C179" s="119"/>
      <c r="D179" s="119"/>
      <c r="E179" s="119"/>
      <c r="F179" s="536" t="s">
        <v>234</v>
      </c>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2"/>
      <c r="AJ179" s="109"/>
      <c r="AK179" s="109"/>
      <c r="AL179" s="109"/>
      <c r="AM179" s="109"/>
      <c r="AN179" s="109"/>
      <c r="AO179" s="109"/>
      <c r="AP179" s="109"/>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12"/>
      <c r="B180" s="119"/>
      <c r="C180" s="119"/>
      <c r="D180" s="119"/>
      <c r="E180" s="119"/>
      <c r="F180" s="536" t="s">
        <v>229</v>
      </c>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2"/>
      <c r="AJ180" s="109"/>
      <c r="AK180" s="109"/>
      <c r="AL180" s="109"/>
      <c r="AM180" s="109"/>
      <c r="AN180" s="109"/>
      <c r="AO180" s="109"/>
      <c r="AP180" s="109"/>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09"/>
      <c r="B181" s="119"/>
      <c r="C181" s="119"/>
      <c r="D181" s="119"/>
      <c r="E181" s="119"/>
      <c r="F181" s="536" t="s">
        <v>235</v>
      </c>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2"/>
      <c r="AJ181" s="109"/>
      <c r="AK181" s="109"/>
      <c r="AL181" s="109"/>
      <c r="AM181" s="109"/>
      <c r="AN181" s="109"/>
      <c r="AO181" s="109"/>
      <c r="AP181" s="109"/>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09"/>
      <c r="B182" s="119"/>
      <c r="C182" s="119"/>
      <c r="D182" s="119"/>
      <c r="E182" s="119"/>
      <c r="F182" s="536" t="s">
        <v>230</v>
      </c>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2"/>
      <c r="AJ182" s="109"/>
      <c r="AK182" s="109"/>
      <c r="AL182" s="109"/>
      <c r="AM182" s="109"/>
      <c r="AN182" s="109"/>
      <c r="AO182" s="109"/>
      <c r="AP182" s="109"/>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09"/>
      <c r="B183" s="119"/>
      <c r="C183" s="119"/>
      <c r="D183" s="119"/>
      <c r="E183" s="119"/>
      <c r="F183" s="536"/>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2"/>
      <c r="AJ183" s="109"/>
      <c r="AK183" s="109"/>
      <c r="AL183" s="109"/>
      <c r="AM183" s="109"/>
      <c r="AN183" s="109"/>
      <c r="AO183" s="109"/>
      <c r="AP183" s="109"/>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09"/>
      <c r="B184" s="119"/>
      <c r="C184" s="119"/>
      <c r="D184" s="119"/>
      <c r="E184" s="119"/>
      <c r="F184" s="536"/>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2"/>
      <c r="AJ184" s="109"/>
      <c r="AK184" s="109"/>
      <c r="AL184" s="109"/>
      <c r="AM184" s="109"/>
      <c r="AN184" s="109"/>
      <c r="AO184" s="109"/>
      <c r="AP184" s="109"/>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09"/>
      <c r="B185" s="119"/>
      <c r="C185" s="119"/>
      <c r="D185" s="119"/>
      <c r="E185" s="119"/>
      <c r="F185" s="536"/>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2"/>
      <c r="AJ185" s="109"/>
      <c r="AK185" s="109"/>
      <c r="AL185" s="109"/>
      <c r="AM185" s="109"/>
      <c r="AN185" s="109"/>
      <c r="AO185" s="109"/>
      <c r="AP185" s="109"/>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12"/>
      <c r="B186" s="119"/>
      <c r="C186" s="119"/>
      <c r="D186" s="119"/>
      <c r="E186" s="119"/>
      <c r="F186" s="536"/>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2"/>
      <c r="AJ186" s="109"/>
      <c r="AK186" s="109"/>
      <c r="AL186" s="109"/>
      <c r="AM186" s="109"/>
      <c r="AN186" s="109"/>
      <c r="AO186" s="109"/>
      <c r="AP186" s="109"/>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09"/>
      <c r="B187" s="119"/>
      <c r="C187" s="119"/>
      <c r="D187" s="119"/>
      <c r="E187" s="119"/>
      <c r="F187" s="536"/>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2"/>
      <c r="AJ187" s="109"/>
      <c r="AK187" s="109"/>
      <c r="AL187" s="109"/>
      <c r="AM187" s="109"/>
      <c r="AN187" s="109"/>
      <c r="AO187" s="109"/>
      <c r="AP187" s="109"/>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09"/>
      <c r="B188" s="119"/>
      <c r="C188" s="119"/>
      <c r="D188" s="119"/>
      <c r="E188" s="119"/>
      <c r="F188" s="536"/>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2"/>
      <c r="AJ188" s="109"/>
      <c r="AK188" s="109"/>
      <c r="AL188" s="109"/>
      <c r="AM188" s="109"/>
      <c r="AN188" s="109"/>
      <c r="AO188" s="109"/>
      <c r="AP188" s="109"/>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09"/>
      <c r="B189" s="119"/>
      <c r="C189" s="119"/>
      <c r="D189" s="119"/>
      <c r="E189" s="119"/>
      <c r="F189" s="536"/>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2"/>
      <c r="AJ189" s="109"/>
      <c r="AK189" s="109"/>
      <c r="AL189" s="109"/>
      <c r="AM189" s="109"/>
      <c r="AN189" s="109"/>
      <c r="AO189" s="109"/>
      <c r="AP189" s="109"/>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09"/>
      <c r="B190" s="119"/>
      <c r="C190" s="119"/>
      <c r="D190" s="119"/>
      <c r="E190" s="119"/>
      <c r="F190" s="536"/>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2"/>
      <c r="AJ190" s="109"/>
      <c r="AK190" s="109"/>
      <c r="AL190" s="109"/>
      <c r="AM190" s="109"/>
      <c r="AN190" s="109"/>
      <c r="AO190" s="109"/>
      <c r="AP190" s="109"/>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09"/>
      <c r="B191" s="119"/>
      <c r="C191" s="119"/>
      <c r="D191" s="119"/>
      <c r="E191" s="119"/>
      <c r="F191" s="536"/>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2"/>
      <c r="AJ191" s="109"/>
      <c r="AK191" s="109"/>
      <c r="AL191" s="109"/>
      <c r="AM191" s="109"/>
      <c r="AN191" s="109"/>
      <c r="AO191" s="109"/>
      <c r="AP191" s="109"/>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2"/>
      <c r="AJ192" s="109"/>
      <c r="AK192" s="109"/>
      <c r="AL192" s="109"/>
      <c r="AM192" s="109"/>
      <c r="AN192" s="109"/>
      <c r="AO192" s="109"/>
      <c r="AP192" s="109"/>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2"/>
      <c r="AJ193" s="109"/>
      <c r="AK193" s="109"/>
      <c r="AL193" s="109"/>
      <c r="AM193" s="109"/>
      <c r="AN193" s="109"/>
      <c r="AO193" s="109"/>
      <c r="AP193" s="109"/>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2"/>
      <c r="AJ194" s="109"/>
      <c r="AK194" s="109"/>
      <c r="AL194" s="109"/>
      <c r="AM194" s="109"/>
      <c r="AN194" s="109"/>
      <c r="AO194" s="109"/>
      <c r="AP194" s="109"/>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2"/>
      <c r="AJ195" s="109"/>
      <c r="AK195" s="109"/>
      <c r="AL195" s="109"/>
      <c r="AM195" s="109"/>
      <c r="AN195" s="109"/>
      <c r="AO195" s="109"/>
      <c r="AP195" s="109"/>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2"/>
      <c r="AJ196" s="109"/>
      <c r="AK196" s="109"/>
      <c r="AL196" s="109"/>
      <c r="AM196" s="109"/>
      <c r="AN196" s="109"/>
      <c r="AO196" s="109"/>
      <c r="AP196" s="109"/>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2"/>
      <c r="AJ197" s="109"/>
      <c r="AK197" s="109"/>
      <c r="AL197" s="109"/>
      <c r="AM197" s="109"/>
      <c r="AN197" s="109"/>
      <c r="AO197" s="109"/>
      <c r="AP197" s="109"/>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2"/>
      <c r="AJ198" s="109"/>
      <c r="AK198" s="109"/>
      <c r="AL198" s="109"/>
      <c r="AM198" s="109"/>
      <c r="AN198" s="109"/>
      <c r="AO198" s="109"/>
      <c r="AP198" s="109"/>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2"/>
      <c r="AJ199" s="109"/>
      <c r="AK199" s="109"/>
      <c r="AL199" s="109"/>
      <c r="AM199" s="109"/>
      <c r="AN199" s="109"/>
      <c r="AO199" s="109"/>
      <c r="AP199" s="109"/>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2"/>
      <c r="AJ200" s="109"/>
      <c r="AK200" s="109"/>
      <c r="AL200" s="109"/>
      <c r="AM200" s="109"/>
      <c r="AN200" s="109"/>
      <c r="AO200" s="109"/>
      <c r="AP200" s="109"/>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2"/>
      <c r="AJ201" s="109"/>
      <c r="AK201" s="109"/>
      <c r="AL201" s="109"/>
      <c r="AM201" s="109"/>
      <c r="AN201" s="109"/>
      <c r="AO201" s="109"/>
      <c r="AP201" s="109"/>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2"/>
      <c r="AJ202" s="109"/>
      <c r="AK202" s="109"/>
      <c r="AL202" s="109"/>
      <c r="AM202" s="109"/>
      <c r="AN202" s="109"/>
      <c r="AO202" s="109"/>
      <c r="AP202" s="109"/>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2"/>
      <c r="AJ203" s="109"/>
      <c r="AK203" s="109"/>
      <c r="AL203" s="109"/>
      <c r="AM203" s="109"/>
      <c r="AN203" s="109"/>
      <c r="AO203" s="109"/>
      <c r="AP203" s="109"/>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2"/>
      <c r="AJ204" s="109"/>
      <c r="AK204" s="109"/>
      <c r="AL204" s="109"/>
      <c r="AM204" s="109"/>
      <c r="AN204" s="109"/>
      <c r="AO204" s="109"/>
      <c r="AP204" s="109"/>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2"/>
      <c r="AJ205" s="109"/>
      <c r="AK205" s="109"/>
      <c r="AL205" s="109"/>
      <c r="AM205" s="109"/>
      <c r="AN205" s="109"/>
      <c r="AO205" s="109"/>
      <c r="AP205" s="109"/>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2"/>
      <c r="AJ206" s="109"/>
      <c r="AK206" s="109"/>
      <c r="AL206" s="109"/>
      <c r="AM206" s="109"/>
      <c r="AN206" s="109"/>
      <c r="AO206" s="109"/>
      <c r="AP206" s="10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2"/>
      <c r="AJ207" s="109"/>
      <c r="AK207" s="109"/>
      <c r="AL207" s="109"/>
      <c r="AM207" s="109"/>
      <c r="AN207" s="109"/>
      <c r="AO207" s="109"/>
      <c r="AP207" s="109"/>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2"/>
      <c r="AJ208" s="109"/>
      <c r="AK208" s="109"/>
      <c r="AL208" s="109"/>
      <c r="AM208" s="109"/>
      <c r="AN208" s="109"/>
      <c r="AO208" s="109"/>
      <c r="AP208" s="109"/>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2"/>
      <c r="AJ209" s="109"/>
      <c r="AK209" s="109"/>
      <c r="AL209" s="109"/>
      <c r="AM209" s="109"/>
      <c r="AN209" s="109"/>
      <c r="AO209" s="109"/>
      <c r="AP209" s="109"/>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7"/>
      <c r="AE210" s="117"/>
      <c r="AF210" s="117"/>
      <c r="AG210" s="117"/>
      <c r="AH210" s="117"/>
      <c r="AI210" s="112"/>
      <c r="AJ210" s="109"/>
      <c r="AK210" s="109"/>
      <c r="AL210" s="109"/>
      <c r="AM210" s="109"/>
      <c r="AN210" s="109"/>
      <c r="AO210" s="109"/>
      <c r="AP210" s="109"/>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2"/>
      <c r="AJ211" s="109"/>
      <c r="AK211" s="109"/>
      <c r="AL211" s="109"/>
      <c r="AM211" s="109"/>
      <c r="AN211" s="109"/>
      <c r="AO211" s="109"/>
      <c r="AP211" s="109"/>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2"/>
      <c r="AJ212" s="109"/>
      <c r="AK212" s="109"/>
      <c r="AL212" s="109"/>
      <c r="AM212" s="109"/>
      <c r="AN212" s="109"/>
      <c r="AO212" s="109"/>
      <c r="AP212" s="109"/>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2"/>
      <c r="AJ213" s="109"/>
      <c r="AK213" s="109"/>
      <c r="AL213" s="109"/>
      <c r="AM213" s="109"/>
      <c r="AN213" s="109"/>
      <c r="AO213" s="109"/>
      <c r="AP213" s="109"/>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2"/>
      <c r="AJ214" s="109"/>
      <c r="AK214" s="109"/>
      <c r="AL214" s="109"/>
      <c r="AM214" s="109"/>
      <c r="AN214" s="109"/>
      <c r="AO214" s="109"/>
      <c r="AP214" s="109"/>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2"/>
      <c r="AJ215" s="109"/>
      <c r="AK215" s="109"/>
      <c r="AL215" s="109"/>
      <c r="AM215" s="109"/>
      <c r="AN215" s="109"/>
      <c r="AO215" s="109"/>
      <c r="AP215" s="109"/>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2"/>
      <c r="AJ216" s="109"/>
      <c r="AK216" s="109"/>
      <c r="AL216" s="109"/>
      <c r="AM216" s="109"/>
      <c r="AN216" s="109"/>
      <c r="AO216" s="109"/>
      <c r="AP216" s="109"/>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2"/>
      <c r="AJ217" s="109"/>
      <c r="AK217" s="109"/>
      <c r="AL217" s="109"/>
      <c r="AM217" s="109"/>
      <c r="AN217" s="109"/>
      <c r="AO217" s="109"/>
      <c r="AP217" s="109"/>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2"/>
      <c r="AJ218" s="109"/>
      <c r="AK218" s="109"/>
      <c r="AL218" s="109"/>
      <c r="AM218" s="109"/>
      <c r="AN218" s="109"/>
      <c r="AO218" s="109"/>
      <c r="AP218" s="109"/>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2"/>
      <c r="AJ219" s="109"/>
      <c r="AK219" s="109"/>
      <c r="AL219" s="109"/>
      <c r="AM219" s="109"/>
      <c r="AN219" s="109"/>
      <c r="AO219" s="109"/>
      <c r="AP219" s="109"/>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2"/>
      <c r="AJ220" s="109"/>
      <c r="AK220" s="109"/>
      <c r="AL220" s="109"/>
      <c r="AM220" s="109"/>
      <c r="AN220" s="109"/>
      <c r="AO220" s="109"/>
      <c r="AP220" s="109"/>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2"/>
      <c r="AJ221" s="109"/>
      <c r="AK221" s="109"/>
      <c r="AL221" s="109"/>
      <c r="AM221" s="109"/>
      <c r="AN221" s="109"/>
      <c r="AO221" s="109"/>
      <c r="AP221" s="109"/>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2"/>
      <c r="AJ222" s="109"/>
      <c r="AK222" s="109"/>
      <c r="AL222" s="109"/>
      <c r="AM222" s="109"/>
      <c r="AN222" s="109"/>
      <c r="AO222" s="109"/>
      <c r="AP222" s="109"/>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2"/>
      <c r="AJ223" s="109"/>
      <c r="AK223" s="109"/>
      <c r="AL223" s="109"/>
      <c r="AM223" s="109"/>
      <c r="AN223" s="109"/>
      <c r="AO223" s="109"/>
      <c r="AP223" s="109"/>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2"/>
      <c r="AJ224" s="109"/>
      <c r="AK224" s="109"/>
      <c r="AL224" s="109"/>
      <c r="AM224" s="109"/>
      <c r="AN224" s="109"/>
      <c r="AO224" s="109"/>
      <c r="AP224" s="109"/>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2"/>
      <c r="AJ225" s="109"/>
      <c r="AK225" s="109"/>
      <c r="AL225" s="109"/>
      <c r="AM225" s="109"/>
      <c r="AN225" s="109"/>
      <c r="AO225" s="109"/>
      <c r="AP225" s="109"/>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2"/>
      <c r="AJ226" s="109"/>
      <c r="AK226" s="109"/>
      <c r="AL226" s="109"/>
      <c r="AM226" s="109"/>
      <c r="AN226" s="109"/>
      <c r="AO226" s="109"/>
      <c r="AP226" s="109"/>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2"/>
      <c r="AJ227" s="109"/>
      <c r="AK227" s="109"/>
      <c r="AL227" s="109"/>
      <c r="AM227" s="109"/>
      <c r="AN227" s="109"/>
      <c r="AO227" s="109"/>
      <c r="AP227" s="109"/>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2"/>
      <c r="AJ228" s="109"/>
      <c r="AK228" s="109"/>
      <c r="AL228" s="109"/>
      <c r="AM228" s="109"/>
      <c r="AN228" s="109"/>
      <c r="AO228" s="109"/>
      <c r="AP228" s="109"/>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2"/>
      <c r="AJ229" s="109"/>
      <c r="AK229" s="109"/>
      <c r="AL229" s="109"/>
      <c r="AM229" s="109"/>
      <c r="AN229" s="109"/>
      <c r="AO229" s="109"/>
      <c r="AP229" s="109"/>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2"/>
      <c r="AJ230" s="109"/>
      <c r="AK230" s="109"/>
      <c r="AL230" s="109"/>
      <c r="AM230" s="109"/>
      <c r="AN230" s="109"/>
      <c r="AO230" s="109"/>
      <c r="AP230" s="109"/>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2"/>
      <c r="AJ231" s="109"/>
      <c r="AK231" s="109"/>
      <c r="AL231" s="109"/>
      <c r="AM231" s="109"/>
      <c r="AN231" s="109"/>
      <c r="AO231" s="109"/>
      <c r="AP231" s="109"/>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2"/>
      <c r="AJ232" s="109"/>
      <c r="AK232" s="109"/>
      <c r="AL232" s="109"/>
      <c r="AM232" s="109"/>
      <c r="AN232" s="109"/>
      <c r="AO232" s="109"/>
      <c r="AP232" s="109"/>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2"/>
      <c r="AJ233" s="109"/>
      <c r="AK233" s="109"/>
      <c r="AL233" s="109"/>
      <c r="AM233" s="109"/>
      <c r="AN233" s="109"/>
      <c r="AO233" s="109"/>
      <c r="AP233" s="109"/>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2"/>
      <c r="AJ234" s="109"/>
      <c r="AK234" s="109"/>
      <c r="AL234" s="109"/>
      <c r="AM234" s="109"/>
      <c r="AN234" s="109"/>
      <c r="AO234" s="109"/>
      <c r="AP234" s="109"/>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2"/>
      <c r="AJ235" s="109"/>
      <c r="AK235" s="109"/>
      <c r="AL235" s="109"/>
      <c r="AM235" s="109"/>
      <c r="AN235" s="109"/>
      <c r="AO235" s="109"/>
      <c r="AP235" s="109"/>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2"/>
      <c r="AJ236" s="109"/>
      <c r="AK236" s="109"/>
      <c r="AL236" s="109"/>
      <c r="AM236" s="109"/>
      <c r="AN236" s="109"/>
      <c r="AO236" s="109"/>
      <c r="AP236" s="109"/>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2"/>
      <c r="AJ237" s="109"/>
      <c r="AK237" s="109"/>
      <c r="AL237" s="109"/>
      <c r="AM237" s="109"/>
      <c r="AN237" s="109"/>
      <c r="AO237" s="109"/>
      <c r="AP237" s="109"/>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2"/>
      <c r="AJ238" s="109"/>
      <c r="AK238" s="109"/>
      <c r="AL238" s="109"/>
      <c r="AM238" s="109"/>
      <c r="AN238" s="109"/>
      <c r="AO238" s="109"/>
      <c r="AP238" s="109"/>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2"/>
      <c r="AJ239" s="109"/>
      <c r="AK239" s="109"/>
      <c r="AL239" s="109"/>
      <c r="AM239" s="109"/>
      <c r="AN239" s="109"/>
      <c r="AO239" s="109"/>
      <c r="AP239" s="109"/>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2"/>
      <c r="AJ240" s="109"/>
      <c r="AK240" s="109"/>
      <c r="AL240" s="109"/>
      <c r="AM240" s="109"/>
      <c r="AN240" s="109"/>
      <c r="AO240" s="109"/>
      <c r="AP240" s="109"/>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2"/>
      <c r="AJ241" s="109"/>
      <c r="AK241" s="109"/>
      <c r="AL241" s="109"/>
      <c r="AM241" s="109"/>
      <c r="AN241" s="109"/>
      <c r="AO241" s="109"/>
      <c r="AP241" s="109"/>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2"/>
      <c r="AJ242" s="109"/>
      <c r="AK242" s="109"/>
      <c r="AL242" s="109"/>
      <c r="AM242" s="109"/>
      <c r="AN242" s="109"/>
      <c r="AO242" s="109"/>
      <c r="AP242" s="109"/>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2"/>
      <c r="AJ243" s="109"/>
      <c r="AK243" s="109"/>
      <c r="AL243" s="109"/>
      <c r="AM243" s="109"/>
      <c r="AN243" s="109"/>
      <c r="AO243" s="109"/>
      <c r="AP243" s="109"/>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2"/>
      <c r="AJ244" s="109"/>
      <c r="AK244" s="109"/>
      <c r="AL244" s="109"/>
      <c r="AM244" s="109"/>
      <c r="AN244" s="109"/>
      <c r="AO244" s="109"/>
      <c r="AP244" s="109"/>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2"/>
      <c r="AJ245" s="109"/>
      <c r="AK245" s="109"/>
      <c r="AL245" s="109"/>
      <c r="AM245" s="109"/>
      <c r="AN245" s="109"/>
      <c r="AO245" s="109"/>
      <c r="AP245" s="109"/>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2"/>
      <c r="AJ246" s="109"/>
      <c r="AK246" s="109"/>
      <c r="AL246" s="109"/>
      <c r="AM246" s="109"/>
      <c r="AN246" s="109"/>
      <c r="AO246" s="109"/>
      <c r="AP246" s="109"/>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2"/>
      <c r="AJ247" s="109"/>
      <c r="AK247" s="109"/>
      <c r="AL247" s="109"/>
      <c r="AM247" s="109"/>
      <c r="AN247" s="109"/>
      <c r="AO247" s="109"/>
      <c r="AP247" s="109"/>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2"/>
      <c r="AJ248" s="109"/>
      <c r="AK248" s="109"/>
      <c r="AL248" s="109"/>
      <c r="AM248" s="109"/>
      <c r="AN248" s="109"/>
      <c r="AO248" s="109"/>
      <c r="AP248" s="109"/>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2"/>
      <c r="AJ249" s="109"/>
      <c r="AK249" s="109"/>
      <c r="AL249" s="109"/>
      <c r="AM249" s="109"/>
      <c r="AN249" s="109"/>
      <c r="AO249" s="109"/>
      <c r="AP249" s="109"/>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2"/>
      <c r="AJ250" s="109"/>
      <c r="AK250" s="109"/>
      <c r="AL250" s="109"/>
      <c r="AM250" s="109"/>
      <c r="AN250" s="109"/>
      <c r="AO250" s="109"/>
      <c r="AP250" s="109"/>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2"/>
      <c r="AJ251" s="109"/>
      <c r="AK251" s="109"/>
      <c r="AL251" s="109"/>
      <c r="AM251" s="109"/>
      <c r="AN251" s="109"/>
      <c r="AO251" s="109"/>
      <c r="AP251" s="109"/>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2"/>
      <c r="AJ252" s="109"/>
      <c r="AK252" s="109"/>
      <c r="AL252" s="109"/>
      <c r="AM252" s="109"/>
      <c r="AN252" s="109"/>
      <c r="AO252" s="109"/>
      <c r="AP252" s="109"/>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2"/>
      <c r="AJ253" s="109"/>
      <c r="AK253" s="109"/>
      <c r="AL253" s="109"/>
      <c r="AM253" s="109"/>
      <c r="AN253" s="109"/>
      <c r="AO253" s="109"/>
      <c r="AP253" s="109"/>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2"/>
      <c r="AJ254" s="109"/>
      <c r="AK254" s="109"/>
      <c r="AL254" s="109"/>
      <c r="AM254" s="109"/>
      <c r="AN254" s="109"/>
      <c r="AO254" s="109"/>
      <c r="AP254" s="109"/>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2"/>
      <c r="AJ255" s="109"/>
      <c r="AK255" s="109"/>
      <c r="AL255" s="109"/>
      <c r="AM255" s="109"/>
      <c r="AN255" s="109"/>
      <c r="AO255" s="109"/>
      <c r="AP255" s="109"/>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2"/>
      <c r="AJ256" s="109"/>
      <c r="AK256" s="109"/>
      <c r="AL256" s="109"/>
      <c r="AM256" s="109"/>
      <c r="AN256" s="109"/>
      <c r="AO256" s="109"/>
      <c r="AP256" s="109"/>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2"/>
      <c r="AJ257" s="109"/>
      <c r="AK257" s="109"/>
      <c r="AL257" s="109"/>
      <c r="AM257" s="109"/>
      <c r="AN257" s="109"/>
      <c r="AO257" s="109"/>
      <c r="AP257" s="109"/>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2"/>
      <c r="AJ258" s="109"/>
      <c r="AK258" s="109"/>
      <c r="AL258" s="109"/>
      <c r="AM258" s="109"/>
      <c r="AN258" s="109"/>
      <c r="AO258" s="109"/>
      <c r="AP258" s="109"/>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2"/>
      <c r="AJ259" s="109"/>
      <c r="AK259" s="109"/>
      <c r="AL259" s="109"/>
      <c r="AM259" s="109"/>
      <c r="AN259" s="109"/>
      <c r="AO259" s="109"/>
      <c r="AP259" s="109"/>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2"/>
      <c r="AJ260" s="109"/>
      <c r="AK260" s="109"/>
      <c r="AL260" s="109"/>
      <c r="AM260" s="109"/>
      <c r="AN260" s="109"/>
      <c r="AO260" s="109"/>
      <c r="AP260" s="109"/>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2"/>
      <c r="AJ261" s="109"/>
      <c r="AK261" s="109"/>
      <c r="AL261" s="109"/>
      <c r="AM261" s="109"/>
      <c r="AN261" s="109"/>
      <c r="AO261" s="109"/>
      <c r="AP261" s="109"/>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2"/>
      <c r="AJ262" s="109"/>
      <c r="AK262" s="109"/>
      <c r="AL262" s="109"/>
      <c r="AM262" s="109"/>
      <c r="AN262" s="109"/>
      <c r="AO262" s="109"/>
      <c r="AP262" s="109"/>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2"/>
      <c r="AJ263" s="109"/>
      <c r="AK263" s="109"/>
      <c r="AL263" s="109"/>
      <c r="AM263" s="109"/>
      <c r="AN263" s="109"/>
      <c r="AO263" s="109"/>
      <c r="AP263" s="109"/>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2"/>
      <c r="AJ264" s="109"/>
      <c r="AK264" s="109"/>
      <c r="AL264" s="109"/>
      <c r="AM264" s="109"/>
      <c r="AN264" s="109"/>
      <c r="AO264" s="109"/>
      <c r="AP264" s="109"/>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2"/>
      <c r="AJ265" s="109"/>
      <c r="AK265" s="109"/>
      <c r="AL265" s="109"/>
      <c r="AM265" s="109"/>
      <c r="AN265" s="109"/>
      <c r="AO265" s="109"/>
      <c r="AP265" s="109"/>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2"/>
      <c r="AJ266" s="109"/>
      <c r="AK266" s="109"/>
      <c r="AL266" s="109"/>
      <c r="AM266" s="109"/>
      <c r="AN266" s="109"/>
      <c r="AO266" s="109"/>
      <c r="AP266" s="109"/>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2"/>
      <c r="AJ267" s="109"/>
      <c r="AK267" s="109"/>
      <c r="AL267" s="109"/>
      <c r="AM267" s="109"/>
      <c r="AN267" s="109"/>
      <c r="AO267" s="109"/>
      <c r="AP267" s="109"/>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2"/>
      <c r="AJ268" s="109"/>
      <c r="AK268" s="109"/>
      <c r="AL268" s="109"/>
      <c r="AM268" s="109"/>
      <c r="AN268" s="109"/>
      <c r="AO268" s="109"/>
      <c r="AP268" s="109"/>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2"/>
      <c r="AJ269" s="109"/>
      <c r="AK269" s="109"/>
      <c r="AL269" s="109"/>
      <c r="AM269" s="109"/>
      <c r="AN269" s="109"/>
      <c r="AO269" s="109"/>
      <c r="AP269" s="109"/>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2"/>
      <c r="AJ270" s="109"/>
      <c r="AK270" s="109"/>
      <c r="AL270" s="109"/>
      <c r="AM270" s="109"/>
      <c r="AN270" s="109"/>
      <c r="AO270" s="109"/>
      <c r="AP270" s="109"/>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2"/>
      <c r="AJ271" s="109"/>
      <c r="AK271" s="109"/>
      <c r="AL271" s="109"/>
      <c r="AM271" s="109"/>
      <c r="AN271" s="109"/>
      <c r="AO271" s="109"/>
      <c r="AP271" s="109"/>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2"/>
      <c r="AJ272" s="109"/>
      <c r="AK272" s="109"/>
      <c r="AL272" s="109"/>
      <c r="AM272" s="109"/>
      <c r="AN272" s="109"/>
      <c r="AO272" s="109"/>
      <c r="AP272" s="109"/>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2"/>
      <c r="AJ273" s="109"/>
      <c r="AK273" s="109"/>
      <c r="AL273" s="109"/>
      <c r="AM273" s="109"/>
      <c r="AN273" s="109"/>
      <c r="AO273" s="109"/>
      <c r="AP273" s="10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2"/>
      <c r="AJ274" s="109"/>
      <c r="AK274" s="109"/>
      <c r="AL274" s="109"/>
      <c r="AM274" s="109"/>
      <c r="AN274" s="109"/>
      <c r="AO274" s="109"/>
      <c r="AP274" s="10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2"/>
      <c r="AJ275" s="109"/>
      <c r="AK275" s="109"/>
      <c r="AL275" s="109"/>
      <c r="AM275" s="109"/>
      <c r="AN275" s="109"/>
      <c r="AO275" s="109"/>
      <c r="AP275" s="109"/>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2"/>
      <c r="AJ276" s="109"/>
      <c r="AK276" s="109"/>
      <c r="AL276" s="109"/>
      <c r="AM276" s="109"/>
      <c r="AN276" s="109"/>
      <c r="AO276" s="109"/>
      <c r="AP276" s="109"/>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2"/>
      <c r="AJ277" s="109"/>
      <c r="AK277" s="109"/>
      <c r="AL277" s="109"/>
      <c r="AM277" s="109"/>
      <c r="AN277" s="109"/>
      <c r="AO277" s="109"/>
      <c r="AP277" s="109"/>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2"/>
      <c r="AJ278" s="109"/>
      <c r="AK278" s="109"/>
      <c r="AL278" s="109"/>
      <c r="AM278" s="109"/>
      <c r="AN278" s="109"/>
      <c r="AO278" s="109"/>
      <c r="AP278" s="109"/>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2"/>
      <c r="AJ279" s="109"/>
      <c r="AK279" s="109"/>
      <c r="AL279" s="109"/>
      <c r="AM279" s="109"/>
      <c r="AN279" s="109"/>
      <c r="AO279" s="109"/>
      <c r="AP279" s="109"/>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2"/>
      <c r="AJ280" s="109"/>
      <c r="AK280" s="109"/>
      <c r="AL280" s="109"/>
      <c r="AM280" s="109"/>
      <c r="AN280" s="109"/>
      <c r="AO280" s="109"/>
      <c r="AP280" s="109"/>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2"/>
      <c r="AJ281" s="109"/>
      <c r="AK281" s="109"/>
      <c r="AL281" s="109"/>
      <c r="AM281" s="109"/>
      <c r="AN281" s="109"/>
      <c r="AO281" s="109"/>
      <c r="AP281" s="109"/>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2"/>
      <c r="AJ282" s="109"/>
      <c r="AK282" s="109"/>
      <c r="AL282" s="109"/>
      <c r="AM282" s="109"/>
      <c r="AN282" s="109"/>
      <c r="AO282" s="109"/>
      <c r="AP282" s="109"/>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2"/>
      <c r="AJ283" s="109"/>
      <c r="AK283" s="109"/>
      <c r="AL283" s="109"/>
      <c r="AM283" s="109"/>
      <c r="AN283" s="109"/>
      <c r="AO283" s="109"/>
      <c r="AP283" s="109"/>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2"/>
      <c r="AJ284" s="109"/>
      <c r="AK284" s="109"/>
      <c r="AL284" s="109"/>
      <c r="AM284" s="109"/>
      <c r="AN284" s="109"/>
      <c r="AO284" s="109"/>
      <c r="AP284" s="109"/>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2"/>
      <c r="AJ285" s="109"/>
      <c r="AK285" s="109"/>
      <c r="AL285" s="109"/>
      <c r="AM285" s="109"/>
      <c r="AN285" s="109"/>
      <c r="AO285" s="109"/>
      <c r="AP285" s="109"/>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2"/>
      <c r="AJ286" s="109"/>
      <c r="AK286" s="109"/>
      <c r="AL286" s="109"/>
      <c r="AM286" s="109"/>
      <c r="AN286" s="109"/>
      <c r="AO286" s="109"/>
      <c r="AP286" s="109"/>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2"/>
      <c r="AJ287" s="109"/>
      <c r="AK287" s="109"/>
      <c r="AL287" s="109"/>
      <c r="AM287" s="109"/>
      <c r="AN287" s="109"/>
      <c r="AO287" s="109"/>
      <c r="AP287" s="109"/>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2"/>
      <c r="AJ288" s="109"/>
      <c r="AK288" s="109"/>
      <c r="AL288" s="109"/>
      <c r="AM288" s="109"/>
      <c r="AN288" s="109"/>
      <c r="AO288" s="109"/>
      <c r="AP288" s="109"/>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2"/>
      <c r="AJ289" s="109"/>
      <c r="AK289" s="109"/>
      <c r="AL289" s="109"/>
      <c r="AM289" s="109"/>
      <c r="AN289" s="109"/>
      <c r="AO289" s="109"/>
      <c r="AP289" s="109"/>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2"/>
      <c r="AJ290" s="109"/>
      <c r="AK290" s="109"/>
      <c r="AL290" s="109"/>
      <c r="AM290" s="109"/>
      <c r="AN290" s="109"/>
      <c r="AO290" s="109"/>
      <c r="AP290" s="10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2"/>
      <c r="AJ291" s="109"/>
      <c r="AK291" s="109"/>
      <c r="AL291" s="109"/>
      <c r="AM291" s="109"/>
      <c r="AN291" s="109"/>
      <c r="AO291" s="109"/>
      <c r="AP291" s="109"/>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2"/>
      <c r="AJ292" s="109"/>
      <c r="AK292" s="109"/>
      <c r="AL292" s="109"/>
      <c r="AM292" s="109"/>
      <c r="AN292" s="109"/>
      <c r="AO292" s="109"/>
      <c r="AP292" s="109"/>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2"/>
      <c r="AJ293" s="109"/>
      <c r="AK293" s="109"/>
      <c r="AL293" s="109"/>
      <c r="AM293" s="109"/>
      <c r="AN293" s="109"/>
      <c r="AO293" s="109"/>
      <c r="AP293" s="109"/>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2"/>
      <c r="AJ294" s="109"/>
      <c r="AK294" s="109"/>
      <c r="AL294" s="109"/>
      <c r="AM294" s="109"/>
      <c r="AN294" s="109"/>
      <c r="AO294" s="109"/>
      <c r="AP294" s="109"/>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2"/>
      <c r="AJ295" s="109"/>
      <c r="AK295" s="109"/>
      <c r="AL295" s="109"/>
      <c r="AM295" s="109"/>
      <c r="AN295" s="109"/>
      <c r="AO295" s="109"/>
      <c r="AP295" s="109"/>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2"/>
      <c r="AJ296" s="109"/>
      <c r="AK296" s="109"/>
      <c r="AL296" s="109"/>
      <c r="AM296" s="109"/>
      <c r="AN296" s="109"/>
      <c r="AO296" s="109"/>
      <c r="AP296" s="109"/>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2"/>
      <c r="AJ297" s="109"/>
      <c r="AK297" s="109"/>
      <c r="AL297" s="109"/>
      <c r="AM297" s="109"/>
      <c r="AN297" s="109"/>
      <c r="AO297" s="109"/>
      <c r="AP297" s="109"/>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2"/>
      <c r="AJ298" s="109"/>
      <c r="AK298" s="109"/>
      <c r="AL298" s="109"/>
      <c r="AM298" s="109"/>
      <c r="AN298" s="109"/>
      <c r="AO298" s="109"/>
      <c r="AP298" s="109"/>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2"/>
      <c r="AJ299" s="109"/>
      <c r="AK299" s="109"/>
      <c r="AL299" s="109"/>
      <c r="AM299" s="109"/>
      <c r="AN299" s="109"/>
      <c r="AO299" s="109"/>
      <c r="AP299" s="109"/>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2"/>
      <c r="AJ300" s="109"/>
      <c r="AK300" s="109"/>
      <c r="AL300" s="109"/>
      <c r="AM300" s="109"/>
      <c r="AN300" s="109"/>
      <c r="AO300" s="109"/>
      <c r="AP300" s="109"/>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2"/>
      <c r="AJ301" s="109"/>
      <c r="AK301" s="109"/>
      <c r="AL301" s="109"/>
      <c r="AM301" s="109"/>
      <c r="AN301" s="109"/>
      <c r="AO301" s="109"/>
      <c r="AP301" s="109"/>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2"/>
      <c r="AJ302" s="109"/>
      <c r="AK302" s="109"/>
      <c r="AL302" s="109"/>
      <c r="AM302" s="109"/>
      <c r="AN302" s="109"/>
      <c r="AO302" s="109"/>
      <c r="AP302" s="109"/>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2"/>
      <c r="AJ303" s="109"/>
      <c r="AK303" s="109"/>
      <c r="AL303" s="109"/>
      <c r="AM303" s="109"/>
      <c r="AN303" s="109"/>
      <c r="AO303" s="109"/>
      <c r="AP303" s="109"/>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2"/>
      <c r="AJ304" s="109"/>
      <c r="AK304" s="109"/>
      <c r="AL304" s="109"/>
      <c r="AM304" s="109"/>
      <c r="AN304" s="109"/>
      <c r="AO304" s="109"/>
      <c r="AP304" s="109"/>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2"/>
      <c r="AJ305" s="109"/>
      <c r="AK305" s="109"/>
      <c r="AL305" s="109"/>
      <c r="AM305" s="109"/>
      <c r="AN305" s="109"/>
      <c r="AO305" s="109"/>
      <c r="AP305" s="109"/>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2"/>
      <c r="AJ306" s="109"/>
      <c r="AK306" s="109"/>
      <c r="AL306" s="109"/>
      <c r="AM306" s="109"/>
      <c r="AN306" s="109"/>
      <c r="AO306" s="109"/>
      <c r="AP306" s="109"/>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2"/>
      <c r="AJ307" s="109"/>
      <c r="AK307" s="109"/>
      <c r="AL307" s="109"/>
      <c r="AM307" s="109"/>
      <c r="AN307" s="109"/>
      <c r="AO307" s="109"/>
      <c r="AP307" s="109"/>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2"/>
      <c r="AJ308" s="109"/>
      <c r="AK308" s="109"/>
      <c r="AL308" s="109"/>
      <c r="AM308" s="109"/>
      <c r="AN308" s="109"/>
      <c r="AO308" s="109"/>
      <c r="AP308" s="109"/>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2"/>
      <c r="AJ309" s="109"/>
      <c r="AK309" s="109"/>
      <c r="AL309" s="109"/>
      <c r="AM309" s="109"/>
      <c r="AN309" s="109"/>
      <c r="AO309" s="109"/>
      <c r="AP309" s="109"/>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2"/>
      <c r="AJ310" s="109"/>
      <c r="AK310" s="109"/>
      <c r="AL310" s="109"/>
      <c r="AM310" s="109"/>
      <c r="AN310" s="109"/>
      <c r="AO310" s="109"/>
      <c r="AP310" s="109"/>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2"/>
      <c r="AJ311" s="109"/>
      <c r="AK311" s="109"/>
      <c r="AL311" s="109"/>
      <c r="AM311" s="109"/>
      <c r="AN311" s="109"/>
      <c r="AO311" s="109"/>
      <c r="AP311" s="109"/>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2"/>
      <c r="AJ312" s="109"/>
      <c r="AK312" s="109"/>
      <c r="AL312" s="109"/>
      <c r="AM312" s="109"/>
      <c r="AN312" s="109"/>
      <c r="AO312" s="109"/>
      <c r="AP312" s="109"/>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2"/>
      <c r="AJ313" s="109"/>
      <c r="AK313" s="109"/>
      <c r="AL313" s="109"/>
      <c r="AM313" s="109"/>
      <c r="AN313" s="109"/>
      <c r="AO313" s="109"/>
      <c r="AP313" s="109"/>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2"/>
      <c r="AJ314" s="109"/>
      <c r="AK314" s="109"/>
      <c r="AL314" s="109"/>
      <c r="AM314" s="109"/>
      <c r="AN314" s="109"/>
      <c r="AO314" s="109"/>
      <c r="AP314" s="109"/>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2"/>
      <c r="AJ315" s="109"/>
      <c r="AK315" s="109"/>
      <c r="AL315" s="109"/>
      <c r="AM315" s="109"/>
      <c r="AN315" s="109"/>
      <c r="AO315" s="109"/>
      <c r="AP315" s="109"/>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2"/>
      <c r="AJ316" s="109"/>
      <c r="AK316" s="109"/>
      <c r="AL316" s="109"/>
      <c r="AM316" s="109"/>
      <c r="AN316" s="109"/>
      <c r="AO316" s="109"/>
      <c r="AP316" s="109"/>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2"/>
      <c r="AJ317" s="109"/>
      <c r="AK317" s="109"/>
      <c r="AL317" s="109"/>
      <c r="AM317" s="109"/>
      <c r="AN317" s="109"/>
      <c r="AO317" s="109"/>
      <c r="AP317" s="109"/>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2"/>
      <c r="AJ318" s="109"/>
      <c r="AK318" s="109"/>
      <c r="AL318" s="109"/>
      <c r="AM318" s="109"/>
      <c r="AN318" s="109"/>
      <c r="AO318" s="109"/>
      <c r="AP318" s="109"/>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2"/>
      <c r="AJ319" s="109"/>
      <c r="AK319" s="109"/>
      <c r="AL319" s="109"/>
      <c r="AM319" s="109"/>
      <c r="AN319" s="109"/>
      <c r="AO319" s="109"/>
      <c r="AP319" s="109"/>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2"/>
      <c r="AJ320" s="109"/>
      <c r="AK320" s="109"/>
      <c r="AL320" s="109"/>
      <c r="AM320" s="109"/>
      <c r="AN320" s="109"/>
      <c r="AO320" s="109"/>
      <c r="AP320" s="109"/>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2"/>
      <c r="AJ321" s="109"/>
      <c r="AK321" s="109"/>
      <c r="AL321" s="109"/>
      <c r="AM321" s="109"/>
      <c r="AN321" s="109"/>
      <c r="AO321" s="109"/>
      <c r="AP321" s="109"/>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2"/>
      <c r="AJ322" s="109"/>
      <c r="AK322" s="109"/>
      <c r="AL322" s="109"/>
      <c r="AM322" s="109"/>
      <c r="AN322" s="109"/>
      <c r="AO322" s="109"/>
      <c r="AP322" s="109"/>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2"/>
      <c r="AJ323" s="109"/>
      <c r="AK323" s="109"/>
      <c r="AL323" s="109"/>
      <c r="AM323" s="109"/>
      <c r="AN323" s="109"/>
      <c r="AO323" s="109"/>
      <c r="AP323" s="109"/>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2"/>
      <c r="AJ324" s="109"/>
      <c r="AK324" s="109"/>
      <c r="AL324" s="109"/>
      <c r="AM324" s="109"/>
      <c r="AN324" s="109"/>
      <c r="AO324" s="109"/>
      <c r="AP324" s="109"/>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2"/>
      <c r="AJ325" s="109"/>
      <c r="AK325" s="109"/>
      <c r="AL325" s="109"/>
      <c r="AM325" s="109"/>
      <c r="AN325" s="109"/>
      <c r="AO325" s="109"/>
      <c r="AP325" s="109"/>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2"/>
      <c r="AJ326" s="109"/>
      <c r="AK326" s="109"/>
      <c r="AL326" s="109"/>
      <c r="AM326" s="109"/>
      <c r="AN326" s="109"/>
      <c r="AO326" s="109"/>
      <c r="AP326" s="109"/>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2"/>
      <c r="AJ327" s="109"/>
      <c r="AK327" s="109"/>
      <c r="AL327" s="109"/>
      <c r="AM327" s="109"/>
      <c r="AN327" s="109"/>
      <c r="AO327" s="109"/>
      <c r="AP327" s="109"/>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2"/>
      <c r="AJ328" s="109"/>
      <c r="AK328" s="109"/>
      <c r="AL328" s="109"/>
      <c r="AM328" s="109"/>
      <c r="AN328" s="109"/>
      <c r="AO328" s="109"/>
      <c r="AP328" s="109"/>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2"/>
      <c r="AJ329" s="109"/>
      <c r="AK329" s="109"/>
      <c r="AL329" s="109"/>
      <c r="AM329" s="109"/>
      <c r="AN329" s="109"/>
      <c r="AO329" s="109"/>
      <c r="AP329" s="109"/>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2"/>
      <c r="AJ330" s="109"/>
      <c r="AK330" s="109"/>
      <c r="AL330" s="109"/>
      <c r="AM330" s="109"/>
      <c r="AN330" s="109"/>
      <c r="AO330" s="109"/>
      <c r="AP330" s="109"/>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2"/>
      <c r="AJ331" s="109"/>
      <c r="AK331" s="109"/>
      <c r="AL331" s="109"/>
      <c r="AM331" s="109"/>
      <c r="AN331" s="109"/>
      <c r="AO331" s="109"/>
      <c r="AP331" s="109"/>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2"/>
      <c r="AJ332" s="109"/>
      <c r="AK332" s="109"/>
      <c r="AL332" s="109"/>
      <c r="AM332" s="109"/>
      <c r="AN332" s="109"/>
      <c r="AO332" s="109"/>
      <c r="AP332" s="109"/>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2"/>
      <c r="AJ333" s="109"/>
      <c r="AK333" s="109"/>
      <c r="AL333" s="109"/>
      <c r="AM333" s="109"/>
      <c r="AN333" s="109"/>
      <c r="AO333" s="109"/>
      <c r="AP333" s="109"/>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2"/>
      <c r="AJ334" s="109"/>
      <c r="AK334" s="109"/>
      <c r="AL334" s="109"/>
      <c r="AM334" s="109"/>
      <c r="AN334" s="109"/>
      <c r="AO334" s="109"/>
      <c r="AP334" s="109"/>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2"/>
      <c r="AJ335" s="109"/>
      <c r="AK335" s="109"/>
      <c r="AL335" s="109"/>
      <c r="AM335" s="109"/>
      <c r="AN335" s="109"/>
      <c r="AO335" s="109"/>
      <c r="AP335" s="109"/>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2"/>
      <c r="AJ336" s="109"/>
      <c r="AK336" s="109"/>
      <c r="AL336" s="109"/>
      <c r="AM336" s="109"/>
      <c r="AN336" s="109"/>
      <c r="AO336" s="109"/>
      <c r="AP336" s="109"/>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2"/>
      <c r="AJ337" s="109"/>
      <c r="AK337" s="109"/>
      <c r="AL337" s="109"/>
      <c r="AM337" s="109"/>
      <c r="AN337" s="109"/>
      <c r="AO337" s="109"/>
      <c r="AP337" s="109"/>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2"/>
      <c r="AJ338" s="109"/>
      <c r="AK338" s="109"/>
      <c r="AL338" s="109"/>
      <c r="AM338" s="109"/>
      <c r="AN338" s="109"/>
      <c r="AO338" s="109"/>
      <c r="AP338" s="109"/>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2"/>
      <c r="AJ339" s="109"/>
      <c r="AK339" s="109"/>
      <c r="AL339" s="109"/>
      <c r="AM339" s="109"/>
      <c r="AN339" s="109"/>
      <c r="AO339" s="109"/>
      <c r="AP339" s="109"/>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2"/>
      <c r="AJ340" s="109"/>
      <c r="AK340" s="109"/>
      <c r="AL340" s="109"/>
      <c r="AM340" s="109"/>
      <c r="AN340" s="109"/>
      <c r="AO340" s="109"/>
      <c r="AP340" s="109"/>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2"/>
      <c r="AJ341" s="109"/>
      <c r="AK341" s="109"/>
      <c r="AL341" s="109"/>
      <c r="AM341" s="109"/>
      <c r="AN341" s="109"/>
      <c r="AO341" s="109"/>
      <c r="AP341" s="109"/>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2"/>
      <c r="AJ342" s="109"/>
      <c r="AK342" s="109"/>
      <c r="AL342" s="109"/>
      <c r="AM342" s="109"/>
      <c r="AN342" s="109"/>
      <c r="AO342" s="109"/>
      <c r="AP342" s="109"/>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2"/>
      <c r="AJ343" s="109"/>
      <c r="AK343" s="109"/>
      <c r="AL343" s="109"/>
      <c r="AM343" s="109"/>
      <c r="AN343" s="109"/>
      <c r="AO343" s="109"/>
      <c r="AP343" s="109"/>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2"/>
      <c r="AJ344" s="109"/>
      <c r="AK344" s="109"/>
      <c r="AL344" s="109"/>
      <c r="AM344" s="109"/>
      <c r="AN344" s="109"/>
      <c r="AO344" s="109"/>
      <c r="AP344" s="109"/>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2"/>
      <c r="AJ345" s="109"/>
      <c r="AK345" s="109"/>
      <c r="AL345" s="109"/>
      <c r="AM345" s="109"/>
      <c r="AN345" s="109"/>
      <c r="AO345" s="109"/>
      <c r="AP345" s="109"/>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2"/>
      <c r="AJ346" s="109"/>
      <c r="AK346" s="109"/>
      <c r="AL346" s="109"/>
      <c r="AM346" s="109"/>
      <c r="AN346" s="109"/>
      <c r="AO346" s="109"/>
      <c r="AP346" s="109"/>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9"/>
      <c r="AE347" s="119"/>
      <c r="AF347" s="119"/>
      <c r="AG347" s="119"/>
      <c r="AH347" s="119"/>
      <c r="AI347" s="112"/>
      <c r="AJ347" s="109"/>
      <c r="AK347" s="109"/>
      <c r="AL347" s="109"/>
      <c r="AM347" s="109"/>
      <c r="AN347" s="109"/>
      <c r="AO347" s="109"/>
      <c r="AP347" s="109"/>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09"/>
      <c r="AK348" s="109"/>
      <c r="AL348" s="109"/>
      <c r="AM348" s="109"/>
      <c r="AN348" s="109"/>
      <c r="AO348" s="109"/>
      <c r="AP348" s="109"/>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09"/>
      <c r="AK349" s="109"/>
      <c r="AL349" s="109"/>
      <c r="AM349" s="109"/>
      <c r="AN349" s="109"/>
      <c r="AO349" s="109"/>
      <c r="AP349" s="109"/>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09"/>
      <c r="AK350" s="109"/>
      <c r="AL350" s="109"/>
      <c r="AM350" s="109"/>
      <c r="AN350" s="109"/>
      <c r="AO350" s="109"/>
      <c r="AP350" s="109"/>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09"/>
      <c r="AK351" s="109"/>
      <c r="AL351" s="109"/>
      <c r="AM351" s="109"/>
      <c r="AN351" s="109"/>
      <c r="AO351" s="109"/>
      <c r="AP351" s="109"/>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09"/>
      <c r="AK352" s="109"/>
      <c r="AL352" s="109"/>
      <c r="AM352" s="109"/>
      <c r="AN352" s="109"/>
      <c r="AO352" s="109"/>
      <c r="AP352" s="109"/>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09"/>
      <c r="AK353" s="109"/>
      <c r="AL353" s="109"/>
      <c r="AM353" s="109"/>
      <c r="AN353" s="109"/>
      <c r="AO353" s="109"/>
      <c r="AP353" s="109"/>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09"/>
      <c r="AK354" s="109"/>
      <c r="AL354" s="109"/>
      <c r="AM354" s="109"/>
      <c r="AN354" s="109"/>
      <c r="AO354" s="109"/>
      <c r="AP354" s="109"/>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09"/>
      <c r="AK355" s="109"/>
      <c r="AL355" s="109"/>
      <c r="AM355" s="109"/>
      <c r="AN355" s="109"/>
      <c r="AO355" s="109"/>
      <c r="AP355" s="109"/>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09"/>
      <c r="AK356" s="109"/>
      <c r="AL356" s="109"/>
      <c r="AM356" s="109"/>
      <c r="AN356" s="109"/>
      <c r="AO356" s="109"/>
      <c r="AP356" s="109"/>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09"/>
      <c r="AK357" s="109"/>
      <c r="AL357" s="109"/>
      <c r="AM357" s="109"/>
      <c r="AN357" s="109"/>
      <c r="AO357" s="109"/>
      <c r="AP357" s="109"/>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09"/>
      <c r="AK358" s="109"/>
      <c r="AL358" s="109"/>
      <c r="AM358" s="109"/>
      <c r="AN358" s="109"/>
      <c r="AO358" s="109"/>
      <c r="AP358" s="109"/>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09"/>
      <c r="AK359" s="109"/>
      <c r="AL359" s="109"/>
      <c r="AM359" s="109"/>
      <c r="AN359" s="109"/>
      <c r="AO359" s="109"/>
      <c r="AP359" s="109"/>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09"/>
      <c r="AK360" s="109"/>
      <c r="AL360" s="109"/>
      <c r="AM360" s="109"/>
      <c r="AN360" s="109"/>
      <c r="AO360" s="109"/>
      <c r="AP360" s="109"/>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09"/>
      <c r="AK361" s="109"/>
      <c r="AL361" s="109"/>
      <c r="AM361" s="109"/>
      <c r="AN361" s="109"/>
      <c r="AO361" s="109"/>
      <c r="AP361" s="109"/>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09"/>
      <c r="AK362" s="109"/>
      <c r="AL362" s="109"/>
      <c r="AM362" s="109"/>
      <c r="AN362" s="109"/>
      <c r="AO362" s="109"/>
      <c r="AP362" s="109"/>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09"/>
      <c r="AK363" s="109"/>
      <c r="AL363" s="109"/>
      <c r="AM363" s="109"/>
      <c r="AN363" s="109"/>
      <c r="AO363" s="109"/>
      <c r="AP363" s="109"/>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09"/>
      <c r="AK364" s="109"/>
      <c r="AL364" s="109"/>
      <c r="AM364" s="109"/>
      <c r="AN364" s="109"/>
      <c r="AO364" s="109"/>
      <c r="AP364" s="109"/>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09"/>
      <c r="AK365" s="109"/>
      <c r="AL365" s="109"/>
      <c r="AM365" s="109"/>
      <c r="AN365" s="109"/>
      <c r="AO365" s="109"/>
      <c r="AP365" s="109"/>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09"/>
      <c r="AK366" s="109"/>
      <c r="AL366" s="109"/>
      <c r="AM366" s="109"/>
      <c r="AN366" s="109"/>
      <c r="AO366" s="109"/>
      <c r="AP366" s="109"/>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09"/>
      <c r="AK367" s="109"/>
      <c r="AL367" s="109"/>
      <c r="AM367" s="109"/>
      <c r="AN367" s="109"/>
      <c r="AO367" s="109"/>
      <c r="AP367" s="109"/>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09"/>
      <c r="AK368" s="109"/>
      <c r="AL368" s="109"/>
      <c r="AM368" s="109"/>
      <c r="AN368" s="109"/>
      <c r="AO368" s="109"/>
      <c r="AP368" s="109"/>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09"/>
      <c r="AK369" s="109"/>
      <c r="AL369" s="109"/>
      <c r="AM369" s="109"/>
      <c r="AN369" s="109"/>
      <c r="AO369" s="109"/>
      <c r="AP369" s="109"/>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09"/>
      <c r="AK370" s="109"/>
      <c r="AL370" s="109"/>
      <c r="AM370" s="109"/>
      <c r="AN370" s="109"/>
      <c r="AO370" s="109"/>
      <c r="AP370" s="109"/>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09"/>
      <c r="AK371" s="109"/>
      <c r="AL371" s="109"/>
      <c r="AM371" s="109"/>
      <c r="AN371" s="109"/>
      <c r="AO371" s="109"/>
      <c r="AP371" s="109"/>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09"/>
      <c r="AK372" s="109"/>
      <c r="AL372" s="109"/>
      <c r="AM372" s="109"/>
      <c r="AN372" s="109"/>
      <c r="AO372" s="109"/>
      <c r="AP372" s="109"/>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09"/>
      <c r="AK373" s="109"/>
      <c r="AL373" s="109"/>
      <c r="AM373" s="109"/>
      <c r="AN373" s="109"/>
      <c r="AO373" s="109"/>
      <c r="AP373" s="109"/>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09"/>
      <c r="AK374" s="109"/>
      <c r="AL374" s="109"/>
      <c r="AM374" s="109"/>
      <c r="AN374" s="109"/>
      <c r="AO374" s="109"/>
      <c r="AP374" s="109"/>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09"/>
      <c r="AK375" s="109"/>
      <c r="AL375" s="109"/>
      <c r="AM375" s="109"/>
      <c r="AN375" s="109"/>
      <c r="AO375" s="109"/>
      <c r="AP375" s="109"/>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09"/>
      <c r="AK376" s="109"/>
      <c r="AL376" s="109"/>
      <c r="AM376" s="109"/>
      <c r="AN376" s="109"/>
      <c r="AO376" s="109"/>
      <c r="AP376" s="109"/>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09"/>
      <c r="AK377" s="109"/>
      <c r="AL377" s="109"/>
      <c r="AM377" s="109"/>
      <c r="AN377" s="109"/>
      <c r="AO377" s="109"/>
      <c r="AP377" s="109"/>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09"/>
      <c r="AK378" s="109"/>
      <c r="AL378" s="109"/>
      <c r="AM378" s="109"/>
      <c r="AN378" s="109"/>
      <c r="AO378" s="109"/>
      <c r="AP378" s="109"/>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09"/>
      <c r="AK379" s="109"/>
      <c r="AL379" s="109"/>
      <c r="AM379" s="109"/>
      <c r="AN379" s="109"/>
      <c r="AO379" s="109"/>
      <c r="AP379" s="109"/>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09"/>
      <c r="AK380" s="109"/>
      <c r="AL380" s="109"/>
      <c r="AM380" s="109"/>
      <c r="AN380" s="109"/>
      <c r="AO380" s="109"/>
      <c r="AP380" s="109"/>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09"/>
      <c r="AK381" s="109"/>
      <c r="AL381" s="109"/>
      <c r="AM381" s="109"/>
      <c r="AN381" s="109"/>
      <c r="AO381" s="109"/>
      <c r="AP381" s="109"/>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09"/>
      <c r="AK382" s="109"/>
      <c r="AL382" s="109"/>
      <c r="AM382" s="109"/>
      <c r="AN382" s="109"/>
      <c r="AO382" s="109"/>
      <c r="AP382" s="109"/>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09"/>
      <c r="AK383" s="109"/>
      <c r="AL383" s="109"/>
      <c r="AM383" s="109"/>
      <c r="AN383" s="109"/>
      <c r="AO383" s="109"/>
      <c r="AP383" s="109"/>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09"/>
      <c r="AK384" s="109"/>
      <c r="AL384" s="109"/>
      <c r="AM384" s="109"/>
      <c r="AN384" s="109"/>
      <c r="AO384" s="109"/>
      <c r="AP384" s="109"/>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09"/>
      <c r="AK385" s="109"/>
      <c r="AL385" s="109"/>
      <c r="AM385" s="109"/>
      <c r="AN385" s="109"/>
      <c r="AO385" s="109"/>
      <c r="AP385" s="109"/>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09"/>
      <c r="AK386" s="109"/>
      <c r="AL386" s="109"/>
      <c r="AM386" s="109"/>
      <c r="AN386" s="109"/>
      <c r="AO386" s="109"/>
      <c r="AP386" s="109"/>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09"/>
      <c r="AK387" s="109"/>
      <c r="AL387" s="109"/>
      <c r="AM387" s="109"/>
      <c r="AN387" s="109"/>
      <c r="AO387" s="109"/>
      <c r="AP387" s="109"/>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09"/>
      <c r="AK388" s="109"/>
      <c r="AL388" s="109"/>
      <c r="AM388" s="109"/>
      <c r="AN388" s="109"/>
      <c r="AO388" s="109"/>
      <c r="AP388" s="109"/>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09"/>
      <c r="AK389" s="109"/>
      <c r="AL389" s="109"/>
      <c r="AM389" s="109"/>
      <c r="AN389" s="109"/>
      <c r="AO389" s="109"/>
      <c r="AP389" s="109"/>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09"/>
      <c r="AK390" s="109"/>
      <c r="AL390" s="109"/>
      <c r="AM390" s="109"/>
      <c r="AN390" s="109"/>
      <c r="AO390" s="109"/>
      <c r="AP390" s="109"/>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09"/>
      <c r="AK391" s="109"/>
      <c r="AL391" s="109"/>
      <c r="AM391" s="109"/>
      <c r="AN391" s="109"/>
      <c r="AO391" s="109"/>
      <c r="AP391" s="109"/>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09"/>
      <c r="AK392" s="109"/>
      <c r="AL392" s="109"/>
      <c r="AM392" s="109"/>
      <c r="AN392" s="109"/>
      <c r="AO392" s="109"/>
      <c r="AP392" s="109"/>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09"/>
      <c r="AK393" s="109"/>
      <c r="AL393" s="109"/>
      <c r="AM393" s="109"/>
      <c r="AN393" s="109"/>
      <c r="AO393" s="109"/>
      <c r="AP393" s="109"/>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09"/>
      <c r="AK394" s="109"/>
      <c r="AL394" s="109"/>
      <c r="AM394" s="109"/>
      <c r="AN394" s="109"/>
      <c r="AO394" s="109"/>
      <c r="AP394" s="109"/>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09"/>
      <c r="AK395" s="109"/>
      <c r="AL395" s="109"/>
      <c r="AM395" s="109"/>
      <c r="AN395" s="109"/>
      <c r="AO395" s="109"/>
      <c r="AP395" s="109"/>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09"/>
      <c r="AK396" s="109"/>
      <c r="AL396" s="109"/>
      <c r="AM396" s="109"/>
      <c r="AN396" s="109"/>
      <c r="AO396" s="109"/>
      <c r="AP396" s="109"/>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09"/>
      <c r="AK397" s="109"/>
      <c r="AL397" s="109"/>
      <c r="AM397" s="109"/>
      <c r="AN397" s="109"/>
      <c r="AO397" s="109"/>
      <c r="AP397" s="109"/>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09"/>
      <c r="AK398" s="109"/>
      <c r="AL398" s="109"/>
      <c r="AM398" s="109"/>
      <c r="AN398" s="109"/>
      <c r="AO398" s="109"/>
      <c r="AP398" s="109"/>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09"/>
      <c r="AK399" s="109"/>
      <c r="AL399" s="109"/>
      <c r="AM399" s="109"/>
      <c r="AN399" s="109"/>
      <c r="AO399" s="109"/>
      <c r="AP399" s="109"/>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09"/>
      <c r="AK400" s="109"/>
      <c r="AL400" s="109"/>
      <c r="AM400" s="109"/>
      <c r="AN400" s="109"/>
      <c r="AO400" s="109"/>
      <c r="AP400" s="109"/>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09"/>
      <c r="AK401" s="109"/>
      <c r="AL401" s="109"/>
      <c r="AM401" s="109"/>
      <c r="AN401" s="109"/>
      <c r="AO401" s="109"/>
      <c r="AP401" s="109"/>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09"/>
      <c r="AK402" s="109"/>
      <c r="AL402" s="109"/>
      <c r="AM402" s="109"/>
      <c r="AN402" s="109"/>
      <c r="AO402" s="109"/>
      <c r="AP402" s="109"/>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09"/>
      <c r="AK403" s="109"/>
      <c r="AL403" s="109"/>
      <c r="AM403" s="109"/>
      <c r="AN403" s="109"/>
      <c r="AO403" s="109"/>
      <c r="AP403" s="109"/>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09"/>
      <c r="AK404" s="109"/>
      <c r="AL404" s="109"/>
      <c r="AM404" s="109"/>
      <c r="AN404" s="109"/>
      <c r="AO404" s="109"/>
      <c r="AP404" s="109"/>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09"/>
      <c r="AK405" s="109"/>
      <c r="AL405" s="109"/>
      <c r="AM405" s="109"/>
      <c r="AN405" s="109"/>
      <c r="AO405" s="109"/>
      <c r="AP405" s="109"/>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09"/>
      <c r="AK406" s="109"/>
      <c r="AL406" s="109"/>
      <c r="AM406" s="109"/>
      <c r="AN406" s="109"/>
      <c r="AO406" s="109"/>
      <c r="AP406" s="109"/>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09"/>
      <c r="AK407" s="109"/>
      <c r="AL407" s="109"/>
      <c r="AM407" s="109"/>
      <c r="AN407" s="109"/>
      <c r="AO407" s="109"/>
      <c r="AP407" s="109"/>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09"/>
      <c r="AK408" s="109"/>
      <c r="AL408" s="109"/>
      <c r="AM408" s="109"/>
      <c r="AN408" s="109"/>
      <c r="AO408" s="109"/>
      <c r="AP408" s="109"/>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09"/>
      <c r="AK409" s="109"/>
      <c r="AL409" s="109"/>
      <c r="AM409" s="109"/>
      <c r="AN409" s="109"/>
      <c r="AO409" s="109"/>
      <c r="AP409" s="109"/>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09"/>
      <c r="AK410" s="109"/>
      <c r="AL410" s="109"/>
      <c r="AM410" s="109"/>
      <c r="AN410" s="109"/>
      <c r="AO410" s="109"/>
      <c r="AP410" s="109"/>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09"/>
      <c r="AK411" s="109"/>
      <c r="AL411" s="109"/>
      <c r="AM411" s="109"/>
      <c r="AN411" s="109"/>
      <c r="AO411" s="109"/>
      <c r="AP411" s="109"/>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09"/>
      <c r="AK412" s="109"/>
      <c r="AL412" s="109"/>
      <c r="AM412" s="109"/>
      <c r="AN412" s="109"/>
      <c r="AO412" s="109"/>
      <c r="AP412" s="109"/>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09"/>
      <c r="AK413" s="109"/>
      <c r="AL413" s="109"/>
      <c r="AM413" s="109"/>
      <c r="AN413" s="109"/>
      <c r="AO413" s="109"/>
      <c r="AP413" s="109"/>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09"/>
      <c r="AK414" s="109"/>
      <c r="AL414" s="109"/>
      <c r="AM414" s="109"/>
      <c r="AN414" s="109"/>
      <c r="AO414" s="109"/>
      <c r="AP414" s="109"/>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09"/>
      <c r="AK415" s="109"/>
      <c r="AL415" s="109"/>
      <c r="AM415" s="109"/>
      <c r="AN415" s="109"/>
      <c r="AO415" s="109"/>
      <c r="AP415" s="109"/>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09"/>
      <c r="AK416" s="109"/>
      <c r="AL416" s="109"/>
      <c r="AM416" s="109"/>
      <c r="AN416" s="109"/>
      <c r="AO416" s="109"/>
      <c r="AP416" s="109"/>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09"/>
      <c r="AK417" s="109"/>
      <c r="AL417" s="109"/>
      <c r="AM417" s="109"/>
      <c r="AN417" s="109"/>
      <c r="AO417" s="109"/>
      <c r="AP417" s="109"/>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09"/>
      <c r="AK418" s="109"/>
      <c r="AL418" s="109"/>
      <c r="AM418" s="109"/>
      <c r="AN418" s="109"/>
      <c r="AO418" s="109"/>
      <c r="AP418" s="109"/>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09"/>
      <c r="AK419" s="109"/>
      <c r="AL419" s="109"/>
      <c r="AM419" s="109"/>
      <c r="AN419" s="109"/>
      <c r="AO419" s="109"/>
      <c r="AP419" s="109"/>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09"/>
      <c r="AK420" s="109"/>
      <c r="AL420" s="109"/>
      <c r="AM420" s="109"/>
      <c r="AN420" s="109"/>
      <c r="AO420" s="109"/>
      <c r="AP420" s="109"/>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09"/>
      <c r="AK421" s="109"/>
      <c r="AL421" s="109"/>
      <c r="AM421" s="109"/>
      <c r="AN421" s="109"/>
      <c r="AO421" s="109"/>
      <c r="AP421" s="109"/>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09"/>
      <c r="AK422" s="109"/>
      <c r="AL422" s="109"/>
      <c r="AM422" s="109"/>
      <c r="AN422" s="109"/>
      <c r="AO422" s="109"/>
      <c r="AP422" s="109"/>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09"/>
      <c r="AK423" s="109"/>
      <c r="AL423" s="109"/>
      <c r="AM423" s="109"/>
      <c r="AN423" s="109"/>
      <c r="AO423" s="109"/>
      <c r="AP423" s="109"/>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09"/>
      <c r="AK424" s="109"/>
      <c r="AL424" s="109"/>
      <c r="AM424" s="109"/>
      <c r="AN424" s="109"/>
      <c r="AO424" s="109"/>
      <c r="AP424" s="109"/>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09"/>
      <c r="AK425" s="109"/>
      <c r="AL425" s="109"/>
      <c r="AM425" s="109"/>
      <c r="AN425" s="109"/>
      <c r="AO425" s="109"/>
      <c r="AP425" s="109"/>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09"/>
      <c r="AK426" s="109"/>
      <c r="AL426" s="109"/>
      <c r="AM426" s="109"/>
      <c r="AN426" s="109"/>
      <c r="AO426" s="109"/>
      <c r="AP426" s="109"/>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09"/>
      <c r="AK427" s="109"/>
      <c r="AL427" s="109"/>
      <c r="AM427" s="109"/>
      <c r="AN427" s="109"/>
      <c r="AO427" s="109"/>
      <c r="AP427" s="109"/>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09"/>
      <c r="AK428" s="109"/>
      <c r="AL428" s="109"/>
      <c r="AM428" s="109"/>
      <c r="AN428" s="109"/>
      <c r="AO428" s="109"/>
      <c r="AP428" s="109"/>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09"/>
      <c r="AK429" s="109"/>
      <c r="AL429" s="109"/>
      <c r="AM429" s="109"/>
      <c r="AN429" s="109"/>
      <c r="AO429" s="109"/>
      <c r="AP429" s="109"/>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09"/>
      <c r="AK430" s="109"/>
      <c r="AL430" s="109"/>
      <c r="AM430" s="109"/>
      <c r="AN430" s="109"/>
      <c r="AO430" s="109"/>
      <c r="AP430" s="109"/>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09"/>
      <c r="AK431" s="109"/>
      <c r="AL431" s="109"/>
      <c r="AM431" s="109"/>
      <c r="AN431" s="109"/>
      <c r="AO431" s="109"/>
      <c r="AP431" s="109"/>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12"/>
      <c r="AE432" s="112"/>
      <c r="AF432" s="112"/>
      <c r="AG432" s="112"/>
      <c r="AH432" s="109"/>
      <c r="AI432" s="109"/>
      <c r="AJ432" s="109"/>
      <c r="AK432" s="109"/>
      <c r="AL432" s="109"/>
      <c r="AM432" s="109"/>
      <c r="AN432" s="109"/>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109"/>
      <c r="AE533" s="109"/>
      <c r="AF533" s="109"/>
      <c r="AG533" s="109"/>
      <c r="AH533" s="109"/>
      <c r="AI533" s="109"/>
      <c r="AJ533" s="109"/>
      <c r="AK533" s="109"/>
      <c r="AL533" s="109"/>
      <c r="AM533" s="109"/>
      <c r="AN533" s="109"/>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30"/>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31"/>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31"/>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31"/>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31"/>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31"/>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31"/>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31"/>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31"/>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31"/>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31"/>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31"/>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31"/>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31"/>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31"/>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31"/>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31"/>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31"/>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31"/>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31"/>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31"/>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31"/>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31"/>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31"/>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31"/>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31"/>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31"/>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31"/>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31"/>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31"/>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31"/>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31"/>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31"/>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31"/>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31"/>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31"/>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31"/>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31"/>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31"/>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31"/>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31"/>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31"/>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31"/>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31"/>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31"/>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31"/>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31"/>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31"/>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31"/>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31"/>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31"/>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31"/>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31"/>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31"/>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31"/>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31"/>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31"/>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31"/>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31"/>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31"/>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31"/>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31"/>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31"/>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31"/>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31"/>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31"/>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31"/>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31"/>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31"/>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31"/>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31"/>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31"/>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31"/>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31"/>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31"/>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31"/>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31"/>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31"/>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31"/>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2]!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30722" r:id="rId4" name="Button 2">
              <controlPr defaultSize="0" print="0" autoFill="0" autoPict="0" macro="[2]!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C5" sqref="C5"/>
    </sheetView>
  </sheetViews>
  <sheetFormatPr baseColWidth="10" defaultRowHeight="12" x14ac:dyDescent="0"/>
  <cols>
    <col min="1" max="1" width="10.83203125" style="448"/>
    <col min="2" max="2" width="15.1640625" style="448" customWidth="1"/>
    <col min="3" max="3" width="32.5" style="448" customWidth="1"/>
    <col min="4" max="4" width="10.83203125" style="448"/>
    <col min="5" max="5" width="6.1640625" style="448" bestFit="1" customWidth="1"/>
    <col min="6" max="9" width="15.5" style="448" customWidth="1"/>
    <col min="10" max="10" width="14.6640625" style="448" customWidth="1"/>
    <col min="11" max="17" width="15.5" style="448" customWidth="1"/>
    <col min="18" max="18" width="15" style="448" customWidth="1"/>
    <col min="19" max="19" width="15.33203125" style="448" customWidth="1"/>
    <col min="20" max="20" width="7.1640625" style="448" customWidth="1"/>
    <col min="21" max="21" width="47.33203125" style="448" customWidth="1"/>
    <col min="22" max="23" width="20.33203125" style="448" customWidth="1"/>
    <col min="24" max="16384" width="10.83203125" style="448"/>
  </cols>
  <sheetData>
    <row r="2" spans="2:19" ht="32">
      <c r="B2" s="447" t="s">
        <v>321</v>
      </c>
    </row>
    <row r="5" spans="2:19" ht="18" customHeight="1">
      <c r="B5" s="449" t="s">
        <v>331</v>
      </c>
      <c r="C5" s="455" t="s">
        <v>328</v>
      </c>
      <c r="H5" s="471"/>
    </row>
    <row r="6" spans="2:19" ht="18">
      <c r="E6" s="449" t="str">
        <f>C5 &amp; " Scenario"</f>
        <v>Full Everywhere Scenario</v>
      </c>
    </row>
    <row r="7" spans="2:19" ht="27" thickBot="1">
      <c r="B7" s="449" t="s">
        <v>325</v>
      </c>
      <c r="C7" s="262"/>
      <c r="F7" s="514" t="s">
        <v>120</v>
      </c>
      <c r="G7" s="515"/>
      <c r="H7" s="515"/>
      <c r="I7" s="516"/>
      <c r="J7" s="514" t="s">
        <v>121</v>
      </c>
      <c r="K7" s="515"/>
      <c r="L7" s="515"/>
      <c r="M7" s="516"/>
      <c r="N7" s="514" t="s">
        <v>122</v>
      </c>
      <c r="O7" s="515"/>
      <c r="P7" s="515"/>
      <c r="Q7" s="516"/>
    </row>
    <row r="8" spans="2:19" ht="50" customHeight="1" thickTop="1" thickBot="1">
      <c r="B8" s="450" t="s">
        <v>124</v>
      </c>
      <c r="C8" s="451" t="s">
        <v>341</v>
      </c>
      <c r="E8" s="456" t="s">
        <v>301</v>
      </c>
      <c r="F8" s="456" t="s">
        <v>322</v>
      </c>
      <c r="G8" s="457" t="s">
        <v>339</v>
      </c>
      <c r="H8" s="457" t="s">
        <v>323</v>
      </c>
      <c r="I8" s="458" t="s">
        <v>324</v>
      </c>
      <c r="J8" s="456" t="s">
        <v>322</v>
      </c>
      <c r="K8" s="457" t="s">
        <v>339</v>
      </c>
      <c r="L8" s="457" t="s">
        <v>323</v>
      </c>
      <c r="M8" s="458" t="s">
        <v>324</v>
      </c>
      <c r="N8" s="456" t="s">
        <v>322</v>
      </c>
      <c r="O8" s="457" t="s">
        <v>339</v>
      </c>
      <c r="P8" s="457" t="s">
        <v>323</v>
      </c>
      <c r="Q8" s="458" t="s">
        <v>324</v>
      </c>
      <c r="R8" s="456" t="s">
        <v>333</v>
      </c>
      <c r="S8" s="458" t="s">
        <v>332</v>
      </c>
    </row>
    <row r="9" spans="2:19" ht="18">
      <c r="B9" s="473" t="s">
        <v>125</v>
      </c>
      <c r="C9" s="474" t="b">
        <v>1</v>
      </c>
      <c r="E9" s="465" t="s">
        <v>177</v>
      </c>
      <c r="F9" s="468" t="s">
        <v>335</v>
      </c>
      <c r="G9" s="460" t="s">
        <v>335</v>
      </c>
      <c r="H9" s="460">
        <v>0</v>
      </c>
      <c r="I9" s="485">
        <v>0</v>
      </c>
      <c r="J9" s="468" t="s">
        <v>335</v>
      </c>
      <c r="K9" s="460" t="s">
        <v>335</v>
      </c>
      <c r="L9" s="460">
        <v>0</v>
      </c>
      <c r="M9" s="487">
        <v>0</v>
      </c>
      <c r="N9" s="459" t="s">
        <v>335</v>
      </c>
      <c r="O9" s="460" t="s">
        <v>335</v>
      </c>
      <c r="P9" s="460">
        <v>0</v>
      </c>
      <c r="Q9" s="487">
        <v>0</v>
      </c>
      <c r="R9" s="479">
        <v>2014</v>
      </c>
      <c r="S9" s="480">
        <v>2050</v>
      </c>
    </row>
    <row r="10" spans="2:19" ht="18">
      <c r="B10" s="475" t="s">
        <v>126</v>
      </c>
      <c r="C10" s="476" t="b">
        <v>1</v>
      </c>
      <c r="E10" s="466" t="s">
        <v>176</v>
      </c>
      <c r="F10" s="469" t="s">
        <v>335</v>
      </c>
      <c r="G10" s="462" t="s">
        <v>335</v>
      </c>
      <c r="H10" s="462">
        <v>0</v>
      </c>
      <c r="I10" s="486">
        <v>0</v>
      </c>
      <c r="J10" s="469" t="s">
        <v>335</v>
      </c>
      <c r="K10" s="462" t="s">
        <v>335</v>
      </c>
      <c r="L10" s="462">
        <v>0</v>
      </c>
      <c r="M10" s="488">
        <v>0</v>
      </c>
      <c r="N10" s="461" t="s">
        <v>335</v>
      </c>
      <c r="O10" s="462" t="s">
        <v>335</v>
      </c>
      <c r="P10" s="462">
        <v>0</v>
      </c>
      <c r="Q10" s="488">
        <v>0</v>
      </c>
      <c r="R10" s="481">
        <v>2014</v>
      </c>
      <c r="S10" s="482">
        <v>2050</v>
      </c>
    </row>
    <row r="11" spans="2:19" ht="18">
      <c r="B11" s="475" t="s">
        <v>138</v>
      </c>
      <c r="C11" s="476" t="b">
        <v>1</v>
      </c>
      <c r="E11" s="466" t="s">
        <v>179</v>
      </c>
      <c r="F11" s="469" t="s">
        <v>335</v>
      </c>
      <c r="G11" s="462" t="s">
        <v>335</v>
      </c>
      <c r="H11" s="462">
        <v>0</v>
      </c>
      <c r="I11" s="486">
        <v>0</v>
      </c>
      <c r="J11" s="469" t="s">
        <v>335</v>
      </c>
      <c r="K11" s="462" t="s">
        <v>335</v>
      </c>
      <c r="L11" s="462">
        <v>0</v>
      </c>
      <c r="M11" s="488">
        <v>0</v>
      </c>
      <c r="N11" s="461" t="s">
        <v>335</v>
      </c>
      <c r="O11" s="462" t="s">
        <v>335</v>
      </c>
      <c r="P11" s="462">
        <v>0</v>
      </c>
      <c r="Q11" s="488">
        <v>0</v>
      </c>
      <c r="R11" s="481">
        <v>2014</v>
      </c>
      <c r="S11" s="482">
        <v>2050</v>
      </c>
    </row>
    <row r="12" spans="2:19" ht="19" thickBot="1">
      <c r="B12" s="477" t="s">
        <v>139</v>
      </c>
      <c r="C12" s="478" t="b">
        <v>1</v>
      </c>
      <c r="E12" s="466" t="s">
        <v>178</v>
      </c>
      <c r="F12" s="469" t="s">
        <v>335</v>
      </c>
      <c r="G12" s="462" t="s">
        <v>335</v>
      </c>
      <c r="H12" s="462">
        <v>0</v>
      </c>
      <c r="I12" s="486">
        <v>0</v>
      </c>
      <c r="J12" s="469" t="s">
        <v>335</v>
      </c>
      <c r="K12" s="462" t="s">
        <v>335</v>
      </c>
      <c r="L12" s="462">
        <v>0</v>
      </c>
      <c r="M12" s="488">
        <v>0</v>
      </c>
      <c r="N12" s="461" t="s">
        <v>335</v>
      </c>
      <c r="O12" s="462" t="s">
        <v>335</v>
      </c>
      <c r="P12" s="462">
        <v>0</v>
      </c>
      <c r="Q12" s="488">
        <v>0</v>
      </c>
      <c r="R12" s="481">
        <v>2014</v>
      </c>
      <c r="S12" s="482">
        <v>2050</v>
      </c>
    </row>
    <row r="13" spans="2:19" ht="13" thickTop="1">
      <c r="E13" s="466" t="s">
        <v>180</v>
      </c>
      <c r="F13" s="469" t="s">
        <v>335</v>
      </c>
      <c r="G13" s="462" t="s">
        <v>335</v>
      </c>
      <c r="H13" s="462">
        <v>0</v>
      </c>
      <c r="I13" s="486">
        <v>0</v>
      </c>
      <c r="J13" s="469" t="s">
        <v>335</v>
      </c>
      <c r="K13" s="462" t="s">
        <v>335</v>
      </c>
      <c r="L13" s="462">
        <v>0</v>
      </c>
      <c r="M13" s="488">
        <v>0</v>
      </c>
      <c r="N13" s="461" t="s">
        <v>335</v>
      </c>
      <c r="O13" s="462" t="s">
        <v>335</v>
      </c>
      <c r="P13" s="462">
        <v>0</v>
      </c>
      <c r="Q13" s="488">
        <v>0</v>
      </c>
      <c r="R13" s="481">
        <v>2014</v>
      </c>
      <c r="S13" s="482">
        <v>2050</v>
      </c>
    </row>
    <row r="14" spans="2:19" ht="12" customHeight="1">
      <c r="B14" s="519" t="s">
        <v>342</v>
      </c>
      <c r="C14" s="519"/>
      <c r="E14" s="466" t="s">
        <v>181</v>
      </c>
      <c r="F14" s="469" t="s">
        <v>335</v>
      </c>
      <c r="G14" s="462" t="s">
        <v>335</v>
      </c>
      <c r="H14" s="462">
        <v>0</v>
      </c>
      <c r="I14" s="486">
        <v>0</v>
      </c>
      <c r="J14" s="469" t="s">
        <v>335</v>
      </c>
      <c r="K14" s="462" t="s">
        <v>335</v>
      </c>
      <c r="L14" s="462">
        <v>0</v>
      </c>
      <c r="M14" s="488">
        <v>0</v>
      </c>
      <c r="N14" s="461" t="s">
        <v>335</v>
      </c>
      <c r="O14" s="462" t="s">
        <v>335</v>
      </c>
      <c r="P14" s="462">
        <v>0</v>
      </c>
      <c r="Q14" s="488">
        <v>0</v>
      </c>
      <c r="R14" s="481">
        <v>2014</v>
      </c>
      <c r="S14" s="482">
        <v>2050</v>
      </c>
    </row>
    <row r="15" spans="2:19" ht="12" customHeight="1">
      <c r="B15" s="519"/>
      <c r="C15" s="519"/>
      <c r="E15" s="466" t="s">
        <v>182</v>
      </c>
      <c r="F15" s="469" t="s">
        <v>335</v>
      </c>
      <c r="G15" s="462" t="s">
        <v>335</v>
      </c>
      <c r="H15" s="462">
        <v>0</v>
      </c>
      <c r="I15" s="486">
        <v>0</v>
      </c>
      <c r="J15" s="469" t="s">
        <v>335</v>
      </c>
      <c r="K15" s="462" t="s">
        <v>335</v>
      </c>
      <c r="L15" s="462">
        <v>0</v>
      </c>
      <c r="M15" s="488">
        <v>0</v>
      </c>
      <c r="N15" s="461" t="s">
        <v>335</v>
      </c>
      <c r="O15" s="462" t="s">
        <v>335</v>
      </c>
      <c r="P15" s="462">
        <v>0</v>
      </c>
      <c r="Q15" s="488">
        <v>0</v>
      </c>
      <c r="R15" s="481">
        <v>2014</v>
      </c>
      <c r="S15" s="482">
        <v>2050</v>
      </c>
    </row>
    <row r="16" spans="2:19" ht="12" customHeight="1">
      <c r="B16" s="519"/>
      <c r="C16" s="519"/>
      <c r="E16" s="466" t="s">
        <v>11</v>
      </c>
      <c r="F16" s="469" t="s">
        <v>335</v>
      </c>
      <c r="G16" s="462" t="s">
        <v>335</v>
      </c>
      <c r="H16" s="462">
        <v>0</v>
      </c>
      <c r="I16" s="486">
        <v>0</v>
      </c>
      <c r="J16" s="469" t="s">
        <v>335</v>
      </c>
      <c r="K16" s="462" t="s">
        <v>335</v>
      </c>
      <c r="L16" s="462">
        <v>0</v>
      </c>
      <c r="M16" s="488">
        <v>0</v>
      </c>
      <c r="N16" s="461" t="s">
        <v>335</v>
      </c>
      <c r="O16" s="462" t="s">
        <v>335</v>
      </c>
      <c r="P16" s="462">
        <v>0</v>
      </c>
      <c r="Q16" s="488">
        <v>0</v>
      </c>
      <c r="R16" s="481">
        <v>2014</v>
      </c>
      <c r="S16" s="482">
        <v>2050</v>
      </c>
    </row>
    <row r="17" spans="2:19" ht="12" customHeight="1">
      <c r="B17" s="519"/>
      <c r="C17" s="519"/>
      <c r="E17" s="466" t="s">
        <v>183</v>
      </c>
      <c r="F17" s="469" t="s">
        <v>335</v>
      </c>
      <c r="G17" s="462" t="s">
        <v>335</v>
      </c>
      <c r="H17" s="462">
        <v>0</v>
      </c>
      <c r="I17" s="486">
        <v>0</v>
      </c>
      <c r="J17" s="469" t="s">
        <v>335</v>
      </c>
      <c r="K17" s="462" t="s">
        <v>335</v>
      </c>
      <c r="L17" s="462">
        <v>0</v>
      </c>
      <c r="M17" s="488">
        <v>0</v>
      </c>
      <c r="N17" s="461" t="s">
        <v>335</v>
      </c>
      <c r="O17" s="462" t="s">
        <v>335</v>
      </c>
      <c r="P17" s="462">
        <v>0</v>
      </c>
      <c r="Q17" s="488">
        <v>0</v>
      </c>
      <c r="R17" s="481">
        <v>2014</v>
      </c>
      <c r="S17" s="482">
        <v>2050</v>
      </c>
    </row>
    <row r="18" spans="2:19" ht="13" customHeight="1">
      <c r="B18" s="519"/>
      <c r="C18" s="519"/>
      <c r="E18" s="466" t="s">
        <v>184</v>
      </c>
      <c r="F18" s="469" t="s">
        <v>335</v>
      </c>
      <c r="G18" s="462" t="s">
        <v>335</v>
      </c>
      <c r="H18" s="462">
        <v>0</v>
      </c>
      <c r="I18" s="486">
        <v>0</v>
      </c>
      <c r="J18" s="469" t="s">
        <v>335</v>
      </c>
      <c r="K18" s="462" t="s">
        <v>335</v>
      </c>
      <c r="L18" s="462">
        <v>0</v>
      </c>
      <c r="M18" s="488">
        <v>0</v>
      </c>
      <c r="N18" s="461" t="s">
        <v>335</v>
      </c>
      <c r="O18" s="462" t="s">
        <v>335</v>
      </c>
      <c r="P18" s="462">
        <v>0</v>
      </c>
      <c r="Q18" s="488">
        <v>0</v>
      </c>
      <c r="R18" s="481">
        <v>2014</v>
      </c>
      <c r="S18" s="482">
        <v>2050</v>
      </c>
    </row>
    <row r="19" spans="2:19" ht="12" customHeight="1">
      <c r="B19" s="519"/>
      <c r="C19" s="519"/>
      <c r="E19" s="466" t="s">
        <v>185</v>
      </c>
      <c r="F19" s="469" t="s">
        <v>335</v>
      </c>
      <c r="G19" s="462" t="s">
        <v>335</v>
      </c>
      <c r="H19" s="462">
        <v>0</v>
      </c>
      <c r="I19" s="486">
        <v>0</v>
      </c>
      <c r="J19" s="469" t="s">
        <v>335</v>
      </c>
      <c r="K19" s="462" t="s">
        <v>335</v>
      </c>
      <c r="L19" s="462">
        <v>0</v>
      </c>
      <c r="M19" s="488">
        <v>0</v>
      </c>
      <c r="N19" s="461" t="s">
        <v>335</v>
      </c>
      <c r="O19" s="462" t="s">
        <v>335</v>
      </c>
      <c r="P19" s="462">
        <v>0</v>
      </c>
      <c r="Q19" s="488">
        <v>0</v>
      </c>
      <c r="R19" s="481">
        <v>2014</v>
      </c>
      <c r="S19" s="482">
        <v>2050</v>
      </c>
    </row>
    <row r="20" spans="2:19" ht="12" customHeight="1">
      <c r="B20" s="519"/>
      <c r="C20" s="519"/>
      <c r="E20" s="466" t="s">
        <v>186</v>
      </c>
      <c r="F20" s="469" t="s">
        <v>335</v>
      </c>
      <c r="G20" s="462" t="s">
        <v>335</v>
      </c>
      <c r="H20" s="462">
        <v>0</v>
      </c>
      <c r="I20" s="486">
        <v>0</v>
      </c>
      <c r="J20" s="469" t="s">
        <v>335</v>
      </c>
      <c r="K20" s="462" t="s">
        <v>335</v>
      </c>
      <c r="L20" s="462">
        <v>0</v>
      </c>
      <c r="M20" s="488">
        <v>0</v>
      </c>
      <c r="N20" s="461" t="s">
        <v>335</v>
      </c>
      <c r="O20" s="462" t="s">
        <v>335</v>
      </c>
      <c r="P20" s="462">
        <v>0</v>
      </c>
      <c r="Q20" s="488">
        <v>0</v>
      </c>
      <c r="R20" s="481">
        <v>2014</v>
      </c>
      <c r="S20" s="482">
        <v>2050</v>
      </c>
    </row>
    <row r="21" spans="2:19" ht="12" customHeight="1">
      <c r="B21" s="519"/>
      <c r="C21" s="519"/>
      <c r="E21" s="466" t="s">
        <v>190</v>
      </c>
      <c r="F21" s="469" t="s">
        <v>335</v>
      </c>
      <c r="G21" s="462" t="s">
        <v>335</v>
      </c>
      <c r="H21" s="462">
        <v>0</v>
      </c>
      <c r="I21" s="486">
        <v>0</v>
      </c>
      <c r="J21" s="469" t="s">
        <v>335</v>
      </c>
      <c r="K21" s="462" t="s">
        <v>335</v>
      </c>
      <c r="L21" s="462">
        <v>0</v>
      </c>
      <c r="M21" s="488">
        <v>0</v>
      </c>
      <c r="N21" s="461" t="s">
        <v>335</v>
      </c>
      <c r="O21" s="462" t="s">
        <v>335</v>
      </c>
      <c r="P21" s="462">
        <v>0</v>
      </c>
      <c r="Q21" s="488">
        <v>0</v>
      </c>
      <c r="R21" s="481">
        <v>2014</v>
      </c>
      <c r="S21" s="482">
        <v>2050</v>
      </c>
    </row>
    <row r="22" spans="2:19" ht="12" customHeight="1">
      <c r="B22" s="519"/>
      <c r="C22" s="519"/>
      <c r="E22" s="466" t="s">
        <v>187</v>
      </c>
      <c r="F22" s="469" t="s">
        <v>335</v>
      </c>
      <c r="G22" s="462" t="s">
        <v>335</v>
      </c>
      <c r="H22" s="462">
        <v>0</v>
      </c>
      <c r="I22" s="486">
        <v>0</v>
      </c>
      <c r="J22" s="469" t="s">
        <v>335</v>
      </c>
      <c r="K22" s="462" t="s">
        <v>335</v>
      </c>
      <c r="L22" s="462">
        <v>0</v>
      </c>
      <c r="M22" s="488">
        <v>0</v>
      </c>
      <c r="N22" s="461" t="s">
        <v>335</v>
      </c>
      <c r="O22" s="462" t="s">
        <v>335</v>
      </c>
      <c r="P22" s="462">
        <v>0</v>
      </c>
      <c r="Q22" s="488">
        <v>0</v>
      </c>
      <c r="R22" s="481">
        <v>2014</v>
      </c>
      <c r="S22" s="482">
        <v>2050</v>
      </c>
    </row>
    <row r="23" spans="2:19" ht="12" customHeight="1">
      <c r="B23" s="519"/>
      <c r="C23" s="519"/>
      <c r="E23" s="466" t="s">
        <v>188</v>
      </c>
      <c r="F23" s="469" t="s">
        <v>335</v>
      </c>
      <c r="G23" s="462" t="s">
        <v>335</v>
      </c>
      <c r="H23" s="462">
        <v>0</v>
      </c>
      <c r="I23" s="486">
        <v>0</v>
      </c>
      <c r="J23" s="469" t="s">
        <v>335</v>
      </c>
      <c r="K23" s="462" t="s">
        <v>335</v>
      </c>
      <c r="L23" s="462">
        <v>0</v>
      </c>
      <c r="M23" s="488">
        <v>0</v>
      </c>
      <c r="N23" s="461" t="s">
        <v>335</v>
      </c>
      <c r="O23" s="462" t="s">
        <v>335</v>
      </c>
      <c r="P23" s="462">
        <v>0</v>
      </c>
      <c r="Q23" s="488">
        <v>0</v>
      </c>
      <c r="R23" s="481">
        <v>2014</v>
      </c>
      <c r="S23" s="482">
        <v>2050</v>
      </c>
    </row>
    <row r="24" spans="2:19" ht="12" customHeight="1">
      <c r="B24" s="519"/>
      <c r="C24" s="519"/>
      <c r="E24" s="466" t="s">
        <v>189</v>
      </c>
      <c r="F24" s="469" t="s">
        <v>335</v>
      </c>
      <c r="G24" s="462" t="s">
        <v>335</v>
      </c>
      <c r="H24" s="462">
        <v>0</v>
      </c>
      <c r="I24" s="486">
        <v>0</v>
      </c>
      <c r="J24" s="469" t="s">
        <v>335</v>
      </c>
      <c r="K24" s="462" t="s">
        <v>335</v>
      </c>
      <c r="L24" s="462">
        <v>0</v>
      </c>
      <c r="M24" s="488">
        <v>0</v>
      </c>
      <c r="N24" s="461" t="s">
        <v>335</v>
      </c>
      <c r="O24" s="462" t="s">
        <v>335</v>
      </c>
      <c r="P24" s="462">
        <v>0</v>
      </c>
      <c r="Q24" s="488">
        <v>0</v>
      </c>
      <c r="R24" s="481">
        <v>2014</v>
      </c>
      <c r="S24" s="482">
        <v>2050</v>
      </c>
    </row>
    <row r="25" spans="2:19" ht="12" customHeight="1">
      <c r="B25" s="519"/>
      <c r="C25" s="519"/>
      <c r="E25" s="466" t="s">
        <v>191</v>
      </c>
      <c r="F25" s="469" t="s">
        <v>335</v>
      </c>
      <c r="G25" s="462" t="s">
        <v>335</v>
      </c>
      <c r="H25" s="462">
        <v>0</v>
      </c>
      <c r="I25" s="486">
        <v>0</v>
      </c>
      <c r="J25" s="469" t="s">
        <v>335</v>
      </c>
      <c r="K25" s="462" t="s">
        <v>335</v>
      </c>
      <c r="L25" s="462">
        <v>0</v>
      </c>
      <c r="M25" s="488">
        <v>0</v>
      </c>
      <c r="N25" s="461" t="s">
        <v>335</v>
      </c>
      <c r="O25" s="462" t="s">
        <v>335</v>
      </c>
      <c r="P25" s="462">
        <v>0</v>
      </c>
      <c r="Q25" s="488">
        <v>0</v>
      </c>
      <c r="R25" s="481">
        <v>2014</v>
      </c>
      <c r="S25" s="482">
        <v>2050</v>
      </c>
    </row>
    <row r="26" spans="2:19" ht="12" customHeight="1">
      <c r="B26" s="519"/>
      <c r="C26" s="519"/>
      <c r="E26" s="466" t="s">
        <v>192</v>
      </c>
      <c r="F26" s="469" t="s">
        <v>335</v>
      </c>
      <c r="G26" s="462" t="s">
        <v>335</v>
      </c>
      <c r="H26" s="462">
        <v>0</v>
      </c>
      <c r="I26" s="486">
        <v>0</v>
      </c>
      <c r="J26" s="469" t="s">
        <v>335</v>
      </c>
      <c r="K26" s="462" t="s">
        <v>335</v>
      </c>
      <c r="L26" s="462">
        <v>0</v>
      </c>
      <c r="M26" s="488">
        <v>0</v>
      </c>
      <c r="N26" s="461" t="s">
        <v>335</v>
      </c>
      <c r="O26" s="462" t="s">
        <v>335</v>
      </c>
      <c r="P26" s="462">
        <v>0</v>
      </c>
      <c r="Q26" s="488">
        <v>0</v>
      </c>
      <c r="R26" s="481">
        <v>2014</v>
      </c>
      <c r="S26" s="482">
        <v>2050</v>
      </c>
    </row>
    <row r="27" spans="2:19" ht="12" customHeight="1">
      <c r="B27" s="519"/>
      <c r="C27" s="519"/>
      <c r="E27" s="466" t="s">
        <v>193</v>
      </c>
      <c r="F27" s="469" t="s">
        <v>335</v>
      </c>
      <c r="G27" s="462" t="s">
        <v>335</v>
      </c>
      <c r="H27" s="462">
        <v>0</v>
      </c>
      <c r="I27" s="486">
        <v>0</v>
      </c>
      <c r="J27" s="469" t="s">
        <v>335</v>
      </c>
      <c r="K27" s="462" t="s">
        <v>335</v>
      </c>
      <c r="L27" s="462">
        <v>0</v>
      </c>
      <c r="M27" s="488">
        <v>0</v>
      </c>
      <c r="N27" s="461" t="s">
        <v>335</v>
      </c>
      <c r="O27" s="462" t="s">
        <v>335</v>
      </c>
      <c r="P27" s="462">
        <v>0</v>
      </c>
      <c r="Q27" s="488">
        <v>0</v>
      </c>
      <c r="R27" s="481">
        <v>2014</v>
      </c>
      <c r="S27" s="482">
        <v>2050</v>
      </c>
    </row>
    <row r="28" spans="2:19" ht="12" customHeight="1">
      <c r="B28" s="519"/>
      <c r="C28" s="519"/>
      <c r="E28" s="466" t="s">
        <v>196</v>
      </c>
      <c r="F28" s="469" t="s">
        <v>335</v>
      </c>
      <c r="G28" s="462" t="s">
        <v>335</v>
      </c>
      <c r="H28" s="462">
        <v>0</v>
      </c>
      <c r="I28" s="486">
        <v>0</v>
      </c>
      <c r="J28" s="469" t="s">
        <v>335</v>
      </c>
      <c r="K28" s="462" t="s">
        <v>335</v>
      </c>
      <c r="L28" s="462">
        <v>0</v>
      </c>
      <c r="M28" s="488">
        <v>0</v>
      </c>
      <c r="N28" s="461" t="s">
        <v>335</v>
      </c>
      <c r="O28" s="462" t="s">
        <v>335</v>
      </c>
      <c r="P28" s="462">
        <v>0</v>
      </c>
      <c r="Q28" s="488">
        <v>0</v>
      </c>
      <c r="R28" s="481">
        <v>2014</v>
      </c>
      <c r="S28" s="482">
        <v>2050</v>
      </c>
    </row>
    <row r="29" spans="2:19" ht="12" customHeight="1">
      <c r="B29" s="519"/>
      <c r="C29" s="519"/>
      <c r="E29" s="466" t="s">
        <v>195</v>
      </c>
      <c r="F29" s="469" t="s">
        <v>335</v>
      </c>
      <c r="G29" s="462" t="s">
        <v>335</v>
      </c>
      <c r="H29" s="462">
        <v>0</v>
      </c>
      <c r="I29" s="486">
        <v>0</v>
      </c>
      <c r="J29" s="469" t="s">
        <v>335</v>
      </c>
      <c r="K29" s="462" t="s">
        <v>335</v>
      </c>
      <c r="L29" s="462">
        <v>0</v>
      </c>
      <c r="M29" s="488">
        <v>0</v>
      </c>
      <c r="N29" s="461" t="s">
        <v>335</v>
      </c>
      <c r="O29" s="462" t="s">
        <v>335</v>
      </c>
      <c r="P29" s="462">
        <v>0</v>
      </c>
      <c r="Q29" s="488">
        <v>0</v>
      </c>
      <c r="R29" s="481">
        <v>2014</v>
      </c>
      <c r="S29" s="482">
        <v>2050</v>
      </c>
    </row>
    <row r="30" spans="2:19" ht="12" customHeight="1">
      <c r="B30" s="519"/>
      <c r="C30" s="519"/>
      <c r="E30" s="466" t="s">
        <v>194</v>
      </c>
      <c r="F30" s="469" t="s">
        <v>335</v>
      </c>
      <c r="G30" s="462" t="s">
        <v>335</v>
      </c>
      <c r="H30" s="462">
        <v>0</v>
      </c>
      <c r="I30" s="486">
        <v>0</v>
      </c>
      <c r="J30" s="469" t="s">
        <v>335</v>
      </c>
      <c r="K30" s="462" t="s">
        <v>335</v>
      </c>
      <c r="L30" s="462">
        <v>0</v>
      </c>
      <c r="M30" s="488">
        <v>0</v>
      </c>
      <c r="N30" s="461" t="s">
        <v>335</v>
      </c>
      <c r="O30" s="462" t="s">
        <v>335</v>
      </c>
      <c r="P30" s="462">
        <v>0</v>
      </c>
      <c r="Q30" s="488">
        <v>0</v>
      </c>
      <c r="R30" s="481">
        <v>2014</v>
      </c>
      <c r="S30" s="482">
        <v>2050</v>
      </c>
    </row>
    <row r="31" spans="2:19" ht="12" customHeight="1">
      <c r="B31" s="519"/>
      <c r="C31" s="519"/>
      <c r="E31" s="466" t="s">
        <v>197</v>
      </c>
      <c r="F31" s="469" t="s">
        <v>335</v>
      </c>
      <c r="G31" s="462" t="s">
        <v>335</v>
      </c>
      <c r="H31" s="462">
        <v>0</v>
      </c>
      <c r="I31" s="486">
        <v>0</v>
      </c>
      <c r="J31" s="469" t="s">
        <v>335</v>
      </c>
      <c r="K31" s="462" t="s">
        <v>335</v>
      </c>
      <c r="L31" s="462">
        <v>0</v>
      </c>
      <c r="M31" s="488">
        <v>0</v>
      </c>
      <c r="N31" s="461" t="s">
        <v>335</v>
      </c>
      <c r="O31" s="462" t="s">
        <v>335</v>
      </c>
      <c r="P31" s="462">
        <v>0</v>
      </c>
      <c r="Q31" s="488">
        <v>0</v>
      </c>
      <c r="R31" s="481">
        <v>2014</v>
      </c>
      <c r="S31" s="482">
        <v>2050</v>
      </c>
    </row>
    <row r="32" spans="2:19" ht="12" customHeight="1">
      <c r="B32" s="519"/>
      <c r="C32" s="519"/>
      <c r="E32" s="466" t="s">
        <v>198</v>
      </c>
      <c r="F32" s="469" t="s">
        <v>335</v>
      </c>
      <c r="G32" s="462" t="s">
        <v>335</v>
      </c>
      <c r="H32" s="462">
        <v>0</v>
      </c>
      <c r="I32" s="486">
        <v>0</v>
      </c>
      <c r="J32" s="469" t="s">
        <v>335</v>
      </c>
      <c r="K32" s="462" t="s">
        <v>335</v>
      </c>
      <c r="L32" s="462">
        <v>0</v>
      </c>
      <c r="M32" s="488">
        <v>0</v>
      </c>
      <c r="N32" s="461" t="s">
        <v>335</v>
      </c>
      <c r="O32" s="462" t="s">
        <v>335</v>
      </c>
      <c r="P32" s="462">
        <v>0</v>
      </c>
      <c r="Q32" s="488">
        <v>0</v>
      </c>
      <c r="R32" s="481">
        <v>2014</v>
      </c>
      <c r="S32" s="482">
        <v>2050</v>
      </c>
    </row>
    <row r="33" spans="2:19" ht="12" customHeight="1">
      <c r="B33" s="519"/>
      <c r="C33" s="519"/>
      <c r="E33" s="466" t="s">
        <v>200</v>
      </c>
      <c r="F33" s="469" t="s">
        <v>335</v>
      </c>
      <c r="G33" s="462" t="s">
        <v>335</v>
      </c>
      <c r="H33" s="462">
        <v>0</v>
      </c>
      <c r="I33" s="486">
        <v>0</v>
      </c>
      <c r="J33" s="469" t="s">
        <v>335</v>
      </c>
      <c r="K33" s="462" t="s">
        <v>335</v>
      </c>
      <c r="L33" s="462">
        <v>0</v>
      </c>
      <c r="M33" s="488">
        <v>0</v>
      </c>
      <c r="N33" s="461" t="s">
        <v>335</v>
      </c>
      <c r="O33" s="462" t="s">
        <v>335</v>
      </c>
      <c r="P33" s="462">
        <v>0</v>
      </c>
      <c r="Q33" s="488">
        <v>0</v>
      </c>
      <c r="R33" s="481">
        <v>2014</v>
      </c>
      <c r="S33" s="482">
        <v>2050</v>
      </c>
    </row>
    <row r="34" spans="2:19" ht="12" customHeight="1">
      <c r="B34" s="519"/>
      <c r="C34" s="519"/>
      <c r="E34" s="466" t="s">
        <v>199</v>
      </c>
      <c r="F34" s="469" t="s">
        <v>335</v>
      </c>
      <c r="G34" s="462" t="s">
        <v>335</v>
      </c>
      <c r="H34" s="462">
        <v>0</v>
      </c>
      <c r="I34" s="486">
        <v>0</v>
      </c>
      <c r="J34" s="469" t="s">
        <v>335</v>
      </c>
      <c r="K34" s="462" t="s">
        <v>335</v>
      </c>
      <c r="L34" s="462">
        <v>0</v>
      </c>
      <c r="M34" s="488">
        <v>0</v>
      </c>
      <c r="N34" s="461" t="s">
        <v>335</v>
      </c>
      <c r="O34" s="462" t="s">
        <v>335</v>
      </c>
      <c r="P34" s="462">
        <v>0</v>
      </c>
      <c r="Q34" s="488">
        <v>0</v>
      </c>
      <c r="R34" s="481">
        <v>2014</v>
      </c>
      <c r="S34" s="482">
        <v>2050</v>
      </c>
    </row>
    <row r="35" spans="2:19" ht="12" customHeight="1">
      <c r="B35" s="519"/>
      <c r="C35" s="519"/>
      <c r="E35" s="466" t="s">
        <v>201</v>
      </c>
      <c r="F35" s="469" t="s">
        <v>335</v>
      </c>
      <c r="G35" s="462" t="s">
        <v>335</v>
      </c>
      <c r="H35" s="462">
        <v>0</v>
      </c>
      <c r="I35" s="486">
        <v>0</v>
      </c>
      <c r="J35" s="469" t="s">
        <v>335</v>
      </c>
      <c r="K35" s="462" t="s">
        <v>335</v>
      </c>
      <c r="L35" s="462">
        <v>0</v>
      </c>
      <c r="M35" s="488">
        <v>0</v>
      </c>
      <c r="N35" s="461" t="s">
        <v>335</v>
      </c>
      <c r="O35" s="462" t="s">
        <v>335</v>
      </c>
      <c r="P35" s="462">
        <v>0</v>
      </c>
      <c r="Q35" s="488">
        <v>0</v>
      </c>
      <c r="R35" s="481">
        <v>2014</v>
      </c>
      <c r="S35" s="482">
        <v>2050</v>
      </c>
    </row>
    <row r="36" spans="2:19" ht="12" customHeight="1">
      <c r="B36" s="519"/>
      <c r="C36" s="519"/>
      <c r="E36" s="466" t="s">
        <v>208</v>
      </c>
      <c r="F36" s="469" t="s">
        <v>335</v>
      </c>
      <c r="G36" s="462" t="s">
        <v>335</v>
      </c>
      <c r="H36" s="462">
        <v>0</v>
      </c>
      <c r="I36" s="486">
        <v>0</v>
      </c>
      <c r="J36" s="469" t="s">
        <v>335</v>
      </c>
      <c r="K36" s="462" t="s">
        <v>335</v>
      </c>
      <c r="L36" s="462">
        <v>0</v>
      </c>
      <c r="M36" s="488">
        <v>0</v>
      </c>
      <c r="N36" s="461" t="s">
        <v>335</v>
      </c>
      <c r="O36" s="462" t="s">
        <v>335</v>
      </c>
      <c r="P36" s="462">
        <v>0</v>
      </c>
      <c r="Q36" s="488">
        <v>0</v>
      </c>
      <c r="R36" s="481">
        <v>2014</v>
      </c>
      <c r="S36" s="482">
        <v>2050</v>
      </c>
    </row>
    <row r="37" spans="2:19" ht="12" customHeight="1">
      <c r="B37" s="519"/>
      <c r="C37" s="519"/>
      <c r="E37" s="466" t="s">
        <v>209</v>
      </c>
      <c r="F37" s="469" t="s">
        <v>335</v>
      </c>
      <c r="G37" s="462" t="s">
        <v>335</v>
      </c>
      <c r="H37" s="462">
        <v>0</v>
      </c>
      <c r="I37" s="486">
        <v>0</v>
      </c>
      <c r="J37" s="469" t="s">
        <v>335</v>
      </c>
      <c r="K37" s="462" t="s">
        <v>335</v>
      </c>
      <c r="L37" s="462">
        <v>0</v>
      </c>
      <c r="M37" s="488">
        <v>0</v>
      </c>
      <c r="N37" s="461" t="s">
        <v>335</v>
      </c>
      <c r="O37" s="462" t="s">
        <v>335</v>
      </c>
      <c r="P37" s="462">
        <v>0</v>
      </c>
      <c r="Q37" s="488">
        <v>0</v>
      </c>
      <c r="R37" s="481">
        <v>2014</v>
      </c>
      <c r="S37" s="482">
        <v>2050</v>
      </c>
    </row>
    <row r="38" spans="2:19" ht="12" customHeight="1">
      <c r="B38" s="519"/>
      <c r="C38" s="519"/>
      <c r="E38" s="466" t="s">
        <v>202</v>
      </c>
      <c r="F38" s="469" t="s">
        <v>335</v>
      </c>
      <c r="G38" s="462" t="s">
        <v>335</v>
      </c>
      <c r="H38" s="462">
        <v>0</v>
      </c>
      <c r="I38" s="486">
        <v>0</v>
      </c>
      <c r="J38" s="469" t="s">
        <v>335</v>
      </c>
      <c r="K38" s="462" t="s">
        <v>335</v>
      </c>
      <c r="L38" s="462">
        <v>0</v>
      </c>
      <c r="M38" s="488">
        <v>0</v>
      </c>
      <c r="N38" s="461" t="s">
        <v>335</v>
      </c>
      <c r="O38" s="462" t="s">
        <v>335</v>
      </c>
      <c r="P38" s="462">
        <v>0</v>
      </c>
      <c r="Q38" s="488">
        <v>0</v>
      </c>
      <c r="R38" s="481">
        <v>2014</v>
      </c>
      <c r="S38" s="482">
        <v>2050</v>
      </c>
    </row>
    <row r="39" spans="2:19">
      <c r="B39" s="519"/>
      <c r="C39" s="519"/>
      <c r="E39" s="466" t="s">
        <v>204</v>
      </c>
      <c r="F39" s="469" t="s">
        <v>335</v>
      </c>
      <c r="G39" s="462" t="s">
        <v>335</v>
      </c>
      <c r="H39" s="462">
        <v>0</v>
      </c>
      <c r="I39" s="486">
        <v>0</v>
      </c>
      <c r="J39" s="469" t="s">
        <v>335</v>
      </c>
      <c r="K39" s="462" t="s">
        <v>335</v>
      </c>
      <c r="L39" s="462">
        <v>0</v>
      </c>
      <c r="M39" s="488">
        <v>0</v>
      </c>
      <c r="N39" s="461" t="s">
        <v>335</v>
      </c>
      <c r="O39" s="462" t="s">
        <v>335</v>
      </c>
      <c r="P39" s="462">
        <v>0</v>
      </c>
      <c r="Q39" s="488">
        <v>0</v>
      </c>
      <c r="R39" s="481">
        <v>2014</v>
      </c>
      <c r="S39" s="482">
        <v>2050</v>
      </c>
    </row>
    <row r="40" spans="2:19">
      <c r="B40" s="519"/>
      <c r="C40" s="519"/>
      <c r="E40" s="466" t="s">
        <v>205</v>
      </c>
      <c r="F40" s="469" t="s">
        <v>335</v>
      </c>
      <c r="G40" s="462" t="s">
        <v>335</v>
      </c>
      <c r="H40" s="462">
        <v>0</v>
      </c>
      <c r="I40" s="486">
        <v>0</v>
      </c>
      <c r="J40" s="469" t="s">
        <v>335</v>
      </c>
      <c r="K40" s="462" t="s">
        <v>335</v>
      </c>
      <c r="L40" s="462">
        <v>0</v>
      </c>
      <c r="M40" s="488">
        <v>0</v>
      </c>
      <c r="N40" s="461" t="s">
        <v>335</v>
      </c>
      <c r="O40" s="462" t="s">
        <v>335</v>
      </c>
      <c r="P40" s="462">
        <v>0</v>
      </c>
      <c r="Q40" s="488">
        <v>0</v>
      </c>
      <c r="R40" s="481">
        <v>2014</v>
      </c>
      <c r="S40" s="482">
        <v>2050</v>
      </c>
    </row>
    <row r="41" spans="2:19">
      <c r="B41" s="519"/>
      <c r="C41" s="519"/>
      <c r="E41" s="466" t="s">
        <v>206</v>
      </c>
      <c r="F41" s="469" t="s">
        <v>335</v>
      </c>
      <c r="G41" s="462" t="s">
        <v>335</v>
      </c>
      <c r="H41" s="462">
        <v>0</v>
      </c>
      <c r="I41" s="486">
        <v>0</v>
      </c>
      <c r="J41" s="469" t="s">
        <v>335</v>
      </c>
      <c r="K41" s="462" t="s">
        <v>335</v>
      </c>
      <c r="L41" s="462">
        <v>0</v>
      </c>
      <c r="M41" s="488">
        <v>0</v>
      </c>
      <c r="N41" s="461" t="s">
        <v>335</v>
      </c>
      <c r="O41" s="462" t="s">
        <v>335</v>
      </c>
      <c r="P41" s="462">
        <v>0</v>
      </c>
      <c r="Q41" s="488">
        <v>0</v>
      </c>
      <c r="R41" s="481">
        <v>2014</v>
      </c>
      <c r="S41" s="482">
        <v>2050</v>
      </c>
    </row>
    <row r="42" spans="2:19">
      <c r="B42" s="519"/>
      <c r="C42" s="519"/>
      <c r="E42" s="466" t="s">
        <v>203</v>
      </c>
      <c r="F42" s="469" t="s">
        <v>335</v>
      </c>
      <c r="G42" s="462" t="s">
        <v>335</v>
      </c>
      <c r="H42" s="462">
        <v>0</v>
      </c>
      <c r="I42" s="486">
        <v>0</v>
      </c>
      <c r="J42" s="469" t="s">
        <v>335</v>
      </c>
      <c r="K42" s="462" t="s">
        <v>335</v>
      </c>
      <c r="L42" s="462">
        <v>0</v>
      </c>
      <c r="M42" s="488">
        <v>0</v>
      </c>
      <c r="N42" s="461" t="s">
        <v>335</v>
      </c>
      <c r="O42" s="462" t="s">
        <v>335</v>
      </c>
      <c r="P42" s="462">
        <v>0</v>
      </c>
      <c r="Q42" s="488">
        <v>0</v>
      </c>
      <c r="R42" s="481">
        <v>2014</v>
      </c>
      <c r="S42" s="482">
        <v>2050</v>
      </c>
    </row>
    <row r="43" spans="2:19">
      <c r="B43" s="519"/>
      <c r="C43" s="519"/>
      <c r="E43" s="466" t="s">
        <v>207</v>
      </c>
      <c r="F43" s="469" t="s">
        <v>335</v>
      </c>
      <c r="G43" s="462" t="s">
        <v>335</v>
      </c>
      <c r="H43" s="462">
        <v>0</v>
      </c>
      <c r="I43" s="486">
        <v>0</v>
      </c>
      <c r="J43" s="469" t="s">
        <v>335</v>
      </c>
      <c r="K43" s="462" t="s">
        <v>335</v>
      </c>
      <c r="L43" s="462">
        <v>0</v>
      </c>
      <c r="M43" s="488">
        <v>0</v>
      </c>
      <c r="N43" s="461" t="s">
        <v>335</v>
      </c>
      <c r="O43" s="462" t="s">
        <v>335</v>
      </c>
      <c r="P43" s="462">
        <v>0</v>
      </c>
      <c r="Q43" s="488">
        <v>0</v>
      </c>
      <c r="R43" s="481">
        <v>2014</v>
      </c>
      <c r="S43" s="482">
        <v>2050</v>
      </c>
    </row>
    <row r="44" spans="2:19">
      <c r="B44" s="519"/>
      <c r="C44" s="519"/>
      <c r="E44" s="466" t="s">
        <v>210</v>
      </c>
      <c r="F44" s="469" t="s">
        <v>335</v>
      </c>
      <c r="G44" s="462" t="s">
        <v>335</v>
      </c>
      <c r="H44" s="462">
        <v>0</v>
      </c>
      <c r="I44" s="486">
        <v>0</v>
      </c>
      <c r="J44" s="469" t="s">
        <v>335</v>
      </c>
      <c r="K44" s="462" t="s">
        <v>335</v>
      </c>
      <c r="L44" s="462">
        <v>0</v>
      </c>
      <c r="M44" s="488">
        <v>0</v>
      </c>
      <c r="N44" s="461" t="s">
        <v>335</v>
      </c>
      <c r="O44" s="462" t="s">
        <v>335</v>
      </c>
      <c r="P44" s="462">
        <v>0</v>
      </c>
      <c r="Q44" s="488">
        <v>0</v>
      </c>
      <c r="R44" s="481">
        <v>2014</v>
      </c>
      <c r="S44" s="482">
        <v>2050</v>
      </c>
    </row>
    <row r="45" spans="2:19">
      <c r="B45" s="519"/>
      <c r="C45" s="519"/>
      <c r="E45" s="466" t="s">
        <v>211</v>
      </c>
      <c r="F45" s="469" t="s">
        <v>335</v>
      </c>
      <c r="G45" s="462" t="s">
        <v>335</v>
      </c>
      <c r="H45" s="462">
        <v>0</v>
      </c>
      <c r="I45" s="486">
        <v>0</v>
      </c>
      <c r="J45" s="469" t="s">
        <v>335</v>
      </c>
      <c r="K45" s="462" t="s">
        <v>335</v>
      </c>
      <c r="L45" s="462">
        <v>0</v>
      </c>
      <c r="M45" s="488">
        <v>0</v>
      </c>
      <c r="N45" s="461" t="s">
        <v>335</v>
      </c>
      <c r="O45" s="462" t="s">
        <v>335</v>
      </c>
      <c r="P45" s="462">
        <v>0</v>
      </c>
      <c r="Q45" s="488">
        <v>0</v>
      </c>
      <c r="R45" s="481">
        <v>2014</v>
      </c>
      <c r="S45" s="482">
        <v>2050</v>
      </c>
    </row>
    <row r="46" spans="2:19">
      <c r="B46" s="519"/>
      <c r="C46" s="519"/>
      <c r="E46" s="466" t="s">
        <v>212</v>
      </c>
      <c r="F46" s="469" t="s">
        <v>335</v>
      </c>
      <c r="G46" s="462" t="s">
        <v>335</v>
      </c>
      <c r="H46" s="462">
        <v>0</v>
      </c>
      <c r="I46" s="486">
        <v>0</v>
      </c>
      <c r="J46" s="469" t="s">
        <v>335</v>
      </c>
      <c r="K46" s="462" t="s">
        <v>335</v>
      </c>
      <c r="L46" s="462">
        <v>0</v>
      </c>
      <c r="M46" s="488">
        <v>0</v>
      </c>
      <c r="N46" s="461" t="s">
        <v>335</v>
      </c>
      <c r="O46" s="462" t="s">
        <v>335</v>
      </c>
      <c r="P46" s="462">
        <v>0</v>
      </c>
      <c r="Q46" s="488">
        <v>0</v>
      </c>
      <c r="R46" s="481">
        <v>2014</v>
      </c>
      <c r="S46" s="482">
        <v>2050</v>
      </c>
    </row>
    <row r="47" spans="2:19">
      <c r="B47" s="519"/>
      <c r="C47" s="519"/>
      <c r="E47" s="466" t="s">
        <v>213</v>
      </c>
      <c r="F47" s="469" t="s">
        <v>335</v>
      </c>
      <c r="G47" s="462" t="s">
        <v>335</v>
      </c>
      <c r="H47" s="462">
        <v>0</v>
      </c>
      <c r="I47" s="486">
        <v>0</v>
      </c>
      <c r="J47" s="469" t="s">
        <v>335</v>
      </c>
      <c r="K47" s="462" t="s">
        <v>335</v>
      </c>
      <c r="L47" s="462">
        <v>0</v>
      </c>
      <c r="M47" s="488">
        <v>0</v>
      </c>
      <c r="N47" s="461" t="s">
        <v>335</v>
      </c>
      <c r="O47" s="462" t="s">
        <v>335</v>
      </c>
      <c r="P47" s="462">
        <v>0</v>
      </c>
      <c r="Q47" s="488">
        <v>0</v>
      </c>
      <c r="R47" s="481">
        <v>2014</v>
      </c>
      <c r="S47" s="482">
        <v>2050</v>
      </c>
    </row>
    <row r="48" spans="2:19">
      <c r="B48" s="519"/>
      <c r="C48" s="519"/>
      <c r="E48" s="466" t="s">
        <v>214</v>
      </c>
      <c r="F48" s="469" t="s">
        <v>335</v>
      </c>
      <c r="G48" s="462" t="s">
        <v>335</v>
      </c>
      <c r="H48" s="462">
        <v>0</v>
      </c>
      <c r="I48" s="486">
        <v>0</v>
      </c>
      <c r="J48" s="469" t="s">
        <v>335</v>
      </c>
      <c r="K48" s="462" t="s">
        <v>335</v>
      </c>
      <c r="L48" s="462">
        <v>0</v>
      </c>
      <c r="M48" s="488">
        <v>0</v>
      </c>
      <c r="N48" s="461" t="s">
        <v>335</v>
      </c>
      <c r="O48" s="462" t="s">
        <v>335</v>
      </c>
      <c r="P48" s="462">
        <v>0</v>
      </c>
      <c r="Q48" s="488">
        <v>0</v>
      </c>
      <c r="R48" s="481">
        <v>2014</v>
      </c>
      <c r="S48" s="482">
        <v>2050</v>
      </c>
    </row>
    <row r="49" spans="2:19">
      <c r="B49" s="519"/>
      <c r="C49" s="519"/>
      <c r="E49" s="466" t="s">
        <v>215</v>
      </c>
      <c r="F49" s="469" t="s">
        <v>335</v>
      </c>
      <c r="G49" s="462" t="s">
        <v>335</v>
      </c>
      <c r="H49" s="462">
        <v>0</v>
      </c>
      <c r="I49" s="486">
        <v>0</v>
      </c>
      <c r="J49" s="469" t="s">
        <v>335</v>
      </c>
      <c r="K49" s="462" t="s">
        <v>335</v>
      </c>
      <c r="L49" s="462">
        <v>0</v>
      </c>
      <c r="M49" s="488">
        <v>0</v>
      </c>
      <c r="N49" s="461" t="s">
        <v>335</v>
      </c>
      <c r="O49" s="462" t="s">
        <v>335</v>
      </c>
      <c r="P49" s="462">
        <v>0</v>
      </c>
      <c r="Q49" s="488">
        <v>0</v>
      </c>
      <c r="R49" s="481">
        <v>2014</v>
      </c>
      <c r="S49" s="482">
        <v>2050</v>
      </c>
    </row>
    <row r="50" spans="2:19">
      <c r="B50" s="519"/>
      <c r="C50" s="519"/>
      <c r="E50" s="466" t="s">
        <v>216</v>
      </c>
      <c r="F50" s="469" t="s">
        <v>335</v>
      </c>
      <c r="G50" s="462" t="s">
        <v>335</v>
      </c>
      <c r="H50" s="462">
        <v>0</v>
      </c>
      <c r="I50" s="486">
        <v>0</v>
      </c>
      <c r="J50" s="469" t="s">
        <v>335</v>
      </c>
      <c r="K50" s="462" t="s">
        <v>335</v>
      </c>
      <c r="L50" s="462">
        <v>0</v>
      </c>
      <c r="M50" s="488">
        <v>0</v>
      </c>
      <c r="N50" s="461" t="s">
        <v>335</v>
      </c>
      <c r="O50" s="462" t="s">
        <v>335</v>
      </c>
      <c r="P50" s="462">
        <v>0</v>
      </c>
      <c r="Q50" s="488">
        <v>0</v>
      </c>
      <c r="R50" s="481">
        <v>2014</v>
      </c>
      <c r="S50" s="482">
        <v>2050</v>
      </c>
    </row>
    <row r="51" spans="2:19">
      <c r="B51" s="519"/>
      <c r="C51" s="519"/>
      <c r="E51" s="466" t="s">
        <v>217</v>
      </c>
      <c r="F51" s="469" t="s">
        <v>335</v>
      </c>
      <c r="G51" s="462" t="s">
        <v>335</v>
      </c>
      <c r="H51" s="462">
        <v>0</v>
      </c>
      <c r="I51" s="486">
        <v>0</v>
      </c>
      <c r="J51" s="469" t="s">
        <v>335</v>
      </c>
      <c r="K51" s="462" t="s">
        <v>335</v>
      </c>
      <c r="L51" s="462">
        <v>0</v>
      </c>
      <c r="M51" s="488">
        <v>0</v>
      </c>
      <c r="N51" s="461" t="s">
        <v>335</v>
      </c>
      <c r="O51" s="462" t="s">
        <v>335</v>
      </c>
      <c r="P51" s="462">
        <v>0</v>
      </c>
      <c r="Q51" s="488">
        <v>0</v>
      </c>
      <c r="R51" s="481">
        <v>2014</v>
      </c>
      <c r="S51" s="482">
        <v>2050</v>
      </c>
    </row>
    <row r="52" spans="2:19">
      <c r="E52" s="466" t="s">
        <v>218</v>
      </c>
      <c r="F52" s="469" t="s">
        <v>335</v>
      </c>
      <c r="G52" s="462" t="s">
        <v>335</v>
      </c>
      <c r="H52" s="462">
        <v>0</v>
      </c>
      <c r="I52" s="486">
        <v>0</v>
      </c>
      <c r="J52" s="469" t="s">
        <v>335</v>
      </c>
      <c r="K52" s="462" t="s">
        <v>335</v>
      </c>
      <c r="L52" s="462">
        <v>0</v>
      </c>
      <c r="M52" s="488">
        <v>0</v>
      </c>
      <c r="N52" s="461" t="s">
        <v>335</v>
      </c>
      <c r="O52" s="462" t="s">
        <v>335</v>
      </c>
      <c r="P52" s="462">
        <v>0</v>
      </c>
      <c r="Q52" s="488">
        <v>0</v>
      </c>
      <c r="R52" s="481">
        <v>2014</v>
      </c>
      <c r="S52" s="482">
        <v>2050</v>
      </c>
    </row>
    <row r="53" spans="2:19">
      <c r="B53" s="518" t="s">
        <v>334</v>
      </c>
      <c r="C53" s="518"/>
      <c r="E53" s="466" t="s">
        <v>219</v>
      </c>
      <c r="F53" s="469" t="s">
        <v>335</v>
      </c>
      <c r="G53" s="462" t="s">
        <v>335</v>
      </c>
      <c r="H53" s="462">
        <v>0</v>
      </c>
      <c r="I53" s="486">
        <v>0</v>
      </c>
      <c r="J53" s="469" t="s">
        <v>335</v>
      </c>
      <c r="K53" s="462" t="s">
        <v>335</v>
      </c>
      <c r="L53" s="462">
        <v>0</v>
      </c>
      <c r="M53" s="488">
        <v>0</v>
      </c>
      <c r="N53" s="461" t="s">
        <v>335</v>
      </c>
      <c r="O53" s="462" t="s">
        <v>335</v>
      </c>
      <c r="P53" s="462">
        <v>0</v>
      </c>
      <c r="Q53" s="488">
        <v>0</v>
      </c>
      <c r="R53" s="481">
        <v>2014</v>
      </c>
      <c r="S53" s="482">
        <v>2050</v>
      </c>
    </row>
    <row r="54" spans="2:19">
      <c r="B54" s="518"/>
      <c r="C54" s="518"/>
      <c r="E54" s="466" t="s">
        <v>221</v>
      </c>
      <c r="F54" s="469" t="s">
        <v>335</v>
      </c>
      <c r="G54" s="462" t="s">
        <v>335</v>
      </c>
      <c r="H54" s="462">
        <v>0</v>
      </c>
      <c r="I54" s="486">
        <v>0</v>
      </c>
      <c r="J54" s="469" t="s">
        <v>335</v>
      </c>
      <c r="K54" s="462" t="s">
        <v>335</v>
      </c>
      <c r="L54" s="462">
        <v>0</v>
      </c>
      <c r="M54" s="488">
        <v>0</v>
      </c>
      <c r="N54" s="461" t="s">
        <v>335</v>
      </c>
      <c r="O54" s="462" t="s">
        <v>335</v>
      </c>
      <c r="P54" s="462">
        <v>0</v>
      </c>
      <c r="Q54" s="488">
        <v>0</v>
      </c>
      <c r="R54" s="481">
        <v>2014</v>
      </c>
      <c r="S54" s="482">
        <v>2050</v>
      </c>
    </row>
    <row r="55" spans="2:19">
      <c r="B55" s="518"/>
      <c r="C55" s="518"/>
      <c r="E55" s="466" t="s">
        <v>220</v>
      </c>
      <c r="F55" s="469" t="s">
        <v>335</v>
      </c>
      <c r="G55" s="462" t="s">
        <v>335</v>
      </c>
      <c r="H55" s="462">
        <v>0</v>
      </c>
      <c r="I55" s="486">
        <v>0</v>
      </c>
      <c r="J55" s="469" t="s">
        <v>335</v>
      </c>
      <c r="K55" s="462" t="s">
        <v>335</v>
      </c>
      <c r="L55" s="462">
        <v>0</v>
      </c>
      <c r="M55" s="488">
        <v>0</v>
      </c>
      <c r="N55" s="461" t="s">
        <v>335</v>
      </c>
      <c r="O55" s="462" t="s">
        <v>335</v>
      </c>
      <c r="P55" s="462">
        <v>0</v>
      </c>
      <c r="Q55" s="488">
        <v>0</v>
      </c>
      <c r="R55" s="481">
        <v>2014</v>
      </c>
      <c r="S55" s="482">
        <v>2050</v>
      </c>
    </row>
    <row r="56" spans="2:19">
      <c r="E56" s="466" t="s">
        <v>222</v>
      </c>
      <c r="F56" s="469" t="s">
        <v>335</v>
      </c>
      <c r="G56" s="462" t="s">
        <v>335</v>
      </c>
      <c r="H56" s="462">
        <v>0</v>
      </c>
      <c r="I56" s="486">
        <v>0</v>
      </c>
      <c r="J56" s="469" t="s">
        <v>335</v>
      </c>
      <c r="K56" s="462" t="s">
        <v>335</v>
      </c>
      <c r="L56" s="462">
        <v>0</v>
      </c>
      <c r="M56" s="488">
        <v>0</v>
      </c>
      <c r="N56" s="461" t="s">
        <v>335</v>
      </c>
      <c r="O56" s="462" t="s">
        <v>335</v>
      </c>
      <c r="P56" s="462">
        <v>0</v>
      </c>
      <c r="Q56" s="488">
        <v>0</v>
      </c>
      <c r="R56" s="481">
        <v>2014</v>
      </c>
      <c r="S56" s="482">
        <v>2050</v>
      </c>
    </row>
    <row r="57" spans="2:19">
      <c r="B57" s="517" t="s">
        <v>340</v>
      </c>
      <c r="C57" s="517"/>
      <c r="E57" s="466" t="s">
        <v>224</v>
      </c>
      <c r="F57" s="469" t="s">
        <v>335</v>
      </c>
      <c r="G57" s="462" t="s">
        <v>335</v>
      </c>
      <c r="H57" s="462">
        <v>0</v>
      </c>
      <c r="I57" s="486">
        <v>0</v>
      </c>
      <c r="J57" s="469" t="s">
        <v>335</v>
      </c>
      <c r="K57" s="462" t="s">
        <v>335</v>
      </c>
      <c r="L57" s="462">
        <v>0</v>
      </c>
      <c r="M57" s="488">
        <v>0</v>
      </c>
      <c r="N57" s="461" t="s">
        <v>335</v>
      </c>
      <c r="O57" s="462" t="s">
        <v>335</v>
      </c>
      <c r="P57" s="462">
        <v>0</v>
      </c>
      <c r="Q57" s="488">
        <v>0</v>
      </c>
      <c r="R57" s="481">
        <v>2014</v>
      </c>
      <c r="S57" s="482">
        <v>2050</v>
      </c>
    </row>
    <row r="58" spans="2:19">
      <c r="B58" s="517"/>
      <c r="C58" s="517"/>
      <c r="E58" s="466" t="s">
        <v>223</v>
      </c>
      <c r="F58" s="469" t="s">
        <v>335</v>
      </c>
      <c r="G58" s="462" t="s">
        <v>335</v>
      </c>
      <c r="H58" s="462">
        <v>0</v>
      </c>
      <c r="I58" s="486">
        <v>0</v>
      </c>
      <c r="J58" s="469" t="s">
        <v>335</v>
      </c>
      <c r="K58" s="462" t="s">
        <v>335</v>
      </c>
      <c r="L58" s="462">
        <v>0</v>
      </c>
      <c r="M58" s="488">
        <v>0</v>
      </c>
      <c r="N58" s="461" t="s">
        <v>335</v>
      </c>
      <c r="O58" s="462" t="s">
        <v>335</v>
      </c>
      <c r="P58" s="462">
        <v>0</v>
      </c>
      <c r="Q58" s="488">
        <v>0</v>
      </c>
      <c r="R58" s="481">
        <v>2014</v>
      </c>
      <c r="S58" s="482">
        <v>2050</v>
      </c>
    </row>
    <row r="59" spans="2:19" ht="13" thickBot="1">
      <c r="B59" s="517"/>
      <c r="C59" s="517"/>
      <c r="E59" s="467" t="s">
        <v>225</v>
      </c>
      <c r="F59" s="470" t="s">
        <v>335</v>
      </c>
      <c r="G59" s="464" t="s">
        <v>335</v>
      </c>
      <c r="H59" s="464">
        <v>0</v>
      </c>
      <c r="I59" s="489">
        <v>0</v>
      </c>
      <c r="J59" s="470" t="s">
        <v>335</v>
      </c>
      <c r="K59" s="464" t="s">
        <v>335</v>
      </c>
      <c r="L59" s="464">
        <v>0</v>
      </c>
      <c r="M59" s="490">
        <v>0</v>
      </c>
      <c r="N59" s="463" t="s">
        <v>335</v>
      </c>
      <c r="O59" s="464" t="s">
        <v>335</v>
      </c>
      <c r="P59" s="464">
        <v>0</v>
      </c>
      <c r="Q59" s="490">
        <v>0</v>
      </c>
      <c r="R59" s="483">
        <v>2014</v>
      </c>
      <c r="S59" s="484">
        <v>2050</v>
      </c>
    </row>
    <row r="60" spans="2:19">
      <c r="B60" s="517"/>
      <c r="C60" s="517"/>
      <c r="M60" s="471"/>
    </row>
    <row r="125" spans="2:2">
      <c r="B125" s="452" t="s">
        <v>327</v>
      </c>
    </row>
    <row r="126" spans="2:2">
      <c r="B126" s="452" t="s">
        <v>328</v>
      </c>
    </row>
    <row r="127" spans="2:2">
      <c r="B127" s="452" t="s">
        <v>329</v>
      </c>
    </row>
    <row r="128" spans="2:2">
      <c r="B128" s="452" t="s">
        <v>330</v>
      </c>
    </row>
    <row r="129" spans="2:2">
      <c r="B129" s="452" t="s">
        <v>326</v>
      </c>
    </row>
    <row r="132" spans="2:2">
      <c r="B132" s="453">
        <v>2014</v>
      </c>
    </row>
    <row r="133" spans="2:2">
      <c r="B133" s="453">
        <v>2016</v>
      </c>
    </row>
    <row r="134" spans="2:2">
      <c r="B134" s="453">
        <v>2018</v>
      </c>
    </row>
    <row r="135" spans="2:2">
      <c r="B135" s="453">
        <v>2020</v>
      </c>
    </row>
    <row r="136" spans="2:2">
      <c r="B136" s="453">
        <v>2022</v>
      </c>
    </row>
    <row r="137" spans="2:2">
      <c r="B137" s="453">
        <v>2024</v>
      </c>
    </row>
    <row r="138" spans="2:2">
      <c r="B138" s="453">
        <v>2026</v>
      </c>
    </row>
    <row r="139" spans="2:2">
      <c r="B139" s="453">
        <v>2028</v>
      </c>
    </row>
    <row r="140" spans="2:2">
      <c r="B140" s="453">
        <v>2030</v>
      </c>
    </row>
    <row r="141" spans="2:2">
      <c r="B141" s="453">
        <v>2032</v>
      </c>
    </row>
    <row r="142" spans="2:2">
      <c r="B142" s="453">
        <v>2034</v>
      </c>
    </row>
    <row r="143" spans="2:2">
      <c r="B143" s="453">
        <v>2036</v>
      </c>
    </row>
    <row r="144" spans="2:2">
      <c r="B144" s="453">
        <v>2038</v>
      </c>
    </row>
    <row r="145" spans="2:2">
      <c r="B145" s="453">
        <v>2040</v>
      </c>
    </row>
    <row r="146" spans="2:2">
      <c r="B146" s="453">
        <v>2042</v>
      </c>
    </row>
    <row r="147" spans="2:2">
      <c r="B147" s="453">
        <v>2044</v>
      </c>
    </row>
    <row r="148" spans="2:2">
      <c r="B148" s="453">
        <v>2046</v>
      </c>
    </row>
    <row r="149" spans="2:2">
      <c r="B149" s="453">
        <v>2048</v>
      </c>
    </row>
    <row r="150" spans="2:2">
      <c r="B150" s="453">
        <v>2050</v>
      </c>
    </row>
    <row r="153" spans="2:2">
      <c r="B153" s="454" t="b">
        <v>1</v>
      </c>
    </row>
    <row r="154" spans="2:2">
      <c r="B154" s="454" t="b">
        <v>0</v>
      </c>
    </row>
    <row r="166" spans="1:4">
      <c r="A166" s="453"/>
      <c r="B166" s="453" t="s">
        <v>336</v>
      </c>
      <c r="C166" s="453" t="s">
        <v>337</v>
      </c>
      <c r="D166" s="453" t="s">
        <v>338</v>
      </c>
    </row>
    <row r="167" spans="1:4">
      <c r="A167" s="453" t="s">
        <v>177</v>
      </c>
      <c r="B167" s="453">
        <v>25</v>
      </c>
      <c r="C167" s="453">
        <v>25</v>
      </c>
      <c r="D167" s="453">
        <v>25</v>
      </c>
    </row>
    <row r="168" spans="1:4">
      <c r="A168" s="453" t="s">
        <v>176</v>
      </c>
      <c r="B168" s="453">
        <v>0</v>
      </c>
      <c r="C168" s="453">
        <v>0</v>
      </c>
      <c r="D168" s="453">
        <v>0</v>
      </c>
    </row>
    <row r="169" spans="1:4">
      <c r="A169" s="453" t="s">
        <v>179</v>
      </c>
      <c r="B169" s="453">
        <v>25</v>
      </c>
      <c r="C169" s="453">
        <v>300</v>
      </c>
      <c r="D169" s="453">
        <v>300</v>
      </c>
    </row>
    <row r="170" spans="1:4">
      <c r="A170" s="453" t="s">
        <v>178</v>
      </c>
      <c r="B170" s="453" t="s">
        <v>335</v>
      </c>
      <c r="C170" s="453" t="s">
        <v>335</v>
      </c>
      <c r="D170" s="453" t="s">
        <v>335</v>
      </c>
    </row>
    <row r="171" spans="1:4">
      <c r="A171" s="453" t="s">
        <v>180</v>
      </c>
      <c r="B171" s="453">
        <v>1000</v>
      </c>
      <c r="C171" s="453">
        <v>1000</v>
      </c>
      <c r="D171" s="453">
        <v>1000</v>
      </c>
    </row>
    <row r="172" spans="1:4">
      <c r="A172" s="453" t="s">
        <v>181</v>
      </c>
      <c r="B172" s="453" t="s">
        <v>335</v>
      </c>
      <c r="C172" s="453" t="s">
        <v>335</v>
      </c>
      <c r="D172" s="453" t="s">
        <v>335</v>
      </c>
    </row>
    <row r="173" spans="1:4">
      <c r="A173" s="453" t="s">
        <v>182</v>
      </c>
      <c r="B173" s="453">
        <v>2000</v>
      </c>
      <c r="C173" s="453">
        <v>2000</v>
      </c>
      <c r="D173" s="453">
        <v>2000</v>
      </c>
    </row>
    <row r="174" spans="1:4">
      <c r="A174" s="453" t="s">
        <v>11</v>
      </c>
      <c r="B174" s="453">
        <v>1000</v>
      </c>
      <c r="C174" s="453">
        <v>1000</v>
      </c>
      <c r="D174" s="453">
        <v>0</v>
      </c>
    </row>
    <row r="175" spans="1:4">
      <c r="A175" s="453" t="s">
        <v>183</v>
      </c>
      <c r="B175" s="453">
        <v>25</v>
      </c>
      <c r="C175" s="453">
        <v>2000</v>
      </c>
      <c r="D175" s="453">
        <v>2000</v>
      </c>
    </row>
    <row r="176" spans="1:4">
      <c r="A176" s="453" t="s">
        <v>184</v>
      </c>
      <c r="B176" s="453">
        <v>2000</v>
      </c>
      <c r="C176" s="453">
        <v>2000</v>
      </c>
      <c r="D176" s="453">
        <v>2000</v>
      </c>
    </row>
    <row r="177" spans="1:4">
      <c r="A177" s="453" t="s">
        <v>185</v>
      </c>
      <c r="B177" s="453">
        <v>10</v>
      </c>
      <c r="C177" s="453">
        <v>100</v>
      </c>
      <c r="D177" s="453">
        <v>100</v>
      </c>
    </row>
    <row r="178" spans="1:4">
      <c r="A178" s="453" t="s">
        <v>186</v>
      </c>
      <c r="B178" s="453">
        <v>100</v>
      </c>
      <c r="C178" s="453">
        <v>100</v>
      </c>
      <c r="D178" s="453">
        <v>100</v>
      </c>
    </row>
    <row r="179" spans="1:4">
      <c r="A179" s="453" t="s">
        <v>190</v>
      </c>
      <c r="B179" s="453">
        <v>500</v>
      </c>
      <c r="C179" s="453">
        <v>500</v>
      </c>
      <c r="D179" s="453">
        <v>500</v>
      </c>
    </row>
    <row r="180" spans="1:4">
      <c r="A180" s="453" t="s">
        <v>187</v>
      </c>
      <c r="B180" s="453">
        <v>0</v>
      </c>
      <c r="C180" s="453">
        <v>0</v>
      </c>
      <c r="D180" s="453">
        <v>0</v>
      </c>
    </row>
    <row r="181" spans="1:4">
      <c r="A181" s="453" t="s">
        <v>188</v>
      </c>
      <c r="B181" s="453">
        <v>40</v>
      </c>
      <c r="C181" s="453">
        <v>40</v>
      </c>
      <c r="D181" s="453">
        <v>40</v>
      </c>
    </row>
    <row r="182" spans="1:4">
      <c r="A182" s="453" t="s">
        <v>189</v>
      </c>
      <c r="B182" s="453">
        <v>1000</v>
      </c>
      <c r="C182" s="453">
        <v>1000</v>
      </c>
      <c r="D182" s="453">
        <v>1000</v>
      </c>
    </row>
    <row r="183" spans="1:4">
      <c r="A183" s="453" t="s">
        <v>191</v>
      </c>
      <c r="B183" s="453">
        <v>25</v>
      </c>
      <c r="C183" s="453">
        <v>200</v>
      </c>
      <c r="D183" s="453">
        <v>200</v>
      </c>
    </row>
    <row r="184" spans="1:4">
      <c r="A184" s="453" t="s">
        <v>192</v>
      </c>
      <c r="B184" s="453">
        <v>30</v>
      </c>
      <c r="C184" s="453">
        <v>30</v>
      </c>
      <c r="D184" s="453">
        <v>30</v>
      </c>
    </row>
    <row r="185" spans="1:4">
      <c r="A185" s="453" t="s">
        <v>193</v>
      </c>
      <c r="B185" s="453">
        <v>25</v>
      </c>
      <c r="C185" s="453">
        <v>300</v>
      </c>
      <c r="D185" s="453">
        <v>0</v>
      </c>
    </row>
    <row r="186" spans="1:4">
      <c r="A186" s="453" t="s">
        <v>196</v>
      </c>
      <c r="B186" s="453">
        <v>2000</v>
      </c>
      <c r="C186" s="453">
        <v>2000</v>
      </c>
      <c r="D186" s="453">
        <v>2000</v>
      </c>
    </row>
    <row r="187" spans="1:4">
      <c r="A187" s="453" t="s">
        <v>195</v>
      </c>
      <c r="B187" s="453">
        <v>2000</v>
      </c>
      <c r="C187" s="453">
        <v>2000</v>
      </c>
      <c r="D187" s="453">
        <v>2000</v>
      </c>
    </row>
    <row r="188" spans="1:4">
      <c r="A188" s="453" t="s">
        <v>194</v>
      </c>
      <c r="B188" s="453">
        <v>660</v>
      </c>
      <c r="C188" s="453">
        <v>660</v>
      </c>
      <c r="D188" s="453">
        <v>660</v>
      </c>
    </row>
    <row r="189" spans="1:4">
      <c r="A189" s="453" t="s">
        <v>197</v>
      </c>
      <c r="B189" s="453">
        <v>150</v>
      </c>
      <c r="C189" s="453">
        <v>150</v>
      </c>
      <c r="D189" s="453">
        <v>150</v>
      </c>
    </row>
    <row r="190" spans="1:4">
      <c r="A190" s="453" t="s">
        <v>198</v>
      </c>
      <c r="B190" s="453">
        <v>1000</v>
      </c>
      <c r="C190" s="453">
        <v>1000</v>
      </c>
      <c r="D190" s="453">
        <v>1000</v>
      </c>
    </row>
    <row r="191" spans="1:4">
      <c r="A191" s="453" t="s">
        <v>200</v>
      </c>
      <c r="B191" s="453">
        <v>100</v>
      </c>
      <c r="C191" s="453">
        <v>100</v>
      </c>
      <c r="D191" s="453">
        <v>100</v>
      </c>
    </row>
    <row r="192" spans="1:4">
      <c r="A192" s="453" t="s">
        <v>199</v>
      </c>
      <c r="B192" s="453">
        <v>0</v>
      </c>
      <c r="C192" s="453">
        <v>0</v>
      </c>
      <c r="D192" s="453">
        <v>0</v>
      </c>
    </row>
    <row r="193" spans="1:4">
      <c r="A193" s="453" t="s">
        <v>201</v>
      </c>
      <c r="B193" s="453">
        <v>50</v>
      </c>
      <c r="C193" s="453">
        <v>50</v>
      </c>
      <c r="D193" s="453">
        <v>50</v>
      </c>
    </row>
    <row r="194" spans="1:4">
      <c r="A194" s="453" t="s">
        <v>208</v>
      </c>
      <c r="B194" s="453">
        <v>1000</v>
      </c>
      <c r="C194" s="453">
        <v>1000</v>
      </c>
      <c r="D194" s="453">
        <v>1000</v>
      </c>
    </row>
    <row r="195" spans="1:4">
      <c r="A195" s="453" t="s">
        <v>209</v>
      </c>
      <c r="B195" s="453">
        <v>100</v>
      </c>
      <c r="C195" s="453">
        <v>100</v>
      </c>
      <c r="D195" s="453">
        <v>100</v>
      </c>
    </row>
    <row r="196" spans="1:4">
      <c r="A196" s="453" t="s">
        <v>202</v>
      </c>
      <c r="B196" s="453">
        <v>25</v>
      </c>
      <c r="C196" s="453">
        <v>25</v>
      </c>
      <c r="D196" s="453">
        <v>25</v>
      </c>
    </row>
    <row r="197" spans="1:4">
      <c r="A197" s="453" t="s">
        <v>204</v>
      </c>
      <c r="B197" s="453">
        <v>100</v>
      </c>
      <c r="C197" s="453">
        <v>100</v>
      </c>
      <c r="D197" s="453">
        <v>100</v>
      </c>
    </row>
    <row r="198" spans="1:4">
      <c r="A198" s="453" t="s">
        <v>205</v>
      </c>
      <c r="B198" s="453" t="s">
        <v>335</v>
      </c>
      <c r="C198" s="453" t="s">
        <v>335</v>
      </c>
      <c r="D198" s="453" t="s">
        <v>335</v>
      </c>
    </row>
    <row r="199" spans="1:4">
      <c r="A199" s="453" t="s">
        <v>206</v>
      </c>
      <c r="B199" s="453">
        <v>80000</v>
      </c>
      <c r="C199" s="453">
        <v>80000</v>
      </c>
      <c r="D199" s="453">
        <v>80000</v>
      </c>
    </row>
    <row r="200" spans="1:4">
      <c r="A200" s="453" t="s">
        <v>203</v>
      </c>
      <c r="B200" s="453">
        <v>1000</v>
      </c>
      <c r="C200" s="453">
        <v>1000</v>
      </c>
      <c r="D200" s="453">
        <v>1000</v>
      </c>
    </row>
    <row r="201" spans="1:4">
      <c r="A201" s="453" t="s">
        <v>207</v>
      </c>
      <c r="B201" s="453">
        <v>25</v>
      </c>
      <c r="C201" s="453">
        <v>2000</v>
      </c>
      <c r="D201" s="453">
        <v>2000</v>
      </c>
    </row>
    <row r="202" spans="1:4">
      <c r="A202" s="453" t="s">
        <v>210</v>
      </c>
      <c r="B202" s="453" t="s">
        <v>335</v>
      </c>
      <c r="C202" s="453" t="s">
        <v>335</v>
      </c>
      <c r="D202" s="453" t="s">
        <v>335</v>
      </c>
    </row>
    <row r="203" spans="1:4">
      <c r="A203" s="453" t="s">
        <v>211</v>
      </c>
      <c r="B203" s="453">
        <v>15</v>
      </c>
      <c r="C203" s="453">
        <v>15</v>
      </c>
      <c r="D203" s="453">
        <v>15</v>
      </c>
    </row>
    <row r="204" spans="1:4">
      <c r="A204" s="453" t="s">
        <v>212</v>
      </c>
      <c r="B204" s="453">
        <v>25</v>
      </c>
      <c r="C204" s="453">
        <v>2000</v>
      </c>
      <c r="D204" s="453">
        <v>2000</v>
      </c>
    </row>
    <row r="205" spans="1:4">
      <c r="A205" s="453" t="s">
        <v>213</v>
      </c>
      <c r="B205" s="453">
        <v>50</v>
      </c>
      <c r="C205" s="453">
        <v>3000</v>
      </c>
      <c r="D205" s="453">
        <v>3000</v>
      </c>
    </row>
    <row r="206" spans="1:4">
      <c r="A206" s="453" t="s">
        <v>214</v>
      </c>
      <c r="B206" s="453">
        <v>5000</v>
      </c>
      <c r="C206" s="453">
        <v>5000</v>
      </c>
      <c r="D206" s="453">
        <v>5000</v>
      </c>
    </row>
    <row r="207" spans="1:4">
      <c r="A207" s="453" t="s">
        <v>215</v>
      </c>
      <c r="B207" s="453">
        <v>20</v>
      </c>
      <c r="C207" s="453">
        <v>100</v>
      </c>
      <c r="D207" s="453">
        <v>100</v>
      </c>
    </row>
    <row r="208" spans="1:4">
      <c r="A208" s="453" t="s">
        <v>216</v>
      </c>
      <c r="B208" s="453">
        <v>0</v>
      </c>
      <c r="C208" s="453">
        <v>0</v>
      </c>
      <c r="D208" s="453">
        <v>0</v>
      </c>
    </row>
    <row r="209" spans="1:4">
      <c r="A209" s="453" t="s">
        <v>217</v>
      </c>
      <c r="B209" s="453">
        <v>0</v>
      </c>
      <c r="C209" s="453">
        <v>0</v>
      </c>
      <c r="D209" s="453">
        <v>0</v>
      </c>
    </row>
    <row r="210" spans="1:4">
      <c r="A210" s="453" t="s">
        <v>218</v>
      </c>
      <c r="B210" s="453">
        <v>0</v>
      </c>
      <c r="C210" s="453">
        <v>0</v>
      </c>
      <c r="D210" s="453">
        <v>0</v>
      </c>
    </row>
    <row r="211" spans="1:4">
      <c r="A211" s="453" t="s">
        <v>219</v>
      </c>
      <c r="B211" s="453">
        <v>25</v>
      </c>
      <c r="C211" s="453">
        <v>2000</v>
      </c>
      <c r="D211" s="453">
        <v>2000</v>
      </c>
    </row>
    <row r="212" spans="1:4">
      <c r="A212" s="453" t="s">
        <v>221</v>
      </c>
      <c r="B212" s="453">
        <v>10</v>
      </c>
      <c r="C212" s="453">
        <v>500</v>
      </c>
      <c r="D212" s="453">
        <v>500</v>
      </c>
    </row>
    <row r="213" spans="1:4">
      <c r="A213" s="453" t="s">
        <v>220</v>
      </c>
      <c r="B213" s="453">
        <v>500</v>
      </c>
      <c r="C213" s="453">
        <v>500</v>
      </c>
      <c r="D213" s="453">
        <v>500</v>
      </c>
    </row>
    <row r="214" spans="1:4">
      <c r="A214" s="453" t="s">
        <v>222</v>
      </c>
      <c r="B214" s="453">
        <v>100</v>
      </c>
      <c r="C214" s="453">
        <v>100</v>
      </c>
      <c r="D214" s="453">
        <v>100</v>
      </c>
    </row>
    <row r="215" spans="1:4">
      <c r="A215" s="453" t="s">
        <v>224</v>
      </c>
      <c r="B215" s="453">
        <v>100</v>
      </c>
      <c r="C215" s="453">
        <v>100</v>
      </c>
      <c r="D215" s="453">
        <v>100</v>
      </c>
    </row>
    <row r="216" spans="1:4">
      <c r="A216" s="453" t="s">
        <v>223</v>
      </c>
      <c r="B216" s="453">
        <v>25</v>
      </c>
      <c r="C216" s="453">
        <v>500</v>
      </c>
      <c r="D216" s="453">
        <v>2000</v>
      </c>
    </row>
    <row r="217" spans="1:4">
      <c r="A217" s="453" t="s">
        <v>225</v>
      </c>
      <c r="B217" s="453">
        <v>25</v>
      </c>
      <c r="C217" s="453">
        <v>25</v>
      </c>
      <c r="D217" s="453">
        <v>25</v>
      </c>
    </row>
    <row r="218" spans="1:4">
      <c r="B218" s="472"/>
    </row>
  </sheetData>
  <sheetProtection sheet="1" formatCells="0" formatColumns="0" formatRows="0"/>
  <mergeCells count="6">
    <mergeCell ref="N7:Q7"/>
    <mergeCell ref="B57:C60"/>
    <mergeCell ref="B53:C55"/>
    <mergeCell ref="B14:C51"/>
    <mergeCell ref="F7:I7"/>
    <mergeCell ref="J7:M7"/>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43"/>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Cost</vt:lpstr>
      <vt:lpstr>Performance</vt:lpstr>
      <vt:lpstr>Finance</vt:lpstr>
      <vt:lpstr>Market Projections</vt:lpstr>
      <vt:lpstr>Wind Policies</vt:lpstr>
      <vt:lpstr>Net Metering</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2015-01-08T21:22:11Z</dcterms:modified>
</cp:coreProperties>
</file>