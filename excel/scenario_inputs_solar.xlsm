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400" yWindow="0" windowWidth="38400" windowHeight="21160" tabRatio="782" activeTab="6"/>
  </bookViews>
  <sheets>
    <sheet name="Main" sheetId="8" r:id="rId1"/>
    <sheet name="Cost" sheetId="38" r:id="rId2"/>
    <sheet name="Performance" sheetId="39" r:id="rId3"/>
    <sheet name="Finance" sheetId="15" r:id="rId4"/>
    <sheet name="Market Projections" sheetId="37" r:id="rId5"/>
    <sheet name="Policies" sheetId="36" r:id="rId6"/>
    <sheet name="Net Metering" sheetId="41" r:id="rId7"/>
    <sheet name="Customer Behavior" sheetId="40" r:id="rId8"/>
  </sheets>
  <externalReferences>
    <externalReference r:id="rId9"/>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Values">Policies!$B$72:$V$123</definedName>
    <definedName name="nem_year_exc_sell_rate">'Net Metering'!$H$9:$H$59,'Net Metering'!$L$9:$L$59,'Net Metering'!$P$9:$P$59</definedName>
    <definedName name="nem_years">'Net Metering'!$R$9:$S$59</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<sst xmlns="http://schemas.openxmlformats.org/spreadsheetml/2006/main" count="912" uniqueCount="351">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</sst>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42">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s>
  <cellStyleXfs count="75">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557">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0" fillId="10" borderId="119" xfId="5" applyFont="1" applyFill="1" applyBorder="1"/>
    <xf numFmtId="0" fontId="20" fillId="10" borderId="122" xfId="5" applyFont="1" applyFill="1" applyBorder="1"/>
    <xf numFmtId="0" fontId="19" fillId="10" borderId="125" xfId="0" applyNumberFormat="1" applyFont="1" applyFill="1" applyBorder="1" applyAlignment="1" applyProtection="1">
      <alignment horizontal="left" wrapText="1"/>
    </xf>
    <xf numFmtId="2" fontId="10" fillId="3" borderId="120" xfId="3" applyNumberFormat="1" applyFont="1" applyFill="1" applyBorder="1" applyAlignment="1">
      <alignment horizontal="center"/>
    </xf>
    <xf numFmtId="2" fontId="10" fillId="3" borderId="121" xfId="3" applyNumberFormat="1" applyFont="1" applyFill="1" applyBorder="1" applyAlignment="1">
      <alignment horizontal="center"/>
    </xf>
    <xf numFmtId="2" fontId="10" fillId="3" borderId="123" xfId="3" applyNumberFormat="1" applyFont="1" applyFill="1" applyBorder="1" applyAlignment="1">
      <alignment horizontal="center"/>
    </xf>
    <xf numFmtId="2" fontId="10" fillId="3" borderId="124" xfId="3" applyNumberFormat="1" applyFont="1" applyFill="1" applyBorder="1" applyAlignment="1">
      <alignment horizontal="center"/>
    </xf>
    <xf numFmtId="0" fontId="82" fillId="3" borderId="0" xfId="3" applyFont="1" applyFill="1" applyAlignment="1"/>
    <xf numFmtId="0" fontId="20" fillId="10" borderId="116" xfId="5" applyFont="1" applyFill="1" applyBorder="1"/>
    <xf numFmtId="2" fontId="10" fillId="3" borderId="117" xfId="3" applyNumberFormat="1" applyFont="1" applyFill="1" applyBorder="1" applyAlignment="1">
      <alignment horizontal="center"/>
    </xf>
    <xf numFmtId="2" fontId="10" fillId="3" borderId="118"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26" xfId="0" applyFill="1" applyBorder="1"/>
    <xf numFmtId="0" fontId="0" fillId="10" borderId="128" xfId="0" applyFill="1" applyBorder="1"/>
    <xf numFmtId="0" fontId="0" fillId="10" borderId="130" xfId="0" applyFill="1" applyBorder="1"/>
    <xf numFmtId="0" fontId="0" fillId="10" borderId="127" xfId="0" applyFill="1" applyBorder="1"/>
    <xf numFmtId="0" fontId="0" fillId="10" borderId="129" xfId="0" applyFill="1" applyBorder="1"/>
    <xf numFmtId="0" fontId="0" fillId="10" borderId="131" xfId="0" applyFill="1" applyBorder="1"/>
    <xf numFmtId="0" fontId="10" fillId="3" borderId="39" xfId="3" applyFont="1" applyFill="1" applyBorder="1" applyAlignment="1"/>
    <xf numFmtId="0" fontId="0" fillId="10" borderId="83" xfId="0" applyFill="1" applyBorder="1"/>
    <xf numFmtId="0" fontId="0" fillId="10" borderId="102"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7" xfId="0" applyFill="1" applyBorder="1" applyAlignment="1">
      <alignment horizontal="center" vertical="center"/>
    </xf>
    <xf numFmtId="0" fontId="0" fillId="10" borderId="87"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3"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4" fillId="10" borderId="0" xfId="0" applyFont="1" applyFill="1" applyProtection="1">
      <protection locked="0"/>
    </xf>
    <xf numFmtId="0" fontId="84" fillId="10" borderId="0" xfId="0" applyFont="1" applyFill="1" applyAlignment="1" applyProtection="1">
      <alignment horizontal="left"/>
      <protection locked="0"/>
    </xf>
    <xf numFmtId="0" fontId="84" fillId="10" borderId="0" xfId="0" applyFont="1" applyFill="1" applyAlignment="1" applyProtection="1">
      <alignment horizontal="left" vertical="center"/>
      <protection locked="0"/>
    </xf>
    <xf numFmtId="0" fontId="85" fillId="0" borderId="0" xfId="0" applyFont="1" applyProtection="1">
      <protection locked="0"/>
    </xf>
    <xf numFmtId="0" fontId="31" fillId="17" borderId="132" xfId="0" applyFont="1" applyFill="1" applyBorder="1" applyAlignment="1" applyProtection="1">
      <alignment horizontal="center" vertical="center" wrapText="1"/>
      <protection locked="0"/>
    </xf>
    <xf numFmtId="0" fontId="31" fillId="17" borderId="96" xfId="0" applyFont="1" applyFill="1" applyBorder="1" applyAlignment="1" applyProtection="1">
      <alignment horizontal="center" vertical="center" wrapText="1"/>
      <protection locked="0"/>
    </xf>
    <xf numFmtId="0" fontId="31" fillId="17" borderId="133" xfId="0" applyFont="1" applyFill="1" applyBorder="1" applyAlignment="1" applyProtection="1">
      <alignment horizontal="center" vertical="center" wrapText="1"/>
      <protection locked="0"/>
    </xf>
    <xf numFmtId="0" fontId="0" fillId="18" borderId="134"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36"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38"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37" xfId="0" applyFont="1" applyFill="1" applyBorder="1" applyAlignment="1" applyProtection="1">
      <alignment horizontal="center"/>
    </xf>
    <xf numFmtId="0" fontId="0" fillId="18" borderId="140" xfId="0" applyFont="1" applyFill="1" applyBorder="1" applyAlignment="1" applyProtection="1">
      <alignment horizontal="center"/>
    </xf>
    <xf numFmtId="0" fontId="0" fillId="18" borderId="64" xfId="0" applyFont="1" applyFill="1" applyBorder="1" applyAlignment="1" applyProtection="1">
      <alignment horizontal="center"/>
    </xf>
    <xf numFmtId="0" fontId="0" fillId="18" borderId="141" xfId="0" applyFont="1" applyFill="1" applyBorder="1" applyAlignment="1" applyProtection="1">
      <alignment horizontal="center"/>
    </xf>
    <xf numFmtId="0" fontId="0" fillId="18" borderId="0" xfId="0" applyFill="1" applyProtection="1">
      <protection locked="0"/>
    </xf>
    <xf numFmtId="0" fontId="0" fillId="18" borderId="65" xfId="0" applyFont="1" applyFill="1" applyBorder="1" applyAlignment="1" applyProtection="1">
      <alignment horizontal="center"/>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34" xfId="0" applyFill="1" applyBorder="1" applyAlignment="1" applyProtection="1">
      <alignment horizontal="center"/>
    </xf>
    <xf numFmtId="0" fontId="0" fillId="18" borderId="50" xfId="0" applyFill="1" applyBorder="1" applyAlignment="1" applyProtection="1">
      <alignment horizontal="center"/>
    </xf>
    <xf numFmtId="0" fontId="0" fillId="18" borderId="136" xfId="0" applyFill="1" applyBorder="1" applyAlignment="1" applyProtection="1">
      <alignment horizontal="center"/>
    </xf>
    <xf numFmtId="0" fontId="0" fillId="18" borderId="38" xfId="0" applyFill="1" applyBorder="1" applyAlignment="1" applyProtection="1">
      <alignment horizontal="center"/>
    </xf>
    <xf numFmtId="0" fontId="0" fillId="18" borderId="138" xfId="0" applyFill="1" applyBorder="1" applyAlignment="1" applyProtection="1">
      <alignment horizontal="center"/>
    </xf>
    <xf numFmtId="0" fontId="0" fillId="18" borderId="42" xfId="0" applyFill="1" applyBorder="1" applyAlignment="1" applyProtection="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31" fillId="17" borderId="60"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61" xfId="0" applyFont="1" applyFill="1" applyBorder="1" applyAlignment="1" applyProtection="1">
      <alignment horizontal="center"/>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center" wrapText="1"/>
      <protection locked="0"/>
    </xf>
    <xf numFmtId="0" fontId="0" fillId="18" borderId="49"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41" xfId="0" applyFont="1" applyFill="1" applyBorder="1" applyAlignment="1" applyProtection="1">
      <alignment horizontal="center"/>
      <protection locked="0"/>
    </xf>
    <xf numFmtId="0" fontId="0" fillId="19" borderId="102" xfId="0" applyFont="1" applyFill="1" applyBorder="1" applyAlignment="1" applyProtection="1">
      <alignment horizontal="center"/>
    </xf>
    <xf numFmtId="0" fontId="0" fillId="19" borderId="65" xfId="0" applyFont="1" applyFill="1" applyBorder="1" applyAlignment="1" applyProtection="1">
      <alignment horizontal="center"/>
    </xf>
    <xf numFmtId="0" fontId="0" fillId="19" borderId="135" xfId="0" applyFont="1" applyFill="1" applyBorder="1" applyAlignment="1" applyProtection="1">
      <alignment horizontal="center"/>
    </xf>
    <xf numFmtId="0" fontId="0" fillId="19" borderId="137" xfId="0" applyFont="1" applyFill="1" applyBorder="1" applyAlignment="1" applyProtection="1">
      <alignment horizontal="center"/>
    </xf>
    <xf numFmtId="0" fontId="0" fillId="19" borderId="103" xfId="0" applyFont="1" applyFill="1" applyBorder="1" applyAlignment="1" applyProtection="1">
      <alignment horizontal="center"/>
    </xf>
    <xf numFmtId="0" fontId="0" fillId="19" borderId="139" xfId="0" applyFont="1" applyFill="1" applyBorder="1" applyAlignment="1" applyProtection="1">
      <alignment horizontal="center"/>
    </xf>
  </cellXfs>
  <cellStyles count="75">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3953080"/>
        <c:axId val="2123956408"/>
      </c:scatterChart>
      <c:valAx>
        <c:axId val="212395308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3956408"/>
        <c:crosses val="autoZero"/>
        <c:crossBetween val="midCat"/>
      </c:valAx>
      <c:valAx>
        <c:axId val="21239564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395308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88647768"/>
        <c:axId val="2088651128"/>
      </c:scatterChart>
      <c:valAx>
        <c:axId val="208864776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8651128"/>
        <c:crosses val="autoZero"/>
        <c:crossBetween val="midCat"/>
      </c:valAx>
      <c:valAx>
        <c:axId val="20886511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86477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28" sqref="D28"/>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313</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520"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521"/>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521"/>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522"/>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520"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521"/>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521"/>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522"/>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520"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521"/>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521"/>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522"/>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520"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521"/>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521"/>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522"/>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520"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521"/>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521"/>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522"/>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520"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521"/>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521"/>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522"/>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2" t="s">
        <v>53</v>
      </c>
      <c r="D9" s="533"/>
      <c r="E9" s="253" t="s">
        <v>149</v>
      </c>
      <c r="F9" s="186" t="s">
        <v>150</v>
      </c>
      <c r="G9" s="135"/>
      <c r="H9" s="233"/>
      <c r="I9" s="233"/>
      <c r="J9" s="523" t="s">
        <v>135</v>
      </c>
      <c r="K9" s="524"/>
      <c r="L9" s="525"/>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34" t="s">
        <v>54</v>
      </c>
      <c r="D17" s="535"/>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36" t="s">
        <v>136</v>
      </c>
      <c r="D26" s="537"/>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26" t="s">
        <v>120</v>
      </c>
      <c r="E35" s="527"/>
      <c r="F35" s="528" t="s">
        <v>121</v>
      </c>
      <c r="G35" s="529"/>
      <c r="H35" s="530" t="s">
        <v>122</v>
      </c>
      <c r="I35" s="53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538" t="s">
        <v>306</v>
      </c>
      <c r="D32" s="538"/>
      <c r="E32" s="538"/>
      <c r="F32" s="539"/>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314</v>
      </c>
      <c r="D86" s="458"/>
      <c r="E86" s="458"/>
      <c r="F86" s="458"/>
      <c r="G86" s="35"/>
      <c r="H86" s="35"/>
      <c r="I86" s="35"/>
      <c r="J86" s="31" t="s">
        <v>328</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62" t="s">
        <v>308</v>
      </c>
      <c r="D87" s="463" t="s">
        <v>315</v>
      </c>
      <c r="E87" s="463" t="s">
        <v>316</v>
      </c>
      <c r="F87" s="463" t="s">
        <v>317</v>
      </c>
      <c r="G87" s="35"/>
      <c r="H87" s="35"/>
      <c r="I87" s="250"/>
      <c r="J87" s="477"/>
      <c r="K87" s="478" t="s">
        <v>120</v>
      </c>
      <c r="L87" s="479" t="s">
        <v>326</v>
      </c>
      <c r="M87" s="476"/>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53"/>
      <c r="C88" s="459" t="s">
        <v>177</v>
      </c>
      <c r="D88" s="460">
        <v>0.18</v>
      </c>
      <c r="E88" s="460">
        <v>0.15</v>
      </c>
      <c r="F88" s="461">
        <v>0.17</v>
      </c>
      <c r="G88" s="35"/>
      <c r="H88" s="35"/>
      <c r="I88" s="250"/>
      <c r="J88" s="475" t="s">
        <v>318</v>
      </c>
      <c r="K88" s="466">
        <v>0.2</v>
      </c>
      <c r="L88" s="469">
        <v>0.05</v>
      </c>
      <c r="M88" s="472"/>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53"/>
      <c r="C89" s="451" t="s">
        <v>176</v>
      </c>
      <c r="D89" s="454">
        <v>0.11</v>
      </c>
      <c r="E89" s="454">
        <v>0.11</v>
      </c>
      <c r="F89" s="455">
        <v>0.06</v>
      </c>
      <c r="G89" s="35"/>
      <c r="H89" s="35"/>
      <c r="I89" s="250"/>
      <c r="J89" s="464" t="s">
        <v>319</v>
      </c>
      <c r="K89" s="467">
        <v>0</v>
      </c>
      <c r="L89" s="470">
        <v>0.2</v>
      </c>
      <c r="M89" s="472"/>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53"/>
      <c r="C90" s="451" t="s">
        <v>179</v>
      </c>
      <c r="D90" s="454">
        <v>0.09</v>
      </c>
      <c r="E90" s="454">
        <v>0.08</v>
      </c>
      <c r="F90" s="455">
        <v>0.06</v>
      </c>
      <c r="G90" s="35"/>
      <c r="H90" s="35"/>
      <c r="I90" s="250"/>
      <c r="J90" s="464" t="s">
        <v>320</v>
      </c>
      <c r="K90" s="467">
        <v>0.2</v>
      </c>
      <c r="L90" s="470">
        <v>0.05</v>
      </c>
      <c r="M90" s="472"/>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53"/>
      <c r="C91" s="451" t="s">
        <v>178</v>
      </c>
      <c r="D91" s="454">
        <v>0.11</v>
      </c>
      <c r="E91" s="454">
        <v>0.1</v>
      </c>
      <c r="F91" s="455">
        <v>7.0000000000000007E-2</v>
      </c>
      <c r="G91" s="35"/>
      <c r="H91" s="35"/>
      <c r="I91" s="250"/>
      <c r="J91" s="464" t="s">
        <v>321</v>
      </c>
      <c r="K91" s="467">
        <v>0.2</v>
      </c>
      <c r="L91" s="470">
        <v>0.05</v>
      </c>
      <c r="M91" s="472"/>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53"/>
      <c r="C92" s="451" t="s">
        <v>180</v>
      </c>
      <c r="D92" s="454">
        <v>0.15</v>
      </c>
      <c r="E92" s="454">
        <v>0.13</v>
      </c>
      <c r="F92" s="455">
        <v>0.1</v>
      </c>
      <c r="G92" s="35"/>
      <c r="H92" s="35"/>
      <c r="I92" s="250"/>
      <c r="J92" s="464" t="s">
        <v>322</v>
      </c>
      <c r="K92" s="467">
        <v>0.15</v>
      </c>
      <c r="L92" s="470">
        <v>0.1</v>
      </c>
      <c r="M92" s="472"/>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53"/>
      <c r="C93" s="451" t="s">
        <v>181</v>
      </c>
      <c r="D93" s="454">
        <v>0.11</v>
      </c>
      <c r="E93" s="454">
        <v>0.09</v>
      </c>
      <c r="F93" s="455">
        <v>7.0000000000000007E-2</v>
      </c>
      <c r="G93" s="35"/>
      <c r="H93" s="35"/>
      <c r="I93" s="250"/>
      <c r="J93" s="464" t="s">
        <v>323</v>
      </c>
      <c r="K93" s="467">
        <v>0</v>
      </c>
      <c r="L93" s="470">
        <v>0.3</v>
      </c>
      <c r="M93" s="472"/>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53"/>
      <c r="C94" s="451" t="s">
        <v>182</v>
      </c>
      <c r="D94" s="454">
        <v>0.17</v>
      </c>
      <c r="E94" s="454">
        <v>0.15</v>
      </c>
      <c r="F94" s="455">
        <v>0.13</v>
      </c>
      <c r="G94" s="35"/>
      <c r="H94" s="35"/>
      <c r="I94" s="250"/>
      <c r="J94" s="464" t="s">
        <v>324</v>
      </c>
      <c r="K94" s="467">
        <v>0.2</v>
      </c>
      <c r="L94" s="470">
        <v>0.05</v>
      </c>
      <c r="M94" s="472"/>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53"/>
      <c r="C95" s="451" t="s">
        <v>11</v>
      </c>
      <c r="D95" s="454">
        <v>0.12</v>
      </c>
      <c r="E95" s="454">
        <v>0.12</v>
      </c>
      <c r="F95" s="455">
        <v>0.05</v>
      </c>
      <c r="G95" s="35"/>
      <c r="H95" s="35"/>
      <c r="I95" s="250"/>
      <c r="J95" s="464" t="s">
        <v>325</v>
      </c>
      <c r="K95" s="467">
        <v>0</v>
      </c>
      <c r="L95" s="470">
        <v>0.15</v>
      </c>
      <c r="M95" s="472"/>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53"/>
      <c r="C96" s="451" t="s">
        <v>183</v>
      </c>
      <c r="D96" s="454">
        <v>0.14000000000000001</v>
      </c>
      <c r="E96" s="454">
        <v>0.1</v>
      </c>
      <c r="F96" s="455">
        <v>0.08</v>
      </c>
      <c r="G96" s="35"/>
      <c r="H96" s="35"/>
      <c r="I96" s="250"/>
      <c r="J96" s="465" t="s">
        <v>329</v>
      </c>
      <c r="K96" s="468">
        <v>0.05</v>
      </c>
      <c r="L96" s="471">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53"/>
      <c r="C97" s="451" t="s">
        <v>184</v>
      </c>
      <c r="D97" s="454">
        <v>0.11</v>
      </c>
      <c r="E97" s="454">
        <v>0.1</v>
      </c>
      <c r="F97" s="455">
        <v>0.08</v>
      </c>
      <c r="G97" s="35"/>
      <c r="H97" s="35"/>
      <c r="I97" s="250"/>
      <c r="J97" s="474" t="s">
        <v>327</v>
      </c>
      <c r="K97" s="473">
        <f>SUM(K88:K96)</f>
        <v>1.0000000000000002</v>
      </c>
      <c r="L97" s="473">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53"/>
      <c r="C98" s="451" t="s">
        <v>185</v>
      </c>
      <c r="D98" s="454">
        <v>0.11</v>
      </c>
      <c r="E98" s="454">
        <v>0.1</v>
      </c>
      <c r="F98" s="455">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53"/>
      <c r="C99" s="451" t="s">
        <v>186</v>
      </c>
      <c r="D99" s="454">
        <v>0.37</v>
      </c>
      <c r="E99" s="454">
        <v>0.35</v>
      </c>
      <c r="F99" s="455">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53"/>
      <c r="C100" s="451" t="s">
        <v>190</v>
      </c>
      <c r="D100" s="454">
        <v>0.11</v>
      </c>
      <c r="E100" s="454">
        <v>0.08</v>
      </c>
      <c r="F100" s="455">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53"/>
      <c r="C101" s="451" t="s">
        <v>187</v>
      </c>
      <c r="D101" s="454">
        <v>0.09</v>
      </c>
      <c r="E101" s="454">
        <v>7.0000000000000007E-2</v>
      </c>
      <c r="F101" s="455">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53"/>
      <c r="C102" s="451" t="s">
        <v>188</v>
      </c>
      <c r="D102" s="454">
        <v>0.11</v>
      </c>
      <c r="E102" s="454">
        <v>0.08</v>
      </c>
      <c r="F102" s="455">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53"/>
      <c r="C103" s="451" t="s">
        <v>189</v>
      </c>
      <c r="D103" s="454">
        <v>0.11</v>
      </c>
      <c r="E103" s="454">
        <v>0.09</v>
      </c>
      <c r="F103" s="455">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53"/>
      <c r="C104" s="451" t="s">
        <v>191</v>
      </c>
      <c r="D104" s="454">
        <v>0.11</v>
      </c>
      <c r="E104" s="454">
        <v>0.09</v>
      </c>
      <c r="F104" s="455">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53"/>
      <c r="C105" s="451" t="s">
        <v>192</v>
      </c>
      <c r="D105" s="454">
        <v>0.09</v>
      </c>
      <c r="E105" s="454">
        <v>0.09</v>
      </c>
      <c r="F105" s="455">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53"/>
      <c r="C106" s="451" t="s">
        <v>193</v>
      </c>
      <c r="D106" s="454">
        <v>0.08</v>
      </c>
      <c r="E106" s="454">
        <v>0.08</v>
      </c>
      <c r="F106" s="455">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53"/>
      <c r="C107" s="451" t="s">
        <v>196</v>
      </c>
      <c r="D107" s="454">
        <v>0.15</v>
      </c>
      <c r="E107" s="454">
        <v>0.14000000000000001</v>
      </c>
      <c r="F107" s="455">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53"/>
      <c r="C108" s="451" t="s">
        <v>195</v>
      </c>
      <c r="D108" s="454">
        <v>0.13</v>
      </c>
      <c r="E108" s="454">
        <v>0.1</v>
      </c>
      <c r="F108" s="455">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53"/>
      <c r="C109" s="451" t="s">
        <v>194</v>
      </c>
      <c r="D109" s="454">
        <v>0.15</v>
      </c>
      <c r="E109" s="454">
        <v>0.12</v>
      </c>
      <c r="F109" s="455">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53"/>
      <c r="C110" s="451" t="s">
        <v>197</v>
      </c>
      <c r="D110" s="454">
        <v>0.14000000000000001</v>
      </c>
      <c r="E110" s="454">
        <v>0.11</v>
      </c>
      <c r="F110" s="455">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53"/>
      <c r="C111" s="451" t="s">
        <v>198</v>
      </c>
      <c r="D111" s="454">
        <v>0.11</v>
      </c>
      <c r="E111" s="454">
        <v>0.09</v>
      </c>
      <c r="F111" s="455">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53"/>
      <c r="C112" s="451" t="s">
        <v>200</v>
      </c>
      <c r="D112" s="454">
        <v>0.1</v>
      </c>
      <c r="E112" s="454">
        <v>0.08</v>
      </c>
      <c r="F112" s="455">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53"/>
      <c r="C113" s="451" t="s">
        <v>199</v>
      </c>
      <c r="D113" s="454">
        <v>0.1</v>
      </c>
      <c r="E113" s="454">
        <v>0.09</v>
      </c>
      <c r="F113" s="455">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53"/>
      <c r="C114" s="451" t="s">
        <v>201</v>
      </c>
      <c r="D114" s="454">
        <v>0.1</v>
      </c>
      <c r="E114" s="454">
        <v>0.09</v>
      </c>
      <c r="F114" s="455">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53"/>
      <c r="C115" s="451" t="s">
        <v>208</v>
      </c>
      <c r="D115" s="454">
        <v>0.11</v>
      </c>
      <c r="E115" s="454">
        <v>0.09</v>
      </c>
      <c r="F115" s="455">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53"/>
      <c r="C116" s="451" t="s">
        <v>209</v>
      </c>
      <c r="D116" s="454">
        <v>0.09</v>
      </c>
      <c r="E116" s="454">
        <v>0.08</v>
      </c>
      <c r="F116" s="455">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53"/>
      <c r="C117" s="451" t="s">
        <v>202</v>
      </c>
      <c r="D117" s="454">
        <v>0.1</v>
      </c>
      <c r="E117" s="454">
        <v>0.08</v>
      </c>
      <c r="F117" s="455">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53"/>
      <c r="C118" s="451" t="s">
        <v>204</v>
      </c>
      <c r="D118" s="454">
        <v>0.16</v>
      </c>
      <c r="E118" s="454">
        <v>0.13</v>
      </c>
      <c r="F118" s="455">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53"/>
      <c r="C119" s="451" t="s">
        <v>205</v>
      </c>
      <c r="D119" s="454">
        <v>0.16</v>
      </c>
      <c r="E119" s="454">
        <v>0.13</v>
      </c>
      <c r="F119" s="455">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53"/>
      <c r="C120" s="451" t="s">
        <v>206</v>
      </c>
      <c r="D120" s="454">
        <v>0.11</v>
      </c>
      <c r="E120" s="454">
        <v>0.09</v>
      </c>
      <c r="F120" s="455">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53"/>
      <c r="C121" s="451" t="s">
        <v>203</v>
      </c>
      <c r="D121" s="454">
        <v>0.12</v>
      </c>
      <c r="E121" s="454">
        <v>0.09</v>
      </c>
      <c r="F121" s="455">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53"/>
      <c r="C122" s="451" t="s">
        <v>207</v>
      </c>
      <c r="D122" s="454">
        <v>0.18</v>
      </c>
      <c r="E122" s="454">
        <v>0.15</v>
      </c>
      <c r="F122" s="455">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53"/>
      <c r="C123" s="451" t="s">
        <v>210</v>
      </c>
      <c r="D123" s="454">
        <v>0.12</v>
      </c>
      <c r="E123" s="454">
        <v>0.09</v>
      </c>
      <c r="F123" s="455">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53"/>
      <c r="C124" s="451" t="s">
        <v>211</v>
      </c>
      <c r="D124" s="454">
        <v>0.1</v>
      </c>
      <c r="E124" s="454">
        <v>7.0000000000000007E-2</v>
      </c>
      <c r="F124" s="455">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53"/>
      <c r="C125" s="451" t="s">
        <v>212</v>
      </c>
      <c r="D125" s="454">
        <v>0.1</v>
      </c>
      <c r="E125" s="454">
        <v>0.08</v>
      </c>
      <c r="F125" s="455">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53"/>
      <c r="C126" s="451" t="s">
        <v>213</v>
      </c>
      <c r="D126" s="454">
        <v>0.13</v>
      </c>
      <c r="E126" s="454">
        <v>0.09</v>
      </c>
      <c r="F126" s="455">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53"/>
      <c r="C127" s="451" t="s">
        <v>214</v>
      </c>
      <c r="D127" s="454">
        <v>0.14000000000000001</v>
      </c>
      <c r="E127" s="454">
        <v>0.12</v>
      </c>
      <c r="F127" s="455">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53"/>
      <c r="C128" s="451" t="s">
        <v>215</v>
      </c>
      <c r="D128" s="454">
        <v>0.12</v>
      </c>
      <c r="E128" s="454">
        <v>0.1</v>
      </c>
      <c r="F128" s="455">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53"/>
      <c r="C129" s="451" t="s">
        <v>216</v>
      </c>
      <c r="D129" s="454">
        <v>0.1</v>
      </c>
      <c r="E129" s="454">
        <v>0.08</v>
      </c>
      <c r="F129" s="455">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53"/>
      <c r="C130" s="451" t="s">
        <v>217</v>
      </c>
      <c r="D130" s="454">
        <v>0.1</v>
      </c>
      <c r="E130" s="454">
        <v>0.1</v>
      </c>
      <c r="F130" s="455">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53"/>
      <c r="C131" s="451" t="s">
        <v>218</v>
      </c>
      <c r="D131" s="454">
        <v>0.11</v>
      </c>
      <c r="E131" s="454">
        <v>0.08</v>
      </c>
      <c r="F131" s="455">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53"/>
      <c r="C132" s="451" t="s">
        <v>219</v>
      </c>
      <c r="D132" s="454">
        <v>0.1</v>
      </c>
      <c r="E132" s="454">
        <v>0.08</v>
      </c>
      <c r="F132" s="455">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53"/>
      <c r="C133" s="451" t="s">
        <v>221</v>
      </c>
      <c r="D133" s="454">
        <v>0.11</v>
      </c>
      <c r="E133" s="454">
        <v>0.08</v>
      </c>
      <c r="F133" s="455">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53"/>
      <c r="C134" s="451" t="s">
        <v>220</v>
      </c>
      <c r="D134" s="454">
        <v>0.17</v>
      </c>
      <c r="E134" s="454">
        <v>0.14000000000000001</v>
      </c>
      <c r="F134" s="455">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53"/>
      <c r="C135" s="451" t="s">
        <v>222</v>
      </c>
      <c r="D135" s="454">
        <v>0.09</v>
      </c>
      <c r="E135" s="454">
        <v>0.08</v>
      </c>
      <c r="F135" s="455">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53"/>
      <c r="C136" s="451" t="s">
        <v>224</v>
      </c>
      <c r="D136" s="454">
        <v>0.13</v>
      </c>
      <c r="E136" s="454">
        <v>0.11</v>
      </c>
      <c r="F136" s="455">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53"/>
      <c r="C137" s="451" t="s">
        <v>223</v>
      </c>
      <c r="D137" s="454">
        <v>0.1</v>
      </c>
      <c r="E137" s="454">
        <v>0.08</v>
      </c>
      <c r="F137" s="455">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53"/>
      <c r="C138" s="452" t="s">
        <v>225</v>
      </c>
      <c r="D138" s="456">
        <v>0.1</v>
      </c>
      <c r="E138" s="456">
        <v>0.08</v>
      </c>
      <c r="F138" s="457">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11" zoomScale="85" zoomScaleNormal="85" zoomScalePageLayoutView="85" workbookViewId="0">
      <selection activeCell="E7" sqref="E7:F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541" t="s">
        <v>120</v>
      </c>
      <c r="D15" s="540"/>
      <c r="E15" s="540"/>
      <c r="F15" s="540" t="s">
        <v>121</v>
      </c>
      <c r="G15" s="540"/>
      <c r="H15" s="540"/>
      <c r="I15" s="540" t="s">
        <v>122</v>
      </c>
      <c r="J15" s="542"/>
      <c r="K15" s="542"/>
      <c r="L15" s="541" t="s">
        <v>120</v>
      </c>
      <c r="M15" s="540"/>
      <c r="N15" s="540"/>
      <c r="O15" s="540" t="s">
        <v>121</v>
      </c>
      <c r="P15" s="540"/>
      <c r="Q15" s="540"/>
      <c r="R15" s="540" t="s">
        <v>122</v>
      </c>
      <c r="S15" s="542"/>
      <c r="T15" s="542"/>
      <c r="U15" s="541" t="s">
        <v>120</v>
      </c>
      <c r="V15" s="540"/>
      <c r="W15" s="540"/>
      <c r="X15" s="540" t="s">
        <v>121</v>
      </c>
      <c r="Y15" s="540"/>
      <c r="Z15" s="540"/>
      <c r="AA15" s="540" t="s">
        <v>122</v>
      </c>
      <c r="AB15" s="540"/>
      <c r="AC15" s="540"/>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C5" sqref="C5"/>
    </sheetView>
  </sheetViews>
  <sheetFormatPr baseColWidth="10" defaultRowHeight="12" x14ac:dyDescent="0"/>
  <cols>
    <col min="1" max="1" width="10.83203125" style="481"/>
    <col min="2" max="2" width="15.1640625" style="481" customWidth="1"/>
    <col min="3" max="3" width="32.5" style="481" customWidth="1"/>
    <col min="4" max="4" width="10.83203125" style="481"/>
    <col min="5" max="5" width="6.1640625" style="481" bestFit="1" customWidth="1"/>
    <col min="6" max="9" width="15.5" style="481" customWidth="1"/>
    <col min="10" max="10" width="14.6640625" style="481" customWidth="1"/>
    <col min="11" max="17" width="15.5" style="481" customWidth="1"/>
    <col min="18" max="18" width="15" style="481" customWidth="1"/>
    <col min="19" max="19" width="15.33203125" style="481" customWidth="1"/>
    <col min="20" max="20" width="7.1640625" style="481" customWidth="1"/>
    <col min="21" max="21" width="47.33203125" style="481" customWidth="1"/>
    <col min="22" max="23" width="20.33203125" style="481" customWidth="1"/>
    <col min="24" max="16384" width="10.83203125" style="481"/>
  </cols>
  <sheetData>
    <row r="2" spans="2:19" ht="32">
      <c r="B2" s="480" t="s">
        <v>330</v>
      </c>
    </row>
    <row r="5" spans="2:19" ht="18" customHeight="1">
      <c r="B5" s="482" t="s">
        <v>340</v>
      </c>
      <c r="C5" s="488" t="s">
        <v>336</v>
      </c>
      <c r="H5" s="505"/>
    </row>
    <row r="6" spans="2:19" ht="18">
      <c r="E6" s="482" t="str">
        <f>C5 &amp; " Scenario"</f>
        <v>BAU Scenario</v>
      </c>
    </row>
    <row r="7" spans="2:19" ht="27" thickBot="1">
      <c r="B7" s="482" t="s">
        <v>334</v>
      </c>
      <c r="C7" s="270"/>
      <c r="F7" s="543" t="s">
        <v>120</v>
      </c>
      <c r="G7" s="544"/>
      <c r="H7" s="544"/>
      <c r="I7" s="545"/>
      <c r="J7" s="543" t="s">
        <v>121</v>
      </c>
      <c r="K7" s="544"/>
      <c r="L7" s="544"/>
      <c r="M7" s="545"/>
      <c r="N7" s="543" t="s">
        <v>122</v>
      </c>
      <c r="O7" s="544"/>
      <c r="P7" s="544"/>
      <c r="Q7" s="545"/>
    </row>
    <row r="8" spans="2:19" ht="50" customHeight="1" thickTop="1" thickBot="1">
      <c r="B8" s="483" t="s">
        <v>124</v>
      </c>
      <c r="C8" s="484" t="s">
        <v>350</v>
      </c>
      <c r="E8" s="489" t="s">
        <v>308</v>
      </c>
      <c r="F8" s="489" t="s">
        <v>331</v>
      </c>
      <c r="G8" s="490" t="s">
        <v>348</v>
      </c>
      <c r="H8" s="490" t="s">
        <v>332</v>
      </c>
      <c r="I8" s="491" t="s">
        <v>333</v>
      </c>
      <c r="J8" s="489" t="s">
        <v>331</v>
      </c>
      <c r="K8" s="490" t="s">
        <v>348</v>
      </c>
      <c r="L8" s="490" t="s">
        <v>332</v>
      </c>
      <c r="M8" s="491" t="s">
        <v>333</v>
      </c>
      <c r="N8" s="489" t="s">
        <v>331</v>
      </c>
      <c r="O8" s="490" t="s">
        <v>348</v>
      </c>
      <c r="P8" s="490" t="s">
        <v>332</v>
      </c>
      <c r="Q8" s="491" t="s">
        <v>333</v>
      </c>
      <c r="R8" s="489" t="s">
        <v>342</v>
      </c>
      <c r="S8" s="491" t="s">
        <v>341</v>
      </c>
    </row>
    <row r="9" spans="2:19" ht="18">
      <c r="B9" s="508" t="s">
        <v>125</v>
      </c>
      <c r="C9" s="509" t="b">
        <v>1</v>
      </c>
      <c r="E9" s="498" t="s">
        <v>177</v>
      </c>
      <c r="F9" s="502">
        <v>25</v>
      </c>
      <c r="G9" s="493">
        <v>0</v>
      </c>
      <c r="H9" s="548">
        <v>0</v>
      </c>
      <c r="I9" s="551">
        <v>0</v>
      </c>
      <c r="J9" s="502">
        <v>25</v>
      </c>
      <c r="K9" s="493">
        <v>0</v>
      </c>
      <c r="L9" s="548">
        <v>0</v>
      </c>
      <c r="M9" s="553">
        <v>0</v>
      </c>
      <c r="N9" s="492">
        <v>25</v>
      </c>
      <c r="O9" s="493">
        <v>0</v>
      </c>
      <c r="P9" s="548">
        <v>0</v>
      </c>
      <c r="Q9" s="553">
        <v>0</v>
      </c>
      <c r="R9" s="514">
        <v>2014</v>
      </c>
      <c r="S9" s="515">
        <v>2050</v>
      </c>
    </row>
    <row r="10" spans="2:19" ht="18">
      <c r="B10" s="510" t="s">
        <v>126</v>
      </c>
      <c r="C10" s="511" t="b">
        <v>1</v>
      </c>
      <c r="E10" s="499" t="s">
        <v>176</v>
      </c>
      <c r="F10" s="503">
        <v>0</v>
      </c>
      <c r="G10" s="495">
        <v>0</v>
      </c>
      <c r="H10" s="495">
        <v>0</v>
      </c>
      <c r="I10" s="506">
        <v>0</v>
      </c>
      <c r="J10" s="503">
        <v>0</v>
      </c>
      <c r="K10" s="495">
        <v>0</v>
      </c>
      <c r="L10" s="495">
        <v>0</v>
      </c>
      <c r="M10" s="501">
        <v>0</v>
      </c>
      <c r="N10" s="494">
        <v>0</v>
      </c>
      <c r="O10" s="495">
        <v>0</v>
      </c>
      <c r="P10" s="495">
        <v>0</v>
      </c>
      <c r="Q10" s="501">
        <v>0</v>
      </c>
      <c r="R10" s="516">
        <v>2014</v>
      </c>
      <c r="S10" s="517">
        <v>2050</v>
      </c>
    </row>
    <row r="11" spans="2:19" ht="18">
      <c r="B11" s="510" t="s">
        <v>138</v>
      </c>
      <c r="C11" s="511" t="b">
        <v>1</v>
      </c>
      <c r="E11" s="499" t="s">
        <v>179</v>
      </c>
      <c r="F11" s="503">
        <v>25</v>
      </c>
      <c r="G11" s="495">
        <v>0</v>
      </c>
      <c r="H11" s="549">
        <v>0</v>
      </c>
      <c r="I11" s="552">
        <v>0</v>
      </c>
      <c r="J11" s="503">
        <v>300</v>
      </c>
      <c r="K11" s="495">
        <v>0</v>
      </c>
      <c r="L11" s="549">
        <v>0</v>
      </c>
      <c r="M11" s="554">
        <v>0</v>
      </c>
      <c r="N11" s="494">
        <v>300</v>
      </c>
      <c r="O11" s="495">
        <v>0</v>
      </c>
      <c r="P11" s="549">
        <v>0</v>
      </c>
      <c r="Q11" s="554">
        <v>0</v>
      </c>
      <c r="R11" s="516">
        <v>2014</v>
      </c>
      <c r="S11" s="517">
        <v>2050</v>
      </c>
    </row>
    <row r="12" spans="2:19" ht="19" thickBot="1">
      <c r="B12" s="512" t="s">
        <v>139</v>
      </c>
      <c r="C12" s="513" t="b">
        <v>1</v>
      </c>
      <c r="E12" s="499" t="s">
        <v>178</v>
      </c>
      <c r="F12" s="503" t="s">
        <v>344</v>
      </c>
      <c r="G12" s="495">
        <v>0</v>
      </c>
      <c r="H12" s="549">
        <v>0</v>
      </c>
      <c r="I12" s="552">
        <v>0</v>
      </c>
      <c r="J12" s="503" t="s">
        <v>344</v>
      </c>
      <c r="K12" s="495">
        <v>0</v>
      </c>
      <c r="L12" s="549">
        <v>0</v>
      </c>
      <c r="M12" s="554">
        <v>0</v>
      </c>
      <c r="N12" s="494" t="s">
        <v>344</v>
      </c>
      <c r="O12" s="495">
        <v>0</v>
      </c>
      <c r="P12" s="549">
        <v>0</v>
      </c>
      <c r="Q12" s="554">
        <v>0</v>
      </c>
      <c r="R12" s="516">
        <v>2014</v>
      </c>
      <c r="S12" s="517">
        <v>2050</v>
      </c>
    </row>
    <row r="13" spans="2:19" ht="13" thickTop="1">
      <c r="E13" s="499" t="s">
        <v>180</v>
      </c>
      <c r="F13" s="503">
        <v>1000</v>
      </c>
      <c r="G13" s="495">
        <v>0</v>
      </c>
      <c r="H13" s="549">
        <v>0</v>
      </c>
      <c r="I13" s="552">
        <v>0</v>
      </c>
      <c r="J13" s="503">
        <v>1000</v>
      </c>
      <c r="K13" s="495">
        <v>0</v>
      </c>
      <c r="L13" s="549">
        <v>0</v>
      </c>
      <c r="M13" s="554">
        <v>0</v>
      </c>
      <c r="N13" s="494">
        <v>1000</v>
      </c>
      <c r="O13" s="495">
        <v>0</v>
      </c>
      <c r="P13" s="549">
        <v>0</v>
      </c>
      <c r="Q13" s="554">
        <v>0</v>
      </c>
      <c r="R13" s="516">
        <v>2014</v>
      </c>
      <c r="S13" s="517">
        <v>2050</v>
      </c>
    </row>
    <row r="14" spans="2:19">
      <c r="E14" s="499" t="s">
        <v>181</v>
      </c>
      <c r="F14" s="503" t="s">
        <v>344</v>
      </c>
      <c r="G14" s="495">
        <v>0</v>
      </c>
      <c r="H14" s="549">
        <v>0</v>
      </c>
      <c r="I14" s="552">
        <v>0</v>
      </c>
      <c r="J14" s="503" t="s">
        <v>344</v>
      </c>
      <c r="K14" s="495">
        <v>0</v>
      </c>
      <c r="L14" s="549">
        <v>0</v>
      </c>
      <c r="M14" s="554">
        <v>0</v>
      </c>
      <c r="N14" s="494" t="s">
        <v>344</v>
      </c>
      <c r="O14" s="495">
        <v>0</v>
      </c>
      <c r="P14" s="549">
        <v>0</v>
      </c>
      <c r="Q14" s="554">
        <v>0</v>
      </c>
      <c r="R14" s="516">
        <v>2014</v>
      </c>
      <c r="S14" s="517">
        <v>2050</v>
      </c>
    </row>
    <row r="15" spans="2:19">
      <c r="E15" s="499" t="s">
        <v>182</v>
      </c>
      <c r="F15" s="503">
        <v>2000</v>
      </c>
      <c r="G15" s="495">
        <v>0</v>
      </c>
      <c r="H15" s="549">
        <v>0</v>
      </c>
      <c r="I15" s="552">
        <v>0</v>
      </c>
      <c r="J15" s="503">
        <v>2000</v>
      </c>
      <c r="K15" s="495">
        <v>0</v>
      </c>
      <c r="L15" s="549">
        <v>0</v>
      </c>
      <c r="M15" s="554">
        <v>0</v>
      </c>
      <c r="N15" s="494">
        <v>2000</v>
      </c>
      <c r="O15" s="495">
        <v>0</v>
      </c>
      <c r="P15" s="549">
        <v>0</v>
      </c>
      <c r="Q15" s="554">
        <v>0</v>
      </c>
      <c r="R15" s="516">
        <v>2014</v>
      </c>
      <c r="S15" s="517">
        <v>2050</v>
      </c>
    </row>
    <row r="16" spans="2:19">
      <c r="E16" s="499" t="s">
        <v>11</v>
      </c>
      <c r="F16" s="503">
        <v>1000</v>
      </c>
      <c r="G16" s="495">
        <v>0</v>
      </c>
      <c r="H16" s="549">
        <v>0</v>
      </c>
      <c r="I16" s="552">
        <v>0</v>
      </c>
      <c r="J16" s="503">
        <v>1000</v>
      </c>
      <c r="K16" s="495">
        <v>0</v>
      </c>
      <c r="L16" s="549">
        <v>0</v>
      </c>
      <c r="M16" s="554">
        <v>0</v>
      </c>
      <c r="N16" s="494">
        <v>0</v>
      </c>
      <c r="O16" s="495">
        <v>0</v>
      </c>
      <c r="P16" s="495">
        <v>0</v>
      </c>
      <c r="Q16" s="501">
        <v>0</v>
      </c>
      <c r="R16" s="516">
        <v>2014</v>
      </c>
      <c r="S16" s="517">
        <v>2050</v>
      </c>
    </row>
    <row r="17" spans="2:19">
      <c r="E17" s="499" t="s">
        <v>183</v>
      </c>
      <c r="F17" s="503">
        <v>25</v>
      </c>
      <c r="G17" s="495">
        <v>0</v>
      </c>
      <c r="H17" s="549">
        <v>0</v>
      </c>
      <c r="I17" s="552">
        <v>0</v>
      </c>
      <c r="J17" s="503">
        <v>2000</v>
      </c>
      <c r="K17" s="495">
        <v>0</v>
      </c>
      <c r="L17" s="549">
        <v>0</v>
      </c>
      <c r="M17" s="554">
        <v>0</v>
      </c>
      <c r="N17" s="494">
        <v>2000</v>
      </c>
      <c r="O17" s="495">
        <v>0</v>
      </c>
      <c r="P17" s="549">
        <v>0</v>
      </c>
      <c r="Q17" s="554">
        <v>0</v>
      </c>
      <c r="R17" s="516">
        <v>2014</v>
      </c>
      <c r="S17" s="517">
        <v>2050</v>
      </c>
    </row>
    <row r="18" spans="2:19" ht="13" customHeight="1">
      <c r="B18" s="546" t="s">
        <v>343</v>
      </c>
      <c r="C18" s="546"/>
      <c r="E18" s="499" t="s">
        <v>184</v>
      </c>
      <c r="F18" s="503">
        <v>2000</v>
      </c>
      <c r="G18" s="495">
        <v>0</v>
      </c>
      <c r="H18" s="549">
        <v>0</v>
      </c>
      <c r="I18" s="552">
        <v>0</v>
      </c>
      <c r="J18" s="503">
        <v>2000</v>
      </c>
      <c r="K18" s="495">
        <v>0</v>
      </c>
      <c r="L18" s="549">
        <v>0</v>
      </c>
      <c r="M18" s="554">
        <v>0</v>
      </c>
      <c r="N18" s="494">
        <v>2000</v>
      </c>
      <c r="O18" s="495">
        <v>0</v>
      </c>
      <c r="P18" s="549">
        <v>0</v>
      </c>
      <c r="Q18" s="554">
        <v>0</v>
      </c>
      <c r="R18" s="516">
        <v>2014</v>
      </c>
      <c r="S18" s="517">
        <v>2050</v>
      </c>
    </row>
    <row r="19" spans="2:19">
      <c r="B19" s="546"/>
      <c r="C19" s="546"/>
      <c r="E19" s="499" t="s">
        <v>185</v>
      </c>
      <c r="F19" s="503">
        <v>10</v>
      </c>
      <c r="G19" s="495">
        <v>0</v>
      </c>
      <c r="H19" s="549">
        <v>0</v>
      </c>
      <c r="I19" s="552">
        <v>0</v>
      </c>
      <c r="J19" s="503">
        <v>100</v>
      </c>
      <c r="K19" s="495">
        <v>0</v>
      </c>
      <c r="L19" s="549">
        <v>0</v>
      </c>
      <c r="M19" s="554">
        <v>0</v>
      </c>
      <c r="N19" s="494">
        <v>100</v>
      </c>
      <c r="O19" s="495">
        <v>0</v>
      </c>
      <c r="P19" s="549">
        <v>0</v>
      </c>
      <c r="Q19" s="554">
        <v>0</v>
      </c>
      <c r="R19" s="516">
        <v>2014</v>
      </c>
      <c r="S19" s="517">
        <v>2050</v>
      </c>
    </row>
    <row r="20" spans="2:19">
      <c r="B20" s="546"/>
      <c r="C20" s="546"/>
      <c r="E20" s="499" t="s">
        <v>186</v>
      </c>
      <c r="F20" s="503">
        <v>100</v>
      </c>
      <c r="G20" s="495">
        <v>0</v>
      </c>
      <c r="H20" s="549">
        <v>0</v>
      </c>
      <c r="I20" s="552">
        <v>0</v>
      </c>
      <c r="J20" s="503">
        <v>100</v>
      </c>
      <c r="K20" s="495">
        <v>0</v>
      </c>
      <c r="L20" s="549">
        <v>0</v>
      </c>
      <c r="M20" s="554">
        <v>0</v>
      </c>
      <c r="N20" s="494">
        <v>100</v>
      </c>
      <c r="O20" s="495">
        <v>0</v>
      </c>
      <c r="P20" s="549">
        <v>0</v>
      </c>
      <c r="Q20" s="554">
        <v>0</v>
      </c>
      <c r="R20" s="516">
        <v>2014</v>
      </c>
      <c r="S20" s="517">
        <v>2050</v>
      </c>
    </row>
    <row r="21" spans="2:19" ht="12" customHeight="1">
      <c r="B21" s="547" t="s">
        <v>349</v>
      </c>
      <c r="C21" s="547"/>
      <c r="E21" s="499" t="s">
        <v>190</v>
      </c>
      <c r="F21" s="503">
        <v>500</v>
      </c>
      <c r="G21" s="495">
        <v>0</v>
      </c>
      <c r="H21" s="549">
        <v>0</v>
      </c>
      <c r="I21" s="552">
        <v>0</v>
      </c>
      <c r="J21" s="503">
        <v>500</v>
      </c>
      <c r="K21" s="495">
        <v>0</v>
      </c>
      <c r="L21" s="549">
        <v>0</v>
      </c>
      <c r="M21" s="554">
        <v>0</v>
      </c>
      <c r="N21" s="494">
        <v>500</v>
      </c>
      <c r="O21" s="495">
        <v>0</v>
      </c>
      <c r="P21" s="549">
        <v>0</v>
      </c>
      <c r="Q21" s="554">
        <v>0</v>
      </c>
      <c r="R21" s="516">
        <v>2014</v>
      </c>
      <c r="S21" s="517">
        <v>2050</v>
      </c>
    </row>
    <row r="22" spans="2:19" ht="12" customHeight="1">
      <c r="B22" s="547"/>
      <c r="C22" s="547"/>
      <c r="E22" s="499" t="s">
        <v>187</v>
      </c>
      <c r="F22" s="503">
        <v>0</v>
      </c>
      <c r="G22" s="495">
        <v>0</v>
      </c>
      <c r="H22" s="495">
        <v>0</v>
      </c>
      <c r="I22" s="506">
        <v>0</v>
      </c>
      <c r="J22" s="503">
        <v>0</v>
      </c>
      <c r="K22" s="495">
        <v>0</v>
      </c>
      <c r="L22" s="495">
        <v>0</v>
      </c>
      <c r="M22" s="501">
        <v>0</v>
      </c>
      <c r="N22" s="494">
        <v>0</v>
      </c>
      <c r="O22" s="495">
        <v>0</v>
      </c>
      <c r="P22" s="495">
        <v>0</v>
      </c>
      <c r="Q22" s="501">
        <v>0</v>
      </c>
      <c r="R22" s="516">
        <v>2014</v>
      </c>
      <c r="S22" s="517">
        <v>2050</v>
      </c>
    </row>
    <row r="23" spans="2:19" ht="12" customHeight="1">
      <c r="B23" s="547"/>
      <c r="C23" s="547"/>
      <c r="E23" s="499" t="s">
        <v>188</v>
      </c>
      <c r="F23" s="503">
        <v>40</v>
      </c>
      <c r="G23" s="495">
        <v>0</v>
      </c>
      <c r="H23" s="549">
        <v>0</v>
      </c>
      <c r="I23" s="552">
        <v>0</v>
      </c>
      <c r="J23" s="503">
        <v>40</v>
      </c>
      <c r="K23" s="495">
        <v>0</v>
      </c>
      <c r="L23" s="549">
        <v>0</v>
      </c>
      <c r="M23" s="554">
        <v>0</v>
      </c>
      <c r="N23" s="494">
        <v>40</v>
      </c>
      <c r="O23" s="495">
        <v>0</v>
      </c>
      <c r="P23" s="549">
        <v>0</v>
      </c>
      <c r="Q23" s="554">
        <v>0</v>
      </c>
      <c r="R23" s="516">
        <v>2014</v>
      </c>
      <c r="S23" s="517">
        <v>2050</v>
      </c>
    </row>
    <row r="24" spans="2:19">
      <c r="B24" s="547"/>
      <c r="C24" s="547"/>
      <c r="E24" s="499" t="s">
        <v>189</v>
      </c>
      <c r="F24" s="503">
        <v>1000</v>
      </c>
      <c r="G24" s="495">
        <v>0</v>
      </c>
      <c r="H24" s="549">
        <v>0</v>
      </c>
      <c r="I24" s="552">
        <v>0</v>
      </c>
      <c r="J24" s="503">
        <v>1000</v>
      </c>
      <c r="K24" s="495">
        <v>0</v>
      </c>
      <c r="L24" s="549">
        <v>0</v>
      </c>
      <c r="M24" s="554">
        <v>0</v>
      </c>
      <c r="N24" s="494">
        <v>1000</v>
      </c>
      <c r="O24" s="495">
        <v>0</v>
      </c>
      <c r="P24" s="549">
        <v>0</v>
      </c>
      <c r="Q24" s="554">
        <v>0</v>
      </c>
      <c r="R24" s="516">
        <v>2014</v>
      </c>
      <c r="S24" s="517">
        <v>2050</v>
      </c>
    </row>
    <row r="25" spans="2:19">
      <c r="E25" s="499" t="s">
        <v>191</v>
      </c>
      <c r="F25" s="503">
        <v>25</v>
      </c>
      <c r="G25" s="495">
        <v>0</v>
      </c>
      <c r="H25" s="549">
        <v>0</v>
      </c>
      <c r="I25" s="552">
        <v>0</v>
      </c>
      <c r="J25" s="503">
        <v>200</v>
      </c>
      <c r="K25" s="495">
        <v>0</v>
      </c>
      <c r="L25" s="549">
        <v>0</v>
      </c>
      <c r="M25" s="554">
        <v>0</v>
      </c>
      <c r="N25" s="494">
        <v>200</v>
      </c>
      <c r="O25" s="495">
        <v>0</v>
      </c>
      <c r="P25" s="549">
        <v>0</v>
      </c>
      <c r="Q25" s="554">
        <v>0</v>
      </c>
      <c r="R25" s="516">
        <v>2014</v>
      </c>
      <c r="S25" s="517">
        <v>2050</v>
      </c>
    </row>
    <row r="26" spans="2:19">
      <c r="E26" s="499" t="s">
        <v>192</v>
      </c>
      <c r="F26" s="503">
        <v>30</v>
      </c>
      <c r="G26" s="495">
        <v>0</v>
      </c>
      <c r="H26" s="549">
        <v>0</v>
      </c>
      <c r="I26" s="552">
        <v>0</v>
      </c>
      <c r="J26" s="503">
        <v>30</v>
      </c>
      <c r="K26" s="495">
        <v>0</v>
      </c>
      <c r="L26" s="549">
        <v>0</v>
      </c>
      <c r="M26" s="554">
        <v>0</v>
      </c>
      <c r="N26" s="494">
        <v>30</v>
      </c>
      <c r="O26" s="495">
        <v>0</v>
      </c>
      <c r="P26" s="549">
        <v>0</v>
      </c>
      <c r="Q26" s="554">
        <v>0</v>
      </c>
      <c r="R26" s="516">
        <v>2014</v>
      </c>
      <c r="S26" s="517">
        <v>2050</v>
      </c>
    </row>
    <row r="27" spans="2:19">
      <c r="E27" s="499" t="s">
        <v>193</v>
      </c>
      <c r="F27" s="503">
        <v>25</v>
      </c>
      <c r="G27" s="495">
        <v>0</v>
      </c>
      <c r="H27" s="549">
        <v>0</v>
      </c>
      <c r="I27" s="552">
        <v>0</v>
      </c>
      <c r="J27" s="503">
        <v>300</v>
      </c>
      <c r="K27" s="495">
        <v>0</v>
      </c>
      <c r="L27" s="549">
        <v>0</v>
      </c>
      <c r="M27" s="554">
        <v>0</v>
      </c>
      <c r="N27" s="494">
        <v>0</v>
      </c>
      <c r="O27" s="495">
        <v>0</v>
      </c>
      <c r="P27" s="495">
        <v>0</v>
      </c>
      <c r="Q27" s="501">
        <v>0</v>
      </c>
      <c r="R27" s="516">
        <v>2014</v>
      </c>
      <c r="S27" s="517">
        <v>2050</v>
      </c>
    </row>
    <row r="28" spans="2:19">
      <c r="E28" s="499" t="s">
        <v>196</v>
      </c>
      <c r="F28" s="503">
        <v>2000</v>
      </c>
      <c r="G28" s="495">
        <v>0</v>
      </c>
      <c r="H28" s="549">
        <v>0</v>
      </c>
      <c r="I28" s="552">
        <v>0</v>
      </c>
      <c r="J28" s="503">
        <v>2000</v>
      </c>
      <c r="K28" s="495">
        <v>0</v>
      </c>
      <c r="L28" s="549">
        <v>0</v>
      </c>
      <c r="M28" s="554">
        <v>0</v>
      </c>
      <c r="N28" s="494">
        <v>2000</v>
      </c>
      <c r="O28" s="495">
        <v>0</v>
      </c>
      <c r="P28" s="549">
        <v>0</v>
      </c>
      <c r="Q28" s="554">
        <v>0</v>
      </c>
      <c r="R28" s="516">
        <v>2014</v>
      </c>
      <c r="S28" s="517">
        <v>2050</v>
      </c>
    </row>
    <row r="29" spans="2:19">
      <c r="E29" s="499" t="s">
        <v>195</v>
      </c>
      <c r="F29" s="503">
        <v>2000</v>
      </c>
      <c r="G29" s="495">
        <v>0</v>
      </c>
      <c r="H29" s="549">
        <v>0</v>
      </c>
      <c r="I29" s="552">
        <v>0</v>
      </c>
      <c r="J29" s="503">
        <v>2000</v>
      </c>
      <c r="K29" s="495">
        <v>0</v>
      </c>
      <c r="L29" s="549">
        <v>0</v>
      </c>
      <c r="M29" s="554">
        <v>0</v>
      </c>
      <c r="N29" s="494">
        <v>2000</v>
      </c>
      <c r="O29" s="495">
        <v>0</v>
      </c>
      <c r="P29" s="549">
        <v>0</v>
      </c>
      <c r="Q29" s="554">
        <v>0</v>
      </c>
      <c r="R29" s="516">
        <v>2014</v>
      </c>
      <c r="S29" s="517">
        <v>2050</v>
      </c>
    </row>
    <row r="30" spans="2:19">
      <c r="E30" s="499" t="s">
        <v>194</v>
      </c>
      <c r="F30" s="503">
        <v>660</v>
      </c>
      <c r="G30" s="495">
        <v>0</v>
      </c>
      <c r="H30" s="549">
        <v>0</v>
      </c>
      <c r="I30" s="552">
        <v>0</v>
      </c>
      <c r="J30" s="503">
        <v>660</v>
      </c>
      <c r="K30" s="495">
        <v>0</v>
      </c>
      <c r="L30" s="549">
        <v>0</v>
      </c>
      <c r="M30" s="554">
        <v>0</v>
      </c>
      <c r="N30" s="494">
        <v>660</v>
      </c>
      <c r="O30" s="495">
        <v>0</v>
      </c>
      <c r="P30" s="549">
        <v>0</v>
      </c>
      <c r="Q30" s="554">
        <v>0</v>
      </c>
      <c r="R30" s="516">
        <v>2014</v>
      </c>
      <c r="S30" s="517">
        <v>2050</v>
      </c>
    </row>
    <row r="31" spans="2:19">
      <c r="E31" s="499" t="s">
        <v>197</v>
      </c>
      <c r="F31" s="503">
        <v>150</v>
      </c>
      <c r="G31" s="495">
        <v>0</v>
      </c>
      <c r="H31" s="549">
        <v>0</v>
      </c>
      <c r="I31" s="552">
        <v>0</v>
      </c>
      <c r="J31" s="503">
        <v>150</v>
      </c>
      <c r="K31" s="495">
        <v>0</v>
      </c>
      <c r="L31" s="549">
        <v>0</v>
      </c>
      <c r="M31" s="554">
        <v>0</v>
      </c>
      <c r="N31" s="494">
        <v>150</v>
      </c>
      <c r="O31" s="495">
        <v>0</v>
      </c>
      <c r="P31" s="549">
        <v>0</v>
      </c>
      <c r="Q31" s="554">
        <v>0</v>
      </c>
      <c r="R31" s="516">
        <v>2014</v>
      </c>
      <c r="S31" s="517">
        <v>2050</v>
      </c>
    </row>
    <row r="32" spans="2:19">
      <c r="E32" s="499" t="s">
        <v>198</v>
      </c>
      <c r="F32" s="503">
        <v>1000</v>
      </c>
      <c r="G32" s="495">
        <v>0</v>
      </c>
      <c r="H32" s="549">
        <v>0</v>
      </c>
      <c r="I32" s="552">
        <v>0</v>
      </c>
      <c r="J32" s="503">
        <v>1000</v>
      </c>
      <c r="K32" s="495">
        <v>0</v>
      </c>
      <c r="L32" s="549">
        <v>0</v>
      </c>
      <c r="M32" s="554">
        <v>0</v>
      </c>
      <c r="N32" s="494">
        <v>1000</v>
      </c>
      <c r="O32" s="495">
        <v>0</v>
      </c>
      <c r="P32" s="549">
        <v>0</v>
      </c>
      <c r="Q32" s="554">
        <v>0</v>
      </c>
      <c r="R32" s="516">
        <v>2014</v>
      </c>
      <c r="S32" s="517">
        <v>2050</v>
      </c>
    </row>
    <row r="33" spans="5:19">
      <c r="E33" s="499" t="s">
        <v>200</v>
      </c>
      <c r="F33" s="503">
        <v>100</v>
      </c>
      <c r="G33" s="495">
        <v>0</v>
      </c>
      <c r="H33" s="549">
        <v>0</v>
      </c>
      <c r="I33" s="552">
        <v>0</v>
      </c>
      <c r="J33" s="503">
        <v>100</v>
      </c>
      <c r="K33" s="495">
        <v>0</v>
      </c>
      <c r="L33" s="549">
        <v>0</v>
      </c>
      <c r="M33" s="554">
        <v>0</v>
      </c>
      <c r="N33" s="494">
        <v>100</v>
      </c>
      <c r="O33" s="495">
        <v>0</v>
      </c>
      <c r="P33" s="549">
        <v>0</v>
      </c>
      <c r="Q33" s="554">
        <v>0</v>
      </c>
      <c r="R33" s="516">
        <v>2014</v>
      </c>
      <c r="S33" s="517">
        <v>2050</v>
      </c>
    </row>
    <row r="34" spans="5:19">
      <c r="E34" s="499" t="s">
        <v>199</v>
      </c>
      <c r="F34" s="503">
        <v>0</v>
      </c>
      <c r="G34" s="495">
        <v>0</v>
      </c>
      <c r="H34" s="495">
        <v>0</v>
      </c>
      <c r="I34" s="506">
        <v>0</v>
      </c>
      <c r="J34" s="503">
        <v>0</v>
      </c>
      <c r="K34" s="495">
        <v>0</v>
      </c>
      <c r="L34" s="495">
        <v>0</v>
      </c>
      <c r="M34" s="501">
        <v>0</v>
      </c>
      <c r="N34" s="494">
        <v>0</v>
      </c>
      <c r="O34" s="495">
        <v>0</v>
      </c>
      <c r="P34" s="495">
        <v>0</v>
      </c>
      <c r="Q34" s="501">
        <v>0</v>
      </c>
      <c r="R34" s="516">
        <v>2014</v>
      </c>
      <c r="S34" s="517">
        <v>2050</v>
      </c>
    </row>
    <row r="35" spans="5:19">
      <c r="E35" s="499" t="s">
        <v>201</v>
      </c>
      <c r="F35" s="503">
        <v>50</v>
      </c>
      <c r="G35" s="495">
        <v>0</v>
      </c>
      <c r="H35" s="549">
        <v>0</v>
      </c>
      <c r="I35" s="552">
        <v>0</v>
      </c>
      <c r="J35" s="503">
        <v>50</v>
      </c>
      <c r="K35" s="495">
        <v>0</v>
      </c>
      <c r="L35" s="549">
        <v>0</v>
      </c>
      <c r="M35" s="554">
        <v>0</v>
      </c>
      <c r="N35" s="494">
        <v>50</v>
      </c>
      <c r="O35" s="495">
        <v>0</v>
      </c>
      <c r="P35" s="549">
        <v>0</v>
      </c>
      <c r="Q35" s="554">
        <v>0</v>
      </c>
      <c r="R35" s="516">
        <v>2014</v>
      </c>
      <c r="S35" s="517">
        <v>2050</v>
      </c>
    </row>
    <row r="36" spans="5:19">
      <c r="E36" s="499" t="s">
        <v>208</v>
      </c>
      <c r="F36" s="503">
        <v>1000</v>
      </c>
      <c r="G36" s="495">
        <v>0</v>
      </c>
      <c r="H36" s="549">
        <v>0</v>
      </c>
      <c r="I36" s="552">
        <v>0</v>
      </c>
      <c r="J36" s="503">
        <v>1000</v>
      </c>
      <c r="K36" s="495">
        <v>0</v>
      </c>
      <c r="L36" s="549">
        <v>0</v>
      </c>
      <c r="M36" s="554">
        <v>0</v>
      </c>
      <c r="N36" s="494">
        <v>1000</v>
      </c>
      <c r="O36" s="495">
        <v>0</v>
      </c>
      <c r="P36" s="549">
        <v>0</v>
      </c>
      <c r="Q36" s="554">
        <v>0</v>
      </c>
      <c r="R36" s="516">
        <v>2014</v>
      </c>
      <c r="S36" s="517">
        <v>2050</v>
      </c>
    </row>
    <row r="37" spans="5:19">
      <c r="E37" s="499" t="s">
        <v>209</v>
      </c>
      <c r="F37" s="503">
        <v>100</v>
      </c>
      <c r="G37" s="495">
        <v>0</v>
      </c>
      <c r="H37" s="549">
        <v>0</v>
      </c>
      <c r="I37" s="552">
        <v>0</v>
      </c>
      <c r="J37" s="503">
        <v>100</v>
      </c>
      <c r="K37" s="495">
        <v>0</v>
      </c>
      <c r="L37" s="549">
        <v>0</v>
      </c>
      <c r="M37" s="554">
        <v>0</v>
      </c>
      <c r="N37" s="494">
        <v>100</v>
      </c>
      <c r="O37" s="495">
        <v>0</v>
      </c>
      <c r="P37" s="549">
        <v>0</v>
      </c>
      <c r="Q37" s="554">
        <v>0</v>
      </c>
      <c r="R37" s="516">
        <v>2014</v>
      </c>
      <c r="S37" s="517">
        <v>2050</v>
      </c>
    </row>
    <row r="38" spans="5:19">
      <c r="E38" s="499" t="s">
        <v>202</v>
      </c>
      <c r="F38" s="503">
        <v>25</v>
      </c>
      <c r="G38" s="495">
        <v>0</v>
      </c>
      <c r="H38" s="549">
        <v>0</v>
      </c>
      <c r="I38" s="552">
        <v>0</v>
      </c>
      <c r="J38" s="503">
        <v>25</v>
      </c>
      <c r="K38" s="495">
        <v>0</v>
      </c>
      <c r="L38" s="549">
        <v>0</v>
      </c>
      <c r="M38" s="554">
        <v>0</v>
      </c>
      <c r="N38" s="494">
        <v>25</v>
      </c>
      <c r="O38" s="495">
        <v>0</v>
      </c>
      <c r="P38" s="549">
        <v>0</v>
      </c>
      <c r="Q38" s="554">
        <v>0</v>
      </c>
      <c r="R38" s="516">
        <v>2014</v>
      </c>
      <c r="S38" s="517">
        <v>2050</v>
      </c>
    </row>
    <row r="39" spans="5:19">
      <c r="E39" s="499" t="s">
        <v>204</v>
      </c>
      <c r="F39" s="503">
        <v>100</v>
      </c>
      <c r="G39" s="495">
        <v>0</v>
      </c>
      <c r="H39" s="549">
        <v>0</v>
      </c>
      <c r="I39" s="552">
        <v>0</v>
      </c>
      <c r="J39" s="503">
        <v>100</v>
      </c>
      <c r="K39" s="495">
        <v>0</v>
      </c>
      <c r="L39" s="549">
        <v>0</v>
      </c>
      <c r="M39" s="554">
        <v>0</v>
      </c>
      <c r="N39" s="494">
        <v>100</v>
      </c>
      <c r="O39" s="495">
        <v>0</v>
      </c>
      <c r="P39" s="549">
        <v>0</v>
      </c>
      <c r="Q39" s="554">
        <v>0</v>
      </c>
      <c r="R39" s="516">
        <v>2014</v>
      </c>
      <c r="S39" s="517">
        <v>2050</v>
      </c>
    </row>
    <row r="40" spans="5:19">
      <c r="E40" s="499" t="s">
        <v>205</v>
      </c>
      <c r="F40" s="503" t="s">
        <v>344</v>
      </c>
      <c r="G40" s="495">
        <v>0</v>
      </c>
      <c r="H40" s="549">
        <v>0</v>
      </c>
      <c r="I40" s="552">
        <v>0</v>
      </c>
      <c r="J40" s="503" t="s">
        <v>344</v>
      </c>
      <c r="K40" s="495">
        <v>0</v>
      </c>
      <c r="L40" s="549">
        <v>0</v>
      </c>
      <c r="M40" s="554">
        <v>0</v>
      </c>
      <c r="N40" s="494" t="s">
        <v>344</v>
      </c>
      <c r="O40" s="495">
        <v>0</v>
      </c>
      <c r="P40" s="549">
        <v>0</v>
      </c>
      <c r="Q40" s="554">
        <v>0</v>
      </c>
      <c r="R40" s="516">
        <v>2014</v>
      </c>
      <c r="S40" s="517">
        <v>2050</v>
      </c>
    </row>
    <row r="41" spans="5:19">
      <c r="E41" s="499" t="s">
        <v>206</v>
      </c>
      <c r="F41" s="503">
        <v>80000</v>
      </c>
      <c r="G41" s="495">
        <v>0</v>
      </c>
      <c r="H41" s="549">
        <v>0</v>
      </c>
      <c r="I41" s="552">
        <v>0</v>
      </c>
      <c r="J41" s="503">
        <v>80000</v>
      </c>
      <c r="K41" s="495">
        <v>0</v>
      </c>
      <c r="L41" s="549">
        <v>0</v>
      </c>
      <c r="M41" s="554">
        <v>0</v>
      </c>
      <c r="N41" s="494">
        <v>80000</v>
      </c>
      <c r="O41" s="495">
        <v>0</v>
      </c>
      <c r="P41" s="549">
        <v>0</v>
      </c>
      <c r="Q41" s="554">
        <v>0</v>
      </c>
      <c r="R41" s="516">
        <v>2014</v>
      </c>
      <c r="S41" s="517">
        <v>2050</v>
      </c>
    </row>
    <row r="42" spans="5:19">
      <c r="E42" s="499" t="s">
        <v>203</v>
      </c>
      <c r="F42" s="503">
        <v>1000</v>
      </c>
      <c r="G42" s="495">
        <v>0</v>
      </c>
      <c r="H42" s="549">
        <v>0</v>
      </c>
      <c r="I42" s="552">
        <v>0</v>
      </c>
      <c r="J42" s="503">
        <v>1000</v>
      </c>
      <c r="K42" s="495">
        <v>0</v>
      </c>
      <c r="L42" s="549">
        <v>0</v>
      </c>
      <c r="M42" s="554">
        <v>0</v>
      </c>
      <c r="N42" s="494">
        <v>1000</v>
      </c>
      <c r="O42" s="495">
        <v>0</v>
      </c>
      <c r="P42" s="549">
        <v>0</v>
      </c>
      <c r="Q42" s="554">
        <v>0</v>
      </c>
      <c r="R42" s="516">
        <v>2014</v>
      </c>
      <c r="S42" s="517">
        <v>2050</v>
      </c>
    </row>
    <row r="43" spans="5:19">
      <c r="E43" s="499" t="s">
        <v>207</v>
      </c>
      <c r="F43" s="503">
        <v>25</v>
      </c>
      <c r="G43" s="495">
        <v>0</v>
      </c>
      <c r="H43" s="549">
        <v>0</v>
      </c>
      <c r="I43" s="552">
        <v>0</v>
      </c>
      <c r="J43" s="503">
        <v>2000</v>
      </c>
      <c r="K43" s="495">
        <v>0</v>
      </c>
      <c r="L43" s="549">
        <v>0</v>
      </c>
      <c r="M43" s="554">
        <v>0</v>
      </c>
      <c r="N43" s="494">
        <v>2000</v>
      </c>
      <c r="O43" s="495">
        <v>0</v>
      </c>
      <c r="P43" s="549">
        <v>0</v>
      </c>
      <c r="Q43" s="554">
        <v>0</v>
      </c>
      <c r="R43" s="516">
        <v>2014</v>
      </c>
      <c r="S43" s="517">
        <v>2050</v>
      </c>
    </row>
    <row r="44" spans="5:19">
      <c r="E44" s="499" t="s">
        <v>210</v>
      </c>
      <c r="F44" s="503" t="s">
        <v>344</v>
      </c>
      <c r="G44" s="495">
        <v>0</v>
      </c>
      <c r="H44" s="549">
        <v>0</v>
      </c>
      <c r="I44" s="552">
        <v>0</v>
      </c>
      <c r="J44" s="503" t="s">
        <v>344</v>
      </c>
      <c r="K44" s="495">
        <v>0</v>
      </c>
      <c r="L44" s="549">
        <v>0</v>
      </c>
      <c r="M44" s="554">
        <v>0</v>
      </c>
      <c r="N44" s="494" t="s">
        <v>344</v>
      </c>
      <c r="O44" s="495">
        <v>0</v>
      </c>
      <c r="P44" s="549">
        <v>0</v>
      </c>
      <c r="Q44" s="554">
        <v>0</v>
      </c>
      <c r="R44" s="516">
        <v>2014</v>
      </c>
      <c r="S44" s="517">
        <v>2050</v>
      </c>
    </row>
    <row r="45" spans="5:19">
      <c r="E45" s="499" t="s">
        <v>211</v>
      </c>
      <c r="F45" s="503">
        <v>15</v>
      </c>
      <c r="G45" s="495">
        <v>0</v>
      </c>
      <c r="H45" s="549">
        <v>0</v>
      </c>
      <c r="I45" s="552">
        <v>0</v>
      </c>
      <c r="J45" s="503">
        <v>15</v>
      </c>
      <c r="K45" s="495">
        <v>0</v>
      </c>
      <c r="L45" s="549">
        <v>0</v>
      </c>
      <c r="M45" s="554">
        <v>0</v>
      </c>
      <c r="N45" s="494">
        <v>15</v>
      </c>
      <c r="O45" s="495">
        <v>0</v>
      </c>
      <c r="P45" s="549">
        <v>0</v>
      </c>
      <c r="Q45" s="554">
        <v>0</v>
      </c>
      <c r="R45" s="516">
        <v>2014</v>
      </c>
      <c r="S45" s="517">
        <v>2050</v>
      </c>
    </row>
    <row r="46" spans="5:19">
      <c r="E46" s="499" t="s">
        <v>212</v>
      </c>
      <c r="F46" s="503">
        <v>25</v>
      </c>
      <c r="G46" s="495">
        <v>0</v>
      </c>
      <c r="H46" s="549">
        <v>0</v>
      </c>
      <c r="I46" s="552">
        <v>0</v>
      </c>
      <c r="J46" s="503">
        <v>2000</v>
      </c>
      <c r="K46" s="495">
        <v>0</v>
      </c>
      <c r="L46" s="549">
        <v>0</v>
      </c>
      <c r="M46" s="554">
        <v>0</v>
      </c>
      <c r="N46" s="494">
        <v>2000</v>
      </c>
      <c r="O46" s="495">
        <v>0</v>
      </c>
      <c r="P46" s="549">
        <v>0</v>
      </c>
      <c r="Q46" s="554">
        <v>0</v>
      </c>
      <c r="R46" s="516">
        <v>2014</v>
      </c>
      <c r="S46" s="517">
        <v>2050</v>
      </c>
    </row>
    <row r="47" spans="5:19">
      <c r="E47" s="499" t="s">
        <v>213</v>
      </c>
      <c r="F47" s="503">
        <v>50</v>
      </c>
      <c r="G47" s="495">
        <v>0</v>
      </c>
      <c r="H47" s="549">
        <v>0</v>
      </c>
      <c r="I47" s="552">
        <v>0</v>
      </c>
      <c r="J47" s="503">
        <v>3000</v>
      </c>
      <c r="K47" s="495">
        <v>0</v>
      </c>
      <c r="L47" s="549">
        <v>0</v>
      </c>
      <c r="M47" s="554">
        <v>0</v>
      </c>
      <c r="N47" s="494">
        <v>3000</v>
      </c>
      <c r="O47" s="495">
        <v>0</v>
      </c>
      <c r="P47" s="549">
        <v>0</v>
      </c>
      <c r="Q47" s="554">
        <v>0</v>
      </c>
      <c r="R47" s="516">
        <v>2014</v>
      </c>
      <c r="S47" s="517">
        <v>2050</v>
      </c>
    </row>
    <row r="48" spans="5:19">
      <c r="E48" s="499" t="s">
        <v>214</v>
      </c>
      <c r="F48" s="503">
        <v>5000</v>
      </c>
      <c r="G48" s="495">
        <v>0</v>
      </c>
      <c r="H48" s="549">
        <v>0</v>
      </c>
      <c r="I48" s="552">
        <v>0</v>
      </c>
      <c r="J48" s="503">
        <v>5000</v>
      </c>
      <c r="K48" s="495">
        <v>0</v>
      </c>
      <c r="L48" s="549">
        <v>0</v>
      </c>
      <c r="M48" s="554">
        <v>0</v>
      </c>
      <c r="N48" s="494">
        <v>5000</v>
      </c>
      <c r="O48" s="495">
        <v>0</v>
      </c>
      <c r="P48" s="549">
        <v>0</v>
      </c>
      <c r="Q48" s="554">
        <v>0</v>
      </c>
      <c r="R48" s="516">
        <v>2014</v>
      </c>
      <c r="S48" s="517">
        <v>2050</v>
      </c>
    </row>
    <row r="49" spans="5:19">
      <c r="E49" s="499" t="s">
        <v>215</v>
      </c>
      <c r="F49" s="503">
        <v>20</v>
      </c>
      <c r="G49" s="495">
        <v>0</v>
      </c>
      <c r="H49" s="549">
        <v>0</v>
      </c>
      <c r="I49" s="552">
        <v>0</v>
      </c>
      <c r="J49" s="503">
        <v>100</v>
      </c>
      <c r="K49" s="495">
        <v>0</v>
      </c>
      <c r="L49" s="549">
        <v>0</v>
      </c>
      <c r="M49" s="554">
        <v>0</v>
      </c>
      <c r="N49" s="494">
        <v>100</v>
      </c>
      <c r="O49" s="495">
        <v>0</v>
      </c>
      <c r="P49" s="549">
        <v>0</v>
      </c>
      <c r="Q49" s="554">
        <v>0</v>
      </c>
      <c r="R49" s="516">
        <v>2014</v>
      </c>
      <c r="S49" s="517">
        <v>2050</v>
      </c>
    </row>
    <row r="50" spans="5:19">
      <c r="E50" s="499" t="s">
        <v>216</v>
      </c>
      <c r="F50" s="503">
        <v>0</v>
      </c>
      <c r="G50" s="495">
        <v>0</v>
      </c>
      <c r="H50" s="495">
        <v>0</v>
      </c>
      <c r="I50" s="506">
        <v>0</v>
      </c>
      <c r="J50" s="503">
        <v>0</v>
      </c>
      <c r="K50" s="495">
        <v>0</v>
      </c>
      <c r="L50" s="495">
        <v>0</v>
      </c>
      <c r="M50" s="501">
        <v>0</v>
      </c>
      <c r="N50" s="494">
        <v>0</v>
      </c>
      <c r="O50" s="495">
        <v>0</v>
      </c>
      <c r="P50" s="495">
        <v>0</v>
      </c>
      <c r="Q50" s="501">
        <v>0</v>
      </c>
      <c r="R50" s="516">
        <v>2014</v>
      </c>
      <c r="S50" s="517">
        <v>2050</v>
      </c>
    </row>
    <row r="51" spans="5:19">
      <c r="E51" s="499" t="s">
        <v>217</v>
      </c>
      <c r="F51" s="503">
        <v>0</v>
      </c>
      <c r="G51" s="495">
        <v>0</v>
      </c>
      <c r="H51" s="495">
        <v>0</v>
      </c>
      <c r="I51" s="506">
        <v>0</v>
      </c>
      <c r="J51" s="503">
        <v>0</v>
      </c>
      <c r="K51" s="495">
        <v>0</v>
      </c>
      <c r="L51" s="495">
        <v>0</v>
      </c>
      <c r="M51" s="501">
        <v>0</v>
      </c>
      <c r="N51" s="494">
        <v>0</v>
      </c>
      <c r="O51" s="495">
        <v>0</v>
      </c>
      <c r="P51" s="495">
        <v>0</v>
      </c>
      <c r="Q51" s="501">
        <v>0</v>
      </c>
      <c r="R51" s="516">
        <v>2014</v>
      </c>
      <c r="S51" s="517">
        <v>2050</v>
      </c>
    </row>
    <row r="52" spans="5:19">
      <c r="E52" s="499" t="s">
        <v>218</v>
      </c>
      <c r="F52" s="503">
        <v>0</v>
      </c>
      <c r="G52" s="495">
        <v>0</v>
      </c>
      <c r="H52" s="495">
        <v>0</v>
      </c>
      <c r="I52" s="506">
        <v>0</v>
      </c>
      <c r="J52" s="503">
        <v>0</v>
      </c>
      <c r="K52" s="495">
        <v>0</v>
      </c>
      <c r="L52" s="495">
        <v>0</v>
      </c>
      <c r="M52" s="501">
        <v>0</v>
      </c>
      <c r="N52" s="494">
        <v>0</v>
      </c>
      <c r="O52" s="495">
        <v>0</v>
      </c>
      <c r="P52" s="495">
        <v>0</v>
      </c>
      <c r="Q52" s="501">
        <v>0</v>
      </c>
      <c r="R52" s="516">
        <v>2014</v>
      </c>
      <c r="S52" s="517">
        <v>2050</v>
      </c>
    </row>
    <row r="53" spans="5:19">
      <c r="E53" s="499" t="s">
        <v>219</v>
      </c>
      <c r="F53" s="503">
        <v>25</v>
      </c>
      <c r="G53" s="495">
        <v>0</v>
      </c>
      <c r="H53" s="549">
        <v>0</v>
      </c>
      <c r="I53" s="552">
        <v>0</v>
      </c>
      <c r="J53" s="503">
        <v>2000</v>
      </c>
      <c r="K53" s="495">
        <v>0</v>
      </c>
      <c r="L53" s="549">
        <v>0</v>
      </c>
      <c r="M53" s="554">
        <v>0</v>
      </c>
      <c r="N53" s="494">
        <v>2000</v>
      </c>
      <c r="O53" s="495">
        <v>0</v>
      </c>
      <c r="P53" s="549">
        <v>0</v>
      </c>
      <c r="Q53" s="554">
        <v>0</v>
      </c>
      <c r="R53" s="516">
        <v>2014</v>
      </c>
      <c r="S53" s="517">
        <v>2050</v>
      </c>
    </row>
    <row r="54" spans="5:19">
      <c r="E54" s="499" t="s">
        <v>221</v>
      </c>
      <c r="F54" s="503">
        <v>10</v>
      </c>
      <c r="G54" s="495">
        <v>0</v>
      </c>
      <c r="H54" s="549">
        <v>0</v>
      </c>
      <c r="I54" s="552">
        <v>0</v>
      </c>
      <c r="J54" s="503">
        <v>500</v>
      </c>
      <c r="K54" s="495">
        <v>0</v>
      </c>
      <c r="L54" s="549">
        <v>0</v>
      </c>
      <c r="M54" s="554">
        <v>0</v>
      </c>
      <c r="N54" s="494">
        <v>500</v>
      </c>
      <c r="O54" s="495">
        <v>0</v>
      </c>
      <c r="P54" s="549">
        <v>0</v>
      </c>
      <c r="Q54" s="554">
        <v>0</v>
      </c>
      <c r="R54" s="516">
        <v>2014</v>
      </c>
      <c r="S54" s="517">
        <v>2050</v>
      </c>
    </row>
    <row r="55" spans="5:19">
      <c r="E55" s="499" t="s">
        <v>220</v>
      </c>
      <c r="F55" s="503">
        <v>500</v>
      </c>
      <c r="G55" s="495">
        <v>0</v>
      </c>
      <c r="H55" s="549">
        <v>0</v>
      </c>
      <c r="I55" s="552">
        <v>0</v>
      </c>
      <c r="J55" s="503">
        <v>500</v>
      </c>
      <c r="K55" s="495">
        <v>0</v>
      </c>
      <c r="L55" s="549">
        <v>0</v>
      </c>
      <c r="M55" s="554">
        <v>0</v>
      </c>
      <c r="N55" s="494">
        <v>500</v>
      </c>
      <c r="O55" s="495">
        <v>0</v>
      </c>
      <c r="P55" s="549">
        <v>0</v>
      </c>
      <c r="Q55" s="554">
        <v>0</v>
      </c>
      <c r="R55" s="516">
        <v>2014</v>
      </c>
      <c r="S55" s="517">
        <v>2050</v>
      </c>
    </row>
    <row r="56" spans="5:19">
      <c r="E56" s="499" t="s">
        <v>222</v>
      </c>
      <c r="F56" s="503">
        <v>100</v>
      </c>
      <c r="G56" s="495">
        <v>0</v>
      </c>
      <c r="H56" s="549">
        <v>0</v>
      </c>
      <c r="I56" s="552">
        <v>0</v>
      </c>
      <c r="J56" s="503">
        <v>100</v>
      </c>
      <c r="K56" s="495">
        <v>0</v>
      </c>
      <c r="L56" s="549">
        <v>0</v>
      </c>
      <c r="M56" s="554">
        <v>0</v>
      </c>
      <c r="N56" s="494">
        <v>100</v>
      </c>
      <c r="O56" s="495">
        <v>0</v>
      </c>
      <c r="P56" s="549">
        <v>0</v>
      </c>
      <c r="Q56" s="554">
        <v>0</v>
      </c>
      <c r="R56" s="516">
        <v>2014</v>
      </c>
      <c r="S56" s="517">
        <v>2050</v>
      </c>
    </row>
    <row r="57" spans="5:19">
      <c r="E57" s="499" t="s">
        <v>224</v>
      </c>
      <c r="F57" s="503">
        <v>100</v>
      </c>
      <c r="G57" s="495">
        <v>0</v>
      </c>
      <c r="H57" s="549">
        <v>0</v>
      </c>
      <c r="I57" s="552">
        <v>0</v>
      </c>
      <c r="J57" s="503">
        <v>100</v>
      </c>
      <c r="K57" s="495">
        <v>0</v>
      </c>
      <c r="L57" s="549">
        <v>0</v>
      </c>
      <c r="M57" s="554">
        <v>0</v>
      </c>
      <c r="N57" s="494">
        <v>100</v>
      </c>
      <c r="O57" s="495">
        <v>0</v>
      </c>
      <c r="P57" s="549">
        <v>0</v>
      </c>
      <c r="Q57" s="554">
        <v>0</v>
      </c>
      <c r="R57" s="516">
        <v>2014</v>
      </c>
      <c r="S57" s="517">
        <v>2050</v>
      </c>
    </row>
    <row r="58" spans="5:19">
      <c r="E58" s="499" t="s">
        <v>223</v>
      </c>
      <c r="F58" s="503">
        <v>25</v>
      </c>
      <c r="G58" s="495">
        <v>0</v>
      </c>
      <c r="H58" s="549">
        <v>0</v>
      </c>
      <c r="I58" s="552">
        <v>0</v>
      </c>
      <c r="J58" s="503">
        <v>500</v>
      </c>
      <c r="K58" s="495">
        <v>0</v>
      </c>
      <c r="L58" s="549">
        <v>0</v>
      </c>
      <c r="M58" s="554">
        <v>0</v>
      </c>
      <c r="N58" s="494">
        <v>2000</v>
      </c>
      <c r="O58" s="495">
        <v>0</v>
      </c>
      <c r="P58" s="549">
        <v>0</v>
      </c>
      <c r="Q58" s="554">
        <v>0</v>
      </c>
      <c r="R58" s="516">
        <v>2014</v>
      </c>
      <c r="S58" s="517">
        <v>2050</v>
      </c>
    </row>
    <row r="59" spans="5:19" ht="13" thickBot="1">
      <c r="E59" s="500" t="s">
        <v>225</v>
      </c>
      <c r="F59" s="504">
        <v>25</v>
      </c>
      <c r="G59" s="497">
        <v>0</v>
      </c>
      <c r="H59" s="550">
        <v>0</v>
      </c>
      <c r="I59" s="555">
        <v>0</v>
      </c>
      <c r="J59" s="504">
        <v>25</v>
      </c>
      <c r="K59" s="497">
        <v>0</v>
      </c>
      <c r="L59" s="550">
        <v>0</v>
      </c>
      <c r="M59" s="556">
        <v>0</v>
      </c>
      <c r="N59" s="496">
        <v>25</v>
      </c>
      <c r="O59" s="497">
        <v>0</v>
      </c>
      <c r="P59" s="550">
        <v>0</v>
      </c>
      <c r="Q59" s="556">
        <v>0</v>
      </c>
      <c r="R59" s="518">
        <v>2014</v>
      </c>
      <c r="S59" s="519">
        <v>2050</v>
      </c>
    </row>
    <row r="60" spans="5:19">
      <c r="M60" s="505"/>
    </row>
    <row r="125" spans="2:2">
      <c r="B125" s="485" t="s">
        <v>336</v>
      </c>
    </row>
    <row r="126" spans="2:2">
      <c r="B126" s="485" t="s">
        <v>337</v>
      </c>
    </row>
    <row r="127" spans="2:2">
      <c r="B127" s="485" t="s">
        <v>338</v>
      </c>
    </row>
    <row r="128" spans="2:2">
      <c r="B128" s="485" t="s">
        <v>339</v>
      </c>
    </row>
    <row r="129" spans="2:2">
      <c r="B129" s="485" t="s">
        <v>335</v>
      </c>
    </row>
    <row r="132" spans="2:2">
      <c r="B132" s="486">
        <v>2014</v>
      </c>
    </row>
    <row r="133" spans="2:2">
      <c r="B133" s="486">
        <v>2016</v>
      </c>
    </row>
    <row r="134" spans="2:2">
      <c r="B134" s="486">
        <v>2018</v>
      </c>
    </row>
    <row r="135" spans="2:2">
      <c r="B135" s="486">
        <v>2020</v>
      </c>
    </row>
    <row r="136" spans="2:2">
      <c r="B136" s="486">
        <v>2022</v>
      </c>
    </row>
    <row r="137" spans="2:2">
      <c r="B137" s="486">
        <v>2024</v>
      </c>
    </row>
    <row r="138" spans="2:2">
      <c r="B138" s="486">
        <v>2026</v>
      </c>
    </row>
    <row r="139" spans="2:2">
      <c r="B139" s="486">
        <v>2028</v>
      </c>
    </row>
    <row r="140" spans="2:2">
      <c r="B140" s="486">
        <v>2030</v>
      </c>
    </row>
    <row r="141" spans="2:2">
      <c r="B141" s="486">
        <v>2032</v>
      </c>
    </row>
    <row r="142" spans="2:2">
      <c r="B142" s="486">
        <v>2034</v>
      </c>
    </row>
    <row r="143" spans="2:2">
      <c r="B143" s="486">
        <v>2036</v>
      </c>
    </row>
    <row r="144" spans="2:2">
      <c r="B144" s="486">
        <v>2038</v>
      </c>
    </row>
    <row r="145" spans="2:2">
      <c r="B145" s="486">
        <v>2040</v>
      </c>
    </row>
    <row r="146" spans="2:2">
      <c r="B146" s="486">
        <v>2042</v>
      </c>
    </row>
    <row r="147" spans="2:2">
      <c r="B147" s="486">
        <v>2044</v>
      </c>
    </row>
    <row r="148" spans="2:2">
      <c r="B148" s="486">
        <v>2046</v>
      </c>
    </row>
    <row r="149" spans="2:2">
      <c r="B149" s="486">
        <v>2048</v>
      </c>
    </row>
    <row r="150" spans="2:2">
      <c r="B150" s="486">
        <v>2050</v>
      </c>
    </row>
    <row r="153" spans="2:2">
      <c r="B153" s="487" t="b">
        <v>1</v>
      </c>
    </row>
    <row r="154" spans="2:2">
      <c r="B154" s="487" t="b">
        <v>0</v>
      </c>
    </row>
    <row r="166" spans="1:4">
      <c r="A166" s="486"/>
      <c r="B166" s="486" t="s">
        <v>345</v>
      </c>
      <c r="C166" s="486" t="s">
        <v>346</v>
      </c>
      <c r="D166" s="486" t="s">
        <v>347</v>
      </c>
    </row>
    <row r="167" spans="1:4">
      <c r="A167" s="486" t="s">
        <v>177</v>
      </c>
      <c r="B167" s="486">
        <v>25</v>
      </c>
      <c r="C167" s="486">
        <v>25</v>
      </c>
      <c r="D167" s="486">
        <v>25</v>
      </c>
    </row>
    <row r="168" spans="1:4">
      <c r="A168" s="486" t="s">
        <v>176</v>
      </c>
      <c r="B168" s="486">
        <v>0</v>
      </c>
      <c r="C168" s="486">
        <v>0</v>
      </c>
      <c r="D168" s="486">
        <v>0</v>
      </c>
    </row>
    <row r="169" spans="1:4">
      <c r="A169" s="486" t="s">
        <v>179</v>
      </c>
      <c r="B169" s="486">
        <v>25</v>
      </c>
      <c r="C169" s="486">
        <v>300</v>
      </c>
      <c r="D169" s="486">
        <v>300</v>
      </c>
    </row>
    <row r="170" spans="1:4">
      <c r="A170" s="486" t="s">
        <v>178</v>
      </c>
      <c r="B170" s="486" t="s">
        <v>344</v>
      </c>
      <c r="C170" s="486" t="s">
        <v>344</v>
      </c>
      <c r="D170" s="486" t="s">
        <v>344</v>
      </c>
    </row>
    <row r="171" spans="1:4">
      <c r="A171" s="486" t="s">
        <v>180</v>
      </c>
      <c r="B171" s="486">
        <v>1000</v>
      </c>
      <c r="C171" s="486">
        <v>1000</v>
      </c>
      <c r="D171" s="486">
        <v>1000</v>
      </c>
    </row>
    <row r="172" spans="1:4">
      <c r="A172" s="486" t="s">
        <v>181</v>
      </c>
      <c r="B172" s="486" t="s">
        <v>344</v>
      </c>
      <c r="C172" s="486" t="s">
        <v>344</v>
      </c>
      <c r="D172" s="486" t="s">
        <v>344</v>
      </c>
    </row>
    <row r="173" spans="1:4">
      <c r="A173" s="486" t="s">
        <v>182</v>
      </c>
      <c r="B173" s="486">
        <v>2000</v>
      </c>
      <c r="C173" s="486">
        <v>2000</v>
      </c>
      <c r="D173" s="486">
        <v>2000</v>
      </c>
    </row>
    <row r="174" spans="1:4">
      <c r="A174" s="486" t="s">
        <v>11</v>
      </c>
      <c r="B174" s="486">
        <v>1000</v>
      </c>
      <c r="C174" s="486">
        <v>1000</v>
      </c>
      <c r="D174" s="486">
        <v>0</v>
      </c>
    </row>
    <row r="175" spans="1:4">
      <c r="A175" s="486" t="s">
        <v>183</v>
      </c>
      <c r="B175" s="486">
        <v>25</v>
      </c>
      <c r="C175" s="486">
        <v>2000</v>
      </c>
      <c r="D175" s="486">
        <v>2000</v>
      </c>
    </row>
    <row r="176" spans="1:4">
      <c r="A176" s="486" t="s">
        <v>184</v>
      </c>
      <c r="B176" s="486">
        <v>2000</v>
      </c>
      <c r="C176" s="486">
        <v>2000</v>
      </c>
      <c r="D176" s="486">
        <v>2000</v>
      </c>
    </row>
    <row r="177" spans="1:4">
      <c r="A177" s="486" t="s">
        <v>185</v>
      </c>
      <c r="B177" s="486">
        <v>10</v>
      </c>
      <c r="C177" s="486">
        <v>100</v>
      </c>
      <c r="D177" s="486">
        <v>100</v>
      </c>
    </row>
    <row r="178" spans="1:4">
      <c r="A178" s="486" t="s">
        <v>186</v>
      </c>
      <c r="B178" s="486">
        <v>100</v>
      </c>
      <c r="C178" s="486">
        <v>100</v>
      </c>
      <c r="D178" s="486">
        <v>100</v>
      </c>
    </row>
    <row r="179" spans="1:4">
      <c r="A179" s="486" t="s">
        <v>190</v>
      </c>
      <c r="B179" s="486">
        <v>500</v>
      </c>
      <c r="C179" s="486">
        <v>500</v>
      </c>
      <c r="D179" s="486">
        <v>500</v>
      </c>
    </row>
    <row r="180" spans="1:4">
      <c r="A180" s="486" t="s">
        <v>187</v>
      </c>
      <c r="B180" s="486">
        <v>0</v>
      </c>
      <c r="C180" s="486">
        <v>0</v>
      </c>
      <c r="D180" s="486">
        <v>0</v>
      </c>
    </row>
    <row r="181" spans="1:4">
      <c r="A181" s="486" t="s">
        <v>188</v>
      </c>
      <c r="B181" s="486">
        <v>40</v>
      </c>
      <c r="C181" s="486">
        <v>40</v>
      </c>
      <c r="D181" s="486">
        <v>40</v>
      </c>
    </row>
    <row r="182" spans="1:4">
      <c r="A182" s="486" t="s">
        <v>189</v>
      </c>
      <c r="B182" s="486">
        <v>1000</v>
      </c>
      <c r="C182" s="486">
        <v>1000</v>
      </c>
      <c r="D182" s="486">
        <v>1000</v>
      </c>
    </row>
    <row r="183" spans="1:4">
      <c r="A183" s="486" t="s">
        <v>191</v>
      </c>
      <c r="B183" s="486">
        <v>25</v>
      </c>
      <c r="C183" s="486">
        <v>200</v>
      </c>
      <c r="D183" s="486">
        <v>200</v>
      </c>
    </row>
    <row r="184" spans="1:4">
      <c r="A184" s="486" t="s">
        <v>192</v>
      </c>
      <c r="B184" s="486">
        <v>30</v>
      </c>
      <c r="C184" s="486">
        <v>30</v>
      </c>
      <c r="D184" s="486">
        <v>30</v>
      </c>
    </row>
    <row r="185" spans="1:4">
      <c r="A185" s="486" t="s">
        <v>193</v>
      </c>
      <c r="B185" s="486">
        <v>25</v>
      </c>
      <c r="C185" s="486">
        <v>300</v>
      </c>
      <c r="D185" s="486">
        <v>0</v>
      </c>
    </row>
    <row r="186" spans="1:4">
      <c r="A186" s="486" t="s">
        <v>196</v>
      </c>
      <c r="B186" s="486">
        <v>2000</v>
      </c>
      <c r="C186" s="486">
        <v>2000</v>
      </c>
      <c r="D186" s="486">
        <v>2000</v>
      </c>
    </row>
    <row r="187" spans="1:4">
      <c r="A187" s="486" t="s">
        <v>195</v>
      </c>
      <c r="B187" s="486">
        <v>2000</v>
      </c>
      <c r="C187" s="486">
        <v>2000</v>
      </c>
      <c r="D187" s="486">
        <v>2000</v>
      </c>
    </row>
    <row r="188" spans="1:4">
      <c r="A188" s="486" t="s">
        <v>194</v>
      </c>
      <c r="B188" s="486">
        <v>660</v>
      </c>
      <c r="C188" s="486">
        <v>660</v>
      </c>
      <c r="D188" s="486">
        <v>660</v>
      </c>
    </row>
    <row r="189" spans="1:4">
      <c r="A189" s="486" t="s">
        <v>197</v>
      </c>
      <c r="B189" s="486">
        <v>150</v>
      </c>
      <c r="C189" s="486">
        <v>150</v>
      </c>
      <c r="D189" s="486">
        <v>150</v>
      </c>
    </row>
    <row r="190" spans="1:4">
      <c r="A190" s="486" t="s">
        <v>198</v>
      </c>
      <c r="B190" s="486">
        <v>1000</v>
      </c>
      <c r="C190" s="486">
        <v>1000</v>
      </c>
      <c r="D190" s="486">
        <v>1000</v>
      </c>
    </row>
    <row r="191" spans="1:4">
      <c r="A191" s="486" t="s">
        <v>200</v>
      </c>
      <c r="B191" s="486">
        <v>100</v>
      </c>
      <c r="C191" s="486">
        <v>100</v>
      </c>
      <c r="D191" s="486">
        <v>100</v>
      </c>
    </row>
    <row r="192" spans="1:4">
      <c r="A192" s="486" t="s">
        <v>199</v>
      </c>
      <c r="B192" s="486">
        <v>0</v>
      </c>
      <c r="C192" s="486">
        <v>0</v>
      </c>
      <c r="D192" s="486">
        <v>0</v>
      </c>
    </row>
    <row r="193" spans="1:4">
      <c r="A193" s="486" t="s">
        <v>201</v>
      </c>
      <c r="B193" s="486">
        <v>50</v>
      </c>
      <c r="C193" s="486">
        <v>50</v>
      </c>
      <c r="D193" s="486">
        <v>50</v>
      </c>
    </row>
    <row r="194" spans="1:4">
      <c r="A194" s="486" t="s">
        <v>208</v>
      </c>
      <c r="B194" s="486">
        <v>1000</v>
      </c>
      <c r="C194" s="486">
        <v>1000</v>
      </c>
      <c r="D194" s="486">
        <v>1000</v>
      </c>
    </row>
    <row r="195" spans="1:4">
      <c r="A195" s="486" t="s">
        <v>209</v>
      </c>
      <c r="B195" s="486">
        <v>100</v>
      </c>
      <c r="C195" s="486">
        <v>100</v>
      </c>
      <c r="D195" s="486">
        <v>100</v>
      </c>
    </row>
    <row r="196" spans="1:4">
      <c r="A196" s="486" t="s">
        <v>202</v>
      </c>
      <c r="B196" s="486">
        <v>25</v>
      </c>
      <c r="C196" s="486">
        <v>25</v>
      </c>
      <c r="D196" s="486">
        <v>25</v>
      </c>
    </row>
    <row r="197" spans="1:4">
      <c r="A197" s="486" t="s">
        <v>204</v>
      </c>
      <c r="B197" s="486">
        <v>100</v>
      </c>
      <c r="C197" s="486">
        <v>100</v>
      </c>
      <c r="D197" s="486">
        <v>100</v>
      </c>
    </row>
    <row r="198" spans="1:4">
      <c r="A198" s="486" t="s">
        <v>205</v>
      </c>
      <c r="B198" s="486" t="s">
        <v>344</v>
      </c>
      <c r="C198" s="486" t="s">
        <v>344</v>
      </c>
      <c r="D198" s="486" t="s">
        <v>344</v>
      </c>
    </row>
    <row r="199" spans="1:4">
      <c r="A199" s="486" t="s">
        <v>206</v>
      </c>
      <c r="B199" s="486">
        <v>80000</v>
      </c>
      <c r="C199" s="486">
        <v>80000</v>
      </c>
      <c r="D199" s="486">
        <v>80000</v>
      </c>
    </row>
    <row r="200" spans="1:4">
      <c r="A200" s="486" t="s">
        <v>203</v>
      </c>
      <c r="B200" s="486">
        <v>1000</v>
      </c>
      <c r="C200" s="486">
        <v>1000</v>
      </c>
      <c r="D200" s="486">
        <v>1000</v>
      </c>
    </row>
    <row r="201" spans="1:4">
      <c r="A201" s="486" t="s">
        <v>207</v>
      </c>
      <c r="B201" s="486">
        <v>25</v>
      </c>
      <c r="C201" s="486">
        <v>2000</v>
      </c>
      <c r="D201" s="486">
        <v>2000</v>
      </c>
    </row>
    <row r="202" spans="1:4">
      <c r="A202" s="486" t="s">
        <v>210</v>
      </c>
      <c r="B202" s="486" t="s">
        <v>344</v>
      </c>
      <c r="C202" s="486" t="s">
        <v>344</v>
      </c>
      <c r="D202" s="486" t="s">
        <v>344</v>
      </c>
    </row>
    <row r="203" spans="1:4">
      <c r="A203" s="486" t="s">
        <v>211</v>
      </c>
      <c r="B203" s="486">
        <v>15</v>
      </c>
      <c r="C203" s="486">
        <v>15</v>
      </c>
      <c r="D203" s="486">
        <v>15</v>
      </c>
    </row>
    <row r="204" spans="1:4">
      <c r="A204" s="486" t="s">
        <v>212</v>
      </c>
      <c r="B204" s="486">
        <v>25</v>
      </c>
      <c r="C204" s="486">
        <v>2000</v>
      </c>
      <c r="D204" s="486">
        <v>2000</v>
      </c>
    </row>
    <row r="205" spans="1:4">
      <c r="A205" s="486" t="s">
        <v>213</v>
      </c>
      <c r="B205" s="486">
        <v>50</v>
      </c>
      <c r="C205" s="486">
        <v>3000</v>
      </c>
      <c r="D205" s="486">
        <v>3000</v>
      </c>
    </row>
    <row r="206" spans="1:4">
      <c r="A206" s="486" t="s">
        <v>214</v>
      </c>
      <c r="B206" s="486">
        <v>5000</v>
      </c>
      <c r="C206" s="486">
        <v>5000</v>
      </c>
      <c r="D206" s="486">
        <v>5000</v>
      </c>
    </row>
    <row r="207" spans="1:4">
      <c r="A207" s="486" t="s">
        <v>215</v>
      </c>
      <c r="B207" s="486">
        <v>20</v>
      </c>
      <c r="C207" s="486">
        <v>100</v>
      </c>
      <c r="D207" s="486">
        <v>100</v>
      </c>
    </row>
    <row r="208" spans="1:4">
      <c r="A208" s="486" t="s">
        <v>216</v>
      </c>
      <c r="B208" s="486">
        <v>0</v>
      </c>
      <c r="C208" s="486">
        <v>0</v>
      </c>
      <c r="D208" s="486">
        <v>0</v>
      </c>
    </row>
    <row r="209" spans="1:4">
      <c r="A209" s="486" t="s">
        <v>217</v>
      </c>
      <c r="B209" s="486">
        <v>0</v>
      </c>
      <c r="C209" s="486">
        <v>0</v>
      </c>
      <c r="D209" s="486">
        <v>0</v>
      </c>
    </row>
    <row r="210" spans="1:4">
      <c r="A210" s="486" t="s">
        <v>218</v>
      </c>
      <c r="B210" s="486">
        <v>0</v>
      </c>
      <c r="C210" s="486">
        <v>0</v>
      </c>
      <c r="D210" s="486">
        <v>0</v>
      </c>
    </row>
    <row r="211" spans="1:4">
      <c r="A211" s="486" t="s">
        <v>219</v>
      </c>
      <c r="B211" s="486">
        <v>25</v>
      </c>
      <c r="C211" s="486">
        <v>2000</v>
      </c>
      <c r="D211" s="486">
        <v>2000</v>
      </c>
    </row>
    <row r="212" spans="1:4">
      <c r="A212" s="486" t="s">
        <v>221</v>
      </c>
      <c r="B212" s="486">
        <v>10</v>
      </c>
      <c r="C212" s="486">
        <v>500</v>
      </c>
      <c r="D212" s="486">
        <v>500</v>
      </c>
    </row>
    <row r="213" spans="1:4">
      <c r="A213" s="486" t="s">
        <v>220</v>
      </c>
      <c r="B213" s="486">
        <v>500</v>
      </c>
      <c r="C213" s="486">
        <v>500</v>
      </c>
      <c r="D213" s="486">
        <v>500</v>
      </c>
    </row>
    <row r="214" spans="1:4">
      <c r="A214" s="486" t="s">
        <v>222</v>
      </c>
      <c r="B214" s="486">
        <v>100</v>
      </c>
      <c r="C214" s="486">
        <v>100</v>
      </c>
      <c r="D214" s="486">
        <v>100</v>
      </c>
    </row>
    <row r="215" spans="1:4">
      <c r="A215" s="486" t="s">
        <v>224</v>
      </c>
      <c r="B215" s="486">
        <v>100</v>
      </c>
      <c r="C215" s="486">
        <v>100</v>
      </c>
      <c r="D215" s="486">
        <v>100</v>
      </c>
    </row>
    <row r="216" spans="1:4">
      <c r="A216" s="486" t="s">
        <v>223</v>
      </c>
      <c r="B216" s="486">
        <v>25</v>
      </c>
      <c r="C216" s="486">
        <v>500</v>
      </c>
      <c r="D216" s="486">
        <v>2000</v>
      </c>
    </row>
    <row r="217" spans="1:4">
      <c r="A217" s="486" t="s">
        <v>225</v>
      </c>
      <c r="B217" s="486">
        <v>25</v>
      </c>
      <c r="C217" s="486">
        <v>25</v>
      </c>
      <c r="D217" s="486">
        <v>25</v>
      </c>
    </row>
    <row r="218" spans="1:4">
      <c r="B218" s="507"/>
    </row>
  </sheetData>
  <sheetProtection sheet="1" formatCells="0" formatColumns="0" formatRows="0"/>
  <mergeCells count="5">
    <mergeCell ref="F7:I7"/>
    <mergeCell ref="J7:M7"/>
    <mergeCell ref="N7:Q7"/>
    <mergeCell ref="B18:C20"/>
    <mergeCell ref="B21:C24"/>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2015-01-08T17:52:59Z</dcterms:modified>
</cp:coreProperties>
</file>