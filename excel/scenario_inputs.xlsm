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6004" codeName="{00000000-0000-0000-0000-000000000000}"/>
  <workbookPr showInkAnnotation="0" autoCompressPictures="0"/>
  <bookViews>
    <workbookView xWindow="0" yWindow="0" windowWidth="38400" windowHeight="19400" tabRatio="500"/>
  </bookViews>
  <sheets>
    <sheet name="Main" sheetId="1" r:id="rId1"/>
    <sheet name="Market Projections" sheetId="2" r:id="rId2"/>
    <sheet name="Net Metering" sheetId="3" r:id="rId3"/>
  </sheets>
  <externalReferences>
    <externalReference r:id="rId4"/>
  </externalReferences>
  <definedNames>
    <definedName name="_xlnm._FilterDatabase" localSheetId="0" hidden="1">Main!$E$150:$E$152</definedName>
    <definedName name="annual_inflation_main">'Market Projections'!$C$4</definedName>
    <definedName name="Batch_Runs" localSheetId="2">#REF!</definedName>
    <definedName name="carbon_scenario_main">Main!$D$26</definedName>
    <definedName name="Com_Payback_Metric" localSheetId="2">#REF!</definedName>
    <definedName name="Fed_Tax_Scenario" localSheetId="2">#REF!</definedName>
    <definedName name="Incentive_Budgets" localSheetId="2">#REF!</definedName>
    <definedName name="Local_Incentive_Scenario" localSheetId="2">#REF!</definedName>
    <definedName name="manual_carbon_intensities_main">'Market Projections'!$Q$18:$S$66</definedName>
    <definedName name="market_projections_main">'Market Projections'!$C$7:$U$13</definedName>
    <definedName name="Metering_Cap_Scenario" localSheetId="1">[1]Main!#REF!</definedName>
    <definedName name="Metering_Cap_Scenario" localSheetId="2">#REF!</definedName>
    <definedName name="nem_bau_sys_size_limits">'Net Metering'!$B$167:$D$217</definedName>
    <definedName name="nem_bau_sys_size_limits_com">'Net Metering'!$C$167:$C$217</definedName>
    <definedName name="nem_bau_sys_size_limits_ind">'Net Metering'!$D$167:$D$217</definedName>
    <definedName name="nem_bau_sys_size_limits_res">'Net Metering'!$B$167:$B$217</definedName>
    <definedName name="nem_first_year">'Net Metering'!$R$9:$R$59</definedName>
    <definedName name="nem_hrly_exc_sell_rate">'Net Metering'!$I$9:$I$59,'Net Metering'!$M$9:$M$59,'Net Metering'!$Q$9:$Q$59</definedName>
    <definedName name="nem_inst_cap_limit">'Net Metering'!$G$9:$G$59,'Net Metering'!$K$9:$K$59,'Net Metering'!$O$9:$O$59</definedName>
    <definedName name="nem_last_year">'Net Metering'!$S$9:$S$59</definedName>
    <definedName name="nem_scenario">'Net Metering'!$F$9:$S$59</definedName>
    <definedName name="nem_scenario_com">'Net Metering'!$J$9:$M$59</definedName>
    <definedName name="nem_scenario_ind">'Net Metering'!$N$9:$Q$59</definedName>
    <definedName name="nem_scenario_res">'Net Metering'!$F$9:$I$59</definedName>
    <definedName name="nem_selected_scenario">'Net Metering'!$C$5</definedName>
    <definedName name="nem_states">'Net Metering'!$E$9:$E$59</definedName>
    <definedName name="nem_sys_size_limit">'Net Metering'!$F$9:$F$59,'Net Metering'!$J$9:$J$59,'Net Metering'!$N$9:$N$59</definedName>
    <definedName name="nem_sys_size_limit_com">'Net Metering'!$J$9:$J$59</definedName>
    <definedName name="nem_sys_size_limit_ind">'Net Metering'!$N$9:$N$59</definedName>
    <definedName name="nem_sys_size_limit_res">'Net Metering'!$F$9:$F$59</definedName>
    <definedName name="nem_util_types">'Net Metering'!$B$9:$C$12</definedName>
    <definedName name="nem_util_types_values">'Net Metering'!$C$9:$C$12</definedName>
    <definedName name="nem_year_exc_sell_rate">'Net Metering'!$H$9:$H$59,'Net Metering'!$L$9:$L$59,'Net Metering'!$P$9:$P$59</definedName>
    <definedName name="nem_years">'Net Metering'!$R$9:$S$59</definedName>
    <definedName name="Net_Metering" localSheetId="2">#REF!,#REF!</definedName>
    <definedName name="nm" localSheetId="2">#REF!,#REF!</definedName>
    <definedName name="Normalized_Wind_Power_Curves" localSheetId="2">#REF!</definedName>
    <definedName name="Price_Escalation_Scenario" localSheetId="1">[1]Main!#REF!</definedName>
    <definedName name="Price_Escalation_Scenario" localSheetId="2">#REF!</definedName>
    <definedName name="PV_Base_Installed" localSheetId="1">[1]Main!#REF!</definedName>
    <definedName name="PV_Base_Installed" localSheetId="2">#REF!</definedName>
    <definedName name="PV_Efficiency" localSheetId="2">#REF!</definedName>
    <definedName name="PV_Price_Scenario" localSheetId="2">#REF!</definedName>
    <definedName name="rate_type_weights_main">'Market Projections'!$J$18:$L$26</definedName>
    <definedName name="scenario_name_main">Main!$C$7</definedName>
    <definedName name="scenario_options_main">Main!$D$11:$D$27</definedName>
    <definedName name="ud_rates">'Market Projections'!$C$18:$F$68</definedName>
    <definedName name="Wind_Cost_Projections_10_kw" localSheetId="2">#REF!</definedName>
    <definedName name="Wind_Cost_Projections_100_kw" localSheetId="2">#REF!</definedName>
    <definedName name="Wind_Cost_Projections_1000_kw" localSheetId="2">#REF!</definedName>
    <definedName name="Wind_Cost_Projections_1500_kw" localSheetId="2">#REF!</definedName>
    <definedName name="Wind_Cost_Projections_2.5_kw" localSheetId="2">#REF!</definedName>
    <definedName name="Wind_Cost_Projections_20_kw" localSheetId="2">#REF!</definedName>
    <definedName name="Wind_Cost_Projections_250_kw" localSheetId="2">#REF!</definedName>
    <definedName name="Wind_Cost_Projections_5_kw" localSheetId="2">#REF!</definedName>
    <definedName name="Wind_Cost_Projections_50_kw" localSheetId="2">#REF!</definedName>
    <definedName name="Wind_Cost_Projections_500_kw" localSheetId="2">#REF!</definedName>
    <definedName name="Wind_Cost_Projections_750_kw" localSheetId="2">#REF!</definedName>
    <definedName name="Wind_Derate_Factors" localSheetId="2">#REF!</definedName>
    <definedName name="Wind_Performance_Improvements" localSheetId="2">#REF!</definedName>
    <definedName name="Year_Start" localSheetId="1">[1]Main!#REF!</definedName>
    <definedName name="Year_Start" localSheetId="2">#REF!</definedName>
    <definedName name="Year_Stop" localSheetId="1">[1]Main!#REF!</definedName>
    <definedName name="Year_Stop" localSheetId="2">#REF!</definedName>
  </definedName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E6" i="3" l="1"/>
  <c r="J202" i="1"/>
  <c r="J203" i="1"/>
  <c r="J204" i="1"/>
  <c r="J205" i="1"/>
  <c r="J206" i="1"/>
  <c r="J207" i="1"/>
  <c r="J208" i="1"/>
  <c r="J209" i="1"/>
  <c r="J210" i="1"/>
  <c r="J211" i="1"/>
  <c r="J212" i="1"/>
  <c r="J213" i="1"/>
  <c r="J214" i="1"/>
  <c r="J215" i="1"/>
  <c r="J216" i="1"/>
  <c r="J217" i="1"/>
  <c r="J218" i="1"/>
  <c r="J219" i="1"/>
  <c r="J220" i="1"/>
  <c r="J221" i="1"/>
</calcChain>
</file>

<file path=xl/comments1.xml><?xml version="1.0" encoding="utf-8"?>
<comments xmlns="http://schemas.openxmlformats.org/spreadsheetml/2006/main">
  <authors>
    <author>edrury</author>
    <author>Ben Sigrin - NREL</author>
  </authors>
  <commentList>
    <comment ref="C6" authorId="0">
      <text>
        <r>
          <rPr>
            <b/>
            <sz val="8"/>
            <color indexed="81"/>
            <rFont val="Tahoma"/>
            <family val="2"/>
          </rPr>
          <t>bsigrin:</t>
        </r>
        <r>
          <rPr>
            <sz val="8"/>
            <color indexed="81"/>
            <rFont val="Tahoma"/>
            <family val="2"/>
          </rPr>
          <t xml:space="preserve">
WindDS generates an output file for each model run that is named after the user defined scenario name</t>
        </r>
      </text>
    </comment>
    <comment ref="C13" authorId="1">
      <text>
        <r>
          <rPr>
            <b/>
            <sz val="9"/>
            <color indexed="81"/>
            <rFont val="Tahoma"/>
            <family val="2"/>
          </rPr>
          <t>Ben Sigrin - NREL:</t>
        </r>
        <r>
          <rPr>
            <sz val="9"/>
            <color indexed="81"/>
            <rFont val="Tahoma"/>
            <family val="2"/>
          </rPr>
          <t xml:space="preserve">
Select region to analyze, either entire continental US or individual states</t>
        </r>
      </text>
    </comment>
    <comment ref="C14" authorId="1">
      <text>
        <r>
          <rPr>
            <b/>
            <sz val="9"/>
            <color indexed="81"/>
            <rFont val="Tahoma"/>
            <family val="2"/>
          </rPr>
          <t>Ben Sigrin - NREL:</t>
        </r>
        <r>
          <rPr>
            <sz val="9"/>
            <color indexed="81"/>
            <rFont val="Tahoma"/>
            <family val="2"/>
          </rPr>
          <t xml:space="preserve">
Select the final year to model. Maximum of 2050</t>
        </r>
      </text>
    </comment>
    <comment ref="C15" authorId="0">
      <text>
        <r>
          <rPr>
            <b/>
            <sz val="8"/>
            <color indexed="81"/>
            <rFont val="Tahoma"/>
            <family val="2"/>
          </rPr>
          <t xml:space="preserve">bsigrin:
</t>
        </r>
        <r>
          <rPr>
            <sz val="8"/>
            <color indexed="81"/>
            <rFont val="Tahoma"/>
            <family val="2"/>
          </rPr>
          <t>The user can choose to run all sectors or each individually.</t>
        </r>
      </text>
    </comment>
    <comment ref="C16" authorId="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7" authorId="0">
      <text>
        <r>
          <rPr>
            <b/>
            <sz val="8"/>
            <color indexed="81"/>
            <rFont val="Tahoma"/>
            <family val="2"/>
          </rPr>
          <t>edrury:</t>
        </r>
        <r>
          <rPr>
            <sz val="8"/>
            <color indexed="81"/>
            <rFont val="Tahoma"/>
            <family val="2"/>
          </rPr>
          <t xml:space="preserve">
Residential electricity rate structures</t>
        </r>
      </text>
    </comment>
    <comment ref="C18" authorId="0">
      <text>
        <r>
          <rPr>
            <b/>
            <sz val="8"/>
            <color indexed="81"/>
            <rFont val="Tahoma"/>
            <family val="2"/>
          </rPr>
          <t>edrury:</t>
        </r>
        <r>
          <rPr>
            <sz val="8"/>
            <color indexed="81"/>
            <rFont val="Tahoma"/>
            <family val="2"/>
          </rPr>
          <t xml:space="preserve">
Commercial Electricity Rate Structures</t>
        </r>
      </text>
    </comment>
    <comment ref="C19" authorId="0">
      <text>
        <r>
          <rPr>
            <b/>
            <sz val="8"/>
            <color indexed="81"/>
            <rFont val="Tahoma"/>
            <family val="2"/>
          </rPr>
          <t>edrury:</t>
        </r>
        <r>
          <rPr>
            <sz val="8"/>
            <color indexed="81"/>
            <rFont val="Tahoma"/>
            <family val="2"/>
          </rPr>
          <t xml:space="preserve">
Commercial Electricity Rate Structures</t>
        </r>
      </text>
    </comment>
    <comment ref="C20" authorId="0">
      <text>
        <r>
          <rPr>
            <b/>
            <sz val="8"/>
            <color indexed="81"/>
            <rFont val="Tahoma"/>
            <family val="2"/>
          </rPr>
          <t>edrury:</t>
        </r>
        <r>
          <rPr>
            <sz val="8"/>
            <color indexed="81"/>
            <rFont val="Tahoma"/>
            <family val="2"/>
          </rPr>
          <t xml:space="preserve">
Escalation of Residential Electricity Rates</t>
        </r>
      </text>
    </comment>
    <comment ref="C21" authorId="0">
      <text>
        <r>
          <rPr>
            <b/>
            <sz val="8"/>
            <color indexed="81"/>
            <rFont val="Tahoma"/>
            <family val="2"/>
          </rPr>
          <t>edrury:</t>
        </r>
        <r>
          <rPr>
            <sz val="8"/>
            <color indexed="81"/>
            <rFont val="Tahoma"/>
            <family val="2"/>
          </rPr>
          <t xml:space="preserve">
Escalation of Commercial electricity rates</t>
        </r>
      </text>
    </comment>
    <comment ref="C22" authorId="0">
      <text>
        <r>
          <rPr>
            <b/>
            <sz val="8"/>
            <color indexed="81"/>
            <rFont val="Tahoma"/>
            <family val="2"/>
          </rPr>
          <t>edrury:</t>
        </r>
        <r>
          <rPr>
            <sz val="8"/>
            <color indexed="81"/>
            <rFont val="Tahoma"/>
            <family val="2"/>
          </rPr>
          <t xml:space="preserve">
Escalation of Commercial electricity rates</t>
        </r>
      </text>
    </comment>
    <comment ref="C23" authorId="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4" authorId="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5" authorId="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6" authorId="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7" authorId="0">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R17"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3.xml><?xml version="1.0" encoding="utf-8"?>
<comments xmlns="http://schemas.openxmlformats.org/spreadsheetml/2006/main">
  <authors>
    <author>Ben Sigrin - NREL</author>
  </authors>
  <commentList>
    <comment ref="B8"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<sst xmlns="http://schemas.openxmlformats.org/spreadsheetml/2006/main" count="452" uniqueCount="243">
  <si>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</si>
  <si>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</si>
  <si>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</si>
  <si>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</si>
  <si>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</si>
  <si>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</si>
  <si>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</si>
  <si>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</si>
  <si>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</si>
  <si>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</si>
  <si>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</si>
  <si>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</si>
  <si>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</si>
  <si>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</si>
  <si>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</si>
  <si>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</si>
  <si>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</si>
  <si>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</si>
  <si>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</si>
  <si>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</si>
  <si>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AEO2014</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</si>
  <si>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</si>
  <si>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</si>
  <si>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</si>
  <si>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</si>
  <si>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</si>
  <si>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</si>
  <si>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</si>
  <si>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</si>
  <si>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</si>
  <si>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</si>
  <si>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</si>
  <si>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</si>
  <si>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</si>
  <si>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</si>
  <si>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</si>
  <si>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</si>
  <si>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</si>
  <si>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</si>
  <si>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</si>
  <si>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</si>
  <si>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</si>
  <si>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</si>
  <si>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</si>
  <si>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</si>
  <si>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</si>
  <si>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</si>
  <si>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</si>
  <si>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</si>
  <si>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</si>
  <si>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</si>
  <si>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</si>
  <si>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</si>
  <si>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</si>
  <si>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</si>
  <si>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</si>
  <si>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</si>
  <si>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</si>
  <si>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</si>
  <si>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</si>
  <si>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</si>
  <si>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</si>
  <si>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</si>
  <si>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</si>
  <si>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</si>
  <si>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</si>
  <si>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</si>
  <si>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</si>
  <si>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</si>
  <si>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</si>
  <si>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</si>
  <si>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</si>
  <si>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</si>
  <si>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</si>
  <si>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</si>
  <si>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</si>
  <si>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</si>
  <si>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</si>
  <si>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</si>
  <si>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</si>
  <si>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</si>
  <si>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</si>
  <si>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</si>
  <si>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</si>
  <si>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</si>
  <si>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</si>
  <si>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</si>
  <si>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User Fit</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</si>
  <si>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</si>
  <si>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</si>
  <si>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</si>
  <si>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</si>
  <si>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</si>
  <si>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</si>
  <si>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</si>
  <si>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</si>
  <si>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</si>
  <si>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</si>
  <si>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</si>
  <si>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</si>
  <si>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</si>
  <si>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</si>
  <si>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</si>
  <si>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</si>
  <si>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</si>
  <si>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</si>
  <si>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</si>
  <si>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</si>
  <si>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</si>
  <si>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</si>
  <si>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</si>
  <si>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</si>
  <si>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</si>
  <si>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</si>
  <si>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</si>
  <si>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</si>
  <si>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</si>
  <si>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</si>
  <si>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</si>
  <si>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</si>
  <si>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</si>
  <si>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</si>
  <si>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</si>
  <si>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</si>
  <si>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</si>
  <si>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</si>
  <si>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</si>
  <si>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</si>
  <si>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</si>
  <si>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</si>
  <si>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</si>
  <si>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</si>
  <si>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WY</t>
  </si>
  <si>
    <t>WV</t>
  </si>
  <si>
    <t>WI</t>
  </si>
  <si>
    <t>WA</t>
  </si>
  <si>
    <t>VT</t>
  </si>
  <si>
    <t>VA</t>
  </si>
  <si>
    <t>UT</t>
  </si>
  <si>
    <t>TX</t>
  </si>
  <si>
    <t>TN</t>
  </si>
  <si>
    <t>SD</t>
  </si>
  <si>
    <t>SC</t>
  </si>
  <si>
    <t>RI</t>
  </si>
  <si>
    <t>PA</t>
  </si>
  <si>
    <t>OR</t>
  </si>
  <si>
    <t>OK</t>
  </si>
  <si>
    <t>OH</t>
  </si>
  <si>
    <t>NY</t>
  </si>
  <si>
    <t>NV</t>
  </si>
  <si>
    <t>NM</t>
  </si>
  <si>
    <t>NJ</t>
  </si>
  <si>
    <t>NH</t>
  </si>
  <si>
    <t>NE</t>
  </si>
  <si>
    <t>ND</t>
  </si>
  <si>
    <t>NC</t>
  </si>
  <si>
    <t>MT</t>
  </si>
  <si>
    <t>MS</t>
  </si>
  <si>
    <t>MO</t>
  </si>
  <si>
    <t>MN</t>
  </si>
  <si>
    <t>MI</t>
  </si>
  <si>
    <t>ME</t>
  </si>
  <si>
    <t>MD</t>
  </si>
  <si>
    <t>MA</t>
  </si>
  <si>
    <t>LA</t>
  </si>
  <si>
    <t>KY</t>
  </si>
  <si>
    <t>KS</t>
  </si>
  <si>
    <t>IN</t>
  </si>
  <si>
    <t>IL</t>
  </si>
  <si>
    <t>ID</t>
  </si>
  <si>
    <t>IA</t>
  </si>
  <si>
    <t>HI</t>
  </si>
  <si>
    <t>GA</t>
  </si>
  <si>
    <t>SUM</t>
  </si>
  <si>
    <t>FL</t>
  </si>
  <si>
    <t>Other</t>
  </si>
  <si>
    <t>DE</t>
  </si>
  <si>
    <t>Demand Time of Use</t>
  </si>
  <si>
    <t>DC</t>
  </si>
  <si>
    <t>Tiered Seasonal</t>
  </si>
  <si>
    <t>CT</t>
  </si>
  <si>
    <t>Demand Tiered</t>
  </si>
  <si>
    <t>CO</t>
  </si>
  <si>
    <t>Time of Use</t>
  </si>
  <si>
    <t>CA</t>
  </si>
  <si>
    <t>Tiered</t>
  </si>
  <si>
    <t>AZ</t>
  </si>
  <si>
    <t>Seasonal</t>
  </si>
  <si>
    <t>AR</t>
  </si>
  <si>
    <t>Demand</t>
  </si>
  <si>
    <t>AL</t>
  </si>
  <si>
    <t>Flat</t>
  </si>
  <si>
    <t>AK</t>
  </si>
  <si>
    <t>Natural Gas Intensity</t>
  </si>
  <si>
    <t>2014 Statewide CO2 Intensity 
(t CO2/kWh)</t>
  </si>
  <si>
    <t>Commercial/ Industrial</t>
  </si>
  <si>
    <t>Residential</t>
  </si>
  <si>
    <t>Industrial ($/kwh)</t>
  </si>
  <si>
    <t>Commercial ($/kwh)</t>
  </si>
  <si>
    <t>Residential ($/kwh)</t>
  </si>
  <si>
    <t>State</t>
  </si>
  <si>
    <t>Carbon and Natural Gas Intensities</t>
  </si>
  <si>
    <t>Rate Type Popularity Weights</t>
  </si>
  <si>
    <t>User-Defined Flat Electric Rates</t>
  </si>
  <si>
    <t>Default Rate Escalations</t>
  </si>
  <si>
    <t>User Defined Ind. Rate Escalations</t>
  </si>
  <si>
    <t>User Defined Com. Rate Escalations</t>
  </si>
  <si>
    <t>User Defined Res. Rate Escalations</t>
  </si>
  <si>
    <t>** Any non-zero number increases retail electricity costs uniformly based on the region</t>
  </si>
  <si>
    <t>Carbon Price ($/Ton CO2)</t>
  </si>
  <si>
    <t>** The default avoided cost is the LCOE of a natural gas combined cycle plant from the Annual Technology Baseline (ATB)</t>
  </si>
  <si>
    <t>Avoided  Costs ($/kWh)</t>
  </si>
  <si>
    <t>Future Price Projections (real dollars)</t>
  </si>
  <si>
    <t>Annual Inflation</t>
  </si>
  <si>
    <t>Market Projections</t>
  </si>
  <si>
    <t>Net Energy Metering</t>
  </si>
  <si>
    <t>Scenario</t>
  </si>
  <si>
    <t>Sub-State Geographic Availability</t>
  </si>
  <si>
    <t>Commercial</t>
  </si>
  <si>
    <t>Industrial</t>
  </si>
  <si>
    <t>Utility Type</t>
  </si>
  <si>
    <t>Apply Policies?</t>
  </si>
  <si>
    <t>System Size Limit (kW)</t>
  </si>
  <si>
    <t>State Installed Capacity Limit (MW)^</t>
  </si>
  <si>
    <t>Year-End Excess Sell Rate ($/kWh)</t>
  </si>
  <si>
    <t>Hourly Excess Sell Rate ($/kWh)</t>
  </si>
  <si>
    <t>First Year*</t>
  </si>
  <si>
    <t>Last Year*</t>
  </si>
  <si>
    <t>IOU</t>
  </si>
  <si>
    <t>Muni</t>
  </si>
  <si>
    <t>Coop</t>
  </si>
  <si>
    <t>All Other</t>
  </si>
  <si>
    <t>Inf</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</si>
  <si>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 Under the User-Defined scenario, the user may specify whether net metering is available by utility type using the Sub-State Geograhic Availability input table. For all other scenarios, the Sub-State Geographic Availability is fixed as: True for all Utility types under Full Everywhere, None Everywhere, and Avoided Costs; and varying availability by state and sector under the BAU case, according to IREC 2013.</t>
    </r>
  </si>
  <si>
    <t>* Note: For years outside of the specified range, the model will default to the Avoided Cost scenario</t>
  </si>
  <si>
    <t>^ Note: State Installed Capacity Limit has not yet been implemented and will have no effect on model results</t>
  </si>
  <si>
    <t>Full Everywhere</t>
  </si>
  <si>
    <t>None Everywhere</t>
  </si>
  <si>
    <t>Avoided Costs</t>
  </si>
  <si>
    <t>User-Defined</t>
  </si>
  <si>
    <t>res</t>
  </si>
  <si>
    <t>com</t>
  </si>
  <si>
    <t>ind</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</si>
</sst>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4" formatCode="_(&quot;$&quot;* #,##0.00_);_(&quot;$&quot;* \(#,##0.00\);_(&quot;$&quot;* &quot;-&quot;??_);_(@_)"/>
    <numFmt numFmtId="164" formatCode="0.0"/>
    <numFmt numFmtId="165" formatCode="0.0%"/>
    <numFmt numFmtId="166" formatCode="0.0000"/>
    <numFmt numFmtId="167" formatCode="_(&quot;$&quot;* #,##0_);_(&quot;$&quot;* \(#,##0\);_(&quot;$&quot;* &quot;-&quot;??_);_(@_)"/>
    <numFmt numFmtId="168" formatCode="0.000"/>
    <numFmt numFmtId="169" formatCode="0.00000"/>
  </numFmts>
  <fonts count="46" x14ac:knownFonts="1">
    <font>
      <sz val="10"/>
      <name val="Arial"/>
      <family val="2"/>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sz val="1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sz val="10"/>
      <color indexed="9"/>
      <name val="Palatino Linotype"/>
      <family val="1"/>
    </font>
    <font>
      <b/>
      <sz val="10"/>
      <color indexed="18"/>
      <name val="Arial"/>
      <family val="2"/>
    </font>
    <font>
      <b/>
      <sz val="11"/>
      <color indexed="8"/>
      <name val="Arial"/>
      <family val="2"/>
    </font>
    <font>
      <b/>
      <sz val="22"/>
      <color indexed="18"/>
      <name val="Arial"/>
      <family val="2"/>
    </font>
    <font>
      <sz val="10"/>
      <color indexed="18"/>
      <name val="Arial"/>
      <family val="2"/>
    </font>
    <font>
      <sz val="10"/>
      <color indexed="8"/>
      <name val="Arial"/>
      <family val="2"/>
    </font>
    <font>
      <b/>
      <i/>
      <sz val="18"/>
      <name val="Arial"/>
      <family val="2"/>
    </font>
    <font>
      <b/>
      <sz val="18"/>
      <color indexed="18"/>
      <name val="Arial"/>
      <family val="2"/>
    </font>
    <font>
      <b/>
      <sz val="22"/>
      <color indexed="16"/>
      <name val="Arial"/>
      <family val="2"/>
    </font>
    <font>
      <sz val="12"/>
      <color indexed="81"/>
      <name val="Tahoma"/>
      <family val="2"/>
    </font>
    <font>
      <b/>
      <sz val="28"/>
      <color indexed="18"/>
      <name val="Arial"/>
      <family val="2"/>
    </font>
    <font>
      <b/>
      <sz val="16"/>
      <color indexed="18"/>
      <name val="Arial"/>
      <family val="2"/>
    </font>
    <font>
      <b/>
      <sz val="16"/>
      <name val="Arial"/>
      <family val="2"/>
    </font>
    <font>
      <b/>
      <sz val="12"/>
      <name val="Arial"/>
      <family val="2"/>
    </font>
    <font>
      <b/>
      <sz val="14"/>
      <name val="Palatino Linotype"/>
      <family val="1"/>
    </font>
    <font>
      <b/>
      <sz val="12"/>
      <name val="Times New Roman"/>
      <family val="1"/>
    </font>
    <font>
      <b/>
      <sz val="12"/>
      <name val="Palatino Linotype"/>
      <family val="1"/>
    </font>
    <font>
      <sz val="10"/>
      <color theme="0" tint="-0.34998626667073579"/>
      <name val="Arial"/>
      <family val="2"/>
    </font>
  </fonts>
  <fills count="15">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rgb="FF000000"/>
        <bgColor indexed="64"/>
      </patternFill>
    </fill>
  </fills>
  <borders count="83">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theme="1"/>
      </left>
      <right style="mediumDashed">
        <color theme="9"/>
      </right>
      <top/>
      <bottom style="mediumDashed">
        <color theme="9"/>
      </bottom>
      <diagonal/>
    </border>
    <border>
      <left style="thin">
        <color theme="1"/>
      </left>
      <right style="thin">
        <color theme="1"/>
      </right>
      <top/>
      <bottom style="mediumDashed">
        <color theme="9"/>
      </bottom>
      <diagonal/>
    </border>
    <border>
      <left style="mediumDashed">
        <color theme="9"/>
      </left>
      <right style="thin">
        <color theme="1"/>
      </right>
      <top/>
      <bottom style="mediumDashed">
        <color theme="9"/>
      </bottom>
      <diagonal/>
    </border>
    <border>
      <left style="thin">
        <color theme="1"/>
      </left>
      <right style="mediumDashed">
        <color theme="9"/>
      </right>
      <top/>
      <bottom/>
      <diagonal/>
    </border>
    <border>
      <left style="thin">
        <color theme="1"/>
      </left>
      <right style="thin">
        <color theme="1"/>
      </right>
      <top/>
      <bottom/>
      <diagonal/>
    </border>
    <border>
      <left style="mediumDashed">
        <color theme="9"/>
      </left>
      <right style="thin">
        <color theme="1"/>
      </right>
      <top/>
      <bottom/>
      <diagonal/>
    </border>
    <border>
      <left/>
      <right style="mediumDashed">
        <color rgb="FFFF6600"/>
      </right>
      <top/>
      <bottom style="mediumDashed">
        <color rgb="FFFF6600"/>
      </bottom>
      <diagonal/>
    </border>
    <border>
      <left/>
      <right/>
      <top/>
      <bottom style="mediumDashed">
        <color rgb="FFFF6600"/>
      </bottom>
      <diagonal/>
    </border>
    <border>
      <left style="mediumDashed">
        <color rgb="FFFF6600"/>
      </left>
      <right/>
      <top/>
      <bottom style="mediumDashed">
        <color rgb="FFFF6600"/>
      </bottom>
      <diagonal/>
    </border>
    <border>
      <left/>
      <right style="mediumDashed">
        <color rgb="FFFF6600"/>
      </right>
      <top/>
      <bottom/>
      <diagonal/>
    </border>
    <border>
      <left style="mediumDashed">
        <color rgb="FFFF6600"/>
      </left>
      <right/>
      <top/>
      <bottom/>
      <diagonal/>
    </border>
    <border>
      <left/>
      <right style="thin">
        <color auto="1"/>
      </right>
      <top/>
      <bottom/>
      <diagonal/>
    </border>
    <border>
      <left/>
      <right style="mediumDashed">
        <color rgb="FFF79646"/>
      </right>
      <top/>
      <bottom style="mediumDashed">
        <color rgb="FFF79646"/>
      </bottom>
      <diagonal/>
    </border>
    <border>
      <left style="thin">
        <color auto="1"/>
      </left>
      <right style="thin">
        <color auto="1"/>
      </right>
      <top/>
      <bottom style="mediumDashed">
        <color rgb="FFF79646"/>
      </bottom>
      <diagonal/>
    </border>
    <border>
      <left style="mediumDashed">
        <color rgb="FFF79646"/>
      </left>
      <right/>
      <top/>
      <bottom style="mediumDashed">
        <color rgb="FFF79646"/>
      </bottom>
      <diagonal/>
    </border>
    <border>
      <left/>
      <right style="mediumDashed">
        <color rgb="FFF79646"/>
      </right>
      <top/>
      <bottom/>
      <diagonal/>
    </border>
    <border>
      <left style="thin">
        <color auto="1"/>
      </left>
      <right style="thin">
        <color auto="1"/>
      </right>
      <top/>
      <bottom/>
      <diagonal/>
    </border>
    <border>
      <left style="mediumDashed">
        <color rgb="FFF79646"/>
      </left>
      <right/>
      <top/>
      <bottom/>
      <diagonal/>
    </border>
    <border>
      <left/>
      <right style="mediumDashed">
        <color rgb="FFFF6600"/>
      </right>
      <top style="mediumDashed">
        <color rgb="FFFF6600"/>
      </top>
      <bottom/>
      <diagonal/>
    </border>
    <border>
      <left/>
      <right/>
      <top style="mediumDashed">
        <color rgb="FFFF6600"/>
      </top>
      <bottom/>
      <diagonal/>
    </border>
    <border>
      <left style="mediumDashed">
        <color rgb="FFFF6600"/>
      </left>
      <right/>
      <top style="mediumDashed">
        <color rgb="FFFF6600"/>
      </top>
      <bottom/>
      <diagonal/>
    </border>
    <border>
      <left style="thin">
        <color theme="1"/>
      </left>
      <right style="mediumDashed">
        <color theme="9"/>
      </right>
      <top style="mediumDashed">
        <color theme="9"/>
      </top>
      <bottom/>
      <diagonal/>
    </border>
    <border>
      <left style="thin">
        <color theme="1"/>
      </left>
      <right style="thin">
        <color theme="1"/>
      </right>
      <top style="mediumDashed">
        <color theme="9"/>
      </top>
      <bottom/>
      <diagonal/>
    </border>
    <border>
      <left style="mediumDashed">
        <color theme="9"/>
      </left>
      <right style="thin">
        <color theme="1"/>
      </right>
      <top style="mediumDashed">
        <color theme="9"/>
      </top>
      <bottom/>
      <diagonal/>
    </border>
    <border>
      <left style="thin">
        <color auto="1"/>
      </left>
      <right style="thin">
        <color auto="1"/>
      </right>
      <top style="thin">
        <color auto="1"/>
      </top>
      <bottom style="mediumDashed">
        <color rgb="FFFF6600"/>
      </bottom>
      <diagonal/>
    </border>
    <border>
      <left/>
      <right style="thin">
        <color auto="1"/>
      </right>
      <top style="thin">
        <color auto="1"/>
      </top>
      <bottom style="mediumDashed">
        <color rgb="FFF79646"/>
      </bottom>
      <diagonal/>
    </border>
    <border>
      <left style="thin">
        <color auto="1"/>
      </left>
      <right style="thin">
        <color auto="1"/>
      </right>
      <top style="thin">
        <color auto="1"/>
      </top>
      <bottom style="mediumDashed">
        <color rgb="FFF79646"/>
      </bottom>
      <diagonal/>
    </border>
    <border>
      <left/>
      <right/>
      <top/>
      <bottom style="mediumDashed">
        <color rgb="FFF79646"/>
      </bottom>
      <diagonal/>
    </border>
    <border>
      <left style="thin">
        <color auto="1"/>
      </left>
      <right style="thin">
        <color auto="1"/>
      </right>
      <top style="thin">
        <color auto="1"/>
      </top>
      <bottom style="mediumDashed">
        <color theme="9"/>
      </bottom>
      <diagonal/>
    </border>
    <border>
      <left/>
      <right/>
      <top/>
      <bottom style="mediumDashed">
        <color theme="9"/>
      </bottom>
      <diagonal/>
    </border>
    <border>
      <left style="mediumDashed">
        <color theme="9"/>
      </left>
      <right/>
      <top/>
      <bottom style="mediumDashed">
        <color theme="9"/>
      </bottom>
      <diagonal/>
    </border>
    <border>
      <left style="thick">
        <color auto="1"/>
      </left>
      <right/>
      <top/>
      <bottom/>
      <diagonal/>
    </border>
    <border>
      <left/>
      <right style="mediumDashed">
        <color theme="9"/>
      </right>
      <top/>
      <bottom/>
      <diagonal/>
    </border>
    <border>
      <left style="mediumDashed">
        <color theme="9"/>
      </left>
      <right/>
      <top/>
      <bottom/>
      <diagonal/>
    </border>
    <border>
      <left style="thin">
        <color auto="1"/>
      </left>
      <right/>
      <top style="thin">
        <color auto="1"/>
      </top>
      <bottom style="thin">
        <color auto="1"/>
      </bottom>
      <diagonal/>
    </border>
    <border>
      <left/>
      <right style="mediumDashed">
        <color theme="9"/>
      </right>
      <top style="mediumDashed">
        <color theme="9"/>
      </top>
      <bottom/>
      <diagonal/>
    </border>
    <border>
      <left/>
      <right/>
      <top style="mediumDashed">
        <color theme="9"/>
      </top>
      <bottom/>
      <diagonal/>
    </border>
    <border>
      <left style="mediumDashed">
        <color theme="9"/>
      </left>
      <right/>
      <top style="mediumDashed">
        <color theme="9"/>
      </top>
      <bottom/>
      <diagonal/>
    </border>
    <border>
      <left/>
      <right/>
      <top style="thin">
        <color auto="1"/>
      </top>
      <bottom style="thin">
        <color auto="1"/>
      </bottom>
      <diagonal/>
    </border>
    <border>
      <left style="thick">
        <color auto="1"/>
      </left>
      <right style="medium">
        <color auto="1"/>
      </right>
      <top style="thick">
        <color auto="1"/>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ck">
        <color auto="1"/>
      </left>
      <right/>
      <top style="medium">
        <color auto="1"/>
      </top>
      <bottom/>
      <diagonal/>
    </border>
    <border>
      <left style="mediumDashed">
        <color theme="9"/>
      </left>
      <right style="mediumDashed">
        <color theme="9"/>
      </right>
      <top style="mediumDashed">
        <color theme="9"/>
      </top>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mediumDashed">
        <color theme="9"/>
      </left>
      <right style="mediumDashed">
        <color theme="9"/>
      </right>
      <top/>
      <bottom/>
      <diagonal/>
    </border>
    <border>
      <left style="thin">
        <color auto="1"/>
      </left>
      <right/>
      <top/>
      <bottom/>
      <diagonal/>
    </border>
    <border>
      <left/>
      <right style="thin">
        <color theme="1"/>
      </right>
      <top/>
      <bottom/>
      <diagonal/>
    </border>
    <border>
      <left style="thin">
        <color theme="1"/>
      </left>
      <right/>
      <top/>
      <bottom/>
      <diagonal/>
    </border>
    <border>
      <left style="thick">
        <color auto="1"/>
      </left>
      <right/>
      <top/>
      <bottom style="thick">
        <color auto="1"/>
      </bottom>
      <diagonal/>
    </border>
    <border>
      <left style="mediumDashed">
        <color theme="9"/>
      </left>
      <right style="mediumDashed">
        <color theme="9"/>
      </right>
      <top/>
      <bottom style="mediumDashed">
        <color theme="9"/>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s>
  <cellStyleXfs count="8">
    <xf numFmtId="0" fontId="0" fillId="0" borderId="0"/>
    <xf numFmtId="0" fontId="2" fillId="0" borderId="0"/>
    <xf numFmtId="0" fontId="16" fillId="0" borderId="0" applyNumberFormat="0" applyFill="0" applyBorder="0" applyAlignment="0" applyProtection="0">
      <alignment vertical="top"/>
      <protection locked="0"/>
    </xf>
    <xf numFmtId="0" fontId="26" fillId="0" borderId="22" applyNumberFormat="0" applyFont="0" applyProtection="0">
      <alignment wrapText="1"/>
    </xf>
    <xf numFmtId="44" fontId="3" fillId="0" borderId="0" applyFont="0" applyFill="0" applyBorder="0" applyAlignment="0" applyProtection="0"/>
    <xf numFmtId="0" fontId="3" fillId="0" borderId="0"/>
    <xf numFmtId="0" fontId="27" fillId="0" borderId="0"/>
    <xf numFmtId="9" fontId="3" fillId="0" borderId="0" applyFont="0" applyFill="0" applyBorder="0" applyAlignment="0" applyProtection="0"/>
  </cellStyleXfs>
  <cellXfs count="204">
    <xf numFmtId="0" fontId="0" fillId="0" borderId="0" xfId="0"/>
    <xf numFmtId="0" fontId="3" fillId="2" borderId="0" xfId="1" applyFont="1" applyFill="1"/>
    <xf numFmtId="0" fontId="3" fillId="2" borderId="0" xfId="1" applyFont="1" applyFill="1" applyBorder="1"/>
    <xf numFmtId="0" fontId="4" fillId="2" borderId="0" xfId="1" applyFont="1" applyFill="1"/>
    <xf numFmtId="0" fontId="5" fillId="2" borderId="0" xfId="1" applyFont="1" applyFill="1"/>
    <xf numFmtId="0" fontId="2" fillId="2" borderId="0" xfId="1" applyFill="1"/>
    <xf numFmtId="0" fontId="2" fillId="0" borderId="0" xfId="1"/>
    <xf numFmtId="0" fontId="6" fillId="3" borderId="1" xfId="1" applyFont="1" applyFill="1" applyBorder="1"/>
    <xf numFmtId="0" fontId="6" fillId="3" borderId="2" xfId="1" applyFont="1" applyFill="1" applyBorder="1"/>
    <xf numFmtId="0" fontId="6" fillId="3" borderId="3" xfId="1" applyFont="1" applyFill="1" applyBorder="1"/>
    <xf numFmtId="0" fontId="6" fillId="3" borderId="4" xfId="1" applyFont="1" applyFill="1" applyBorder="1"/>
    <xf numFmtId="0" fontId="6" fillId="3" borderId="0" xfId="1" applyFont="1" applyFill="1" applyBorder="1"/>
    <xf numFmtId="0" fontId="7" fillId="3" borderId="0" xfId="1" applyFont="1" applyFill="1" applyBorder="1"/>
    <xf numFmtId="0" fontId="2" fillId="4" borderId="0" xfId="1" applyFill="1"/>
    <xf numFmtId="0" fontId="6" fillId="4" borderId="0" xfId="1" applyFont="1" applyFill="1" applyBorder="1"/>
    <xf numFmtId="0" fontId="6" fillId="3" borderId="5" xfId="1" applyFont="1" applyFill="1" applyBorder="1"/>
    <xf numFmtId="0" fontId="6" fillId="3" borderId="6" xfId="1" applyFont="1" applyFill="1" applyBorder="1"/>
    <xf numFmtId="0" fontId="6" fillId="3" borderId="7" xfId="1" applyFont="1" applyFill="1" applyBorder="1"/>
    <xf numFmtId="0" fontId="6" fillId="3" borderId="8" xfId="1" applyFont="1" applyFill="1" applyBorder="1"/>
    <xf numFmtId="0" fontId="8" fillId="5" borderId="9" xfId="1" applyFont="1" applyFill="1" applyBorder="1"/>
    <xf numFmtId="0" fontId="9" fillId="5" borderId="10" xfId="1" applyFont="1" applyFill="1" applyBorder="1"/>
    <xf numFmtId="0" fontId="10" fillId="2" borderId="11" xfId="1" applyFont="1" applyFill="1" applyBorder="1" applyAlignment="1">
      <alignment horizontal="center" vertical="center"/>
    </xf>
    <xf numFmtId="0" fontId="3" fillId="2" borderId="12" xfId="1" applyFont="1" applyFill="1" applyBorder="1"/>
    <xf numFmtId="0" fontId="8" fillId="5" borderId="13" xfId="1" applyFont="1" applyFill="1" applyBorder="1" applyAlignment="1">
      <alignment horizontal="center"/>
    </xf>
    <xf numFmtId="0" fontId="8" fillId="5" borderId="14" xfId="1" applyFont="1" applyFill="1" applyBorder="1" applyAlignment="1">
      <alignment horizontal="center"/>
    </xf>
    <xf numFmtId="0" fontId="11" fillId="6" borderId="15" xfId="1" applyFont="1" applyFill="1" applyBorder="1" applyAlignment="1">
      <alignment horizontal="left"/>
    </xf>
    <xf numFmtId="0" fontId="12" fillId="0" borderId="16" xfId="1" quotePrefix="1" applyFont="1" applyFill="1" applyBorder="1" applyAlignment="1">
      <alignment horizontal="center"/>
    </xf>
    <xf numFmtId="0" fontId="13" fillId="2" borderId="0" xfId="1" applyFont="1" applyFill="1"/>
    <xf numFmtId="0" fontId="14" fillId="2" borderId="0" xfId="1" applyFont="1" applyFill="1"/>
    <xf numFmtId="0" fontId="11" fillId="6" borderId="17" xfId="1" applyFont="1" applyFill="1" applyBorder="1" applyAlignment="1">
      <alignment horizontal="left"/>
    </xf>
    <xf numFmtId="0" fontId="12" fillId="0" borderId="18" xfId="1" quotePrefix="1" applyFont="1" applyFill="1" applyBorder="1" applyAlignment="1">
      <alignment horizontal="center"/>
    </xf>
    <xf numFmtId="0" fontId="11" fillId="6" borderId="19" xfId="1" applyFont="1" applyFill="1" applyBorder="1" applyAlignment="1">
      <alignment horizontal="left"/>
    </xf>
    <xf numFmtId="0" fontId="12" fillId="0" borderId="18" xfId="1" applyFont="1" applyFill="1" applyBorder="1" applyAlignment="1">
      <alignment horizontal="center"/>
    </xf>
    <xf numFmtId="0" fontId="15" fillId="2" borderId="0" xfId="1" applyFont="1" applyFill="1"/>
    <xf numFmtId="0" fontId="11" fillId="6" borderId="17" xfId="2" applyFont="1" applyFill="1" applyBorder="1" applyAlignment="1" applyProtection="1">
      <alignment horizontal="left"/>
    </xf>
    <xf numFmtId="0" fontId="11" fillId="6" borderId="17" xfId="0" applyFont="1" applyFill="1" applyBorder="1" applyAlignment="1">
      <alignment horizontal="left"/>
    </xf>
    <xf numFmtId="0" fontId="17" fillId="2" borderId="0" xfId="2" applyFont="1" applyFill="1" applyAlignment="1" applyProtection="1"/>
    <xf numFmtId="0" fontId="18" fillId="2" borderId="0" xfId="1" applyFont="1" applyFill="1" applyBorder="1"/>
    <xf numFmtId="0" fontId="19" fillId="2" borderId="0" xfId="2" quotePrefix="1" applyFont="1" applyFill="1" applyBorder="1" applyAlignment="1" applyProtection="1"/>
    <xf numFmtId="0" fontId="11" fillId="6" borderId="20" xfId="0" applyFont="1" applyFill="1" applyBorder="1" applyAlignment="1">
      <alignment horizontal="left"/>
    </xf>
    <xf numFmtId="0" fontId="12" fillId="0" borderId="21" xfId="1" applyFont="1" applyFill="1" applyBorder="1" applyAlignment="1">
      <alignment horizontal="center"/>
    </xf>
    <xf numFmtId="0" fontId="20" fillId="2" borderId="0" xfId="1" applyFont="1" applyFill="1"/>
    <xf numFmtId="0" fontId="17" fillId="2" borderId="0" xfId="2" applyFont="1" applyFill="1" applyBorder="1" applyAlignment="1" applyProtection="1"/>
    <xf numFmtId="0" fontId="4" fillId="2" borderId="0" xfId="1" applyFont="1" applyFill="1" applyBorder="1"/>
    <xf numFmtId="0" fontId="5" fillId="0" borderId="0" xfId="1" applyFont="1"/>
    <xf numFmtId="164" fontId="13" fillId="2" borderId="0" xfId="1" applyNumberFormat="1" applyFont="1" applyFill="1" applyBorder="1" applyAlignment="1">
      <alignment horizontal="center"/>
    </xf>
    <xf numFmtId="2" fontId="3" fillId="2" borderId="0" xfId="1" applyNumberFormat="1" applyFont="1" applyFill="1"/>
    <xf numFmtId="164" fontId="21" fillId="2" borderId="0" xfId="1" applyNumberFormat="1" applyFont="1" applyFill="1" applyAlignment="1">
      <alignment horizontal="center"/>
    </xf>
    <xf numFmtId="164" fontId="4" fillId="2" borderId="0" xfId="1" applyNumberFormat="1" applyFont="1" applyFill="1" applyAlignment="1">
      <alignment horizontal="left"/>
    </xf>
    <xf numFmtId="1" fontId="4" fillId="2" borderId="0" xfId="1" applyNumberFormat="1" applyFont="1" applyFill="1"/>
    <xf numFmtId="0" fontId="4" fillId="0" borderId="0" xfId="0" applyFont="1"/>
    <xf numFmtId="1" fontId="4" fillId="2" borderId="0" xfId="1" applyNumberFormat="1" applyFont="1" applyFill="1" applyBorder="1"/>
    <xf numFmtId="0" fontId="4" fillId="2" borderId="0" xfId="1" applyFont="1" applyFill="1" applyAlignment="1">
      <alignment horizontal="left"/>
    </xf>
    <xf numFmtId="1" fontId="3" fillId="2" borderId="0" xfId="1" applyNumberFormat="1" applyFont="1" applyFill="1" applyBorder="1"/>
    <xf numFmtId="0" fontId="4" fillId="2" borderId="0" xfId="1" applyFont="1" applyFill="1" applyAlignment="1"/>
    <xf numFmtId="1" fontId="3" fillId="2" borderId="0" xfId="1" applyNumberFormat="1" applyFont="1" applyFill="1"/>
    <xf numFmtId="1" fontId="4" fillId="2" borderId="0" xfId="1" applyNumberFormat="1" applyFont="1" applyFill="1" applyAlignment="1">
      <alignment horizontal="left"/>
    </xf>
    <xf numFmtId="0" fontId="2" fillId="7" borderId="0" xfId="1" applyFill="1"/>
    <xf numFmtId="0" fontId="5" fillId="7" borderId="0" xfId="1" applyFont="1" applyFill="1"/>
    <xf numFmtId="0" fontId="2" fillId="7" borderId="0" xfId="1" applyFill="1" applyAlignment="1">
      <alignment horizontal="center"/>
    </xf>
    <xf numFmtId="0" fontId="3" fillId="7" borderId="0" xfId="1" applyFont="1" applyFill="1" applyAlignment="1">
      <alignment horizontal="center"/>
    </xf>
    <xf numFmtId="0" fontId="3" fillId="7" borderId="0" xfId="1" applyFont="1" applyFill="1"/>
    <xf numFmtId="0" fontId="2" fillId="7" borderId="0" xfId="1" applyFill="1" applyBorder="1"/>
    <xf numFmtId="9" fontId="2" fillId="7" borderId="0" xfId="1" applyNumberFormat="1" applyFill="1" applyBorder="1" applyAlignment="1">
      <alignment horizontal="center"/>
    </xf>
    <xf numFmtId="165" fontId="2" fillId="7" borderId="0" xfId="7" applyNumberFormat="1" applyFont="1" applyFill="1" applyBorder="1" applyAlignment="1">
      <alignment horizontal="center"/>
    </xf>
    <xf numFmtId="0" fontId="2" fillId="7" borderId="0" xfId="1" applyFill="1" applyBorder="1" applyAlignment="1">
      <alignment horizontal="center"/>
    </xf>
    <xf numFmtId="0" fontId="3" fillId="2" borderId="0" xfId="1" applyFont="1" applyFill="1" applyAlignment="1"/>
    <xf numFmtId="0" fontId="3" fillId="7" borderId="0" xfId="1" applyFont="1" applyFill="1" applyBorder="1" applyAlignment="1">
      <alignment horizontal="center"/>
    </xf>
    <xf numFmtId="0" fontId="3" fillId="7" borderId="0" xfId="1" applyFont="1" applyFill="1" applyBorder="1"/>
    <xf numFmtId="0" fontId="3" fillId="8" borderId="0" xfId="1" applyFont="1" applyFill="1" applyAlignment="1"/>
    <xf numFmtId="165" fontId="2" fillId="7" borderId="0" xfId="1" applyNumberFormat="1" applyFill="1" applyBorder="1" applyAlignment="1">
      <alignment horizontal="center"/>
    </xf>
    <xf numFmtId="0" fontId="2" fillId="8" borderId="0" xfId="1" applyFill="1"/>
    <xf numFmtId="165" fontId="2" fillId="7" borderId="0" xfId="1" quotePrefix="1" applyNumberFormat="1" applyFill="1" applyBorder="1" applyAlignment="1">
      <alignment horizontal="center"/>
    </xf>
    <xf numFmtId="0" fontId="3" fillId="8" borderId="0" xfId="1" applyFont="1" applyFill="1" applyBorder="1" applyAlignment="1"/>
    <xf numFmtId="0" fontId="28" fillId="7" borderId="0" xfId="1" applyFont="1" applyFill="1" applyBorder="1" applyAlignment="1">
      <alignment horizontal="center"/>
    </xf>
    <xf numFmtId="0" fontId="0" fillId="8" borderId="0" xfId="0" applyFill="1"/>
    <xf numFmtId="2" fontId="3" fillId="0" borderId="23" xfId="1" applyNumberFormat="1" applyFont="1" applyFill="1" applyBorder="1" applyAlignment="1">
      <alignment horizontal="center"/>
    </xf>
    <xf numFmtId="2" fontId="3" fillId="0" borderId="24" xfId="1" applyNumberFormat="1" applyFont="1" applyFill="1" applyBorder="1" applyAlignment="1">
      <alignment horizontal="center"/>
    </xf>
    <xf numFmtId="0" fontId="29" fillId="0" borderId="25" xfId="5" applyFont="1" applyFill="1" applyBorder="1"/>
    <xf numFmtId="2" fontId="3" fillId="0" borderId="26" xfId="1" applyNumberFormat="1" applyFont="1" applyFill="1" applyBorder="1" applyAlignment="1">
      <alignment horizontal="center"/>
    </xf>
    <xf numFmtId="2" fontId="3" fillId="0" borderId="27" xfId="1" applyNumberFormat="1" applyFont="1" applyFill="1" applyBorder="1" applyAlignment="1">
      <alignment horizontal="center"/>
    </xf>
    <xf numFmtId="0" fontId="29" fillId="0" borderId="28" xfId="5" applyFont="1" applyFill="1" applyBorder="1"/>
    <xf numFmtId="0" fontId="20" fillId="2" borderId="0" xfId="0" applyFont="1" applyFill="1" applyBorder="1"/>
    <xf numFmtId="166" fontId="3" fillId="0" borderId="29" xfId="1" applyNumberFormat="1" applyFont="1" applyFill="1" applyBorder="1" applyAlignment="1"/>
    <xf numFmtId="166" fontId="3" fillId="0" borderId="30" xfId="1" applyNumberFormat="1" applyFont="1" applyFill="1" applyBorder="1" applyAlignment="1"/>
    <xf numFmtId="0" fontId="30" fillId="0" borderId="31" xfId="1" applyFont="1" applyFill="1" applyBorder="1" applyAlignment="1">
      <alignment wrapText="1"/>
    </xf>
    <xf numFmtId="0" fontId="3" fillId="2" borderId="0" xfId="0" applyFont="1" applyFill="1" applyBorder="1" applyAlignment="1">
      <alignment horizontal="center"/>
    </xf>
    <xf numFmtId="166" fontId="3" fillId="0" borderId="32" xfId="1" applyNumberFormat="1" applyFont="1" applyFill="1" applyBorder="1" applyAlignment="1"/>
    <xf numFmtId="166" fontId="3" fillId="0" borderId="0" xfId="1" applyNumberFormat="1" applyFont="1" applyFill="1" applyBorder="1" applyAlignment="1"/>
    <xf numFmtId="0" fontId="30" fillId="0" borderId="33" xfId="1" applyFont="1" applyFill="1" applyBorder="1" applyAlignment="1">
      <alignment wrapText="1"/>
    </xf>
    <xf numFmtId="0" fontId="6" fillId="7" borderId="0" xfId="1" applyFont="1" applyFill="1" applyBorder="1" applyAlignment="1">
      <alignment horizontal="center"/>
    </xf>
    <xf numFmtId="0" fontId="6" fillId="7" borderId="0" xfId="1" applyFont="1" applyFill="1" applyBorder="1"/>
    <xf numFmtId="167" fontId="29" fillId="2" borderId="0" xfId="4" applyNumberFormat="1" applyFont="1" applyFill="1" applyAlignment="1"/>
    <xf numFmtId="0" fontId="2" fillId="0" borderId="0" xfId="1" applyAlignment="1">
      <alignment vertical="center" wrapText="1"/>
    </xf>
    <xf numFmtId="0" fontId="2" fillId="7" borderId="0" xfId="1" applyFill="1" applyAlignment="1">
      <alignment vertical="center" wrapText="1"/>
    </xf>
    <xf numFmtId="0" fontId="2" fillId="8" borderId="0" xfId="1" applyFill="1" applyAlignment="1">
      <alignment vertical="center" wrapText="1"/>
    </xf>
    <xf numFmtId="0" fontId="6" fillId="2" borderId="0" xfId="1" applyFont="1" applyFill="1" applyAlignment="1">
      <alignment vertical="center"/>
    </xf>
    <xf numFmtId="0" fontId="13" fillId="2" borderId="0" xfId="1" applyFont="1" applyFill="1" applyAlignment="1"/>
    <xf numFmtId="0" fontId="3" fillId="2" borderId="0" xfId="1" applyFont="1" applyFill="1" applyAlignment="1">
      <alignment horizontal="center"/>
    </xf>
    <xf numFmtId="0" fontId="0" fillId="9" borderId="12" xfId="0" applyFill="1" applyBorder="1"/>
    <xf numFmtId="0" fontId="0" fillId="9" borderId="34" xfId="0" applyFill="1" applyBorder="1" applyAlignment="1">
      <alignment horizontal="right" vertical="center"/>
    </xf>
    <xf numFmtId="0" fontId="0" fillId="0" borderId="35" xfId="0" applyFill="1" applyBorder="1"/>
    <xf numFmtId="0" fontId="0" fillId="0" borderId="36" xfId="0" applyFill="1" applyBorder="1"/>
    <xf numFmtId="0" fontId="0" fillId="0" borderId="37" xfId="0" applyFill="1" applyBorder="1"/>
    <xf numFmtId="0" fontId="0" fillId="0" borderId="38" xfId="0" applyFill="1" applyBorder="1"/>
    <xf numFmtId="0" fontId="0" fillId="0" borderId="39" xfId="0" applyFill="1" applyBorder="1"/>
    <xf numFmtId="0" fontId="0" fillId="0" borderId="40" xfId="0" applyFill="1" applyBorder="1"/>
    <xf numFmtId="166" fontId="3" fillId="0" borderId="41" xfId="1" applyNumberFormat="1" applyFont="1" applyFill="1" applyBorder="1" applyAlignment="1"/>
    <xf numFmtId="166" fontId="3" fillId="0" borderId="42" xfId="1" applyNumberFormat="1" applyFont="1" applyFill="1" applyBorder="1" applyAlignment="1"/>
    <xf numFmtId="0" fontId="30" fillId="0" borderId="43" xfId="1" applyFont="1" applyFill="1" applyBorder="1" applyAlignment="1">
      <alignment wrapText="1"/>
    </xf>
    <xf numFmtId="2" fontId="3" fillId="0" borderId="44" xfId="1" applyNumberFormat="1" applyFont="1" applyFill="1" applyBorder="1" applyAlignment="1">
      <alignment horizontal="center"/>
    </xf>
    <xf numFmtId="2" fontId="3" fillId="0" borderId="45" xfId="1" applyNumberFormat="1" applyFont="1" applyFill="1" applyBorder="1" applyAlignment="1">
      <alignment horizontal="center"/>
    </xf>
    <xf numFmtId="0" fontId="29" fillId="0" borderId="46" xfId="5" applyFont="1" applyFill="1" applyBorder="1"/>
    <xf numFmtId="1" fontId="13" fillId="5" borderId="47" xfId="1" applyNumberFormat="1" applyFont="1" applyFill="1" applyBorder="1" applyAlignment="1">
      <alignment wrapText="1"/>
    </xf>
    <xf numFmtId="0" fontId="0" fillId="9" borderId="48" xfId="0" applyFill="1" applyBorder="1" applyAlignment="1">
      <alignment horizontal="center" vertical="center" wrapText="1"/>
    </xf>
    <xf numFmtId="0" fontId="0" fillId="9" borderId="49" xfId="0" applyFill="1" applyBorder="1" applyAlignment="1">
      <alignment horizontal="center" vertical="center"/>
    </xf>
    <xf numFmtId="0" fontId="2" fillId="0" borderId="50" xfId="0" applyFont="1" applyBorder="1" applyAlignment="1">
      <alignment horizontal="center" vertical="center"/>
    </xf>
    <xf numFmtId="0" fontId="0" fillId="2" borderId="51" xfId="1" applyFont="1" applyFill="1" applyBorder="1" applyAlignment="1">
      <alignment horizontal="center" vertical="center" wrapText="1"/>
    </xf>
    <xf numFmtId="0" fontId="3" fillId="2" borderId="51" xfId="0" applyFont="1" applyFill="1" applyBorder="1" applyAlignment="1">
      <alignment horizontal="center" vertical="center"/>
    </xf>
    <xf numFmtId="0" fontId="31" fillId="8" borderId="0" xfId="1" applyFont="1" applyFill="1"/>
    <xf numFmtId="0" fontId="31" fillId="2" borderId="0" xfId="1" applyFont="1" applyFill="1"/>
    <xf numFmtId="1" fontId="3" fillId="2" borderId="0" xfId="1" applyNumberFormat="1" applyFont="1" applyFill="1" applyAlignment="1"/>
    <xf numFmtId="1" fontId="3" fillId="2" borderId="0" xfId="1" applyNumberFormat="1" applyFont="1" applyFill="1" applyBorder="1" applyAlignment="1"/>
    <xf numFmtId="168" fontId="3" fillId="2" borderId="0" xfId="1" applyNumberFormat="1" applyFont="1" applyFill="1" applyBorder="1" applyAlignment="1"/>
    <xf numFmtId="169" fontId="3" fillId="2" borderId="0" xfId="0" applyNumberFormat="1" applyFont="1" applyFill="1" applyBorder="1"/>
    <xf numFmtId="169" fontId="3" fillId="2" borderId="0" xfId="1" applyNumberFormat="1" applyFont="1" applyFill="1" applyBorder="1" applyAlignment="1"/>
    <xf numFmtId="9" fontId="3" fillId="2" borderId="52" xfId="7" applyNumberFormat="1" applyFont="1" applyFill="1" applyBorder="1"/>
    <xf numFmtId="9" fontId="32" fillId="2" borderId="53" xfId="7" applyNumberFormat="1" applyFont="1" applyFill="1" applyBorder="1" applyAlignment="1"/>
    <xf numFmtId="0" fontId="11" fillId="6" borderId="54" xfId="2" applyFont="1" applyFill="1" applyBorder="1" applyAlignment="1" applyProtection="1">
      <alignment horizontal="left"/>
    </xf>
    <xf numFmtId="9" fontId="3" fillId="2" borderId="55" xfId="7" applyFont="1" applyFill="1" applyBorder="1"/>
    <xf numFmtId="9" fontId="3" fillId="2" borderId="0" xfId="7" applyFont="1" applyFill="1" applyBorder="1"/>
    <xf numFmtId="9" fontId="32" fillId="2" borderId="56" xfId="7" applyFont="1" applyFill="1" applyBorder="1" applyAlignment="1"/>
    <xf numFmtId="0" fontId="30" fillId="6" borderId="57" xfId="1" applyFont="1" applyFill="1" applyBorder="1" applyAlignment="1">
      <alignment wrapText="1"/>
    </xf>
    <xf numFmtId="9" fontId="3" fillId="2" borderId="56" xfId="7" applyFont="1" applyFill="1" applyBorder="1"/>
    <xf numFmtId="1" fontId="33" fillId="0" borderId="55" xfId="1" applyNumberFormat="1" applyFont="1" applyFill="1" applyBorder="1" applyAlignment="1">
      <alignment horizontal="center"/>
    </xf>
    <xf numFmtId="1" fontId="33" fillId="0" borderId="0" xfId="1" applyNumberFormat="1" applyFont="1" applyFill="1" applyBorder="1" applyAlignment="1">
      <alignment horizontal="center"/>
    </xf>
    <xf numFmtId="1" fontId="33" fillId="0" borderId="56" xfId="1" applyNumberFormat="1" applyFont="1" applyFill="1" applyBorder="1" applyAlignment="1">
      <alignment horizontal="center"/>
    </xf>
    <xf numFmtId="2" fontId="33" fillId="0" borderId="55" xfId="1" applyNumberFormat="1" applyFont="1" applyFill="1" applyBorder="1" applyAlignment="1">
      <alignment horizontal="center"/>
    </xf>
    <xf numFmtId="2" fontId="33" fillId="0" borderId="0" xfId="1" applyNumberFormat="1" applyFont="1" applyFill="1" applyBorder="1" applyAlignment="1">
      <alignment horizontal="center"/>
    </xf>
    <xf numFmtId="2" fontId="33" fillId="0" borderId="56" xfId="1" applyNumberFormat="1" applyFont="1" applyFill="1" applyBorder="1" applyAlignment="1">
      <alignment horizontal="center"/>
    </xf>
    <xf numFmtId="1" fontId="13" fillId="5" borderId="58" xfId="1" applyNumberFormat="1" applyFont="1" applyFill="1" applyBorder="1"/>
    <xf numFmtId="1" fontId="13" fillId="5" borderId="59" xfId="1" applyNumberFormat="1" applyFont="1" applyFill="1" applyBorder="1"/>
    <xf numFmtId="1" fontId="13" fillId="5" borderId="60" xfId="1" applyNumberFormat="1" applyFont="1" applyFill="1" applyBorder="1"/>
    <xf numFmtId="0" fontId="34" fillId="2" borderId="0" xfId="1" applyFont="1" applyFill="1"/>
    <xf numFmtId="0" fontId="35" fillId="2" borderId="0" xfId="1" applyFont="1" applyFill="1"/>
    <xf numFmtId="10" fontId="3" fillId="2" borderId="11" xfId="1" applyNumberFormat="1" applyFont="1" applyFill="1" applyBorder="1"/>
    <xf numFmtId="0" fontId="30" fillId="6" borderId="57" xfId="1" applyFont="1" applyFill="1" applyBorder="1" applyAlignment="1">
      <alignment vertical="center" wrapText="1"/>
    </xf>
    <xf numFmtId="0" fontId="36" fillId="2" borderId="0" xfId="1" applyFont="1" applyFill="1"/>
    <xf numFmtId="0" fontId="38" fillId="2" borderId="0" xfId="1" applyFont="1" applyFill="1" applyProtection="1">
      <protection locked="0"/>
    </xf>
    <xf numFmtId="0" fontId="0" fillId="8" borderId="0" xfId="0" applyFill="1" applyProtection="1">
      <protection locked="0"/>
    </xf>
    <xf numFmtId="0" fontId="39" fillId="2" borderId="0" xfId="1" applyFont="1" applyFill="1" applyProtection="1">
      <protection locked="0"/>
    </xf>
    <xf numFmtId="0" fontId="40" fillId="0" borderId="0" xfId="0" applyFont="1" applyProtection="1">
      <protection locked="0"/>
    </xf>
    <xf numFmtId="0" fontId="0" fillId="10" borderId="0" xfId="0" applyFill="1" applyProtection="1">
      <protection locked="0"/>
    </xf>
    <xf numFmtId="0" fontId="31" fillId="2" borderId="0" xfId="1" applyFont="1" applyFill="1" applyProtection="1">
      <protection locked="0"/>
    </xf>
    <xf numFmtId="0" fontId="41" fillId="11" borderId="57" xfId="0" applyFont="1" applyFill="1" applyBorder="1" applyAlignment="1" applyProtection="1">
      <alignment horizontal="center"/>
      <protection locked="0"/>
    </xf>
    <xf numFmtId="0" fontId="41" fillId="11" borderId="61" xfId="0" applyFont="1" applyFill="1" applyBorder="1" applyAlignment="1" applyProtection="1">
      <alignment horizontal="center"/>
      <protection locked="0"/>
    </xf>
    <xf numFmtId="0" fontId="41" fillId="11" borderId="10" xfId="0" applyFont="1" applyFill="1" applyBorder="1" applyAlignment="1" applyProtection="1">
      <alignment horizontal="center"/>
      <protection locked="0"/>
    </xf>
    <xf numFmtId="0" fontId="42" fillId="12" borderId="62" xfId="1" applyFont="1" applyFill="1" applyBorder="1" applyAlignment="1" applyProtection="1">
      <alignment horizontal="center"/>
      <protection locked="0"/>
    </xf>
    <xf numFmtId="0" fontId="43" fillId="13" borderId="14" xfId="1" applyFont="1" applyFill="1" applyBorder="1" applyAlignment="1" applyProtection="1">
      <alignment horizontal="center" wrapText="1"/>
      <protection locked="0"/>
    </xf>
    <xf numFmtId="0" fontId="41" fillId="11" borderId="63" xfId="0" applyFont="1" applyFill="1" applyBorder="1" applyAlignment="1" applyProtection="1">
      <alignment horizontal="center" vertical="center" wrapText="1"/>
      <protection locked="0"/>
    </xf>
    <xf numFmtId="0" fontId="41" fillId="11" borderId="64" xfId="0" applyFont="1" applyFill="1" applyBorder="1" applyAlignment="1" applyProtection="1">
      <alignment horizontal="center" vertical="center" wrapText="1"/>
      <protection locked="0"/>
    </xf>
    <xf numFmtId="0" fontId="41" fillId="11" borderId="65" xfId="0" applyFont="1" applyFill="1" applyBorder="1" applyAlignment="1" applyProtection="1">
      <alignment horizontal="center" vertical="center" wrapText="1"/>
      <protection locked="0"/>
    </xf>
    <xf numFmtId="0" fontId="44" fillId="10" borderId="66" xfId="1" applyFont="1" applyFill="1" applyBorder="1" applyAlignment="1" applyProtection="1">
      <alignment horizontal="center"/>
    </xf>
    <xf numFmtId="0" fontId="43" fillId="0" borderId="67" xfId="1" applyFont="1" applyFill="1" applyBorder="1" applyAlignment="1" applyProtection="1">
      <alignment horizontal="center" wrapText="1"/>
    </xf>
    <xf numFmtId="0" fontId="29" fillId="8" borderId="60" xfId="5" applyFont="1" applyFill="1" applyBorder="1" applyProtection="1">
      <protection locked="0"/>
    </xf>
    <xf numFmtId="0" fontId="0" fillId="10" borderId="68" xfId="0" applyFont="1" applyFill="1" applyBorder="1" applyAlignment="1" applyProtection="1">
      <alignment horizontal="center"/>
    </xf>
    <xf numFmtId="0" fontId="0" fillId="10" borderId="59" xfId="0" applyFont="1" applyFill="1" applyBorder="1" applyAlignment="1" applyProtection="1">
      <alignment horizontal="center"/>
    </xf>
    <xf numFmtId="0" fontId="0" fillId="10" borderId="59" xfId="0" applyFont="1" applyFill="1" applyBorder="1" applyAlignment="1" applyProtection="1">
      <alignment horizontal="center"/>
      <protection locked="0"/>
    </xf>
    <xf numFmtId="0" fontId="0" fillId="14" borderId="69" xfId="0" applyFont="1" applyFill="1" applyBorder="1" applyAlignment="1" applyProtection="1">
      <alignment horizontal="center"/>
    </xf>
    <xf numFmtId="0" fontId="0" fillId="14" borderId="70" xfId="0" applyFont="1" applyFill="1" applyBorder="1" applyAlignment="1" applyProtection="1">
      <alignment horizontal="center"/>
    </xf>
    <xf numFmtId="0" fontId="0" fillId="10" borderId="71" xfId="0" applyFont="1" applyFill="1" applyBorder="1" applyAlignment="1" applyProtection="1">
      <alignment horizontal="center"/>
    </xf>
    <xf numFmtId="0" fontId="0" fillId="10" borderId="71" xfId="0" applyFill="1" applyBorder="1" applyAlignment="1" applyProtection="1">
      <alignment horizontal="center"/>
    </xf>
    <xf numFmtId="0" fontId="0" fillId="10" borderId="58" xfId="0" applyFill="1" applyBorder="1" applyAlignment="1" applyProtection="1">
      <alignment horizontal="center"/>
    </xf>
    <xf numFmtId="0" fontId="44" fillId="10" borderId="54" xfId="1" applyFont="1" applyFill="1" applyBorder="1" applyAlignment="1" applyProtection="1">
      <alignment horizontal="center"/>
    </xf>
    <xf numFmtId="0" fontId="43" fillId="0" borderId="72" xfId="1" applyFont="1" applyFill="1" applyBorder="1" applyAlignment="1" applyProtection="1">
      <alignment horizontal="center" wrapText="1"/>
    </xf>
    <xf numFmtId="0" fontId="29" fillId="8" borderId="56" xfId="5" applyFont="1" applyFill="1" applyBorder="1" applyProtection="1">
      <protection locked="0"/>
    </xf>
    <xf numFmtId="0" fontId="0" fillId="10" borderId="73" xfId="0" applyFont="1" applyFill="1" applyBorder="1" applyAlignment="1" applyProtection="1">
      <alignment horizontal="center"/>
    </xf>
    <xf numFmtId="0" fontId="0" fillId="10" borderId="0" xfId="0" applyFont="1" applyFill="1" applyBorder="1" applyAlignment="1" applyProtection="1">
      <alignment horizontal="center"/>
    </xf>
    <xf numFmtId="0" fontId="0" fillId="10" borderId="34" xfId="0" applyFont="1" applyFill="1" applyBorder="1" applyAlignment="1" applyProtection="1">
      <alignment horizontal="center"/>
    </xf>
    <xf numFmtId="0" fontId="0" fillId="10" borderId="74" xfId="0" applyFont="1" applyFill="1" applyBorder="1" applyAlignment="1" applyProtection="1">
      <alignment horizontal="center"/>
    </xf>
    <xf numFmtId="0" fontId="0" fillId="10" borderId="75" xfId="0" applyFont="1" applyFill="1" applyBorder="1" applyAlignment="1" applyProtection="1">
      <alignment horizontal="center"/>
    </xf>
    <xf numFmtId="0" fontId="0" fillId="10" borderId="75" xfId="0" applyFill="1" applyBorder="1" applyAlignment="1" applyProtection="1">
      <alignment horizontal="center"/>
    </xf>
    <xf numFmtId="0" fontId="0" fillId="10" borderId="55" xfId="0" applyFill="1" applyBorder="1" applyAlignment="1" applyProtection="1">
      <alignment horizontal="center"/>
    </xf>
    <xf numFmtId="0" fontId="0" fillId="10" borderId="0" xfId="0" applyFont="1" applyFill="1" applyBorder="1" applyAlignment="1" applyProtection="1">
      <alignment horizontal="center"/>
      <protection locked="0"/>
    </xf>
    <xf numFmtId="0" fontId="0" fillId="14" borderId="34" xfId="0" applyFont="1" applyFill="1" applyBorder="1" applyAlignment="1" applyProtection="1">
      <alignment horizontal="center"/>
    </xf>
    <xf numFmtId="0" fontId="0" fillId="14" borderId="74" xfId="0" applyFont="1" applyFill="1" applyBorder="1" applyAlignment="1" applyProtection="1">
      <alignment horizontal="center"/>
    </xf>
    <xf numFmtId="0" fontId="44" fillId="10" borderId="76" xfId="1" applyFont="1" applyFill="1" applyBorder="1" applyAlignment="1" applyProtection="1">
      <alignment horizontal="center"/>
    </xf>
    <xf numFmtId="0" fontId="43" fillId="0" borderId="77" xfId="1" applyFont="1" applyFill="1" applyBorder="1" applyAlignment="1" applyProtection="1">
      <alignment horizontal="center" wrapText="1"/>
    </xf>
    <xf numFmtId="0" fontId="12" fillId="8" borderId="0" xfId="0" applyFont="1" applyFill="1" applyAlignment="1" applyProtection="1">
      <alignment horizontal="left" vertical="top" wrapText="1"/>
      <protection locked="0"/>
    </xf>
    <xf numFmtId="0" fontId="12" fillId="8" borderId="0" xfId="0" applyFont="1" applyFill="1" applyAlignment="1" applyProtection="1">
      <alignment horizontal="center" vertical="top" wrapText="1"/>
      <protection locked="0"/>
    </xf>
    <xf numFmtId="0" fontId="12" fillId="8" borderId="0" xfId="0" applyFont="1" applyFill="1" applyAlignment="1" applyProtection="1">
      <alignment horizontal="center" wrapText="1"/>
      <protection locked="0"/>
    </xf>
    <xf numFmtId="0" fontId="29" fillId="8" borderId="53" xfId="5" applyFont="1" applyFill="1" applyBorder="1" applyProtection="1">
      <protection locked="0"/>
    </xf>
    <xf numFmtId="0" fontId="0" fillId="10" borderId="78" xfId="0" applyFont="1" applyFill="1" applyBorder="1" applyAlignment="1" applyProtection="1">
      <alignment horizontal="center"/>
    </xf>
    <xf numFmtId="0" fontId="0" fillId="10" borderId="52" xfId="0" applyFont="1" applyFill="1" applyBorder="1" applyAlignment="1" applyProtection="1">
      <alignment horizontal="center"/>
    </xf>
    <xf numFmtId="0" fontId="0" fillId="10" borderId="52" xfId="0" applyFont="1" applyFill="1" applyBorder="1" applyAlignment="1" applyProtection="1">
      <alignment horizontal="center"/>
      <protection locked="0"/>
    </xf>
    <xf numFmtId="0" fontId="0" fillId="14" borderId="79" xfId="0" applyFont="1" applyFill="1" applyBorder="1" applyAlignment="1" applyProtection="1">
      <alignment horizontal="center"/>
    </xf>
    <xf numFmtId="0" fontId="0" fillId="14" borderId="80" xfId="0" applyFont="1" applyFill="1" applyBorder="1" applyAlignment="1" applyProtection="1">
      <alignment horizontal="center"/>
    </xf>
    <xf numFmtId="0" fontId="0" fillId="10" borderId="81" xfId="0" applyFont="1" applyFill="1" applyBorder="1" applyAlignment="1" applyProtection="1">
      <alignment horizontal="center"/>
    </xf>
    <xf numFmtId="0" fontId="0" fillId="10" borderId="81" xfId="0" applyFill="1" applyBorder="1" applyAlignment="1" applyProtection="1">
      <alignment horizontal="center"/>
    </xf>
    <xf numFmtId="0" fontId="0" fillId="10" borderId="82" xfId="0" applyFill="1" applyBorder="1" applyAlignment="1" applyProtection="1">
      <alignment horizontal="center"/>
    </xf>
    <xf numFmtId="0" fontId="45" fillId="8" borderId="0" xfId="0" applyFont="1" applyFill="1" applyProtection="1">
      <protection locked="0"/>
    </xf>
    <xf numFmtId="0" fontId="45" fillId="8" borderId="0" xfId="0" applyFont="1" applyFill="1" applyAlignment="1" applyProtection="1">
      <alignment horizontal="left"/>
      <protection locked="0"/>
    </xf>
    <xf numFmtId="0" fontId="45" fillId="8" borderId="0" xfId="0" applyFont="1" applyFill="1" applyAlignment="1" applyProtection="1">
      <alignment horizontal="left" vertical="center"/>
      <protection locked="0"/>
    </xf>
    <xf numFmtId="0" fontId="0" fillId="8" borderId="0" xfId="0" applyFill="1" applyAlignment="1" applyProtection="1">
      <alignment horizontal="left"/>
      <protection locked="0"/>
    </xf>
  </cellXfs>
  <cellStyles count="8">
    <cellStyle name="Body: normal cell" xfId="3"/>
    <cellStyle name="Currency 2" xfId="4"/>
    <cellStyle name="Hyperlink" xfId="2" builtinId="8"/>
    <cellStyle name="Normal" xfId="0" builtinId="0"/>
    <cellStyle name="Normal 2" xfId="5"/>
    <cellStyle name="Normal 3" xfId="6"/>
    <cellStyle name="Normal_NAV_TOY_MODEL" xfId="1"/>
    <cellStyle name="Percent 2" xfId="7"/>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externalLink" Target="externalLinks/externalLink1.xml"/><Relationship Id="rId5" Type="http://schemas.openxmlformats.org/officeDocument/2006/relationships/theme" Target="theme/theme1.xml"/><Relationship Id="rId6" Type="http://schemas.openxmlformats.org/officeDocument/2006/relationships/styles" Target="styles.xml"/><Relationship Id="rId7" Type="http://schemas.openxmlformats.org/officeDocument/2006/relationships/sharedStrings" Target="sharedStrings.xml"/><Relationship Id="rId8" Type="http://schemas.openxmlformats.org/officeDocument/2006/relationships/calcChain" Target="calcChain.xml"/><Relationship Id="rId9"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16</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3</xdr:col>
          <xdr:colOff>215900</xdr:colOff>
          <xdr:row>6</xdr:row>
          <xdr:rowOff>50800</xdr:rowOff>
        </xdr:from>
        <xdr:to>
          <xdr:col>3</xdr:col>
          <xdr:colOff>2146300</xdr:colOff>
          <xdr:row>6</xdr:row>
          <xdr:rowOff>393700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6387354" y="186016"/>
          <a:ext cx="16730382" cy="5244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sheetName val="Net Metering"/>
    </sheetNames>
    <definedNames>
      <definedName name="SaveWorkBook"/>
    </definedNames>
    <sheetDataSet>
      <sheetData sheetId="0"/>
      <sheetData sheetId="1"/>
    </sheetDataSet>
  </externalBook>
</externalLink>
</file>

<file path=xl/tables/table1.xml><?xml version="1.0" encoding="utf-8"?>
<table xmlns="http://schemas.openxmlformats.org/spreadsheetml/2006/main" id="1" name="List1" displayName="List1" ref="E150:E152" totalsRowShown="0" headerRowDxfId="1" dataDxfId="0" headerRowCellStyle="Normal_NAV_TOY_MODEL" dataCellStyle="Normal_NAV_TOY_MODEL">
  <autoFilter ref="E150:E152"/>
  <tableColumns count="1">
    <tableColumn id="1" name="Base Mix" dataDxfId="2"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0"/>
  </sheetPr>
  <dimension ref="A1:BB2266"/>
  <sheetViews>
    <sheetView tabSelected="1" workbookViewId="0">
      <selection activeCell="F41" sqref="F41"/>
    </sheetView>
  </sheetViews>
  <sheetFormatPr baseColWidth="10" defaultColWidth="9.1640625" defaultRowHeight="14" x14ac:dyDescent="0"/>
  <cols>
    <col min="1" max="1" width="10.33203125" style="6" customWidth="1"/>
    <col min="2" max="2" width="3.5" style="57" customWidth="1"/>
    <col min="3" max="3" width="35.6640625" style="6" customWidth="1"/>
    <col min="4" max="4" width="34.1640625" style="6" customWidth="1"/>
    <col min="5" max="5" width="8.16406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17.6640625" style="58" customWidth="1"/>
    <col min="12" max="12" width="7.1640625" style="58" customWidth="1"/>
    <col min="13" max="13" width="4.33203125" style="58" customWidth="1"/>
    <col min="14" max="14" width="3" style="58" customWidth="1"/>
    <col min="15" max="16" width="5" style="58" customWidth="1"/>
    <col min="17" max="17" width="2.1640625" style="58" customWidth="1"/>
    <col min="18" max="18" width="3.5" style="58" customWidth="1"/>
    <col min="19" max="29" width="9.1640625" style="58"/>
    <col min="30" max="45" width="9.1640625" style="57"/>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24.75" customHeight="1" thickTop="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18.75" customHeight="1" thickBot="1">
      <c r="A6" s="1"/>
      <c r="B6" s="2"/>
      <c r="C6" s="19" t="s">
        <v>1</v>
      </c>
      <c r="D6" s="20"/>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34.5" customHeight="1" thickBot="1">
      <c r="A7" s="1"/>
      <c r="B7" s="1"/>
      <c r="C7" s="21" t="s">
        <v>2</v>
      </c>
      <c r="D7" s="22"/>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c r="A8" s="1"/>
      <c r="B8" s="1"/>
      <c r="C8" s="1"/>
      <c r="D8" s="1"/>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23.25" customHeight="1" thickBot="1">
      <c r="A9" s="1"/>
      <c r="B9" s="1"/>
      <c r="C9" s="1"/>
      <c r="D9" s="1"/>
      <c r="E9" s="3"/>
      <c r="F9" s="3"/>
      <c r="G9" s="3"/>
      <c r="H9" s="3"/>
      <c r="I9" s="3"/>
      <c r="J9" s="3"/>
      <c r="K9" s="3"/>
      <c r="L9" s="3"/>
      <c r="M9" s="3"/>
      <c r="N9" s="4"/>
      <c r="O9" s="4"/>
      <c r="P9" s="4"/>
      <c r="Q9" s="4"/>
      <c r="R9" s="4"/>
      <c r="S9" s="4"/>
      <c r="T9" s="4"/>
      <c r="U9" s="4"/>
      <c r="V9" s="5"/>
      <c r="W9" s="5"/>
      <c r="X9" s="5"/>
      <c r="Y9" s="5"/>
      <c r="Z9" s="5"/>
      <c r="AA9" s="5"/>
      <c r="AB9" s="5"/>
      <c r="AC9" s="5"/>
      <c r="AD9" s="5"/>
      <c r="AE9" s="5"/>
      <c r="AF9" s="5"/>
      <c r="AG9" s="5"/>
      <c r="AH9" s="5"/>
      <c r="AI9" s="5"/>
      <c r="AJ9" s="5"/>
      <c r="AK9" s="5"/>
      <c r="AL9" s="5"/>
      <c r="AM9" s="5"/>
      <c r="AN9" s="5"/>
      <c r="AO9" s="5"/>
      <c r="AP9" s="5"/>
      <c r="AQ9" s="5"/>
      <c r="AR9" s="5"/>
      <c r="AS9" s="5"/>
      <c r="AT9" s="5"/>
    </row>
    <row r="10" spans="1:54" ht="22.5" customHeight="1" thickTop="1" thickBot="1">
      <c r="A10" s="1"/>
      <c r="B10" s="1"/>
      <c r="C10" s="23" t="s">
        <v>3</v>
      </c>
      <c r="D10" s="24" t="s">
        <v>4</v>
      </c>
      <c r="E10" s="3"/>
      <c r="F10" s="3"/>
      <c r="G10" s="3"/>
      <c r="H10" s="3"/>
      <c r="I10" s="3"/>
      <c r="J10" s="3"/>
      <c r="K10" s="3"/>
      <c r="L10" s="3"/>
      <c r="M10" s="3"/>
      <c r="N10" s="4"/>
      <c r="O10" s="4"/>
      <c r="P10" s="4"/>
      <c r="Q10" s="4"/>
      <c r="R10" s="4"/>
      <c r="S10" s="4"/>
      <c r="T10" s="4"/>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5">
      <c r="A11" s="1"/>
      <c r="B11" s="1"/>
      <c r="C11" s="25" t="s">
        <v>5</v>
      </c>
      <c r="D11" s="26" t="b">
        <v>0</v>
      </c>
      <c r="E11" s="3"/>
      <c r="F11" s="1"/>
      <c r="G11" s="3"/>
      <c r="H11" s="27"/>
      <c r="I11" s="3"/>
      <c r="J11" s="28"/>
      <c r="K11" s="28"/>
      <c r="L11" s="28"/>
      <c r="M11" s="28"/>
      <c r="N11" s="4"/>
      <c r="O11" s="4"/>
      <c r="P11" s="4"/>
      <c r="Q11" s="4"/>
      <c r="R11" s="4"/>
      <c r="S11" s="4"/>
      <c r="T11" s="4"/>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5">
      <c r="A12" s="1"/>
      <c r="B12" s="1"/>
      <c r="C12" s="29" t="s">
        <v>6</v>
      </c>
      <c r="D12" s="30" t="b">
        <v>1</v>
      </c>
      <c r="E12" s="3"/>
      <c r="F12" s="1"/>
      <c r="G12" s="3"/>
      <c r="H12" s="27"/>
      <c r="I12" s="3"/>
      <c r="J12" s="28"/>
      <c r="K12" s="28"/>
      <c r="L12" s="28"/>
      <c r="M12" s="28"/>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5">
      <c r="A13" s="1"/>
      <c r="B13" s="1"/>
      <c r="C13" s="31" t="s">
        <v>7</v>
      </c>
      <c r="D13" s="32" t="s">
        <v>8</v>
      </c>
      <c r="E13" s="3"/>
      <c r="F13" s="1"/>
      <c r="G13" s="3"/>
      <c r="H13" s="27"/>
      <c r="I13" s="3"/>
      <c r="J13" s="28"/>
      <c r="K13" s="28"/>
      <c r="L13" s="28"/>
      <c r="M13" s="28"/>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5">
      <c r="A14" s="1"/>
      <c r="B14" s="1"/>
      <c r="C14" s="29" t="s">
        <v>9</v>
      </c>
      <c r="D14" s="32">
        <v>2050</v>
      </c>
      <c r="E14" s="3"/>
      <c r="F14" s="1"/>
      <c r="G14" s="3" t="s">
        <v>10</v>
      </c>
      <c r="H14" s="1"/>
      <c r="I14" s="3"/>
      <c r="J14" s="28"/>
      <c r="K14" s="28"/>
      <c r="L14" s="28"/>
      <c r="M14" s="28"/>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5">
      <c r="A15" s="1"/>
      <c r="B15" s="1"/>
      <c r="C15" s="29" t="s">
        <v>11</v>
      </c>
      <c r="D15" s="30" t="s">
        <v>12</v>
      </c>
      <c r="E15" s="3"/>
      <c r="F15" s="1"/>
      <c r="G15" s="33"/>
      <c r="H15" s="1"/>
      <c r="I15" s="3"/>
      <c r="J15" s="28"/>
      <c r="K15" s="28"/>
      <c r="L15" s="28"/>
      <c r="M15" s="28"/>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5">
      <c r="A16" s="1"/>
      <c r="B16" s="1"/>
      <c r="C16" s="34" t="s">
        <v>13</v>
      </c>
      <c r="D16" s="32" t="s">
        <v>14</v>
      </c>
      <c r="E16" s="3"/>
      <c r="F16" s="1"/>
      <c r="G16" s="33"/>
      <c r="H16" s="3"/>
      <c r="I16" s="3"/>
      <c r="J16" s="28"/>
      <c r="K16" s="28"/>
      <c r="L16" s="28"/>
      <c r="M16" s="28"/>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5">
      <c r="A17" s="1"/>
      <c r="B17" s="1"/>
      <c r="C17" s="34" t="s">
        <v>15</v>
      </c>
      <c r="D17" s="32" t="s">
        <v>16</v>
      </c>
      <c r="E17" s="3"/>
      <c r="F17" s="1"/>
      <c r="G17" s="3"/>
      <c r="H17" s="3"/>
      <c r="I17" s="3"/>
      <c r="J17" s="28"/>
      <c r="K17" s="28"/>
      <c r="L17" s="28"/>
      <c r="M17" s="28"/>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5">
      <c r="A18" s="1"/>
      <c r="B18" s="1"/>
      <c r="C18" s="34" t="s">
        <v>17</v>
      </c>
      <c r="D18" s="32" t="s">
        <v>16</v>
      </c>
      <c r="E18" s="3"/>
      <c r="F18" s="1"/>
      <c r="G18" s="3"/>
      <c r="H18" s="3"/>
      <c r="I18" s="3"/>
      <c r="J18" s="28"/>
      <c r="K18" s="28"/>
      <c r="L18" s="28"/>
      <c r="M18" s="28"/>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5">
      <c r="A19" s="1"/>
      <c r="B19" s="1"/>
      <c r="C19" s="34" t="s">
        <v>18</v>
      </c>
      <c r="D19" s="32" t="s">
        <v>16</v>
      </c>
      <c r="E19" s="3"/>
      <c r="F19" s="1"/>
      <c r="G19" s="3"/>
      <c r="H19" s="3"/>
      <c r="I19" s="3"/>
      <c r="J19" s="28"/>
      <c r="K19" s="28"/>
      <c r="L19" s="28"/>
      <c r="M19" s="28"/>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5">
      <c r="A20" s="1"/>
      <c r="B20" s="1"/>
      <c r="C20" s="34" t="s">
        <v>19</v>
      </c>
      <c r="D20" s="32" t="s">
        <v>20</v>
      </c>
      <c r="E20" s="3"/>
      <c r="F20" s="1"/>
      <c r="G20" s="3"/>
      <c r="H20" s="3"/>
      <c r="I20" s="3"/>
      <c r="J20" s="28"/>
      <c r="K20" s="28"/>
      <c r="L20" s="28"/>
      <c r="M20" s="28"/>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5">
      <c r="A21" s="1"/>
      <c r="B21" s="1"/>
      <c r="C21" s="34" t="s">
        <v>21</v>
      </c>
      <c r="D21" s="32" t="s">
        <v>20</v>
      </c>
      <c r="E21" s="1"/>
      <c r="F21" s="1"/>
      <c r="G21" s="3"/>
      <c r="H21" s="3"/>
      <c r="I21" s="3"/>
      <c r="J21" s="28"/>
      <c r="K21" s="28"/>
      <c r="L21" s="28"/>
      <c r="M21" s="28"/>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5">
      <c r="A22" s="1"/>
      <c r="B22" s="1"/>
      <c r="C22" s="35" t="s">
        <v>22</v>
      </c>
      <c r="D22" s="32" t="s">
        <v>20</v>
      </c>
      <c r="E22" s="3"/>
      <c r="F22" s="1"/>
      <c r="G22" s="3"/>
      <c r="H22" s="3"/>
      <c r="I22" s="3"/>
      <c r="J22" s="28"/>
      <c r="K22" s="28"/>
      <c r="L22" s="28"/>
      <c r="M22" s="28"/>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5.75" customHeight="1">
      <c r="A23" s="1"/>
      <c r="B23" s="1"/>
      <c r="C23" s="35" t="s">
        <v>23</v>
      </c>
      <c r="D23" s="32" t="s">
        <v>24</v>
      </c>
      <c r="E23" s="3"/>
      <c r="F23" s="1"/>
      <c r="G23" s="3"/>
      <c r="H23" s="3"/>
      <c r="I23" s="3"/>
      <c r="J23" s="28"/>
      <c r="K23" s="28"/>
      <c r="L23" s="28"/>
      <c r="M23" s="28"/>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5">
      <c r="A24" s="1"/>
      <c r="B24" s="1"/>
      <c r="C24" s="35" t="s">
        <v>25</v>
      </c>
      <c r="D24" s="32" t="s">
        <v>24</v>
      </c>
      <c r="E24" s="3"/>
      <c r="F24" s="1"/>
      <c r="G24" s="3"/>
      <c r="H24" s="3"/>
      <c r="I24" s="3"/>
      <c r="J24" s="28"/>
      <c r="K24" s="28"/>
      <c r="L24" s="28"/>
      <c r="M24" s="28"/>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ht="15">
      <c r="A25" s="1"/>
      <c r="B25" s="1"/>
      <c r="C25" s="35" t="s">
        <v>26</v>
      </c>
      <c r="D25" s="32" t="s">
        <v>24</v>
      </c>
      <c r="E25" s="36"/>
      <c r="F25" s="37"/>
      <c r="G25" s="37"/>
      <c r="H25" s="1"/>
      <c r="I25" s="38"/>
      <c r="J25" s="2"/>
      <c r="K25" s="2"/>
      <c r="L25" s="3"/>
      <c r="M25" s="3"/>
      <c r="N25" s="3"/>
      <c r="O25" s="3"/>
      <c r="P25" s="3"/>
      <c r="Q25" s="3"/>
      <c r="R25" s="3"/>
      <c r="S25" s="3"/>
      <c r="T25" s="3"/>
      <c r="U25" s="3"/>
      <c r="V25" s="4"/>
      <c r="W25" s="4"/>
      <c r="X25" s="4"/>
      <c r="Y25" s="4"/>
      <c r="Z25" s="4"/>
      <c r="AA25" s="4"/>
      <c r="AB25" s="4"/>
      <c r="AC25" s="5"/>
      <c r="AD25" s="5"/>
      <c r="AE25" s="5"/>
      <c r="AF25" s="5"/>
      <c r="AG25" s="5"/>
      <c r="AH25" s="5"/>
      <c r="AI25" s="5"/>
      <c r="AJ25" s="5"/>
      <c r="AK25" s="5"/>
      <c r="AL25" s="5"/>
      <c r="AM25" s="5"/>
      <c r="AN25" s="5"/>
      <c r="AO25" s="5"/>
      <c r="AP25" s="5"/>
      <c r="AQ25" s="5"/>
      <c r="AR25" s="5"/>
      <c r="AS25" s="5"/>
      <c r="AT25" s="5"/>
      <c r="AU25" s="5"/>
      <c r="AV25" s="5"/>
      <c r="AW25" s="5"/>
      <c r="AX25" s="5"/>
    </row>
    <row r="26" spans="1:50" ht="15">
      <c r="A26" s="1"/>
      <c r="B26" s="1"/>
      <c r="C26" s="34" t="s">
        <v>27</v>
      </c>
      <c r="D26" s="32" t="s">
        <v>28</v>
      </c>
      <c r="E26" s="36"/>
      <c r="F26" s="37"/>
      <c r="G26" s="37"/>
      <c r="H26" s="1"/>
      <c r="I26" s="38"/>
      <c r="J26" s="2"/>
      <c r="K26" s="2"/>
      <c r="L26" s="3"/>
      <c r="M26" s="3"/>
      <c r="N26" s="3"/>
      <c r="O26" s="3"/>
      <c r="P26" s="3"/>
      <c r="Q26" s="3"/>
      <c r="R26" s="3"/>
      <c r="S26" s="3"/>
      <c r="T26" s="3"/>
      <c r="U26" s="3"/>
      <c r="V26" s="4"/>
      <c r="W26" s="4"/>
      <c r="X26" s="4"/>
      <c r="Y26" s="4"/>
      <c r="Z26" s="4"/>
      <c r="AA26" s="4"/>
      <c r="AB26" s="4"/>
      <c r="AC26" s="5"/>
      <c r="AD26" s="5"/>
      <c r="AE26" s="5"/>
      <c r="AF26" s="5"/>
      <c r="AG26" s="5"/>
      <c r="AH26" s="5"/>
      <c r="AI26" s="5"/>
      <c r="AJ26" s="5"/>
      <c r="AK26" s="5"/>
      <c r="AL26" s="5"/>
      <c r="AM26" s="5"/>
      <c r="AN26" s="5"/>
      <c r="AO26" s="5"/>
      <c r="AP26" s="5"/>
      <c r="AQ26" s="5"/>
      <c r="AR26" s="5"/>
      <c r="AS26" s="5"/>
      <c r="AT26" s="5"/>
      <c r="AU26" s="5"/>
      <c r="AV26" s="5"/>
      <c r="AW26" s="5"/>
      <c r="AX26" s="5"/>
    </row>
    <row r="27" spans="1:50" ht="16" thickBot="1">
      <c r="A27" s="1"/>
      <c r="B27" s="1"/>
      <c r="C27" s="39" t="s">
        <v>29</v>
      </c>
      <c r="D27" s="40">
        <v>1</v>
      </c>
      <c r="E27" s="36"/>
      <c r="F27" s="37"/>
      <c r="G27" s="37"/>
      <c r="H27" s="1"/>
      <c r="I27" s="38"/>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c r="A28" s="1"/>
      <c r="B28" s="1"/>
      <c r="C28" s="41"/>
      <c r="D28" s="5"/>
      <c r="E28" s="36"/>
      <c r="F28" s="37"/>
      <c r="G28" s="37"/>
      <c r="H28" s="1"/>
      <c r="I28" s="38"/>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c r="A29" s="1"/>
      <c r="B29" s="1"/>
      <c r="C29" s="41"/>
      <c r="D29" s="5"/>
      <c r="E29" s="36"/>
      <c r="F29" s="37"/>
      <c r="G29" s="37"/>
      <c r="H29" s="1"/>
      <c r="I29" s="38"/>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c r="A30" s="1"/>
      <c r="B30" s="1"/>
      <c r="C30" s="41"/>
      <c r="D30" s="5"/>
      <c r="E30" s="36"/>
      <c r="F30" s="37"/>
      <c r="G30" s="37"/>
      <c r="H30" s="1"/>
      <c r="I30" s="38"/>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c r="A31" s="1"/>
      <c r="B31" s="1"/>
      <c r="C31" s="41"/>
      <c r="D31" s="5"/>
      <c r="E31" s="36"/>
      <c r="F31" s="37"/>
      <c r="G31" s="37"/>
      <c r="H31" s="1"/>
      <c r="I31" s="38"/>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c r="A32" s="1"/>
      <c r="B32" s="1"/>
      <c r="C32" s="41"/>
      <c r="D32" s="5"/>
      <c r="E32" s="36"/>
      <c r="F32" s="37"/>
      <c r="G32" s="37"/>
      <c r="H32" s="1"/>
      <c r="I32" s="38"/>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c r="A33" s="1"/>
      <c r="B33" s="1"/>
      <c r="C33" s="41"/>
      <c r="D33" s="5"/>
      <c r="E33" s="36"/>
      <c r="F33" s="37"/>
      <c r="G33" s="37"/>
      <c r="H33" s="1"/>
      <c r="I33" s="38"/>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c r="A34" s="1"/>
      <c r="B34" s="1"/>
      <c r="C34" s="41"/>
      <c r="D34" s="5"/>
      <c r="E34" s="36"/>
      <c r="F34" s="37"/>
      <c r="G34" s="37"/>
      <c r="H34" s="1"/>
      <c r="I34" s="38"/>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c r="A35" s="1"/>
      <c r="B35" s="1"/>
      <c r="C35" s="41"/>
      <c r="D35" s="5"/>
      <c r="E35" s="36"/>
      <c r="F35" s="37"/>
      <c r="G35" s="37"/>
      <c r="H35" s="1"/>
      <c r="I35" s="38"/>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c r="A36" s="1"/>
      <c r="B36" s="1"/>
      <c r="C36" s="41"/>
      <c r="D36" s="5"/>
      <c r="E36" s="36"/>
      <c r="F36" s="37"/>
      <c r="G36" s="37"/>
      <c r="H36" s="1"/>
      <c r="I36" s="38"/>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c r="A37" s="1"/>
      <c r="B37" s="1"/>
      <c r="C37" s="41"/>
      <c r="D37" s="5"/>
      <c r="E37" s="36"/>
      <c r="F37" s="37"/>
      <c r="G37" s="37"/>
      <c r="H37" s="1"/>
      <c r="I37" s="38"/>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c r="A38" s="1"/>
      <c r="B38" s="1"/>
      <c r="C38" s="41"/>
      <c r="D38" s="5"/>
      <c r="E38" s="36"/>
      <c r="F38" s="37"/>
      <c r="G38" s="37"/>
      <c r="H38" s="1"/>
      <c r="I38" s="38"/>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c r="A39" s="1"/>
      <c r="B39" s="1"/>
      <c r="C39" s="41"/>
      <c r="D39" s="5"/>
      <c r="E39" s="36"/>
      <c r="F39" s="37"/>
      <c r="G39" s="37"/>
      <c r="H39" s="1"/>
      <c r="I39" s="38"/>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41"/>
      <c r="D40" s="5"/>
      <c r="E40" s="36"/>
      <c r="F40" s="37"/>
      <c r="G40" s="37"/>
      <c r="H40" s="1"/>
      <c r="I40" s="38"/>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41"/>
      <c r="D41" s="5"/>
      <c r="E41" s="36"/>
      <c r="F41" s="37"/>
      <c r="G41" s="37"/>
      <c r="H41" s="1"/>
      <c r="I41" s="38"/>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41"/>
      <c r="D42" s="5"/>
      <c r="E42" s="36"/>
      <c r="F42" s="37"/>
      <c r="G42" s="37"/>
      <c r="H42" s="1"/>
      <c r="I42" s="38"/>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41"/>
      <c r="D43" s="5"/>
      <c r="E43" s="36"/>
      <c r="F43" s="37"/>
      <c r="G43" s="37"/>
      <c r="H43" s="1"/>
      <c r="I43" s="38"/>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41"/>
      <c r="D44" s="5"/>
      <c r="E44" s="36"/>
      <c r="F44" s="37"/>
      <c r="G44" s="37"/>
      <c r="H44" s="1"/>
      <c r="I44" s="38"/>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41"/>
      <c r="D45" s="5"/>
      <c r="E45" s="36"/>
      <c r="F45" s="37"/>
      <c r="G45" s="37"/>
      <c r="H45" s="1"/>
      <c r="I45" s="38"/>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41"/>
      <c r="D46" s="5"/>
      <c r="E46" s="36"/>
      <c r="F46" s="37"/>
      <c r="G46" s="37"/>
      <c r="H46" s="1"/>
      <c r="I46" s="38"/>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41"/>
      <c r="D47" s="5"/>
      <c r="E47" s="36"/>
      <c r="F47" s="37"/>
      <c r="G47" s="37"/>
      <c r="H47" s="1"/>
      <c r="I47" s="38"/>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41"/>
      <c r="D48" s="5"/>
      <c r="E48" s="36"/>
      <c r="F48" s="37"/>
      <c r="G48" s="37"/>
      <c r="H48" s="1"/>
      <c r="I48" s="38"/>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41"/>
      <c r="D49" s="5"/>
      <c r="E49" s="36"/>
      <c r="F49" s="37"/>
      <c r="G49" s="37"/>
      <c r="H49" s="1"/>
      <c r="I49" s="38"/>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41"/>
      <c r="D50" s="5"/>
      <c r="E50" s="36"/>
      <c r="F50" s="37"/>
      <c r="G50" s="37"/>
      <c r="H50" s="1"/>
      <c r="I50" s="38"/>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41"/>
      <c r="D51" s="5"/>
      <c r="E51" s="36"/>
      <c r="F51" s="37"/>
      <c r="G51" s="37"/>
      <c r="H51" s="1"/>
      <c r="I51" s="38"/>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41"/>
      <c r="D52" s="5"/>
      <c r="E52" s="36"/>
      <c r="F52" s="37"/>
      <c r="G52" s="37"/>
      <c r="H52" s="1"/>
      <c r="I52" s="38"/>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41"/>
      <c r="D53" s="5"/>
      <c r="E53" s="36"/>
      <c r="F53" s="37"/>
      <c r="G53" s="37"/>
      <c r="H53" s="1"/>
      <c r="I53" s="38"/>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41"/>
      <c r="D54" s="5"/>
      <c r="E54" s="36"/>
      <c r="F54" s="37"/>
      <c r="G54" s="37"/>
      <c r="H54" s="1"/>
      <c r="I54" s="38"/>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41"/>
      <c r="D55" s="5"/>
      <c r="E55" s="36"/>
      <c r="F55" s="37"/>
      <c r="G55" s="37"/>
      <c r="H55" s="1"/>
      <c r="I55" s="38"/>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41"/>
      <c r="D56" s="5"/>
      <c r="E56" s="36"/>
      <c r="F56" s="37"/>
      <c r="G56" s="37"/>
      <c r="H56" s="1"/>
      <c r="I56" s="38"/>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41"/>
      <c r="D57" s="5"/>
      <c r="E57" s="36"/>
      <c r="F57" s="37"/>
      <c r="G57" s="37"/>
      <c r="H57" s="1"/>
      <c r="I57" s="38"/>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41"/>
      <c r="D58" s="5"/>
      <c r="E58" s="36"/>
      <c r="F58" s="37"/>
      <c r="G58" s="37"/>
      <c r="H58" s="1"/>
      <c r="I58" s="38"/>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41"/>
      <c r="D59" s="5"/>
      <c r="E59" s="36"/>
      <c r="F59" s="37"/>
      <c r="G59" s="37"/>
      <c r="H59" s="1"/>
      <c r="I59" s="38"/>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41"/>
      <c r="D60" s="5"/>
      <c r="E60" s="36"/>
      <c r="F60" s="37"/>
      <c r="G60" s="37"/>
      <c r="H60" s="1"/>
      <c r="I60" s="38"/>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41"/>
      <c r="D61" s="5"/>
      <c r="E61" s="36"/>
      <c r="F61" s="37"/>
      <c r="G61" s="37"/>
      <c r="H61" s="1"/>
      <c r="I61" s="38"/>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41"/>
      <c r="D62" s="5"/>
      <c r="E62" s="36"/>
      <c r="F62" s="37"/>
      <c r="G62" s="37"/>
      <c r="H62" s="1"/>
      <c r="I62" s="38"/>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41"/>
      <c r="D63" s="5"/>
      <c r="E63" s="36"/>
      <c r="F63" s="37"/>
      <c r="G63" s="37"/>
      <c r="H63" s="1"/>
      <c r="I63" s="38"/>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41"/>
      <c r="D64" s="5"/>
      <c r="E64" s="36"/>
      <c r="F64" s="37"/>
      <c r="G64" s="37"/>
      <c r="H64" s="1"/>
      <c r="I64" s="38"/>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41"/>
      <c r="D65" s="5"/>
      <c r="E65" s="36"/>
      <c r="F65" s="37"/>
      <c r="G65" s="37"/>
      <c r="H65" s="1"/>
      <c r="I65" s="38"/>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41"/>
      <c r="D66" s="5"/>
      <c r="E66" s="36"/>
      <c r="F66" s="37"/>
      <c r="G66" s="37"/>
      <c r="H66" s="1"/>
      <c r="I66" s="38"/>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41"/>
      <c r="D67" s="5"/>
      <c r="E67" s="36"/>
      <c r="F67" s="37"/>
      <c r="G67" s="37"/>
      <c r="H67" s="1"/>
      <c r="I67" s="38"/>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41"/>
      <c r="D68" s="5"/>
      <c r="E68" s="36"/>
      <c r="F68" s="37"/>
      <c r="G68" s="37"/>
      <c r="H68" s="1"/>
      <c r="I68" s="38"/>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41"/>
      <c r="D69" s="5"/>
      <c r="E69" s="36"/>
      <c r="F69" s="37"/>
      <c r="G69" s="37"/>
      <c r="H69" s="1"/>
      <c r="I69" s="38"/>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41"/>
      <c r="D70" s="5"/>
      <c r="E70" s="36"/>
      <c r="F70" s="37"/>
      <c r="G70" s="37"/>
      <c r="H70" s="1"/>
      <c r="I70" s="38"/>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41"/>
      <c r="D71" s="5"/>
      <c r="E71" s="36"/>
      <c r="F71" s="37"/>
      <c r="G71" s="37"/>
      <c r="H71" s="1"/>
      <c r="I71" s="38"/>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41"/>
      <c r="D72" s="5"/>
      <c r="E72" s="36"/>
      <c r="F72" s="37"/>
      <c r="G72" s="37"/>
      <c r="H72" s="1"/>
      <c r="I72" s="38"/>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41"/>
      <c r="D73" s="5"/>
      <c r="E73" s="36"/>
      <c r="F73" s="37"/>
      <c r="G73" s="37"/>
      <c r="H73" s="1"/>
      <c r="I73" s="38"/>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41"/>
      <c r="D74" s="5"/>
      <c r="E74" s="36"/>
      <c r="F74" s="37"/>
      <c r="G74" s="37"/>
      <c r="H74" s="1"/>
      <c r="I74" s="38"/>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41"/>
      <c r="D75" s="5"/>
      <c r="E75" s="36"/>
      <c r="F75" s="37"/>
      <c r="G75" s="37"/>
      <c r="H75" s="1"/>
      <c r="I75" s="38"/>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41"/>
      <c r="D76" s="5"/>
      <c r="E76" s="36"/>
      <c r="F76" s="37"/>
      <c r="G76" s="37"/>
      <c r="H76" s="1"/>
      <c r="I76" s="38"/>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41"/>
      <c r="D77" s="5"/>
      <c r="E77" s="36"/>
      <c r="F77" s="37"/>
      <c r="G77" s="37"/>
      <c r="H77" s="1"/>
      <c r="I77" s="38"/>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41"/>
      <c r="D78" s="5"/>
      <c r="E78" s="36"/>
      <c r="F78" s="37"/>
      <c r="G78" s="37"/>
      <c r="H78" s="1"/>
      <c r="I78" s="38"/>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41"/>
      <c r="D79" s="5"/>
      <c r="E79" s="36"/>
      <c r="F79" s="37"/>
      <c r="G79" s="37"/>
      <c r="H79" s="1"/>
      <c r="I79" s="38"/>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41"/>
      <c r="D80" s="5"/>
      <c r="E80" s="36"/>
      <c r="F80" s="37"/>
      <c r="G80" s="37"/>
      <c r="H80" s="1"/>
      <c r="I80" s="38"/>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41"/>
      <c r="D81" s="5"/>
      <c r="E81" s="36"/>
      <c r="F81" s="37"/>
      <c r="G81" s="37"/>
      <c r="H81" s="1"/>
      <c r="I81" s="38"/>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41"/>
      <c r="D82" s="5"/>
      <c r="E82" s="36"/>
      <c r="F82" s="37"/>
      <c r="G82" s="37"/>
      <c r="H82" s="1"/>
      <c r="I82" s="38"/>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41"/>
      <c r="D83" s="5"/>
      <c r="E83" s="36"/>
      <c r="F83" s="37"/>
      <c r="G83" s="37"/>
      <c r="H83" s="1"/>
      <c r="I83" s="38"/>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41"/>
      <c r="D84" s="5"/>
      <c r="E84" s="36"/>
      <c r="F84" s="37"/>
      <c r="G84" s="37"/>
      <c r="H84" s="1"/>
      <c r="I84" s="38"/>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41"/>
      <c r="D85" s="5"/>
      <c r="E85" s="36"/>
      <c r="F85" s="37"/>
      <c r="G85" s="37"/>
      <c r="H85" s="1"/>
      <c r="I85" s="38"/>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41"/>
      <c r="D86" s="5"/>
      <c r="E86" s="36"/>
      <c r="F86" s="37"/>
      <c r="G86" s="37"/>
      <c r="H86" s="1"/>
      <c r="I86" s="38"/>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41"/>
      <c r="D87" s="5"/>
      <c r="E87" s="36"/>
      <c r="F87" s="37"/>
      <c r="G87" s="37"/>
      <c r="H87" s="1"/>
      <c r="I87" s="38"/>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41"/>
      <c r="D88" s="5"/>
      <c r="E88" s="36"/>
      <c r="F88" s="37"/>
      <c r="G88" s="37"/>
      <c r="H88" s="1"/>
      <c r="I88" s="38"/>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41"/>
      <c r="D89" s="5"/>
      <c r="E89" s="36"/>
      <c r="F89" s="37"/>
      <c r="G89" s="37"/>
      <c r="H89" s="1"/>
      <c r="I89" s="38"/>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41"/>
      <c r="D90" s="5"/>
      <c r="E90" s="36"/>
      <c r="F90" s="37"/>
      <c r="G90" s="37"/>
      <c r="H90" s="1"/>
      <c r="I90" s="38"/>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41"/>
      <c r="D91" s="5"/>
      <c r="E91" s="36"/>
      <c r="F91" s="37"/>
      <c r="G91" s="37"/>
      <c r="H91" s="1"/>
      <c r="I91" s="38"/>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41"/>
      <c r="D92" s="5"/>
      <c r="E92" s="36"/>
      <c r="F92" s="37"/>
      <c r="G92" s="37"/>
      <c r="H92" s="1"/>
      <c r="I92" s="38"/>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41"/>
      <c r="D93" s="5"/>
      <c r="E93" s="36"/>
      <c r="F93" s="37"/>
      <c r="G93" s="37"/>
      <c r="H93" s="1"/>
      <c r="I93" s="38"/>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41"/>
      <c r="D94" s="5"/>
      <c r="E94" s="36"/>
      <c r="F94" s="37"/>
      <c r="G94" s="37"/>
      <c r="H94" s="1"/>
      <c r="I94" s="38"/>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41"/>
      <c r="D95" s="5"/>
      <c r="E95" s="36"/>
      <c r="F95" s="37"/>
      <c r="G95" s="37"/>
      <c r="H95" s="1"/>
      <c r="I95" s="38"/>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41"/>
      <c r="D96" s="5"/>
      <c r="E96" s="36"/>
      <c r="F96" s="37"/>
      <c r="G96" s="37"/>
      <c r="H96" s="1"/>
      <c r="I96" s="38"/>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41"/>
      <c r="D97" s="5"/>
      <c r="E97" s="36"/>
      <c r="F97" s="37"/>
      <c r="G97" s="37"/>
      <c r="H97" s="1"/>
      <c r="I97" s="38"/>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41"/>
      <c r="D98" s="5"/>
      <c r="E98" s="36"/>
      <c r="F98" s="37"/>
      <c r="G98" s="37"/>
      <c r="H98" s="1"/>
      <c r="I98" s="38"/>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41"/>
      <c r="D99" s="5"/>
      <c r="E99" s="36"/>
      <c r="F99" s="37"/>
      <c r="G99" s="37"/>
      <c r="H99" s="1"/>
      <c r="I99" s="38"/>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41"/>
      <c r="D100" s="5"/>
      <c r="E100" s="36"/>
      <c r="F100" s="37"/>
      <c r="G100" s="37"/>
      <c r="H100" s="1"/>
      <c r="I100" s="38"/>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41"/>
      <c r="D101" s="5"/>
      <c r="E101" s="36"/>
      <c r="F101" s="37"/>
      <c r="G101" s="37"/>
      <c r="H101" s="1"/>
      <c r="I101" s="38"/>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41"/>
      <c r="D102" s="5"/>
      <c r="E102" s="36"/>
      <c r="F102" s="37"/>
      <c r="G102" s="37"/>
      <c r="H102" s="1"/>
      <c r="I102" s="38"/>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41"/>
      <c r="D103" s="5"/>
      <c r="E103" s="36"/>
      <c r="F103" s="37"/>
      <c r="G103" s="37"/>
      <c r="H103" s="1"/>
      <c r="I103" s="38"/>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41"/>
      <c r="D104" s="5"/>
      <c r="E104" s="36"/>
      <c r="F104" s="37"/>
      <c r="G104" s="37"/>
      <c r="H104" s="1"/>
      <c r="I104" s="38"/>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41"/>
      <c r="D105" s="5"/>
      <c r="E105" s="36"/>
      <c r="F105" s="37"/>
      <c r="G105" s="37"/>
      <c r="H105" s="1"/>
      <c r="I105" s="38"/>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41"/>
      <c r="D106" s="5"/>
      <c r="E106" s="36"/>
      <c r="F106" s="37"/>
      <c r="G106" s="37"/>
      <c r="H106" s="1"/>
      <c r="I106" s="38"/>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41"/>
      <c r="D107" s="5"/>
      <c r="E107" s="36"/>
      <c r="F107" s="37"/>
      <c r="G107" s="37"/>
      <c r="H107" s="1"/>
      <c r="I107" s="38"/>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41"/>
      <c r="D108" s="5"/>
      <c r="E108" s="36"/>
      <c r="F108" s="37"/>
      <c r="G108" s="37"/>
      <c r="H108" s="1"/>
      <c r="I108" s="38"/>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41"/>
      <c r="D109" s="5"/>
      <c r="E109" s="36"/>
      <c r="F109" s="37"/>
      <c r="G109" s="37"/>
      <c r="H109" s="1"/>
      <c r="I109" s="38"/>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41"/>
      <c r="D110" s="5"/>
      <c r="E110" s="36"/>
      <c r="F110" s="37"/>
      <c r="G110" s="37"/>
      <c r="H110" s="1"/>
      <c r="I110" s="38"/>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41"/>
      <c r="D111" s="5"/>
      <c r="E111" s="36"/>
      <c r="F111" s="37"/>
      <c r="G111" s="37"/>
      <c r="H111" s="1"/>
      <c r="I111" s="38"/>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41"/>
      <c r="D112" s="5"/>
      <c r="E112" s="36"/>
      <c r="F112" s="37"/>
      <c r="G112" s="37"/>
      <c r="H112" s="1"/>
      <c r="I112" s="38"/>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41"/>
      <c r="D113" s="5"/>
      <c r="E113" s="36"/>
      <c r="F113" s="37"/>
      <c r="G113" s="37"/>
      <c r="H113" s="1"/>
      <c r="I113" s="38"/>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41"/>
      <c r="D114" s="5"/>
      <c r="E114" s="36"/>
      <c r="F114" s="37"/>
      <c r="G114" s="37"/>
      <c r="H114" s="1"/>
      <c r="I114" s="38"/>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41"/>
      <c r="D115" s="5"/>
      <c r="E115" s="36"/>
      <c r="F115" s="37"/>
      <c r="G115" s="37"/>
      <c r="H115" s="1"/>
      <c r="I115" s="38"/>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41"/>
      <c r="D116" s="5"/>
      <c r="E116" s="36"/>
      <c r="F116" s="37"/>
      <c r="G116" s="37"/>
      <c r="H116" s="1"/>
      <c r="I116" s="38"/>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41"/>
      <c r="D117" s="5"/>
      <c r="E117" s="36"/>
      <c r="F117" s="37"/>
      <c r="G117" s="37"/>
      <c r="H117" s="1"/>
      <c r="I117" s="38"/>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41"/>
      <c r="D118" s="5"/>
      <c r="E118" s="36"/>
      <c r="F118" s="37"/>
      <c r="G118" s="37"/>
      <c r="H118" s="1"/>
      <c r="I118" s="38"/>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41"/>
      <c r="D119" s="5"/>
      <c r="E119" s="36"/>
      <c r="F119" s="37"/>
      <c r="G119" s="37"/>
      <c r="H119" s="1"/>
      <c r="I119" s="38"/>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41"/>
      <c r="D120" s="5"/>
      <c r="E120" s="36"/>
      <c r="F120" s="37"/>
      <c r="G120" s="37"/>
      <c r="H120" s="1"/>
      <c r="I120" s="38"/>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41"/>
      <c r="D121" s="5"/>
      <c r="E121" s="36"/>
      <c r="F121" s="37"/>
      <c r="G121" s="37"/>
      <c r="H121" s="1"/>
      <c r="I121" s="38"/>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41"/>
      <c r="D122" s="5"/>
      <c r="E122" s="36"/>
      <c r="F122" s="37"/>
      <c r="G122" s="37"/>
      <c r="H122" s="1"/>
      <c r="I122" s="38"/>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41"/>
      <c r="D123" s="5"/>
      <c r="E123" s="36"/>
      <c r="F123" s="37"/>
      <c r="G123" s="37"/>
      <c r="H123" s="1"/>
      <c r="I123" s="38"/>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41"/>
      <c r="D124" s="5"/>
      <c r="E124" s="36"/>
      <c r="F124" s="37"/>
      <c r="G124" s="37"/>
      <c r="H124" s="1"/>
      <c r="I124" s="38"/>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41"/>
      <c r="D125" s="5"/>
      <c r="E125" s="36"/>
      <c r="F125" s="37"/>
      <c r="G125" s="37"/>
      <c r="H125" s="1"/>
      <c r="I125" s="38"/>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41"/>
      <c r="D126" s="5"/>
      <c r="E126" s="36"/>
      <c r="F126" s="37"/>
      <c r="G126" s="37"/>
      <c r="H126" s="1"/>
      <c r="I126" s="38"/>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41"/>
      <c r="D127" s="5"/>
      <c r="E127" s="36"/>
      <c r="F127" s="37"/>
      <c r="G127" s="37"/>
      <c r="H127" s="1"/>
      <c r="I127" s="38"/>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41"/>
      <c r="D128" s="5"/>
      <c r="E128" s="36"/>
      <c r="F128" s="37"/>
      <c r="G128" s="37"/>
      <c r="H128" s="1"/>
      <c r="I128" s="38"/>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41"/>
      <c r="D129" s="5"/>
      <c r="E129" s="36"/>
      <c r="F129" s="37"/>
      <c r="G129" s="37"/>
      <c r="H129" s="1"/>
      <c r="I129" s="38"/>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41"/>
      <c r="D130" s="5"/>
      <c r="E130" s="36"/>
      <c r="F130" s="37"/>
      <c r="G130" s="37"/>
      <c r="H130" s="1"/>
      <c r="I130" s="38"/>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41"/>
      <c r="D131" s="5"/>
      <c r="E131" s="36"/>
      <c r="F131" s="37"/>
      <c r="G131" s="37"/>
      <c r="H131" s="1"/>
      <c r="I131" s="38"/>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41"/>
      <c r="D132" s="5"/>
      <c r="E132" s="36"/>
      <c r="F132" s="37"/>
      <c r="G132" s="37"/>
      <c r="H132" s="1"/>
      <c r="I132" s="38"/>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41"/>
      <c r="D133" s="5"/>
      <c r="E133" s="36"/>
      <c r="F133" s="37"/>
      <c r="G133" s="37"/>
      <c r="H133" s="1"/>
      <c r="I133" s="38"/>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41"/>
      <c r="D134" s="1"/>
      <c r="E134" s="36"/>
      <c r="F134" s="37"/>
      <c r="G134" s="37"/>
      <c r="H134" s="1"/>
      <c r="I134" s="38"/>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1"/>
      <c r="D135" s="1"/>
      <c r="E135" s="36"/>
      <c r="F135" s="37"/>
      <c r="G135" s="37"/>
      <c r="H135" s="1"/>
      <c r="I135" s="38"/>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1"/>
      <c r="D136" s="1"/>
      <c r="E136" s="36"/>
      <c r="F136" s="37"/>
      <c r="G136" s="37"/>
      <c r="H136" s="1"/>
      <c r="I136" s="38"/>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1"/>
      <c r="D137" s="1"/>
      <c r="E137" s="36"/>
      <c r="F137" s="37"/>
      <c r="G137" s="37"/>
      <c r="H137" s="1"/>
      <c r="I137" s="38"/>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1"/>
      <c r="D138" s="1"/>
      <c r="E138" s="36"/>
      <c r="F138" s="37"/>
      <c r="G138" s="37"/>
      <c r="H138" s="1"/>
      <c r="I138" s="38"/>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1"/>
      <c r="D139" s="1"/>
      <c r="E139" s="36"/>
      <c r="F139" s="37"/>
      <c r="G139" s="37"/>
      <c r="H139" s="1"/>
      <c r="I139" s="38"/>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1"/>
      <c r="D140" s="1"/>
      <c r="E140" s="36"/>
      <c r="F140" s="37"/>
      <c r="G140" s="37"/>
      <c r="H140" s="1"/>
      <c r="I140" s="38"/>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1"/>
      <c r="D141" s="1"/>
      <c r="E141" s="42"/>
      <c r="F141" s="1"/>
      <c r="G141" s="37"/>
      <c r="H141" s="1"/>
      <c r="I141" s="38"/>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1"/>
      <c r="D142" s="1"/>
      <c r="E142" s="2"/>
      <c r="F142" s="2"/>
      <c r="G142" s="37"/>
      <c r="H142" s="1"/>
      <c r="I142" s="38"/>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1"/>
      <c r="D143" s="1"/>
      <c r="E143" s="43" t="s">
        <v>30</v>
      </c>
      <c r="F143" s="3"/>
      <c r="G143" s="37"/>
      <c r="H143" s="1"/>
      <c r="I143" s="38"/>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1"/>
      <c r="D144" s="1"/>
      <c r="E144" s="3" t="s">
        <v>31</v>
      </c>
      <c r="F144" s="3"/>
      <c r="G144" s="37"/>
      <c r="H144" s="1"/>
      <c r="I144" s="38"/>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1"/>
      <c r="D145" s="1"/>
      <c r="E145" s="3" t="s">
        <v>32</v>
      </c>
      <c r="F145" s="3"/>
      <c r="G145" s="37"/>
      <c r="H145" s="1"/>
      <c r="I145" s="38"/>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2"/>
      <c r="B146" s="1"/>
      <c r="C146" s="1"/>
      <c r="D146" s="1"/>
      <c r="E146" s="44" t="s">
        <v>33</v>
      </c>
      <c r="F146" s="3"/>
      <c r="G146" s="37"/>
      <c r="H146" s="1"/>
      <c r="I146" s="2"/>
      <c r="J146" s="1"/>
      <c r="K146" s="3"/>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1"/>
      <c r="B147" s="1"/>
      <c r="C147" s="1"/>
      <c r="D147" s="1"/>
      <c r="E147" s="44" t="s">
        <v>34</v>
      </c>
      <c r="F147" s="3"/>
      <c r="G147" s="1"/>
      <c r="H147" s="2"/>
      <c r="I147" s="43"/>
      <c r="J147" s="43"/>
      <c r="K147" s="43"/>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1"/>
      <c r="B148" s="1"/>
      <c r="C148" s="1"/>
      <c r="D148" s="1"/>
      <c r="E148" s="3" t="s">
        <v>35</v>
      </c>
      <c r="F148" s="3"/>
      <c r="G148" s="45"/>
      <c r="H148" s="2"/>
      <c r="I148" s="3"/>
      <c r="J148" s="3"/>
      <c r="K148" s="3"/>
      <c r="L148" s="43"/>
      <c r="M148" s="46"/>
      <c r="N148" s="46"/>
      <c r="O148" s="46"/>
      <c r="P148" s="3"/>
      <c r="Q148" s="3"/>
      <c r="R148" s="3"/>
      <c r="S148" s="3"/>
      <c r="T148" s="3"/>
      <c r="U148" s="3"/>
      <c r="V148" s="4"/>
      <c r="W148" s="4"/>
      <c r="X148" s="4"/>
      <c r="Y148" s="4"/>
      <c r="Z148" s="4"/>
      <c r="AA148" s="4"/>
      <c r="AB148" s="4"/>
      <c r="AC148" s="4"/>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43"/>
      <c r="D149" s="2"/>
      <c r="E149" s="3"/>
      <c r="F149" s="3"/>
      <c r="G149" s="47"/>
      <c r="H149" s="43"/>
      <c r="I149" s="3" t="s">
        <v>36</v>
      </c>
      <c r="J149" s="43" t="s">
        <v>8</v>
      </c>
      <c r="K149" s="3" t="s">
        <v>37</v>
      </c>
      <c r="L149" s="43"/>
      <c r="M149" s="46"/>
      <c r="N149" s="46"/>
      <c r="O149" s="46"/>
      <c r="P149" s="3"/>
      <c r="Q149" s="3"/>
      <c r="R149" s="3"/>
      <c r="S149" s="3"/>
      <c r="T149" s="3"/>
      <c r="U149" s="3"/>
      <c r="V149" s="4"/>
      <c r="W149" s="4"/>
      <c r="X149" s="4"/>
      <c r="Y149" s="4"/>
      <c r="Z149" s="4"/>
      <c r="AA149" s="4"/>
      <c r="AB149" s="4"/>
      <c r="AC149" s="4"/>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2"/>
      <c r="D150" s="2"/>
      <c r="E150" s="3" t="s">
        <v>38</v>
      </c>
      <c r="F150" s="3"/>
      <c r="G150" s="48" t="s">
        <v>39</v>
      </c>
      <c r="H150" s="3"/>
      <c r="I150" s="3" t="s">
        <v>40</v>
      </c>
      <c r="J150" s="43" t="s">
        <v>41</v>
      </c>
      <c r="K150" s="3" t="s">
        <v>42</v>
      </c>
      <c r="L150" s="2"/>
      <c r="M150" s="1"/>
      <c r="N150" s="1"/>
      <c r="O150" s="1"/>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1"/>
      <c r="D151" s="5"/>
      <c r="E151" s="3" t="s">
        <v>43</v>
      </c>
      <c r="F151" s="49"/>
      <c r="G151" s="48" t="s">
        <v>40</v>
      </c>
      <c r="H151" s="3"/>
      <c r="I151" s="3"/>
      <c r="J151" s="43" t="s">
        <v>44</v>
      </c>
      <c r="K151" s="3"/>
      <c r="L151" s="1"/>
      <c r="M151" s="1"/>
      <c r="N151" s="1"/>
      <c r="O151" s="1"/>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1"/>
      <c r="B152" s="1"/>
      <c r="C152" s="1"/>
      <c r="D152" s="5"/>
      <c r="E152" s="3" t="s">
        <v>45</v>
      </c>
      <c r="F152" s="49"/>
      <c r="G152" s="47"/>
      <c r="H152" s="3"/>
      <c r="I152" s="3"/>
      <c r="J152" s="43" t="s">
        <v>46</v>
      </c>
      <c r="K152" s="3"/>
      <c r="L152" s="1"/>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1"/>
      <c r="B153" s="1"/>
      <c r="C153" s="1"/>
      <c r="D153" s="5"/>
      <c r="E153" s="50"/>
      <c r="F153" s="49"/>
      <c r="G153" s="47"/>
      <c r="H153" s="3"/>
      <c r="I153" s="43"/>
      <c r="J153" s="43" t="s">
        <v>47</v>
      </c>
      <c r="K153" s="4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5"/>
      <c r="E154" s="49" t="s">
        <v>48</v>
      </c>
      <c r="F154" s="49"/>
      <c r="G154" s="47"/>
      <c r="H154" s="3"/>
      <c r="I154" s="43"/>
      <c r="J154" s="43" t="s">
        <v>49</v>
      </c>
      <c r="K154" s="43" t="b">
        <v>1</v>
      </c>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1"/>
      <c r="D155" s="5"/>
      <c r="E155" s="49" t="s">
        <v>50</v>
      </c>
      <c r="F155" s="49"/>
      <c r="G155" s="48" t="s">
        <v>38</v>
      </c>
      <c r="H155" s="43"/>
      <c r="I155" s="43"/>
      <c r="J155" s="43" t="s">
        <v>51</v>
      </c>
      <c r="K155" s="43" t="b">
        <v>0</v>
      </c>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1"/>
      <c r="D156" s="5"/>
      <c r="E156" s="49" t="s">
        <v>52</v>
      </c>
      <c r="F156" s="49"/>
      <c r="G156" s="48" t="s">
        <v>43</v>
      </c>
      <c r="H156" s="43"/>
      <c r="I156" s="51"/>
      <c r="J156" s="43" t="s">
        <v>53</v>
      </c>
      <c r="K156" s="51"/>
      <c r="L156" s="2"/>
      <c r="M156" s="2"/>
      <c r="N156" s="2"/>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1"/>
      <c r="D157" s="5"/>
      <c r="E157" s="49" t="s">
        <v>54</v>
      </c>
      <c r="F157" s="49"/>
      <c r="G157" s="52" t="s">
        <v>55</v>
      </c>
      <c r="H157" s="43"/>
      <c r="I157" s="51"/>
      <c r="J157" s="43" t="s">
        <v>56</v>
      </c>
      <c r="K157" s="51"/>
      <c r="L157" s="2"/>
      <c r="M157" s="2"/>
      <c r="N157" s="2"/>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5"/>
      <c r="F158" s="49"/>
      <c r="G158" s="52" t="s">
        <v>45</v>
      </c>
      <c r="H158" s="43"/>
      <c r="I158" s="51"/>
      <c r="J158" s="43" t="s">
        <v>57</v>
      </c>
      <c r="K158" s="51"/>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5"/>
      <c r="E159" s="49"/>
      <c r="F159" s="49"/>
      <c r="G159" s="3"/>
      <c r="H159" s="51"/>
      <c r="I159" s="51"/>
      <c r="J159" s="43" t="s">
        <v>58</v>
      </c>
      <c r="K159" s="51"/>
      <c r="L159" s="53"/>
      <c r="M159" s="53"/>
      <c r="N159" s="53"/>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5"/>
      <c r="E160" s="49" t="s">
        <v>59</v>
      </c>
      <c r="F160" s="49"/>
      <c r="G160" s="3"/>
      <c r="H160" s="51"/>
      <c r="I160" s="51"/>
      <c r="J160" s="43" t="s">
        <v>60</v>
      </c>
      <c r="K160" s="51"/>
      <c r="L160" s="53"/>
      <c r="M160" s="53"/>
      <c r="N160" s="53"/>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5"/>
      <c r="E161" s="49" t="s">
        <v>61</v>
      </c>
      <c r="F161" s="49"/>
      <c r="G161" s="3"/>
      <c r="H161" s="51"/>
      <c r="I161" s="51"/>
      <c r="J161" s="43" t="s">
        <v>62</v>
      </c>
      <c r="K161" s="51"/>
      <c r="L161" s="53"/>
      <c r="M161" s="53"/>
      <c r="N161" s="53"/>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5"/>
      <c r="E162" s="49"/>
      <c r="F162" s="3"/>
      <c r="G162" s="3"/>
      <c r="H162" s="51"/>
      <c r="I162" s="51"/>
      <c r="J162" s="43" t="s">
        <v>63</v>
      </c>
      <c r="K162" s="51"/>
      <c r="L162" s="53"/>
      <c r="M162" s="53"/>
      <c r="N162" s="53"/>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5"/>
      <c r="E163" s="49" t="s">
        <v>28</v>
      </c>
      <c r="F163" s="3"/>
      <c r="G163" s="3"/>
      <c r="H163" s="51"/>
      <c r="I163" s="51"/>
      <c r="J163" s="43" t="s">
        <v>64</v>
      </c>
      <c r="K163" s="51"/>
      <c r="L163" s="53"/>
      <c r="M163" s="53"/>
      <c r="N163" s="53"/>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5"/>
      <c r="E164" s="3" t="s">
        <v>65</v>
      </c>
      <c r="F164" s="3"/>
      <c r="G164" s="3"/>
      <c r="H164" s="51"/>
      <c r="I164" s="51"/>
      <c r="J164" s="43" t="s">
        <v>66</v>
      </c>
      <c r="K164" s="51"/>
      <c r="L164" s="53"/>
      <c r="M164" s="53"/>
      <c r="N164" s="53"/>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E165" s="3"/>
      <c r="F165" s="3"/>
      <c r="G165" s="3"/>
      <c r="H165" s="51"/>
      <c r="I165" s="51"/>
      <c r="J165" s="43" t="s">
        <v>67</v>
      </c>
      <c r="K165" s="51"/>
      <c r="L165" s="53"/>
      <c r="M165" s="53"/>
      <c r="N165" s="53"/>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3"/>
      <c r="F166" s="3"/>
      <c r="G166" s="3"/>
      <c r="H166" s="51"/>
      <c r="I166" s="51"/>
      <c r="J166" s="43" t="s">
        <v>68</v>
      </c>
      <c r="K166" s="51"/>
      <c r="L166" s="53"/>
      <c r="M166" s="53"/>
      <c r="N166" s="53"/>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3" t="s">
        <v>69</v>
      </c>
      <c r="F167" s="3"/>
      <c r="G167" s="3"/>
      <c r="H167" s="51"/>
      <c r="I167" s="49"/>
      <c r="J167" s="43" t="s">
        <v>70</v>
      </c>
      <c r="K167" s="49"/>
      <c r="L167" s="53"/>
      <c r="M167" s="53"/>
      <c r="N167" s="53"/>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44" t="s">
        <v>71</v>
      </c>
      <c r="F168" s="3"/>
      <c r="G168" s="3"/>
      <c r="H168" s="51"/>
      <c r="I168" s="49"/>
      <c r="J168" s="43" t="s">
        <v>72</v>
      </c>
      <c r="K168" s="49"/>
      <c r="L168" s="53"/>
      <c r="M168" s="53"/>
      <c r="N168" s="53"/>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54" t="s">
        <v>73</v>
      </c>
      <c r="F169" s="3"/>
      <c r="G169" s="3"/>
      <c r="H169" s="43"/>
      <c r="I169" s="49"/>
      <c r="J169" s="43" t="s">
        <v>74</v>
      </c>
      <c r="K169" s="49"/>
      <c r="L169" s="53"/>
      <c r="M169" s="53"/>
      <c r="N169" s="53"/>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3"/>
      <c r="F170" s="3"/>
      <c r="G170" s="3"/>
      <c r="H170" s="43"/>
      <c r="I170" s="49"/>
      <c r="J170" s="43" t="s">
        <v>75</v>
      </c>
      <c r="K170" s="49"/>
      <c r="L170" s="55"/>
      <c r="M170" s="55"/>
      <c r="N170" s="55"/>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3" t="s">
        <v>76</v>
      </c>
      <c r="F171" s="3"/>
      <c r="G171" s="3"/>
      <c r="H171" s="3"/>
      <c r="I171" s="49"/>
      <c r="J171" s="43" t="s">
        <v>77</v>
      </c>
      <c r="K171" s="49"/>
      <c r="L171" s="55"/>
      <c r="M171" s="55"/>
      <c r="N171" s="55"/>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 t="s">
        <v>12</v>
      </c>
      <c r="F172" s="3"/>
      <c r="G172" s="3"/>
      <c r="H172" s="3"/>
      <c r="I172" s="49"/>
      <c r="J172" s="43" t="s">
        <v>78</v>
      </c>
      <c r="K172" s="49"/>
      <c r="L172" s="55"/>
      <c r="M172" s="55"/>
      <c r="N172" s="55"/>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 t="s">
        <v>79</v>
      </c>
      <c r="F173" s="3"/>
      <c r="G173" s="3"/>
      <c r="H173" s="3"/>
      <c r="I173" s="49"/>
      <c r="J173" s="43" t="s">
        <v>80</v>
      </c>
      <c r="K173" s="49"/>
      <c r="L173" s="55"/>
      <c r="M173" s="55"/>
      <c r="N173" s="55"/>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3" t="s">
        <v>81</v>
      </c>
      <c r="F174" s="3"/>
      <c r="G174" s="3"/>
      <c r="H174" s="3"/>
      <c r="I174" s="3"/>
      <c r="J174" s="43" t="s">
        <v>82</v>
      </c>
      <c r="K174" s="3"/>
      <c r="L174" s="55"/>
      <c r="M174" s="55"/>
      <c r="N174" s="55"/>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3"/>
      <c r="F175" s="3"/>
      <c r="G175" s="3"/>
      <c r="H175" s="3"/>
      <c r="I175" s="3"/>
      <c r="J175" s="43" t="s">
        <v>83</v>
      </c>
      <c r="K175" s="3"/>
      <c r="L175" s="55"/>
      <c r="M175" s="55"/>
      <c r="N175" s="55"/>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3" t="s">
        <v>84</v>
      </c>
      <c r="F176" s="3"/>
      <c r="G176" s="3"/>
      <c r="H176" s="3"/>
      <c r="I176" s="3"/>
      <c r="J176" s="43" t="s">
        <v>85</v>
      </c>
      <c r="K176" s="3"/>
      <c r="L176" s="55"/>
      <c r="M176" s="55"/>
      <c r="N176" s="55"/>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 t="s">
        <v>24</v>
      </c>
      <c r="F177" s="3"/>
      <c r="G177" s="3"/>
      <c r="H177" s="3"/>
      <c r="I177" s="3"/>
      <c r="J177" s="43" t="s">
        <v>86</v>
      </c>
      <c r="K177" s="3"/>
      <c r="L177" s="1"/>
      <c r="M177" s="1"/>
      <c r="N177" s="1"/>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 t="s">
        <v>87</v>
      </c>
      <c r="F178" s="3"/>
      <c r="G178" s="3"/>
      <c r="H178" s="3"/>
      <c r="I178" s="3"/>
      <c r="J178" s="43" t="s">
        <v>88</v>
      </c>
      <c r="K178" s="3"/>
      <c r="L178" s="1"/>
      <c r="M178" s="1"/>
      <c r="N178" s="1"/>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c r="F179" s="3"/>
      <c r="G179" s="3"/>
      <c r="H179" s="3"/>
      <c r="I179" s="3"/>
      <c r="J179" s="43" t="s">
        <v>89</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t="s">
        <v>84</v>
      </c>
      <c r="F180" s="3"/>
      <c r="G180" s="3"/>
      <c r="H180" s="3"/>
      <c r="I180" s="3"/>
      <c r="J180" s="43" t="s">
        <v>90</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t="s">
        <v>24</v>
      </c>
      <c r="F181" s="3"/>
      <c r="G181" s="3"/>
      <c r="H181" s="3"/>
      <c r="I181" s="3"/>
      <c r="J181" s="43" t="s">
        <v>91</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t="s">
        <v>87</v>
      </c>
      <c r="F182" s="3"/>
      <c r="G182" s="3"/>
      <c r="H182" s="3"/>
      <c r="I182" s="3"/>
      <c r="J182" s="43" t="s">
        <v>92</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c r="F183" s="3"/>
      <c r="G183" s="3"/>
      <c r="H183" s="3"/>
      <c r="I183" s="3"/>
      <c r="J183" s="43" t="s">
        <v>93</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c r="F184" s="3"/>
      <c r="G184" s="3"/>
      <c r="H184" s="3"/>
      <c r="I184" s="3"/>
      <c r="J184" s="43" t="s">
        <v>94</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t="s">
        <v>95</v>
      </c>
      <c r="F185" s="3"/>
      <c r="G185" s="3"/>
      <c r="H185" s="3"/>
      <c r="I185" s="3"/>
      <c r="J185" s="43" t="s">
        <v>96</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t="s">
        <v>24</v>
      </c>
      <c r="F186" s="3"/>
      <c r="G186" s="3"/>
      <c r="H186" s="3"/>
      <c r="I186" s="3"/>
      <c r="J186" s="43" t="s">
        <v>97</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c r="F187" s="3"/>
      <c r="G187" s="3"/>
      <c r="H187" s="3"/>
      <c r="I187" s="3"/>
      <c r="J187" s="43" t="s">
        <v>98</v>
      </c>
      <c r="K187" s="3"/>
      <c r="L187" s="3"/>
      <c r="M187" s="3"/>
      <c r="N187" s="3"/>
      <c r="O187" s="3"/>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t="s">
        <v>99</v>
      </c>
      <c r="F188" s="3"/>
      <c r="G188" s="3"/>
      <c r="H188" s="3"/>
      <c r="I188" s="3"/>
      <c r="J188" s="43" t="s">
        <v>100</v>
      </c>
      <c r="K188" s="3"/>
      <c r="L188" s="3"/>
      <c r="M188" s="3"/>
      <c r="N188" s="3"/>
      <c r="O188" s="3"/>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t="s">
        <v>101</v>
      </c>
      <c r="F189" s="3"/>
      <c r="G189" s="3"/>
      <c r="H189" s="3"/>
      <c r="I189" s="3"/>
      <c r="J189" s="43" t="s">
        <v>102</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c r="F190" s="3"/>
      <c r="G190" s="3"/>
      <c r="H190" s="3"/>
      <c r="I190" s="3"/>
      <c r="J190" s="43" t="s">
        <v>103</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t="s">
        <v>104</v>
      </c>
      <c r="F191" s="3"/>
      <c r="G191" s="3"/>
      <c r="H191" s="3"/>
      <c r="I191" s="3"/>
      <c r="J191" s="43" t="s">
        <v>105</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t="s">
        <v>106</v>
      </c>
      <c r="F192" s="3"/>
      <c r="G192" s="3"/>
      <c r="H192" s="3"/>
      <c r="I192" s="3"/>
      <c r="J192" s="43" t="s">
        <v>107</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t="s">
        <v>73</v>
      </c>
      <c r="F193" s="3"/>
      <c r="G193" s="3"/>
      <c r="H193" s="3"/>
      <c r="I193" s="3"/>
      <c r="J193" s="43" t="s">
        <v>108</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c r="F194" s="3"/>
      <c r="G194" s="3"/>
      <c r="H194" s="3"/>
      <c r="I194" s="3"/>
      <c r="J194" s="43" t="s">
        <v>109</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t="s">
        <v>110</v>
      </c>
      <c r="F195" s="3"/>
      <c r="G195" s="3"/>
      <c r="H195" s="3"/>
      <c r="I195" s="3"/>
      <c r="J195" s="43" t="s">
        <v>111</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t="s">
        <v>112</v>
      </c>
      <c r="F196" s="3"/>
      <c r="G196" s="3"/>
      <c r="H196" s="3"/>
      <c r="I196" s="3"/>
      <c r="J196" s="43" t="s">
        <v>113</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c r="F197" s="3"/>
      <c r="G197" s="3"/>
      <c r="H197" s="3"/>
      <c r="I197" s="3"/>
      <c r="J197" s="43" t="s">
        <v>114</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t="s">
        <v>115</v>
      </c>
      <c r="F198" s="3"/>
      <c r="G198" s="3"/>
      <c r="H198" s="3"/>
      <c r="I198" s="3"/>
      <c r="J198" s="43" t="s">
        <v>116</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t="s">
        <v>117</v>
      </c>
      <c r="F199" s="3"/>
      <c r="G199" s="3"/>
      <c r="H199" s="3"/>
      <c r="I199" s="3"/>
      <c r="J199" s="3"/>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t="s">
        <v>118</v>
      </c>
      <c r="F200" s="3"/>
      <c r="G200" s="3"/>
      <c r="H200" s="3"/>
      <c r="I200" s="3"/>
      <c r="J200" s="3"/>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c r="F201" s="3"/>
      <c r="G201" s="3"/>
      <c r="H201" s="3"/>
      <c r="I201" s="3"/>
      <c r="J201" s="56">
        <v>2010</v>
      </c>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t="s">
        <v>119</v>
      </c>
      <c r="F202" s="3"/>
      <c r="G202" s="3"/>
      <c r="H202" s="3"/>
      <c r="I202" s="3"/>
      <c r="J202" s="56">
        <f>J201+2</f>
        <v>2012</v>
      </c>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2"/>
      <c r="E203" s="3" t="s">
        <v>120</v>
      </c>
      <c r="F203" s="3"/>
      <c r="G203" s="3"/>
      <c r="H203" s="3"/>
      <c r="I203" s="3"/>
      <c r="J203" s="56">
        <f t="shared" ref="J203:J221" si="0">J202+2</f>
        <v>2014</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2"/>
      <c r="E204" s="3"/>
      <c r="F204" s="3"/>
      <c r="G204" s="3"/>
      <c r="H204" s="3"/>
      <c r="I204" s="3"/>
      <c r="J204" s="56">
        <f t="shared" si="0"/>
        <v>2016</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2"/>
      <c r="E205" s="3"/>
      <c r="F205" s="3"/>
      <c r="G205" s="3"/>
      <c r="H205" s="3"/>
      <c r="I205" s="3"/>
      <c r="J205" s="56">
        <f t="shared" si="0"/>
        <v>2018</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2"/>
      <c r="E206" s="43" t="s">
        <v>121</v>
      </c>
      <c r="F206" s="3"/>
      <c r="G206" s="3"/>
      <c r="H206" s="3"/>
      <c r="I206" s="3"/>
      <c r="J206" s="56">
        <f t="shared" si="0"/>
        <v>2020</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2"/>
      <c r="E207" s="3" t="s">
        <v>40</v>
      </c>
      <c r="F207" s="3"/>
      <c r="G207" s="3"/>
      <c r="H207" s="3"/>
      <c r="I207" s="3"/>
      <c r="J207" s="56">
        <f t="shared" si="0"/>
        <v>2022</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2"/>
      <c r="E208" s="44" t="s">
        <v>34</v>
      </c>
      <c r="F208" s="3"/>
      <c r="G208" s="3"/>
      <c r="H208" s="3"/>
      <c r="I208" s="3"/>
      <c r="J208" s="56">
        <f t="shared" si="0"/>
        <v>2024</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2"/>
      <c r="E209" s="3"/>
      <c r="F209" s="3"/>
      <c r="G209" s="3"/>
      <c r="H209" s="3"/>
      <c r="I209" s="3"/>
      <c r="J209" s="56">
        <f t="shared" si="0"/>
        <v>2026</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2"/>
      <c r="E210" s="3"/>
      <c r="F210" s="3"/>
      <c r="G210" s="3"/>
      <c r="H210" s="3"/>
      <c r="I210" s="3"/>
      <c r="J210" s="56">
        <f t="shared" si="0"/>
        <v>2028</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2"/>
      <c r="E211" s="3" t="s">
        <v>122</v>
      </c>
      <c r="F211" s="3"/>
      <c r="G211" s="3"/>
      <c r="H211" s="3"/>
      <c r="I211" s="3"/>
      <c r="J211" s="56">
        <f t="shared" si="0"/>
        <v>2030</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2"/>
      <c r="E212" s="3" t="s">
        <v>123</v>
      </c>
      <c r="F212" s="3"/>
      <c r="G212" s="3"/>
      <c r="H212" s="3"/>
      <c r="I212" s="3"/>
      <c r="J212" s="56">
        <f t="shared" si="0"/>
        <v>2032</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2"/>
      <c r="E213" s="3" t="s">
        <v>124</v>
      </c>
      <c r="F213" s="3"/>
      <c r="G213" s="3"/>
      <c r="H213" s="3"/>
      <c r="I213" s="3"/>
      <c r="J213" s="56">
        <f t="shared" si="0"/>
        <v>2034</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2"/>
      <c r="E214" s="3" t="s">
        <v>125</v>
      </c>
      <c r="F214" s="3"/>
      <c r="G214" s="3"/>
      <c r="H214" s="3"/>
      <c r="I214" s="3"/>
      <c r="J214" s="56">
        <f t="shared" si="0"/>
        <v>2036</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2"/>
      <c r="E215" s="3"/>
      <c r="F215" s="3"/>
      <c r="G215" s="3"/>
      <c r="H215" s="3"/>
      <c r="I215" s="3"/>
      <c r="J215" s="56">
        <f t="shared" si="0"/>
        <v>2038</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2"/>
      <c r="E216" s="3"/>
      <c r="F216" s="3"/>
      <c r="G216" s="3"/>
      <c r="H216" s="3"/>
      <c r="I216" s="3"/>
      <c r="J216" s="56">
        <f t="shared" si="0"/>
        <v>2040</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3" t="s">
        <v>126</v>
      </c>
      <c r="F217" s="3"/>
      <c r="G217" s="3"/>
      <c r="H217" s="3"/>
      <c r="I217" s="3"/>
      <c r="J217" s="56">
        <f t="shared" si="0"/>
        <v>2042</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3" t="s">
        <v>127</v>
      </c>
      <c r="F218" s="3"/>
      <c r="G218" s="3"/>
      <c r="H218" s="3"/>
      <c r="I218" s="3"/>
      <c r="J218" s="56">
        <f t="shared" si="0"/>
        <v>2044</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3" t="s">
        <v>14</v>
      </c>
      <c r="F219" s="3"/>
      <c r="G219" s="3"/>
      <c r="H219" s="3"/>
      <c r="I219" s="3"/>
      <c r="J219" s="56">
        <f t="shared" si="0"/>
        <v>2046</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3" t="s">
        <v>128</v>
      </c>
      <c r="F220" s="3"/>
      <c r="G220" s="3"/>
      <c r="H220" s="3"/>
      <c r="I220" s="3"/>
      <c r="J220" s="56">
        <f t="shared" si="0"/>
        <v>2048</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3" t="s">
        <v>129</v>
      </c>
      <c r="F221" s="3"/>
      <c r="G221" s="3"/>
      <c r="H221" s="3"/>
      <c r="I221" s="3"/>
      <c r="J221" s="56">
        <f t="shared" si="0"/>
        <v>2050</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3"/>
      <c r="F222" s="3"/>
      <c r="G222" s="3"/>
      <c r="H222" s="3"/>
      <c r="I222" s="3"/>
      <c r="J222" s="3"/>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3">
        <v>0</v>
      </c>
      <c r="F223" s="3"/>
      <c r="G223" s="3"/>
      <c r="H223" s="3"/>
      <c r="I223" s="3"/>
      <c r="J223" s="3"/>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3">
        <v>0.1</v>
      </c>
      <c r="F224" s="3"/>
      <c r="G224" s="3"/>
      <c r="H224" s="3"/>
      <c r="I224" s="3"/>
      <c r="J224" s="3" t="s">
        <v>16</v>
      </c>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3">
        <v>0.2</v>
      </c>
      <c r="F225" s="3"/>
      <c r="G225" s="3"/>
      <c r="H225" s="3"/>
      <c r="I225" s="3"/>
      <c r="J225" s="3" t="s">
        <v>130</v>
      </c>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3">
        <v>0.3</v>
      </c>
      <c r="F226" s="3"/>
      <c r="G226" s="3"/>
      <c r="H226" s="3"/>
      <c r="I226" s="3"/>
      <c r="J226" s="3" t="s">
        <v>131</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3">
        <v>0.4</v>
      </c>
      <c r="F227" s="3"/>
      <c r="G227" s="3"/>
      <c r="H227" s="3"/>
      <c r="I227" s="3"/>
      <c r="J227" s="3"/>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3">
        <v>0.5</v>
      </c>
      <c r="F228" s="3"/>
      <c r="G228" s="3"/>
      <c r="H228" s="3"/>
      <c r="I228" s="3"/>
      <c r="J228" s="3"/>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v>0.6</v>
      </c>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v>0.7</v>
      </c>
      <c r="F230" s="3"/>
      <c r="G230" s="3"/>
      <c r="H230" s="3"/>
      <c r="I230" s="3"/>
      <c r="J230" s="3"/>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v>0.8</v>
      </c>
      <c r="F231" s="3"/>
      <c r="G231" s="3"/>
      <c r="H231" s="3"/>
      <c r="I231" s="3"/>
      <c r="J231" s="3"/>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3">
        <v>0.9</v>
      </c>
      <c r="F232" s="3"/>
      <c r="G232" s="3"/>
      <c r="H232" s="3"/>
      <c r="I232" s="3"/>
      <c r="J232" s="3"/>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3">
        <v>1</v>
      </c>
      <c r="F233" s="3"/>
      <c r="G233" s="3"/>
      <c r="H233" s="3"/>
      <c r="I233" s="3"/>
      <c r="J233" s="3"/>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3"/>
      <c r="F234" s="3"/>
      <c r="G234" s="3"/>
      <c r="H234" s="3"/>
      <c r="I234" s="3"/>
      <c r="J234" s="3"/>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3"/>
      <c r="F235" s="3"/>
      <c r="G235" s="3"/>
      <c r="H235" s="3"/>
      <c r="I235" s="3"/>
      <c r="J235" s="3"/>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c r="F236" s="3"/>
      <c r="G236" s="3"/>
      <c r="H236" s="3"/>
      <c r="I236" s="3"/>
      <c r="J236" s="3"/>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c r="F237" s="3"/>
      <c r="G237" s="3"/>
      <c r="H237" s="3"/>
      <c r="I237" s="3"/>
      <c r="J237" s="3"/>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c r="F238" s="3"/>
      <c r="G238" s="3"/>
      <c r="H238" s="3"/>
      <c r="I238" s="3"/>
      <c r="J238" s="3"/>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c r="F239" s="3"/>
      <c r="G239" s="3"/>
      <c r="H239" s="3"/>
      <c r="I239" s="3"/>
      <c r="J239" s="3"/>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c r="F240" s="3"/>
      <c r="G240" s="3"/>
      <c r="H240" s="3"/>
      <c r="I240" s="3"/>
      <c r="J240" s="3"/>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c r="F241" s="3"/>
      <c r="G241" s="3"/>
      <c r="H241" s="3"/>
      <c r="I241" s="3"/>
      <c r="J241" s="3"/>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c r="F242" s="3"/>
      <c r="G242" s="3"/>
      <c r="H242" s="3"/>
      <c r="I242" s="3"/>
      <c r="J242" s="3"/>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c r="F243" s="3"/>
      <c r="G243" s="3"/>
      <c r="H243" s="3"/>
      <c r="I243" s="3"/>
      <c r="J243" s="3"/>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c r="F244" s="3"/>
      <c r="G244" s="3"/>
      <c r="H244" s="3"/>
      <c r="I244" s="3"/>
      <c r="J244" s="3"/>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c r="F245" s="3"/>
      <c r="G245" s="3"/>
      <c r="H245" s="3"/>
      <c r="I245" s="3"/>
      <c r="J245" s="3"/>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c r="F246" s="3"/>
      <c r="G246" s="3"/>
      <c r="H246" s="3"/>
      <c r="I246" s="3"/>
      <c r="J246" s="3"/>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c r="F247" s="3"/>
      <c r="G247" s="3"/>
      <c r="H247" s="3"/>
      <c r="I247" s="3"/>
      <c r="J247" s="3"/>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c r="F248" s="3"/>
      <c r="G248" s="3"/>
      <c r="H248" s="3"/>
      <c r="I248" s="3"/>
      <c r="J248" s="3"/>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3"/>
      <c r="J249" s="3"/>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3"/>
      <c r="J250" s="3"/>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1"/>
      <c r="E251" s="3"/>
      <c r="F251" s="3"/>
      <c r="G251" s="3"/>
      <c r="H251" s="3"/>
      <c r="I251" s="3"/>
      <c r="J251" s="3"/>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1"/>
      <c r="E252" s="3"/>
      <c r="F252" s="3"/>
      <c r="G252" s="3"/>
      <c r="H252" s="3"/>
      <c r="I252" s="3"/>
      <c r="J252" s="3"/>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1"/>
      <c r="E253" s="3"/>
      <c r="F253" s="3"/>
      <c r="G253" s="3"/>
      <c r="H253" s="3"/>
      <c r="I253" s="3"/>
      <c r="J253" s="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1"/>
      <c r="E254" s="3"/>
      <c r="F254" s="3"/>
      <c r="G254" s="3"/>
      <c r="H254" s="3"/>
      <c r="I254" s="3"/>
      <c r="J254" s="3"/>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1"/>
      <c r="E255" s="3"/>
      <c r="F255" s="3"/>
      <c r="G255" s="3"/>
      <c r="H255" s="3"/>
      <c r="I255" s="3"/>
      <c r="J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1"/>
      <c r="E256" s="3"/>
      <c r="F256" s="3"/>
      <c r="G256" s="3"/>
      <c r="H256" s="3"/>
      <c r="I256" s="3"/>
      <c r="J256" s="3"/>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5"/>
      <c r="B285" s="5"/>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5"/>
      <c r="B286" s="5"/>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5"/>
      <c r="B287" s="5"/>
      <c r="C287" s="1"/>
      <c r="D287" s="1"/>
      <c r="E287" s="3"/>
      <c r="F287" s="4"/>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5"/>
      <c r="B288" s="5"/>
      <c r="C288" s="1"/>
      <c r="D288" s="1"/>
      <c r="E288" s="3"/>
      <c r="F288" s="4"/>
      <c r="G288" s="3"/>
      <c r="H288" s="3"/>
      <c r="I288" s="3"/>
      <c r="J288" s="4"/>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5"/>
      <c r="B289" s="5"/>
      <c r="C289" s="1"/>
      <c r="D289" s="1"/>
      <c r="E289" s="3"/>
      <c r="F289" s="4"/>
      <c r="G289" s="3"/>
      <c r="H289" s="3"/>
      <c r="I289" s="3"/>
      <c r="J289" s="4"/>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5"/>
      <c r="B290" s="5"/>
      <c r="C290" s="1"/>
      <c r="D290" s="1"/>
      <c r="E290" s="3"/>
      <c r="F290" s="4"/>
      <c r="G290" s="3"/>
      <c r="H290" s="3"/>
      <c r="I290" s="4"/>
      <c r="J290" s="4"/>
      <c r="K290" s="4"/>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5"/>
      <c r="B291" s="5"/>
      <c r="C291" s="1"/>
      <c r="D291" s="1"/>
      <c r="E291" s="3"/>
      <c r="F291" s="4"/>
      <c r="G291" s="3"/>
      <c r="H291" s="3"/>
      <c r="I291" s="4"/>
      <c r="J291" s="4"/>
      <c r="K291" s="4"/>
      <c r="L291" s="4"/>
      <c r="M291" s="4"/>
      <c r="N291" s="4"/>
      <c r="O291" s="4"/>
      <c r="P291" s="4"/>
      <c r="Q291" s="4"/>
      <c r="R291" s="4"/>
      <c r="S291" s="4"/>
      <c r="T291" s="4"/>
      <c r="U291" s="4"/>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5"/>
      <c r="B292" s="5"/>
      <c r="C292" s="5"/>
      <c r="D292" s="5"/>
      <c r="E292" s="3"/>
      <c r="F292" s="4"/>
      <c r="G292" s="3"/>
      <c r="H292" s="3"/>
      <c r="I292" s="4"/>
      <c r="J292" s="4"/>
      <c r="K292" s="4"/>
      <c r="L292" s="4"/>
      <c r="M292" s="4"/>
      <c r="N292" s="4"/>
      <c r="O292" s="4"/>
      <c r="P292" s="4"/>
      <c r="Q292" s="4"/>
      <c r="R292" s="4"/>
      <c r="S292" s="4"/>
      <c r="T292" s="4"/>
      <c r="U292" s="4"/>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5"/>
      <c r="B293" s="5"/>
      <c r="C293" s="5"/>
      <c r="D293" s="5"/>
      <c r="E293" s="4"/>
      <c r="F293" s="4"/>
      <c r="G293" s="4"/>
      <c r="H293" s="4"/>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5"/>
      <c r="B294" s="5"/>
      <c r="C294" s="5"/>
      <c r="D294" s="5"/>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5"/>
      <c r="G342" s="4"/>
      <c r="H342" s="4"/>
      <c r="I342" s="4"/>
      <c r="J342" s="5"/>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5"/>
      <c r="G343" s="4"/>
      <c r="H343" s="4"/>
      <c r="I343" s="4"/>
      <c r="J343" s="5"/>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5"/>
      <c r="F344" s="5"/>
      <c r="G344" s="4"/>
      <c r="H344" s="4"/>
      <c r="I344" s="5"/>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5"/>
      <c r="F345" s="5"/>
      <c r="G345" s="4"/>
      <c r="H345" s="4"/>
      <c r="I345" s="5"/>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5"/>
      <c r="F348" s="5"/>
      <c r="G348" s="5"/>
      <c r="H348" s="5"/>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5"/>
      <c r="F349" s="5"/>
      <c r="G349" s="5"/>
      <c r="H349" s="5"/>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7"/>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7"/>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57"/>
      <c r="C1238" s="5"/>
      <c r="D1238" s="5"/>
      <c r="E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57"/>
      <c r="C1239" s="57"/>
      <c r="D1239" s="57"/>
      <c r="E1239" s="5"/>
      <c r="G1239" s="5"/>
      <c r="H1239" s="5"/>
      <c r="I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57"/>
      <c r="C1240" s="57"/>
      <c r="D1240" s="57"/>
      <c r="E1240" s="57"/>
      <c r="G1240" s="5"/>
      <c r="H1240" s="5"/>
      <c r="I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57"/>
      <c r="C1241" s="57"/>
      <c r="D1241" s="57"/>
      <c r="E1241" s="57"/>
      <c r="G1241" s="5"/>
      <c r="H1241" s="5"/>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57"/>
      <c r="C1242" s="57"/>
      <c r="D1242" s="57"/>
      <c r="E1242" s="57"/>
      <c r="G1242" s="5"/>
      <c r="H1242" s="5"/>
    </row>
    <row r="1243" spans="1:50">
      <c r="A1243" s="57"/>
      <c r="E1243" s="57"/>
      <c r="G1243" s="5"/>
      <c r="H1243" s="5"/>
    </row>
    <row r="1244" spans="1:50">
      <c r="A1244" s="57"/>
      <c r="E1244" s="57"/>
    </row>
    <row r="1245" spans="1:50">
      <c r="A1245" s="57"/>
    </row>
    <row r="1246" spans="1:50">
      <c r="A1246" s="57"/>
    </row>
    <row r="1247" spans="1:50">
      <c r="A1247" s="57"/>
    </row>
    <row r="1248" spans="1:50">
      <c r="A1248" s="57"/>
    </row>
    <row r="1249" spans="1:1">
      <c r="A1249" s="57"/>
    </row>
    <row r="1250" spans="1:1">
      <c r="A1250" s="57"/>
    </row>
    <row r="1251" spans="1:1">
      <c r="A1251" s="57"/>
    </row>
    <row r="1252" spans="1:1">
      <c r="A1252" s="57"/>
    </row>
    <row r="1253" spans="1:1">
      <c r="A1253" s="57"/>
    </row>
    <row r="1254" spans="1:1">
      <c r="A1254" s="57"/>
    </row>
    <row r="1255" spans="1:1">
      <c r="A1255" s="57"/>
    </row>
    <row r="1256" spans="1:1">
      <c r="A1256" s="57"/>
    </row>
    <row r="1257" spans="1:1">
      <c r="A1257" s="57"/>
    </row>
    <row r="1258" spans="1:1">
      <c r="A1258" s="57"/>
    </row>
    <row r="1259" spans="1:1">
      <c r="A1259" s="57"/>
    </row>
    <row r="1260" spans="1:1">
      <c r="A1260" s="57"/>
    </row>
    <row r="1261" spans="1:1">
      <c r="A1261" s="57"/>
    </row>
    <row r="1262" spans="1:1">
      <c r="A1262" s="57"/>
    </row>
    <row r="1263" spans="1:1">
      <c r="A1263" s="57"/>
    </row>
    <row r="1264" spans="1:1">
      <c r="A1264" s="57"/>
    </row>
    <row r="1265" spans="1:1">
      <c r="A1265" s="57"/>
    </row>
    <row r="1266" spans="1:1">
      <c r="A1266" s="57"/>
    </row>
    <row r="1267" spans="1:1">
      <c r="A1267" s="57"/>
    </row>
    <row r="1268" spans="1:1">
      <c r="A1268" s="57"/>
    </row>
    <row r="1269" spans="1:1">
      <c r="A1269" s="57"/>
    </row>
    <row r="1270" spans="1:1">
      <c r="A1270" s="57"/>
    </row>
    <row r="1271" spans="1:1">
      <c r="A1271" s="57"/>
    </row>
    <row r="1272" spans="1:1">
      <c r="A1272" s="57"/>
    </row>
    <row r="1273" spans="1:1">
      <c r="A1273" s="57"/>
    </row>
    <row r="1274" spans="1:1">
      <c r="A1274" s="57"/>
    </row>
    <row r="1275" spans="1:1">
      <c r="A1275" s="57"/>
    </row>
    <row r="1276" spans="1:1">
      <c r="A1276" s="57"/>
    </row>
    <row r="1277" spans="1:1">
      <c r="A1277" s="57"/>
    </row>
    <row r="1278" spans="1:1">
      <c r="A1278" s="57"/>
    </row>
    <row r="1279" spans="1:1">
      <c r="A1279" s="57"/>
    </row>
    <row r="1280" spans="1:1">
      <c r="A1280" s="57"/>
    </row>
    <row r="1281" spans="1:1">
      <c r="A1281" s="57"/>
    </row>
    <row r="1282" spans="1:1">
      <c r="A1282" s="57"/>
    </row>
    <row r="1283" spans="1:1">
      <c r="A1283" s="57"/>
    </row>
    <row r="1284" spans="1:1">
      <c r="A1284" s="57"/>
    </row>
    <row r="1285" spans="1:1">
      <c r="A1285" s="57"/>
    </row>
    <row r="1286" spans="1:1">
      <c r="A1286" s="57"/>
    </row>
    <row r="1287" spans="1:1">
      <c r="A1287" s="57"/>
    </row>
    <row r="1288" spans="1:1">
      <c r="A1288" s="57"/>
    </row>
    <row r="1289" spans="1:1">
      <c r="A1289" s="57"/>
    </row>
    <row r="1290" spans="1:1">
      <c r="A1290" s="57"/>
    </row>
    <row r="1291" spans="1:1">
      <c r="A1291" s="57"/>
    </row>
    <row r="1292" spans="1:1">
      <c r="A1292" s="57"/>
    </row>
    <row r="1293" spans="1:1">
      <c r="A1293" s="57"/>
    </row>
    <row r="1294" spans="1:1">
      <c r="A1294" s="57"/>
    </row>
    <row r="1295" spans="1:1">
      <c r="A1295" s="57"/>
    </row>
    <row r="1296" spans="1:1">
      <c r="A1296" s="57"/>
    </row>
    <row r="1297" spans="1:1">
      <c r="A1297" s="57"/>
    </row>
    <row r="1298" spans="1:1">
      <c r="A1298" s="57"/>
    </row>
    <row r="1299" spans="1:1">
      <c r="A1299" s="57"/>
    </row>
    <row r="1300" spans="1:1">
      <c r="A1300" s="57"/>
    </row>
    <row r="1301" spans="1:1">
      <c r="A1301" s="57"/>
    </row>
    <row r="1302" spans="1:1">
      <c r="A1302" s="57"/>
    </row>
    <row r="1303" spans="1:1">
      <c r="A1303" s="57"/>
    </row>
    <row r="1304" spans="1:1">
      <c r="A1304" s="57"/>
    </row>
    <row r="1305" spans="1:1">
      <c r="A1305" s="57"/>
    </row>
    <row r="1306" spans="1:1">
      <c r="A1306" s="57"/>
    </row>
    <row r="1307" spans="1:1">
      <c r="A1307" s="57"/>
    </row>
    <row r="1308" spans="1:1">
      <c r="A1308" s="57"/>
    </row>
    <row r="1309" spans="1:1">
      <c r="A1309" s="57"/>
    </row>
    <row r="1310" spans="1:1">
      <c r="A1310" s="57"/>
    </row>
    <row r="1311" spans="1:1">
      <c r="A1311" s="57"/>
    </row>
    <row r="1312" spans="1:1">
      <c r="A1312" s="57"/>
    </row>
    <row r="1313" spans="1:1">
      <c r="A1313" s="57"/>
    </row>
    <row r="1314" spans="1:1">
      <c r="A1314" s="57"/>
    </row>
    <row r="1315" spans="1:1">
      <c r="A1315" s="57"/>
    </row>
    <row r="1316" spans="1:1">
      <c r="A1316" s="57"/>
    </row>
    <row r="1317" spans="1:1">
      <c r="A1317" s="57"/>
    </row>
    <row r="1318" spans="1:1">
      <c r="A1318" s="57"/>
    </row>
    <row r="1319" spans="1:1">
      <c r="A1319" s="57"/>
    </row>
    <row r="1320" spans="1:1">
      <c r="A1320" s="57"/>
    </row>
    <row r="1321" spans="1:1">
      <c r="A1321" s="57"/>
    </row>
    <row r="1322" spans="1:1">
      <c r="A1322" s="57"/>
    </row>
    <row r="1323" spans="1:1">
      <c r="A1323" s="57"/>
    </row>
    <row r="1324" spans="1:1">
      <c r="A1324" s="57"/>
    </row>
    <row r="1325" spans="1:1">
      <c r="A1325" s="57"/>
    </row>
    <row r="1326" spans="1:1">
      <c r="A1326" s="57"/>
    </row>
    <row r="1327" spans="1:1">
      <c r="A1327" s="57"/>
    </row>
    <row r="1328" spans="1:1">
      <c r="A1328" s="57"/>
    </row>
    <row r="1329" spans="1:1">
      <c r="A1329" s="57"/>
    </row>
    <row r="1330" spans="1:1">
      <c r="A1330" s="57"/>
    </row>
    <row r="1331" spans="1:1">
      <c r="A1331" s="57"/>
    </row>
    <row r="1332" spans="1:1">
      <c r="A1332" s="57"/>
    </row>
    <row r="1333" spans="1:1">
      <c r="A1333" s="57"/>
    </row>
    <row r="1334" spans="1:1">
      <c r="A1334" s="57"/>
    </row>
    <row r="1335" spans="1:1">
      <c r="A1335" s="57"/>
    </row>
    <row r="1336" spans="1:1">
      <c r="A1336" s="57"/>
    </row>
    <row r="1337" spans="1:1">
      <c r="A1337" s="57"/>
    </row>
    <row r="1338" spans="1:1">
      <c r="A1338" s="57"/>
    </row>
    <row r="1339" spans="1:1">
      <c r="A1339" s="57"/>
    </row>
    <row r="1340" spans="1:1">
      <c r="A1340" s="57"/>
    </row>
    <row r="1341" spans="1:1">
      <c r="A1341" s="57"/>
    </row>
    <row r="1342" spans="1:1">
      <c r="A1342" s="57"/>
    </row>
    <row r="1343" spans="1:1">
      <c r="A1343" s="57"/>
    </row>
    <row r="1344" spans="1:1">
      <c r="A1344" s="57"/>
    </row>
    <row r="1345" spans="1:1">
      <c r="A1345" s="57"/>
    </row>
    <row r="1346" spans="1:1">
      <c r="A1346" s="57"/>
    </row>
    <row r="1347" spans="1:1">
      <c r="A1347" s="57"/>
    </row>
    <row r="1348" spans="1:1">
      <c r="A1348" s="57"/>
    </row>
    <row r="1349" spans="1:1">
      <c r="A1349" s="57"/>
    </row>
    <row r="1350" spans="1:1">
      <c r="A1350" s="57"/>
    </row>
    <row r="1351" spans="1:1">
      <c r="A1351" s="57"/>
    </row>
    <row r="1352" spans="1:1">
      <c r="A1352" s="57"/>
    </row>
    <row r="1353" spans="1:1">
      <c r="A1353" s="57"/>
    </row>
    <row r="1354" spans="1:1">
      <c r="A1354" s="57"/>
    </row>
    <row r="1355" spans="1:1">
      <c r="A1355" s="57"/>
    </row>
    <row r="1356" spans="1:1">
      <c r="A1356" s="57"/>
    </row>
    <row r="1357" spans="1:1">
      <c r="A1357" s="57"/>
    </row>
    <row r="1358" spans="1:1">
      <c r="A1358" s="57"/>
    </row>
    <row r="1359" spans="1:1">
      <c r="A1359" s="57"/>
    </row>
    <row r="1360" spans="1:1">
      <c r="A1360" s="57"/>
    </row>
    <row r="1361" spans="1:1">
      <c r="A1361" s="57"/>
    </row>
    <row r="1362" spans="1:1">
      <c r="A1362" s="57"/>
    </row>
    <row r="1363" spans="1:1">
      <c r="A1363" s="57"/>
    </row>
    <row r="1364" spans="1:1">
      <c r="A1364" s="57"/>
    </row>
    <row r="1365" spans="1:1">
      <c r="A1365" s="57"/>
    </row>
    <row r="1366" spans="1:1">
      <c r="A1366" s="57"/>
    </row>
    <row r="1367" spans="1:1">
      <c r="A1367" s="57"/>
    </row>
    <row r="1368" spans="1:1">
      <c r="A1368" s="57"/>
    </row>
    <row r="1369" spans="1:1">
      <c r="A1369" s="57"/>
    </row>
    <row r="1370" spans="1:1">
      <c r="A1370" s="57"/>
    </row>
    <row r="1371" spans="1:1">
      <c r="A1371" s="57"/>
    </row>
    <row r="1372" spans="1:1">
      <c r="A1372" s="57"/>
    </row>
    <row r="1373" spans="1:1">
      <c r="A1373" s="57"/>
    </row>
    <row r="1374" spans="1:1">
      <c r="A1374" s="57"/>
    </row>
    <row r="1375" spans="1:1">
      <c r="A1375" s="57"/>
    </row>
    <row r="1376" spans="1:1">
      <c r="A1376" s="57"/>
    </row>
    <row r="1377" spans="1:1">
      <c r="A1377" s="57"/>
    </row>
    <row r="1378" spans="1:1">
      <c r="A1378" s="57"/>
    </row>
    <row r="1379" spans="1:1">
      <c r="A1379" s="57"/>
    </row>
    <row r="1380" spans="1:1">
      <c r="A1380" s="57"/>
    </row>
    <row r="1381" spans="1:1">
      <c r="A1381" s="57"/>
    </row>
    <row r="1382" spans="1:1">
      <c r="A1382" s="57"/>
    </row>
    <row r="1383" spans="1:1">
      <c r="A1383" s="57"/>
    </row>
    <row r="1384" spans="1:1">
      <c r="A1384" s="57"/>
    </row>
    <row r="1385" spans="1:1">
      <c r="A1385" s="57"/>
    </row>
    <row r="1386" spans="1:1">
      <c r="A1386" s="57"/>
    </row>
    <row r="1387" spans="1:1">
      <c r="A1387" s="57"/>
    </row>
    <row r="1388" spans="1:1">
      <c r="A1388" s="57"/>
    </row>
    <row r="1389" spans="1:1">
      <c r="A1389" s="57"/>
    </row>
    <row r="1390" spans="1:1">
      <c r="A1390" s="57"/>
    </row>
    <row r="1391" spans="1:1">
      <c r="A1391" s="57"/>
    </row>
    <row r="1392" spans="1:1">
      <c r="A1392" s="57"/>
    </row>
    <row r="1393" spans="1:1">
      <c r="A1393" s="57"/>
    </row>
    <row r="1394" spans="1:1">
      <c r="A1394" s="57"/>
    </row>
    <row r="1395" spans="1:1">
      <c r="A1395" s="57"/>
    </row>
    <row r="1396" spans="1:1">
      <c r="A1396" s="57"/>
    </row>
    <row r="1397" spans="1:1">
      <c r="A1397" s="57"/>
    </row>
    <row r="1398" spans="1:1">
      <c r="A1398" s="57"/>
    </row>
    <row r="1399" spans="1:1">
      <c r="A1399" s="57"/>
    </row>
    <row r="1400" spans="1:1">
      <c r="A1400" s="57"/>
    </row>
    <row r="1401" spans="1:1">
      <c r="A1401" s="57"/>
    </row>
    <row r="1402" spans="1:1">
      <c r="A1402" s="57"/>
    </row>
    <row r="1403" spans="1:1">
      <c r="A1403" s="57"/>
    </row>
    <row r="1404" spans="1:1">
      <c r="A1404" s="57"/>
    </row>
    <row r="1405" spans="1:1">
      <c r="A1405" s="57"/>
    </row>
    <row r="1406" spans="1:1">
      <c r="A1406" s="57"/>
    </row>
    <row r="1407" spans="1:1">
      <c r="A1407" s="57"/>
    </row>
    <row r="1408" spans="1:1">
      <c r="A1408" s="57"/>
    </row>
    <row r="1409" spans="1:1">
      <c r="A1409" s="57"/>
    </row>
    <row r="1410" spans="1:1">
      <c r="A1410" s="57"/>
    </row>
    <row r="1411" spans="1:1">
      <c r="A1411" s="57"/>
    </row>
    <row r="1412" spans="1:1">
      <c r="A1412" s="57"/>
    </row>
    <row r="1413" spans="1:1">
      <c r="A1413" s="57"/>
    </row>
    <row r="1414" spans="1:1">
      <c r="A1414" s="57"/>
    </row>
    <row r="1415" spans="1:1">
      <c r="A1415" s="57"/>
    </row>
    <row r="1416" spans="1:1">
      <c r="A1416" s="57"/>
    </row>
    <row r="1417" spans="1:1">
      <c r="A1417" s="57"/>
    </row>
    <row r="1418" spans="1:1">
      <c r="A1418" s="57"/>
    </row>
    <row r="1419" spans="1:1">
      <c r="A1419" s="57"/>
    </row>
    <row r="1420" spans="1:1">
      <c r="A1420" s="57"/>
    </row>
    <row r="1421" spans="1:1">
      <c r="A1421" s="57"/>
    </row>
    <row r="1422" spans="1:1">
      <c r="A1422" s="57"/>
    </row>
    <row r="1423" spans="1:1">
      <c r="A1423" s="57"/>
    </row>
    <row r="1424" spans="1:1">
      <c r="A1424" s="57"/>
    </row>
    <row r="1425" spans="1:1">
      <c r="A1425" s="57"/>
    </row>
    <row r="1426" spans="1:1">
      <c r="A1426" s="57"/>
    </row>
    <row r="1427" spans="1:1">
      <c r="A1427" s="57"/>
    </row>
    <row r="1428" spans="1:1">
      <c r="A1428" s="57"/>
    </row>
    <row r="1429" spans="1:1">
      <c r="A1429" s="57"/>
    </row>
    <row r="1430" spans="1:1">
      <c r="A1430" s="57"/>
    </row>
    <row r="1431" spans="1:1">
      <c r="A1431" s="57"/>
    </row>
    <row r="1432" spans="1:1">
      <c r="A1432" s="57"/>
    </row>
    <row r="1433" spans="1:1">
      <c r="A1433" s="57"/>
    </row>
    <row r="1434" spans="1:1">
      <c r="A1434" s="57"/>
    </row>
    <row r="1435" spans="1:1">
      <c r="A1435" s="57"/>
    </row>
    <row r="1436" spans="1:1">
      <c r="A1436" s="57"/>
    </row>
    <row r="1437" spans="1:1">
      <c r="A1437" s="57"/>
    </row>
    <row r="1438" spans="1:1">
      <c r="A1438" s="57"/>
    </row>
    <row r="1439" spans="1:1">
      <c r="A1439" s="57"/>
    </row>
    <row r="1440" spans="1:1">
      <c r="A1440" s="57"/>
    </row>
    <row r="1441" spans="1:1">
      <c r="A1441" s="57"/>
    </row>
    <row r="1442" spans="1:1">
      <c r="A1442" s="57"/>
    </row>
    <row r="1443" spans="1:1">
      <c r="A1443" s="57"/>
    </row>
    <row r="1444" spans="1:1">
      <c r="A1444" s="57"/>
    </row>
    <row r="1445" spans="1:1">
      <c r="A1445" s="57"/>
    </row>
    <row r="1446" spans="1:1">
      <c r="A1446" s="57"/>
    </row>
    <row r="1447" spans="1:1">
      <c r="A1447" s="57"/>
    </row>
    <row r="1448" spans="1:1">
      <c r="A1448" s="57"/>
    </row>
    <row r="1449" spans="1:1">
      <c r="A1449" s="57"/>
    </row>
    <row r="1450" spans="1:1">
      <c r="A1450" s="57"/>
    </row>
    <row r="1451" spans="1:1">
      <c r="A1451" s="57"/>
    </row>
    <row r="1452" spans="1:1">
      <c r="A1452" s="57"/>
    </row>
    <row r="1453" spans="1:1">
      <c r="A1453" s="57"/>
    </row>
    <row r="1454" spans="1:1">
      <c r="A1454" s="57"/>
    </row>
    <row r="1455" spans="1:1">
      <c r="A1455" s="57"/>
    </row>
    <row r="1456" spans="1:1">
      <c r="A1456" s="57"/>
    </row>
    <row r="1457" spans="1:1">
      <c r="A1457" s="57"/>
    </row>
    <row r="1458" spans="1:1">
      <c r="A1458" s="57"/>
    </row>
    <row r="1459" spans="1:1">
      <c r="A1459" s="57"/>
    </row>
    <row r="1460" spans="1:1">
      <c r="A1460" s="57"/>
    </row>
    <row r="1461" spans="1:1">
      <c r="A1461" s="57"/>
    </row>
    <row r="1462" spans="1:1">
      <c r="A1462" s="57"/>
    </row>
    <row r="1463" spans="1:1">
      <c r="A1463" s="57"/>
    </row>
    <row r="1464" spans="1:1">
      <c r="A1464" s="57"/>
    </row>
    <row r="1465" spans="1:1">
      <c r="A1465" s="57"/>
    </row>
    <row r="1466" spans="1:1">
      <c r="A1466" s="57"/>
    </row>
    <row r="1467" spans="1:1">
      <c r="A1467" s="57"/>
    </row>
    <row r="1468" spans="1:1">
      <c r="A1468" s="57"/>
    </row>
    <row r="1469" spans="1:1">
      <c r="A1469" s="57"/>
    </row>
    <row r="1470" spans="1:1">
      <c r="A1470" s="57"/>
    </row>
    <row r="1471" spans="1:1">
      <c r="A1471" s="57"/>
    </row>
    <row r="1472" spans="1:1">
      <c r="A1472" s="57"/>
    </row>
    <row r="1473" spans="1:1">
      <c r="A1473" s="57"/>
    </row>
    <row r="1474" spans="1:1">
      <c r="A1474" s="57"/>
    </row>
    <row r="1475" spans="1:1">
      <c r="A1475" s="57"/>
    </row>
    <row r="1476" spans="1:1">
      <c r="A1476" s="57"/>
    </row>
    <row r="1477" spans="1:1">
      <c r="A1477" s="57"/>
    </row>
    <row r="1478" spans="1:1">
      <c r="A1478" s="57"/>
    </row>
    <row r="1479" spans="1:1">
      <c r="A1479" s="57"/>
    </row>
    <row r="1480" spans="1:1">
      <c r="A1480" s="57"/>
    </row>
    <row r="1481" spans="1:1">
      <c r="A1481" s="57"/>
    </row>
    <row r="1482" spans="1:1">
      <c r="A1482" s="57"/>
    </row>
    <row r="1483" spans="1:1">
      <c r="A1483" s="57"/>
    </row>
    <row r="1484" spans="1:1">
      <c r="A1484" s="57"/>
    </row>
    <row r="1485" spans="1:1">
      <c r="A1485" s="57"/>
    </row>
    <row r="1486" spans="1:1">
      <c r="A1486" s="57"/>
    </row>
    <row r="1487" spans="1:1">
      <c r="A1487" s="57"/>
    </row>
    <row r="1488" spans="1:1">
      <c r="A1488" s="57"/>
    </row>
    <row r="1489" spans="1:1">
      <c r="A1489" s="57"/>
    </row>
    <row r="1490" spans="1:1">
      <c r="A1490" s="57"/>
    </row>
    <row r="1491" spans="1:1">
      <c r="A1491" s="57"/>
    </row>
    <row r="1492" spans="1:1">
      <c r="A1492" s="57"/>
    </row>
    <row r="1493" spans="1:1">
      <c r="A1493" s="57"/>
    </row>
    <row r="1494" spans="1:1">
      <c r="A1494" s="57"/>
    </row>
    <row r="1495" spans="1:1">
      <c r="A1495" s="57"/>
    </row>
    <row r="1496" spans="1:1">
      <c r="A1496" s="57"/>
    </row>
    <row r="1497" spans="1:1">
      <c r="A1497" s="57"/>
    </row>
    <row r="1498" spans="1:1">
      <c r="A1498" s="57"/>
    </row>
    <row r="1499" spans="1:1">
      <c r="A1499" s="57"/>
    </row>
    <row r="1500" spans="1:1">
      <c r="A1500" s="57"/>
    </row>
    <row r="1501" spans="1:1">
      <c r="A1501" s="57"/>
    </row>
    <row r="1502" spans="1:1">
      <c r="A1502" s="57"/>
    </row>
    <row r="1503" spans="1:1">
      <c r="A1503" s="57"/>
    </row>
    <row r="1504" spans="1:1">
      <c r="A1504" s="57"/>
    </row>
    <row r="1505" spans="1:1">
      <c r="A1505" s="57"/>
    </row>
    <row r="1506" spans="1:1">
      <c r="A1506" s="57"/>
    </row>
    <row r="1507" spans="1:1">
      <c r="A1507" s="57"/>
    </row>
    <row r="1508" spans="1:1">
      <c r="A1508" s="57"/>
    </row>
    <row r="1509" spans="1:1">
      <c r="A1509" s="57"/>
    </row>
    <row r="1510" spans="1:1">
      <c r="A1510" s="57"/>
    </row>
    <row r="1511" spans="1:1">
      <c r="A1511" s="57"/>
    </row>
    <row r="1512" spans="1:1">
      <c r="A1512" s="57"/>
    </row>
    <row r="1513" spans="1:1">
      <c r="A1513" s="57"/>
    </row>
    <row r="1514" spans="1:1">
      <c r="A1514" s="57"/>
    </row>
    <row r="1515" spans="1:1">
      <c r="A1515" s="57"/>
    </row>
    <row r="1516" spans="1:1">
      <c r="A1516" s="57"/>
    </row>
    <row r="1517" spans="1:1">
      <c r="A1517" s="57"/>
    </row>
    <row r="1518" spans="1:1">
      <c r="A1518" s="57"/>
    </row>
    <row r="1519" spans="1:1">
      <c r="A1519" s="57"/>
    </row>
    <row r="1520" spans="1:1">
      <c r="A1520" s="57"/>
    </row>
    <row r="1521" spans="1:1">
      <c r="A1521" s="57"/>
    </row>
    <row r="1522" spans="1:1">
      <c r="A1522" s="57"/>
    </row>
    <row r="1523" spans="1:1">
      <c r="A1523" s="57"/>
    </row>
    <row r="1524" spans="1:1">
      <c r="A1524" s="57"/>
    </row>
    <row r="1525" spans="1:1">
      <c r="A1525" s="57"/>
    </row>
    <row r="1526" spans="1:1">
      <c r="A1526" s="57"/>
    </row>
    <row r="1527" spans="1:1">
      <c r="A1527" s="57"/>
    </row>
    <row r="1528" spans="1:1">
      <c r="A1528" s="57"/>
    </row>
    <row r="1529" spans="1:1">
      <c r="A1529" s="57"/>
    </row>
    <row r="1530" spans="1:1">
      <c r="A1530" s="57"/>
    </row>
    <row r="1531" spans="1:1">
      <c r="A1531" s="57"/>
    </row>
    <row r="1532" spans="1:1">
      <c r="A1532" s="57"/>
    </row>
    <row r="1533" spans="1:1">
      <c r="A1533" s="57"/>
    </row>
    <row r="1534" spans="1:1">
      <c r="A1534" s="57"/>
    </row>
    <row r="1535" spans="1:1">
      <c r="A1535" s="57"/>
    </row>
    <row r="1536" spans="1:1">
      <c r="A1536" s="57"/>
    </row>
    <row r="1537" spans="1:1">
      <c r="A1537" s="57"/>
    </row>
    <row r="1538" spans="1:1">
      <c r="A1538" s="57"/>
    </row>
    <row r="1539" spans="1:1">
      <c r="A1539" s="57"/>
    </row>
    <row r="1540" spans="1:1">
      <c r="A1540" s="57"/>
    </row>
    <row r="1541" spans="1:1">
      <c r="A1541" s="57"/>
    </row>
    <row r="1542" spans="1:1">
      <c r="A1542" s="57"/>
    </row>
    <row r="1543" spans="1:1">
      <c r="A1543" s="57"/>
    </row>
    <row r="1544" spans="1:1">
      <c r="A1544" s="57"/>
    </row>
    <row r="1545" spans="1:1">
      <c r="A1545" s="57"/>
    </row>
    <row r="1546" spans="1:1">
      <c r="A1546" s="57"/>
    </row>
    <row r="1547" spans="1:1">
      <c r="A1547" s="57"/>
    </row>
    <row r="1548" spans="1:1">
      <c r="A1548" s="57"/>
    </row>
    <row r="1549" spans="1:1">
      <c r="A1549" s="57"/>
    </row>
    <row r="1550" spans="1:1">
      <c r="A1550" s="57"/>
    </row>
    <row r="1551" spans="1:1">
      <c r="A1551" s="57"/>
    </row>
    <row r="1552" spans="1:1">
      <c r="A1552" s="57"/>
    </row>
    <row r="1553" spans="1:1">
      <c r="A1553" s="57"/>
    </row>
    <row r="1554" spans="1:1">
      <c r="A1554" s="57"/>
    </row>
    <row r="1555" spans="1:1">
      <c r="A1555" s="57"/>
    </row>
    <row r="1556" spans="1:1">
      <c r="A1556" s="57"/>
    </row>
    <row r="1557" spans="1:1">
      <c r="A1557" s="57"/>
    </row>
    <row r="1558" spans="1:1">
      <c r="A1558" s="57"/>
    </row>
    <row r="1559" spans="1:1">
      <c r="A1559" s="57"/>
    </row>
    <row r="1560" spans="1:1">
      <c r="A1560" s="57"/>
    </row>
    <row r="1561" spans="1:1">
      <c r="A1561" s="57"/>
    </row>
    <row r="1562" spans="1:1">
      <c r="A1562" s="57"/>
    </row>
    <row r="1563" spans="1:1">
      <c r="A1563" s="57"/>
    </row>
    <row r="1564" spans="1:1">
      <c r="A1564" s="57"/>
    </row>
    <row r="1565" spans="1:1">
      <c r="A1565" s="57"/>
    </row>
    <row r="1566" spans="1:1">
      <c r="A1566" s="57"/>
    </row>
    <row r="1567" spans="1:1">
      <c r="A1567" s="57"/>
    </row>
    <row r="1568" spans="1:1">
      <c r="A1568" s="57"/>
    </row>
    <row r="1569" spans="1:1">
      <c r="A1569" s="57"/>
    </row>
    <row r="1570" spans="1:1">
      <c r="A1570" s="57"/>
    </row>
    <row r="1571" spans="1:1">
      <c r="A1571" s="57"/>
    </row>
    <row r="1572" spans="1:1">
      <c r="A1572" s="57"/>
    </row>
    <row r="1573" spans="1:1">
      <c r="A1573" s="57"/>
    </row>
    <row r="1574" spans="1:1">
      <c r="A1574" s="57"/>
    </row>
    <row r="1575" spans="1:1">
      <c r="A1575" s="57"/>
    </row>
    <row r="1576" spans="1:1">
      <c r="A1576" s="57"/>
    </row>
    <row r="1577" spans="1:1">
      <c r="A1577" s="57"/>
    </row>
    <row r="1578" spans="1:1">
      <c r="A1578" s="57"/>
    </row>
    <row r="1579" spans="1:1">
      <c r="A1579" s="57"/>
    </row>
    <row r="1580" spans="1:1">
      <c r="A1580" s="57"/>
    </row>
    <row r="1581" spans="1:1">
      <c r="A1581" s="57"/>
    </row>
    <row r="1582" spans="1:1">
      <c r="A1582" s="57"/>
    </row>
    <row r="1583" spans="1:1">
      <c r="A1583" s="57"/>
    </row>
    <row r="1584" spans="1:1">
      <c r="A1584" s="57"/>
    </row>
    <row r="1585" spans="1:1">
      <c r="A1585" s="57"/>
    </row>
    <row r="1586" spans="1:1">
      <c r="A1586" s="57"/>
    </row>
    <row r="1587" spans="1:1">
      <c r="A1587" s="57"/>
    </row>
    <row r="1588" spans="1:1">
      <c r="A1588" s="57"/>
    </row>
    <row r="1589" spans="1:1">
      <c r="A1589" s="57"/>
    </row>
    <row r="1590" spans="1:1">
      <c r="A1590" s="57"/>
    </row>
    <row r="1591" spans="1:1">
      <c r="A1591" s="57"/>
    </row>
    <row r="1592" spans="1:1">
      <c r="A1592" s="57"/>
    </row>
    <row r="1593" spans="1:1">
      <c r="A1593" s="57"/>
    </row>
    <row r="1594" spans="1:1">
      <c r="A1594" s="57"/>
    </row>
    <row r="1595" spans="1:1">
      <c r="A1595" s="57"/>
    </row>
    <row r="1596" spans="1:1">
      <c r="A1596" s="57"/>
    </row>
    <row r="1597" spans="1:1">
      <c r="A1597" s="57"/>
    </row>
    <row r="1598" spans="1:1">
      <c r="A1598" s="57"/>
    </row>
    <row r="1599" spans="1:1">
      <c r="A1599" s="57"/>
    </row>
    <row r="1600" spans="1:1">
      <c r="A1600" s="57"/>
    </row>
    <row r="1601" spans="1:1">
      <c r="A1601" s="57"/>
    </row>
    <row r="1602" spans="1:1">
      <c r="A1602" s="57"/>
    </row>
    <row r="1603" spans="1:1">
      <c r="A1603" s="57"/>
    </row>
    <row r="1604" spans="1:1">
      <c r="A1604" s="57"/>
    </row>
    <row r="1605" spans="1:1">
      <c r="A1605" s="57"/>
    </row>
    <row r="1606" spans="1:1">
      <c r="A1606" s="57"/>
    </row>
    <row r="1607" spans="1:1">
      <c r="A1607" s="57"/>
    </row>
    <row r="1608" spans="1:1">
      <c r="A1608" s="57"/>
    </row>
    <row r="1609" spans="1:1">
      <c r="A1609" s="57"/>
    </row>
    <row r="1610" spans="1:1">
      <c r="A1610" s="57"/>
    </row>
    <row r="1611" spans="1:1">
      <c r="A1611" s="57"/>
    </row>
    <row r="1612" spans="1:1">
      <c r="A1612" s="57"/>
    </row>
    <row r="1613" spans="1:1">
      <c r="A1613" s="57"/>
    </row>
    <row r="1614" spans="1:1">
      <c r="A1614" s="57"/>
    </row>
    <row r="1615" spans="1:1">
      <c r="A1615" s="57"/>
    </row>
    <row r="1616" spans="1:1">
      <c r="A1616" s="57"/>
    </row>
    <row r="1617" spans="1:1">
      <c r="A1617" s="57"/>
    </row>
    <row r="1618" spans="1:1">
      <c r="A1618" s="57"/>
    </row>
    <row r="1619" spans="1:1">
      <c r="A1619" s="57"/>
    </row>
    <row r="1620" spans="1:1">
      <c r="A1620" s="57"/>
    </row>
    <row r="1621" spans="1:1">
      <c r="A1621" s="57"/>
    </row>
    <row r="1622" spans="1:1">
      <c r="A1622" s="57"/>
    </row>
    <row r="1623" spans="1:1">
      <c r="A1623" s="57"/>
    </row>
    <row r="1624" spans="1:1">
      <c r="A1624" s="57"/>
    </row>
    <row r="1625" spans="1:1">
      <c r="A1625" s="57"/>
    </row>
    <row r="1626" spans="1:1">
      <c r="A1626" s="57"/>
    </row>
    <row r="1627" spans="1:1">
      <c r="A1627" s="57"/>
    </row>
    <row r="1628" spans="1:1">
      <c r="A1628" s="57"/>
    </row>
    <row r="1629" spans="1:1">
      <c r="A1629" s="57"/>
    </row>
    <row r="1630" spans="1:1">
      <c r="A1630" s="57"/>
    </row>
    <row r="1631" spans="1:1">
      <c r="A1631" s="57"/>
    </row>
    <row r="1632" spans="1:1">
      <c r="A1632" s="57"/>
    </row>
    <row r="1633" spans="1:1">
      <c r="A1633" s="57"/>
    </row>
    <row r="1634" spans="1:1">
      <c r="A1634" s="57"/>
    </row>
    <row r="1635" spans="1:1">
      <c r="A1635" s="57"/>
    </row>
    <row r="1636" spans="1:1">
      <c r="A1636" s="57"/>
    </row>
    <row r="1637" spans="1:1">
      <c r="A1637" s="57"/>
    </row>
    <row r="1638" spans="1:1">
      <c r="A1638" s="57"/>
    </row>
    <row r="1639" spans="1:1">
      <c r="A1639" s="57"/>
    </row>
    <row r="1640" spans="1:1">
      <c r="A1640" s="57"/>
    </row>
    <row r="1641" spans="1:1">
      <c r="A1641" s="57"/>
    </row>
    <row r="1642" spans="1:1">
      <c r="A1642" s="57"/>
    </row>
    <row r="1643" spans="1:1">
      <c r="A1643" s="57"/>
    </row>
    <row r="1644" spans="1:1">
      <c r="A1644" s="57"/>
    </row>
    <row r="1645" spans="1:1">
      <c r="A1645" s="57"/>
    </row>
    <row r="1646" spans="1:1">
      <c r="A1646" s="57"/>
    </row>
    <row r="1647" spans="1:1">
      <c r="A1647" s="57"/>
    </row>
    <row r="1648" spans="1:1">
      <c r="A1648" s="57"/>
    </row>
    <row r="1649" spans="1:1">
      <c r="A1649" s="57"/>
    </row>
    <row r="1650" spans="1:1">
      <c r="A1650" s="57"/>
    </row>
    <row r="1651" spans="1:1">
      <c r="A1651" s="57"/>
    </row>
    <row r="1652" spans="1:1">
      <c r="A1652" s="57"/>
    </row>
    <row r="1653" spans="1:1">
      <c r="A1653" s="57"/>
    </row>
    <row r="1654" spans="1:1">
      <c r="A1654" s="57"/>
    </row>
    <row r="1655" spans="1:1">
      <c r="A1655" s="57"/>
    </row>
    <row r="1656" spans="1:1">
      <c r="A1656" s="57"/>
    </row>
    <row r="1657" spans="1:1">
      <c r="A1657" s="57"/>
    </row>
    <row r="1658" spans="1:1">
      <c r="A1658" s="57"/>
    </row>
    <row r="1659" spans="1:1">
      <c r="A1659" s="57"/>
    </row>
    <row r="1660" spans="1:1">
      <c r="A1660" s="57"/>
    </row>
    <row r="1661" spans="1:1">
      <c r="A1661" s="57"/>
    </row>
    <row r="1662" spans="1:1">
      <c r="A1662" s="57"/>
    </row>
    <row r="1663" spans="1:1">
      <c r="A1663" s="57"/>
    </row>
    <row r="1664" spans="1:1">
      <c r="A1664" s="57"/>
    </row>
    <row r="1665" spans="1:1">
      <c r="A1665" s="57"/>
    </row>
    <row r="1666" spans="1:1">
      <c r="A1666" s="57"/>
    </row>
    <row r="1667" spans="1:1">
      <c r="A1667" s="57"/>
    </row>
    <row r="1668" spans="1:1">
      <c r="A1668" s="57"/>
    </row>
    <row r="1669" spans="1:1">
      <c r="A1669" s="57"/>
    </row>
    <row r="1670" spans="1:1">
      <c r="A1670" s="57"/>
    </row>
    <row r="1671" spans="1:1">
      <c r="A1671" s="57"/>
    </row>
    <row r="1672" spans="1:1">
      <c r="A1672" s="57"/>
    </row>
    <row r="1673" spans="1:1">
      <c r="A1673" s="57"/>
    </row>
    <row r="1674" spans="1:1">
      <c r="A1674" s="57"/>
    </row>
    <row r="1675" spans="1:1">
      <c r="A1675" s="57"/>
    </row>
    <row r="1676" spans="1:1">
      <c r="A1676" s="57"/>
    </row>
    <row r="1677" spans="1:1">
      <c r="A1677" s="57"/>
    </row>
    <row r="1678" spans="1:1">
      <c r="A1678" s="57"/>
    </row>
    <row r="1679" spans="1:1">
      <c r="A1679" s="57"/>
    </row>
    <row r="1680" spans="1:1">
      <c r="A1680" s="57"/>
    </row>
    <row r="1681" spans="1:1">
      <c r="A1681" s="57"/>
    </row>
    <row r="1682" spans="1:1">
      <c r="A1682" s="57"/>
    </row>
    <row r="1683" spans="1:1">
      <c r="A1683" s="57"/>
    </row>
    <row r="1684" spans="1:1">
      <c r="A1684" s="57"/>
    </row>
    <row r="1685" spans="1:1">
      <c r="A1685" s="57"/>
    </row>
    <row r="1686" spans="1:1">
      <c r="A1686" s="57"/>
    </row>
    <row r="1687" spans="1:1">
      <c r="A1687" s="57"/>
    </row>
    <row r="1688" spans="1:1">
      <c r="A1688" s="57"/>
    </row>
    <row r="1689" spans="1:1">
      <c r="A1689" s="57"/>
    </row>
    <row r="1690" spans="1:1">
      <c r="A1690" s="57"/>
    </row>
    <row r="1691" spans="1:1">
      <c r="A1691" s="57"/>
    </row>
    <row r="1692" spans="1:1">
      <c r="A1692" s="57"/>
    </row>
    <row r="1693" spans="1:1">
      <c r="A1693" s="57"/>
    </row>
    <row r="1694" spans="1:1">
      <c r="A1694" s="57"/>
    </row>
    <row r="1695" spans="1:1">
      <c r="A1695" s="57"/>
    </row>
    <row r="1696" spans="1:1">
      <c r="A1696" s="57"/>
    </row>
    <row r="1697" spans="1:1">
      <c r="A1697" s="57"/>
    </row>
    <row r="1698" spans="1:1">
      <c r="A1698" s="57"/>
    </row>
    <row r="1699" spans="1:1">
      <c r="A1699" s="57"/>
    </row>
    <row r="1700" spans="1:1">
      <c r="A1700" s="57"/>
    </row>
    <row r="1701" spans="1:1">
      <c r="A1701" s="57"/>
    </row>
    <row r="1702" spans="1:1">
      <c r="A1702" s="57"/>
    </row>
    <row r="1703" spans="1:1">
      <c r="A1703" s="57"/>
    </row>
    <row r="1704" spans="1:1">
      <c r="A1704" s="57"/>
    </row>
    <row r="1705" spans="1:1">
      <c r="A1705" s="57"/>
    </row>
    <row r="1706" spans="1:1">
      <c r="A1706" s="57"/>
    </row>
    <row r="1707" spans="1:1">
      <c r="A1707" s="57"/>
    </row>
    <row r="1708" spans="1:1">
      <c r="A1708" s="57"/>
    </row>
    <row r="1709" spans="1:1">
      <c r="A1709" s="57"/>
    </row>
    <row r="1710" spans="1:1">
      <c r="A1710" s="57"/>
    </row>
    <row r="1711" spans="1:1">
      <c r="A1711" s="57"/>
    </row>
    <row r="1712" spans="1:1">
      <c r="A1712" s="57"/>
    </row>
    <row r="1713" spans="1:1">
      <c r="A1713" s="57"/>
    </row>
    <row r="1714" spans="1:1">
      <c r="A1714" s="57"/>
    </row>
    <row r="1715" spans="1:1">
      <c r="A1715" s="57"/>
    </row>
    <row r="1716" spans="1:1">
      <c r="A1716" s="57"/>
    </row>
    <row r="1717" spans="1:1">
      <c r="A1717" s="57"/>
    </row>
    <row r="1718" spans="1:1">
      <c r="A1718" s="57"/>
    </row>
    <row r="1719" spans="1:1">
      <c r="A1719" s="57"/>
    </row>
    <row r="1720" spans="1:1">
      <c r="A1720" s="57"/>
    </row>
    <row r="1721" spans="1:1">
      <c r="A1721" s="57"/>
    </row>
    <row r="1722" spans="1:1">
      <c r="A1722" s="57"/>
    </row>
    <row r="1723" spans="1:1">
      <c r="A1723" s="57"/>
    </row>
    <row r="1724" spans="1:1">
      <c r="A1724" s="57"/>
    </row>
    <row r="1725" spans="1:1">
      <c r="A1725" s="57"/>
    </row>
    <row r="1726" spans="1:1">
      <c r="A1726" s="57"/>
    </row>
    <row r="1727" spans="1:1">
      <c r="A1727" s="57"/>
    </row>
    <row r="1728" spans="1:1">
      <c r="A1728" s="57"/>
    </row>
    <row r="1729" spans="1:1">
      <c r="A1729" s="57"/>
    </row>
    <row r="1730" spans="1:1">
      <c r="A1730" s="57"/>
    </row>
    <row r="1731" spans="1:1">
      <c r="A1731" s="57"/>
    </row>
    <row r="1732" spans="1:1">
      <c r="A1732" s="57"/>
    </row>
    <row r="1733" spans="1:1">
      <c r="A1733" s="57"/>
    </row>
    <row r="1734" spans="1:1">
      <c r="A1734" s="57"/>
    </row>
    <row r="1735" spans="1:1">
      <c r="A1735" s="57"/>
    </row>
    <row r="1736" spans="1:1">
      <c r="A1736" s="57"/>
    </row>
    <row r="1737" spans="1:1">
      <c r="A1737" s="57"/>
    </row>
    <row r="1738" spans="1:1">
      <c r="A1738" s="57"/>
    </row>
    <row r="1739" spans="1:1">
      <c r="A1739" s="57"/>
    </row>
    <row r="1740" spans="1:1">
      <c r="A1740" s="57"/>
    </row>
    <row r="1741" spans="1:1">
      <c r="A1741" s="57"/>
    </row>
    <row r="1742" spans="1:1">
      <c r="A1742" s="57"/>
    </row>
    <row r="1743" spans="1:1">
      <c r="A1743" s="57"/>
    </row>
    <row r="1744" spans="1:1">
      <c r="A1744" s="57"/>
    </row>
    <row r="1745" spans="1:1">
      <c r="A1745" s="57"/>
    </row>
    <row r="1746" spans="1:1">
      <c r="A1746" s="57"/>
    </row>
    <row r="1747" spans="1:1">
      <c r="A1747" s="57"/>
    </row>
    <row r="1748" spans="1:1">
      <c r="A1748" s="57"/>
    </row>
    <row r="1749" spans="1:1">
      <c r="A1749" s="57"/>
    </row>
    <row r="1750" spans="1:1">
      <c r="A1750" s="57"/>
    </row>
    <row r="1751" spans="1:1">
      <c r="A1751" s="57"/>
    </row>
    <row r="1752" spans="1:1">
      <c r="A1752" s="57"/>
    </row>
    <row r="1753" spans="1:1">
      <c r="A1753" s="57"/>
    </row>
    <row r="1754" spans="1:1">
      <c r="A1754" s="57"/>
    </row>
    <row r="1755" spans="1:1">
      <c r="A1755" s="57"/>
    </row>
    <row r="1756" spans="1:1">
      <c r="A1756" s="57"/>
    </row>
    <row r="1757" spans="1:1">
      <c r="A1757" s="57"/>
    </row>
    <row r="1758" spans="1:1">
      <c r="A1758" s="57"/>
    </row>
    <row r="1759" spans="1:1">
      <c r="A1759" s="57"/>
    </row>
    <row r="1760" spans="1:1">
      <c r="A1760" s="57"/>
    </row>
    <row r="1761" spans="1:1">
      <c r="A1761" s="57"/>
    </row>
    <row r="1762" spans="1:1">
      <c r="A1762" s="57"/>
    </row>
    <row r="1763" spans="1:1">
      <c r="A1763" s="57"/>
    </row>
    <row r="1764" spans="1:1">
      <c r="A1764" s="57"/>
    </row>
    <row r="1765" spans="1:1">
      <c r="A1765" s="57"/>
    </row>
    <row r="1766" spans="1:1">
      <c r="A1766" s="57"/>
    </row>
    <row r="1767" spans="1:1">
      <c r="A1767" s="57"/>
    </row>
    <row r="1768" spans="1:1">
      <c r="A1768" s="57"/>
    </row>
    <row r="1769" spans="1:1">
      <c r="A1769" s="57"/>
    </row>
    <row r="1770" spans="1:1">
      <c r="A1770" s="57"/>
    </row>
    <row r="1771" spans="1:1">
      <c r="A1771" s="57"/>
    </row>
    <row r="1772" spans="1:1">
      <c r="A1772" s="57"/>
    </row>
    <row r="1773" spans="1:1">
      <c r="A1773" s="57"/>
    </row>
    <row r="1774" spans="1:1">
      <c r="A1774" s="57"/>
    </row>
    <row r="1775" spans="1:1">
      <c r="A1775" s="57"/>
    </row>
    <row r="1776" spans="1:1">
      <c r="A1776" s="57"/>
    </row>
    <row r="1777" spans="1:1">
      <c r="A1777" s="57"/>
    </row>
    <row r="1778" spans="1:1">
      <c r="A1778" s="57"/>
    </row>
    <row r="1779" spans="1:1">
      <c r="A1779" s="57"/>
    </row>
    <row r="1780" spans="1:1">
      <c r="A1780" s="57"/>
    </row>
    <row r="1781" spans="1:1">
      <c r="A1781" s="57"/>
    </row>
    <row r="1782" spans="1:1">
      <c r="A1782" s="57"/>
    </row>
    <row r="1783" spans="1:1">
      <c r="A1783" s="57"/>
    </row>
    <row r="1784" spans="1:1">
      <c r="A1784" s="57"/>
    </row>
    <row r="1785" spans="1:1">
      <c r="A1785" s="57"/>
    </row>
    <row r="1786" spans="1:1">
      <c r="A1786" s="57"/>
    </row>
    <row r="1787" spans="1:1">
      <c r="A1787" s="57"/>
    </row>
    <row r="1788" spans="1:1">
      <c r="A1788" s="57"/>
    </row>
    <row r="1789" spans="1:1">
      <c r="A1789" s="57"/>
    </row>
    <row r="1790" spans="1:1">
      <c r="A1790" s="57"/>
    </row>
    <row r="1791" spans="1:1">
      <c r="A1791" s="57"/>
    </row>
    <row r="1792" spans="1:1">
      <c r="A1792" s="57"/>
    </row>
    <row r="1793" spans="1:1">
      <c r="A1793" s="57"/>
    </row>
    <row r="1794" spans="1:1">
      <c r="A1794" s="57"/>
    </row>
    <row r="1795" spans="1:1">
      <c r="A1795" s="57"/>
    </row>
    <row r="1796" spans="1:1">
      <c r="A1796" s="57"/>
    </row>
    <row r="1797" spans="1:1">
      <c r="A1797" s="57"/>
    </row>
    <row r="1798" spans="1:1">
      <c r="A1798" s="57"/>
    </row>
    <row r="1799" spans="1:1">
      <c r="A1799" s="57"/>
    </row>
    <row r="1800" spans="1:1">
      <c r="A1800" s="57"/>
    </row>
    <row r="1801" spans="1:1">
      <c r="A1801" s="57"/>
    </row>
    <row r="1802" spans="1:1">
      <c r="A1802" s="57"/>
    </row>
    <row r="1803" spans="1:1">
      <c r="A1803" s="57"/>
    </row>
    <row r="1804" spans="1:1">
      <c r="A1804" s="57"/>
    </row>
    <row r="1805" spans="1:1">
      <c r="A1805" s="57"/>
    </row>
    <row r="1806" spans="1:1">
      <c r="A1806" s="57"/>
    </row>
    <row r="1807" spans="1:1">
      <c r="A1807" s="57"/>
    </row>
    <row r="1808" spans="1:1">
      <c r="A1808" s="57"/>
    </row>
    <row r="1809" spans="1:1">
      <c r="A1809" s="57"/>
    </row>
    <row r="1810" spans="1:1">
      <c r="A1810" s="57"/>
    </row>
    <row r="1811" spans="1:1">
      <c r="A1811" s="57"/>
    </row>
    <row r="1812" spans="1:1">
      <c r="A1812" s="57"/>
    </row>
    <row r="1813" spans="1:1">
      <c r="A1813" s="57"/>
    </row>
    <row r="1814" spans="1:1">
      <c r="A1814" s="57"/>
    </row>
    <row r="1815" spans="1:1">
      <c r="A1815" s="57"/>
    </row>
    <row r="1816" spans="1:1">
      <c r="A1816" s="57"/>
    </row>
    <row r="1817" spans="1:1">
      <c r="A1817" s="57"/>
    </row>
    <row r="1818" spans="1:1">
      <c r="A1818" s="57"/>
    </row>
    <row r="1819" spans="1:1">
      <c r="A1819" s="57"/>
    </row>
    <row r="1820" spans="1:1">
      <c r="A1820" s="57"/>
    </row>
    <row r="1821" spans="1:1">
      <c r="A1821" s="57"/>
    </row>
    <row r="1822" spans="1:1">
      <c r="A1822" s="57"/>
    </row>
    <row r="1823" spans="1:1">
      <c r="A1823" s="57"/>
    </row>
    <row r="1824" spans="1:1">
      <c r="A1824" s="57"/>
    </row>
    <row r="1825" spans="1:1">
      <c r="A1825" s="57"/>
    </row>
    <row r="1826" spans="1:1">
      <c r="A1826" s="57"/>
    </row>
    <row r="1827" spans="1:1">
      <c r="A1827" s="57"/>
    </row>
    <row r="1828" spans="1:1">
      <c r="A1828" s="57"/>
    </row>
    <row r="1829" spans="1:1">
      <c r="A1829" s="57"/>
    </row>
    <row r="1830" spans="1:1">
      <c r="A1830" s="57"/>
    </row>
    <row r="1831" spans="1:1">
      <c r="A1831" s="57"/>
    </row>
    <row r="1832" spans="1:1">
      <c r="A1832" s="57"/>
    </row>
    <row r="1833" spans="1:1">
      <c r="A1833" s="57"/>
    </row>
    <row r="1834" spans="1:1">
      <c r="A1834" s="57"/>
    </row>
    <row r="1835" spans="1:1">
      <c r="A1835" s="57"/>
    </row>
    <row r="1836" spans="1:1">
      <c r="A1836" s="57"/>
    </row>
    <row r="1837" spans="1:1">
      <c r="A1837" s="57"/>
    </row>
    <row r="1838" spans="1:1">
      <c r="A1838" s="57"/>
    </row>
    <row r="1839" spans="1:1">
      <c r="A1839" s="57"/>
    </row>
    <row r="1840" spans="1:1">
      <c r="A1840" s="57"/>
    </row>
    <row r="1841" spans="1:1">
      <c r="A1841" s="57"/>
    </row>
    <row r="1842" spans="1:1">
      <c r="A1842" s="57"/>
    </row>
    <row r="1843" spans="1:1">
      <c r="A1843" s="57"/>
    </row>
    <row r="1844" spans="1:1">
      <c r="A1844" s="57"/>
    </row>
    <row r="1845" spans="1:1">
      <c r="A1845" s="57"/>
    </row>
    <row r="1846" spans="1:1">
      <c r="A1846" s="57"/>
    </row>
    <row r="1847" spans="1:1">
      <c r="A1847" s="57"/>
    </row>
    <row r="1848" spans="1:1">
      <c r="A1848" s="57"/>
    </row>
    <row r="1849" spans="1:1">
      <c r="A1849" s="57"/>
    </row>
    <row r="1850" spans="1:1">
      <c r="A1850" s="57"/>
    </row>
    <row r="1851" spans="1:1">
      <c r="A1851" s="57"/>
    </row>
    <row r="1852" spans="1:1">
      <c r="A1852" s="57"/>
    </row>
    <row r="1853" spans="1:1">
      <c r="A1853" s="57"/>
    </row>
    <row r="1854" spans="1:1">
      <c r="A1854" s="57"/>
    </row>
    <row r="1855" spans="1:1">
      <c r="A1855" s="57"/>
    </row>
    <row r="1856" spans="1:1">
      <c r="A1856" s="57"/>
    </row>
    <row r="1857" spans="1:1">
      <c r="A1857" s="57"/>
    </row>
    <row r="1858" spans="1:1">
      <c r="A1858" s="57"/>
    </row>
    <row r="1859" spans="1:1">
      <c r="A1859" s="57"/>
    </row>
    <row r="1860" spans="1:1">
      <c r="A1860" s="57"/>
    </row>
    <row r="1861" spans="1:1">
      <c r="A1861" s="57"/>
    </row>
    <row r="1862" spans="1:1">
      <c r="A1862" s="57"/>
    </row>
    <row r="1863" spans="1:1">
      <c r="A1863" s="57"/>
    </row>
    <row r="1864" spans="1:1">
      <c r="A1864" s="57"/>
    </row>
    <row r="1865" spans="1:1">
      <c r="A1865" s="57"/>
    </row>
    <row r="1866" spans="1:1">
      <c r="A1866" s="57"/>
    </row>
    <row r="1867" spans="1:1">
      <c r="A1867" s="57"/>
    </row>
    <row r="1868" spans="1:1">
      <c r="A1868" s="57"/>
    </row>
    <row r="1869" spans="1:1">
      <c r="A1869" s="57"/>
    </row>
    <row r="1870" spans="1:1">
      <c r="A1870" s="57"/>
    </row>
    <row r="1871" spans="1:1">
      <c r="A1871" s="57"/>
    </row>
    <row r="1872" spans="1:1">
      <c r="A1872" s="57"/>
    </row>
    <row r="1873" spans="1:1">
      <c r="A1873" s="57"/>
    </row>
    <row r="1874" spans="1:1">
      <c r="A1874" s="57"/>
    </row>
    <row r="1875" spans="1:1">
      <c r="A1875" s="57"/>
    </row>
    <row r="1876" spans="1:1">
      <c r="A1876" s="57"/>
    </row>
    <row r="1877" spans="1:1">
      <c r="A1877" s="57"/>
    </row>
    <row r="1878" spans="1:1">
      <c r="A1878" s="57"/>
    </row>
    <row r="1879" spans="1:1">
      <c r="A1879" s="57"/>
    </row>
    <row r="1880" spans="1:1">
      <c r="A1880" s="57"/>
    </row>
    <row r="1881" spans="1:1">
      <c r="A1881" s="57"/>
    </row>
    <row r="1882" spans="1:1">
      <c r="A1882" s="57"/>
    </row>
    <row r="1883" spans="1:1">
      <c r="A1883" s="57"/>
    </row>
    <row r="1884" spans="1:1">
      <c r="A1884" s="57"/>
    </row>
    <row r="1885" spans="1:1">
      <c r="A1885" s="57"/>
    </row>
    <row r="1886" spans="1:1">
      <c r="A1886" s="57"/>
    </row>
    <row r="1887" spans="1:1">
      <c r="A1887" s="57"/>
    </row>
    <row r="1888" spans="1:1">
      <c r="A1888" s="57"/>
    </row>
    <row r="1889" spans="1:1">
      <c r="A1889" s="57"/>
    </row>
    <row r="1890" spans="1:1">
      <c r="A1890" s="57"/>
    </row>
    <row r="1891" spans="1:1">
      <c r="A1891" s="57"/>
    </row>
    <row r="1892" spans="1:1">
      <c r="A1892" s="57"/>
    </row>
    <row r="1893" spans="1:1">
      <c r="A1893" s="57"/>
    </row>
    <row r="1894" spans="1:1">
      <c r="A1894" s="57"/>
    </row>
    <row r="1895" spans="1:1">
      <c r="A1895" s="57"/>
    </row>
    <row r="1896" spans="1:1">
      <c r="A1896" s="57"/>
    </row>
    <row r="1897" spans="1:1">
      <c r="A1897" s="57"/>
    </row>
    <row r="1898" spans="1:1">
      <c r="A1898" s="57"/>
    </row>
    <row r="1899" spans="1:1">
      <c r="A1899" s="57"/>
    </row>
    <row r="1900" spans="1:1">
      <c r="A1900" s="57"/>
    </row>
    <row r="1901" spans="1:1">
      <c r="A1901" s="57"/>
    </row>
    <row r="1902" spans="1:1">
      <c r="A1902" s="57"/>
    </row>
    <row r="1903" spans="1:1">
      <c r="A1903" s="57"/>
    </row>
    <row r="1904" spans="1:1">
      <c r="A1904" s="57"/>
    </row>
    <row r="1905" spans="1:1">
      <c r="A1905" s="57"/>
    </row>
    <row r="1906" spans="1:1">
      <c r="A1906" s="57"/>
    </row>
    <row r="1907" spans="1:1">
      <c r="A1907" s="57"/>
    </row>
    <row r="1908" spans="1:1">
      <c r="A1908" s="57"/>
    </row>
    <row r="1909" spans="1:1">
      <c r="A1909" s="57"/>
    </row>
    <row r="1910" spans="1:1">
      <c r="A1910" s="57"/>
    </row>
    <row r="1911" spans="1:1">
      <c r="A1911" s="57"/>
    </row>
    <row r="1912" spans="1:1">
      <c r="A1912" s="57"/>
    </row>
    <row r="1913" spans="1:1">
      <c r="A1913" s="57"/>
    </row>
    <row r="1914" spans="1:1">
      <c r="A1914" s="57"/>
    </row>
    <row r="1915" spans="1:1">
      <c r="A1915" s="57"/>
    </row>
    <row r="1916" spans="1:1">
      <c r="A1916" s="57"/>
    </row>
    <row r="1917" spans="1:1">
      <c r="A1917" s="57"/>
    </row>
    <row r="1918" spans="1:1">
      <c r="A1918" s="57"/>
    </row>
    <row r="1919" spans="1:1">
      <c r="A1919" s="57"/>
    </row>
    <row r="1920" spans="1:1">
      <c r="A1920" s="57"/>
    </row>
    <row r="1921" spans="1:1">
      <c r="A1921" s="57"/>
    </row>
    <row r="1922" spans="1:1">
      <c r="A1922" s="57"/>
    </row>
    <row r="1923" spans="1:1">
      <c r="A1923" s="57"/>
    </row>
    <row r="1924" spans="1:1">
      <c r="A1924" s="57"/>
    </row>
    <row r="1925" spans="1:1">
      <c r="A1925" s="57"/>
    </row>
    <row r="1926" spans="1:1">
      <c r="A1926" s="57"/>
    </row>
    <row r="1927" spans="1:1">
      <c r="A1927" s="57"/>
    </row>
    <row r="1928" spans="1:1">
      <c r="A1928" s="57"/>
    </row>
    <row r="1929" spans="1:1">
      <c r="A1929" s="57"/>
    </row>
    <row r="1930" spans="1:1">
      <c r="A1930" s="57"/>
    </row>
    <row r="1931" spans="1:1">
      <c r="A1931" s="57"/>
    </row>
    <row r="1932" spans="1:1">
      <c r="A1932" s="57"/>
    </row>
    <row r="1933" spans="1:1">
      <c r="A1933" s="57"/>
    </row>
    <row r="1934" spans="1:1">
      <c r="A1934" s="57"/>
    </row>
    <row r="1935" spans="1:1">
      <c r="A1935" s="57"/>
    </row>
    <row r="1936" spans="1:1">
      <c r="A1936" s="57"/>
    </row>
    <row r="1937" spans="1:1">
      <c r="A1937" s="57"/>
    </row>
    <row r="1938" spans="1:1">
      <c r="A1938" s="57"/>
    </row>
    <row r="1939" spans="1:1">
      <c r="A1939" s="57"/>
    </row>
    <row r="1940" spans="1:1">
      <c r="A1940" s="57"/>
    </row>
    <row r="1941" spans="1:1">
      <c r="A1941" s="57"/>
    </row>
    <row r="1942" spans="1:1">
      <c r="A1942" s="57"/>
    </row>
    <row r="1943" spans="1:1">
      <c r="A1943" s="57"/>
    </row>
    <row r="1944" spans="1:1">
      <c r="A1944" s="57"/>
    </row>
    <row r="1945" spans="1:1">
      <c r="A1945" s="57"/>
    </row>
    <row r="1946" spans="1:1">
      <c r="A1946" s="57"/>
    </row>
    <row r="1947" spans="1:1">
      <c r="A1947" s="57"/>
    </row>
    <row r="1948" spans="1:1">
      <c r="A1948" s="57"/>
    </row>
    <row r="1949" spans="1:1">
      <c r="A1949" s="57"/>
    </row>
    <row r="1950" spans="1:1">
      <c r="A1950" s="57"/>
    </row>
    <row r="1951" spans="1:1">
      <c r="A1951" s="57"/>
    </row>
    <row r="1952" spans="1:1">
      <c r="A1952" s="57"/>
    </row>
    <row r="1953" spans="1:1">
      <c r="A1953" s="57"/>
    </row>
    <row r="1954" spans="1:1">
      <c r="A1954" s="57"/>
    </row>
    <row r="1955" spans="1:1">
      <c r="A1955" s="57"/>
    </row>
    <row r="1956" spans="1:1">
      <c r="A1956" s="57"/>
    </row>
    <row r="1957" spans="1:1">
      <c r="A1957" s="57"/>
    </row>
    <row r="1958" spans="1:1">
      <c r="A1958" s="57"/>
    </row>
    <row r="1959" spans="1:1">
      <c r="A1959" s="57"/>
    </row>
    <row r="1960" spans="1:1">
      <c r="A1960" s="57"/>
    </row>
    <row r="1961" spans="1:1">
      <c r="A1961" s="57"/>
    </row>
    <row r="1962" spans="1:1">
      <c r="A1962" s="57"/>
    </row>
    <row r="1963" spans="1:1">
      <c r="A1963" s="57"/>
    </row>
    <row r="1964" spans="1:1">
      <c r="A1964" s="57"/>
    </row>
    <row r="1965" spans="1:1">
      <c r="A1965" s="57"/>
    </row>
    <row r="1966" spans="1:1">
      <c r="A1966" s="57"/>
    </row>
    <row r="1967" spans="1:1">
      <c r="A1967" s="57"/>
    </row>
    <row r="1968" spans="1:1">
      <c r="A1968" s="57"/>
    </row>
    <row r="1969" spans="1:1">
      <c r="A1969" s="57"/>
    </row>
    <row r="1970" spans="1:1">
      <c r="A1970" s="57"/>
    </row>
    <row r="1971" spans="1:1">
      <c r="A1971" s="57"/>
    </row>
    <row r="1972" spans="1:1">
      <c r="A1972" s="57"/>
    </row>
    <row r="1973" spans="1:1">
      <c r="A1973" s="57"/>
    </row>
    <row r="1974" spans="1:1">
      <c r="A1974" s="57"/>
    </row>
    <row r="1975" spans="1:1">
      <c r="A1975" s="57"/>
    </row>
    <row r="1976" spans="1:1">
      <c r="A1976" s="57"/>
    </row>
    <row r="1977" spans="1:1">
      <c r="A1977" s="57"/>
    </row>
    <row r="1978" spans="1:1">
      <c r="A1978" s="57"/>
    </row>
    <row r="1979" spans="1:1">
      <c r="A1979" s="57"/>
    </row>
    <row r="1980" spans="1:1">
      <c r="A1980" s="57"/>
    </row>
    <row r="1981" spans="1:1">
      <c r="A1981" s="57"/>
    </row>
    <row r="1982" spans="1:1">
      <c r="A1982" s="57"/>
    </row>
    <row r="1983" spans="1:1">
      <c r="A1983" s="57"/>
    </row>
    <row r="1984" spans="1:1">
      <c r="A1984" s="57"/>
    </row>
    <row r="1985" spans="1:1">
      <c r="A1985" s="57"/>
    </row>
    <row r="1986" spans="1:1">
      <c r="A1986" s="57"/>
    </row>
    <row r="1987" spans="1:1">
      <c r="A1987" s="57"/>
    </row>
    <row r="1988" spans="1:1">
      <c r="A1988" s="57"/>
    </row>
    <row r="1989" spans="1:1">
      <c r="A1989" s="57"/>
    </row>
    <row r="1990" spans="1:1">
      <c r="A1990" s="57"/>
    </row>
    <row r="1991" spans="1:1">
      <c r="A1991" s="57"/>
    </row>
    <row r="1992" spans="1:1">
      <c r="A1992" s="57"/>
    </row>
    <row r="1993" spans="1:1">
      <c r="A1993" s="57"/>
    </row>
    <row r="1994" spans="1:1">
      <c r="A1994" s="57"/>
    </row>
    <row r="1995" spans="1:1">
      <c r="A1995" s="57"/>
    </row>
    <row r="1996" spans="1:1">
      <c r="A1996" s="57"/>
    </row>
    <row r="1997" spans="1:1">
      <c r="A1997" s="57"/>
    </row>
    <row r="1998" spans="1:1">
      <c r="A1998" s="57"/>
    </row>
    <row r="1999" spans="1:1">
      <c r="A1999" s="57"/>
    </row>
    <row r="2000" spans="1:1">
      <c r="A2000" s="57"/>
    </row>
    <row r="2001" spans="1:1">
      <c r="A2001" s="57"/>
    </row>
    <row r="2002" spans="1:1">
      <c r="A2002" s="57"/>
    </row>
    <row r="2003" spans="1:1">
      <c r="A2003" s="57"/>
    </row>
    <row r="2004" spans="1:1">
      <c r="A2004" s="57"/>
    </row>
    <row r="2005" spans="1:1">
      <c r="A2005" s="57"/>
    </row>
    <row r="2006" spans="1:1">
      <c r="A2006" s="57"/>
    </row>
    <row r="2007" spans="1:1">
      <c r="A2007" s="57"/>
    </row>
    <row r="2008" spans="1:1">
      <c r="A2008" s="57"/>
    </row>
    <row r="2009" spans="1:1">
      <c r="A2009" s="57"/>
    </row>
    <row r="2010" spans="1:1">
      <c r="A2010" s="57"/>
    </row>
    <row r="2011" spans="1:1">
      <c r="A2011" s="57"/>
    </row>
    <row r="2012" spans="1:1">
      <c r="A2012" s="57"/>
    </row>
    <row r="2013" spans="1:1">
      <c r="A2013" s="57"/>
    </row>
    <row r="2014" spans="1:1">
      <c r="A2014" s="57"/>
    </row>
    <row r="2015" spans="1:1">
      <c r="A2015" s="57"/>
    </row>
    <row r="2016" spans="1:1">
      <c r="A2016" s="57"/>
    </row>
    <row r="2017" spans="1:1">
      <c r="A2017" s="57"/>
    </row>
    <row r="2018" spans="1:1">
      <c r="A2018" s="57"/>
    </row>
    <row r="2019" spans="1:1">
      <c r="A2019" s="57"/>
    </row>
    <row r="2020" spans="1:1">
      <c r="A2020" s="57"/>
    </row>
    <row r="2021" spans="1:1">
      <c r="A2021" s="57"/>
    </row>
    <row r="2022" spans="1:1">
      <c r="A2022" s="57"/>
    </row>
    <row r="2023" spans="1:1">
      <c r="A2023" s="57"/>
    </row>
    <row r="2024" spans="1:1">
      <c r="A2024" s="57"/>
    </row>
    <row r="2025" spans="1:1">
      <c r="A2025" s="57"/>
    </row>
    <row r="2026" spans="1:1">
      <c r="A2026" s="57"/>
    </row>
    <row r="2027" spans="1:1">
      <c r="A2027" s="57"/>
    </row>
    <row r="2028" spans="1:1">
      <c r="A2028" s="57"/>
    </row>
    <row r="2029" spans="1:1">
      <c r="A2029" s="57"/>
    </row>
    <row r="2030" spans="1:1">
      <c r="A2030" s="57"/>
    </row>
    <row r="2031" spans="1:1">
      <c r="A2031" s="57"/>
    </row>
    <row r="2032" spans="1:1">
      <c r="A2032" s="57"/>
    </row>
    <row r="2033" spans="1:1">
      <c r="A2033" s="57"/>
    </row>
    <row r="2034" spans="1:1">
      <c r="A2034" s="57"/>
    </row>
    <row r="2035" spans="1:1">
      <c r="A2035" s="57"/>
    </row>
    <row r="2036" spans="1:1">
      <c r="A2036" s="57"/>
    </row>
    <row r="2037" spans="1:1">
      <c r="A2037" s="57"/>
    </row>
    <row r="2038" spans="1:1">
      <c r="A2038" s="57"/>
    </row>
    <row r="2039" spans="1:1">
      <c r="A2039" s="57"/>
    </row>
    <row r="2040" spans="1:1">
      <c r="A2040" s="57"/>
    </row>
    <row r="2041" spans="1:1">
      <c r="A2041" s="57"/>
    </row>
    <row r="2042" spans="1:1">
      <c r="A2042" s="57"/>
    </row>
    <row r="2043" spans="1:1">
      <c r="A2043" s="57"/>
    </row>
    <row r="2044" spans="1:1">
      <c r="A2044" s="57"/>
    </row>
    <row r="2045" spans="1:1">
      <c r="A2045" s="57"/>
    </row>
    <row r="2046" spans="1:1">
      <c r="A2046" s="57"/>
    </row>
    <row r="2047" spans="1:1">
      <c r="A2047" s="57"/>
    </row>
    <row r="2048" spans="1:1">
      <c r="A2048" s="57"/>
    </row>
    <row r="2049" spans="1:1">
      <c r="A2049" s="57"/>
    </row>
    <row r="2050" spans="1:1">
      <c r="A2050" s="57"/>
    </row>
    <row r="2051" spans="1:1">
      <c r="A2051" s="57"/>
    </row>
    <row r="2052" spans="1:1">
      <c r="A2052" s="57"/>
    </row>
    <row r="2053" spans="1:1">
      <c r="A2053" s="57"/>
    </row>
    <row r="2054" spans="1:1">
      <c r="A2054" s="57"/>
    </row>
    <row r="2055" spans="1:1">
      <c r="A2055" s="57"/>
    </row>
    <row r="2056" spans="1:1">
      <c r="A2056" s="57"/>
    </row>
    <row r="2057" spans="1:1">
      <c r="A2057" s="57"/>
    </row>
    <row r="2058" spans="1:1">
      <c r="A2058" s="57"/>
    </row>
    <row r="2059" spans="1:1">
      <c r="A2059" s="57"/>
    </row>
    <row r="2060" spans="1:1">
      <c r="A2060" s="57"/>
    </row>
    <row r="2061" spans="1:1">
      <c r="A2061" s="57"/>
    </row>
    <row r="2062" spans="1:1">
      <c r="A2062" s="57"/>
    </row>
    <row r="2063" spans="1:1">
      <c r="A2063" s="57"/>
    </row>
    <row r="2064" spans="1:1">
      <c r="A2064" s="57"/>
    </row>
    <row r="2065" spans="1:1">
      <c r="A2065" s="57"/>
    </row>
    <row r="2066" spans="1:1">
      <c r="A2066" s="57"/>
    </row>
    <row r="2067" spans="1:1">
      <c r="A2067" s="57"/>
    </row>
    <row r="2068" spans="1:1">
      <c r="A2068" s="57"/>
    </row>
    <row r="2069" spans="1:1">
      <c r="A2069" s="57"/>
    </row>
    <row r="2070" spans="1:1">
      <c r="A2070" s="57"/>
    </row>
    <row r="2071" spans="1:1">
      <c r="A2071" s="57"/>
    </row>
    <row r="2072" spans="1:1">
      <c r="A2072" s="57"/>
    </row>
    <row r="2073" spans="1:1">
      <c r="A2073" s="57"/>
    </row>
    <row r="2074" spans="1:1">
      <c r="A2074" s="57"/>
    </row>
    <row r="2075" spans="1:1">
      <c r="A2075" s="57"/>
    </row>
    <row r="2076" spans="1:1">
      <c r="A2076" s="57"/>
    </row>
    <row r="2077" spans="1:1">
      <c r="A2077" s="57"/>
    </row>
    <row r="2078" spans="1:1">
      <c r="A2078" s="57"/>
    </row>
    <row r="2079" spans="1:1">
      <c r="A2079" s="57"/>
    </row>
    <row r="2080" spans="1:1">
      <c r="A2080" s="57"/>
    </row>
    <row r="2081" spans="1:1">
      <c r="A2081" s="57"/>
    </row>
    <row r="2082" spans="1:1">
      <c r="A2082" s="57"/>
    </row>
    <row r="2083" spans="1:1">
      <c r="A2083" s="57"/>
    </row>
    <row r="2084" spans="1:1">
      <c r="A2084" s="57"/>
    </row>
    <row r="2085" spans="1:1">
      <c r="A2085" s="57"/>
    </row>
    <row r="2086" spans="1:1">
      <c r="A2086" s="57"/>
    </row>
    <row r="2087" spans="1:1">
      <c r="A2087" s="57"/>
    </row>
    <row r="2088" spans="1:1">
      <c r="A2088" s="57"/>
    </row>
    <row r="2089" spans="1:1">
      <c r="A2089" s="57"/>
    </row>
    <row r="2090" spans="1:1">
      <c r="A2090" s="57"/>
    </row>
    <row r="2091" spans="1:1">
      <c r="A2091" s="57"/>
    </row>
    <row r="2092" spans="1:1">
      <c r="A2092" s="57"/>
    </row>
    <row r="2093" spans="1:1">
      <c r="A2093" s="57"/>
    </row>
    <row r="2094" spans="1:1">
      <c r="A2094" s="57"/>
    </row>
    <row r="2095" spans="1:1">
      <c r="A2095" s="57"/>
    </row>
    <row r="2096" spans="1:1">
      <c r="A2096" s="57"/>
    </row>
    <row r="2097" spans="1:1">
      <c r="A2097" s="57"/>
    </row>
    <row r="2098" spans="1:1">
      <c r="A2098" s="57"/>
    </row>
    <row r="2099" spans="1:1">
      <c r="A2099" s="57"/>
    </row>
    <row r="2100" spans="1:1">
      <c r="A2100" s="57"/>
    </row>
    <row r="2101" spans="1:1">
      <c r="A2101" s="57"/>
    </row>
    <row r="2102" spans="1:1">
      <c r="A2102" s="57"/>
    </row>
    <row r="2103" spans="1:1">
      <c r="A2103" s="57"/>
    </row>
    <row r="2104" spans="1:1">
      <c r="A2104" s="57"/>
    </row>
    <row r="2105" spans="1:1">
      <c r="A2105" s="57"/>
    </row>
    <row r="2106" spans="1:1">
      <c r="A2106" s="57"/>
    </row>
    <row r="2107" spans="1:1">
      <c r="A2107" s="57"/>
    </row>
    <row r="2108" spans="1:1">
      <c r="A2108" s="57"/>
    </row>
    <row r="2109" spans="1:1">
      <c r="A2109" s="57"/>
    </row>
    <row r="2110" spans="1:1">
      <c r="A2110" s="57"/>
    </row>
    <row r="2111" spans="1:1">
      <c r="A2111" s="57"/>
    </row>
    <row r="2112" spans="1:1">
      <c r="A2112" s="57"/>
    </row>
    <row r="2113" spans="1:1">
      <c r="A2113" s="57"/>
    </row>
    <row r="2114" spans="1:1">
      <c r="A2114" s="57"/>
    </row>
    <row r="2115" spans="1:1">
      <c r="A2115" s="57"/>
    </row>
    <row r="2116" spans="1:1">
      <c r="A2116" s="57"/>
    </row>
    <row r="2117" spans="1:1">
      <c r="A2117" s="57"/>
    </row>
    <row r="2118" spans="1:1">
      <c r="A2118" s="57"/>
    </row>
    <row r="2119" spans="1:1">
      <c r="A2119" s="57"/>
    </row>
    <row r="2120" spans="1:1">
      <c r="A2120" s="57"/>
    </row>
    <row r="2121" spans="1:1">
      <c r="A2121" s="57"/>
    </row>
    <row r="2122" spans="1:1">
      <c r="A2122" s="57"/>
    </row>
    <row r="2123" spans="1:1">
      <c r="A2123" s="57"/>
    </row>
    <row r="2124" spans="1:1">
      <c r="A2124" s="57"/>
    </row>
    <row r="2125" spans="1:1">
      <c r="A2125" s="57"/>
    </row>
    <row r="2126" spans="1:1">
      <c r="A2126" s="57"/>
    </row>
    <row r="2127" spans="1:1">
      <c r="A2127" s="57"/>
    </row>
    <row r="2128" spans="1:1">
      <c r="A2128" s="57"/>
    </row>
    <row r="2129" spans="1:1">
      <c r="A2129" s="57"/>
    </row>
    <row r="2130" spans="1:1">
      <c r="A2130" s="57"/>
    </row>
    <row r="2131" spans="1:1">
      <c r="A2131" s="57"/>
    </row>
    <row r="2132" spans="1:1">
      <c r="A2132" s="57"/>
    </row>
    <row r="2133" spans="1:1">
      <c r="A2133" s="57"/>
    </row>
    <row r="2134" spans="1:1">
      <c r="A2134" s="57"/>
    </row>
    <row r="2135" spans="1:1">
      <c r="A2135" s="57"/>
    </row>
    <row r="2136" spans="1:1">
      <c r="A2136" s="57"/>
    </row>
    <row r="2137" spans="1:1">
      <c r="A2137" s="57"/>
    </row>
    <row r="2138" spans="1:1">
      <c r="A2138" s="57"/>
    </row>
    <row r="2139" spans="1:1">
      <c r="A2139" s="57"/>
    </row>
    <row r="2140" spans="1:1">
      <c r="A2140" s="57"/>
    </row>
    <row r="2141" spans="1:1">
      <c r="A2141" s="57"/>
    </row>
    <row r="2142" spans="1:1">
      <c r="A2142" s="57"/>
    </row>
    <row r="2143" spans="1:1">
      <c r="A2143" s="57"/>
    </row>
    <row r="2144" spans="1:1">
      <c r="A2144" s="57"/>
    </row>
    <row r="2145" spans="1:1">
      <c r="A2145" s="57"/>
    </row>
    <row r="2146" spans="1:1">
      <c r="A2146" s="57"/>
    </row>
    <row r="2147" spans="1:1">
      <c r="A2147" s="57"/>
    </row>
    <row r="2148" spans="1:1">
      <c r="A2148" s="57"/>
    </row>
    <row r="2149" spans="1:1">
      <c r="A2149" s="57"/>
    </row>
    <row r="2150" spans="1:1">
      <c r="A2150" s="57"/>
    </row>
    <row r="2151" spans="1:1">
      <c r="A2151" s="57"/>
    </row>
    <row r="2152" spans="1:1">
      <c r="A2152" s="57"/>
    </row>
    <row r="2153" spans="1:1">
      <c r="A2153" s="57"/>
    </row>
    <row r="2154" spans="1:1">
      <c r="A2154" s="57"/>
    </row>
    <row r="2155" spans="1:1">
      <c r="A2155" s="57"/>
    </row>
    <row r="2156" spans="1:1">
      <c r="A2156" s="57"/>
    </row>
    <row r="2157" spans="1:1">
      <c r="A2157" s="57"/>
    </row>
    <row r="2158" spans="1:1">
      <c r="A2158" s="57"/>
    </row>
    <row r="2159" spans="1:1">
      <c r="A2159" s="57"/>
    </row>
    <row r="2160" spans="1:1">
      <c r="A2160" s="57"/>
    </row>
    <row r="2161" spans="1:1">
      <c r="A2161" s="57"/>
    </row>
    <row r="2162" spans="1:1">
      <c r="A2162" s="57"/>
    </row>
    <row r="2163" spans="1:1">
      <c r="A2163" s="57"/>
    </row>
    <row r="2164" spans="1:1">
      <c r="A2164" s="57"/>
    </row>
    <row r="2165" spans="1:1">
      <c r="A2165" s="57"/>
    </row>
    <row r="2166" spans="1:1">
      <c r="A2166" s="57"/>
    </row>
    <row r="2167" spans="1:1">
      <c r="A2167" s="57"/>
    </row>
    <row r="2168" spans="1:1">
      <c r="A2168" s="57"/>
    </row>
    <row r="2169" spans="1:1">
      <c r="A2169" s="57"/>
    </row>
    <row r="2170" spans="1:1">
      <c r="A2170" s="57"/>
    </row>
    <row r="2171" spans="1:1">
      <c r="A2171" s="57"/>
    </row>
    <row r="2172" spans="1:1">
      <c r="A2172" s="57"/>
    </row>
    <row r="2173" spans="1:1">
      <c r="A2173" s="57"/>
    </row>
    <row r="2174" spans="1:1">
      <c r="A2174" s="57"/>
    </row>
    <row r="2175" spans="1:1">
      <c r="A2175" s="57"/>
    </row>
    <row r="2176" spans="1:1">
      <c r="A2176" s="57"/>
    </row>
    <row r="2177" spans="1:1">
      <c r="A2177" s="57"/>
    </row>
    <row r="2178" spans="1:1">
      <c r="A2178" s="57"/>
    </row>
    <row r="2179" spans="1:1">
      <c r="A2179" s="57"/>
    </row>
    <row r="2180" spans="1:1">
      <c r="A2180" s="57"/>
    </row>
    <row r="2181" spans="1:1">
      <c r="A2181" s="57"/>
    </row>
    <row r="2182" spans="1:1">
      <c r="A2182" s="57"/>
    </row>
    <row r="2183" spans="1:1">
      <c r="A2183" s="57"/>
    </row>
    <row r="2184" spans="1:1">
      <c r="A2184" s="57"/>
    </row>
    <row r="2185" spans="1:1">
      <c r="A2185" s="57"/>
    </row>
    <row r="2186" spans="1:1">
      <c r="A2186" s="57"/>
    </row>
    <row r="2187" spans="1:1">
      <c r="A2187" s="57"/>
    </row>
    <row r="2188" spans="1:1">
      <c r="A2188" s="57"/>
    </row>
    <row r="2189" spans="1:1">
      <c r="A2189" s="57"/>
    </row>
    <row r="2190" spans="1:1">
      <c r="A2190" s="57"/>
    </row>
    <row r="2191" spans="1:1">
      <c r="A2191" s="57"/>
    </row>
    <row r="2192" spans="1:1">
      <c r="A2192" s="57"/>
    </row>
    <row r="2193" spans="1:1">
      <c r="A2193" s="57"/>
    </row>
    <row r="2194" spans="1:1">
      <c r="A2194" s="57"/>
    </row>
    <row r="2195" spans="1:1">
      <c r="A2195" s="57"/>
    </row>
    <row r="2196" spans="1:1">
      <c r="A2196" s="57"/>
    </row>
    <row r="2197" spans="1:1">
      <c r="A2197" s="57"/>
    </row>
    <row r="2198" spans="1:1">
      <c r="A2198" s="57"/>
    </row>
    <row r="2199" spans="1:1">
      <c r="A2199" s="57"/>
    </row>
    <row r="2200" spans="1:1">
      <c r="A2200" s="57"/>
    </row>
    <row r="2201" spans="1:1">
      <c r="A2201" s="57"/>
    </row>
    <row r="2202" spans="1:1">
      <c r="A2202" s="57"/>
    </row>
    <row r="2203" spans="1:1">
      <c r="A2203" s="57"/>
    </row>
    <row r="2204" spans="1:1">
      <c r="A2204" s="57"/>
    </row>
    <row r="2205" spans="1:1">
      <c r="A2205" s="57"/>
    </row>
    <row r="2206" spans="1:1">
      <c r="A2206" s="57"/>
    </row>
    <row r="2207" spans="1:1">
      <c r="A2207" s="57"/>
    </row>
    <row r="2208" spans="1:1">
      <c r="A2208" s="57"/>
    </row>
    <row r="2209" spans="1:1">
      <c r="A2209" s="57"/>
    </row>
    <row r="2210" spans="1:1">
      <c r="A2210" s="57"/>
    </row>
    <row r="2211" spans="1:1">
      <c r="A2211" s="57"/>
    </row>
    <row r="2212" spans="1:1">
      <c r="A2212" s="57"/>
    </row>
    <row r="2213" spans="1:1">
      <c r="A2213" s="57"/>
    </row>
    <row r="2214" spans="1:1">
      <c r="A2214" s="57"/>
    </row>
    <row r="2215" spans="1:1">
      <c r="A2215" s="57"/>
    </row>
    <row r="2216" spans="1:1">
      <c r="A2216" s="57"/>
    </row>
    <row r="2217" spans="1:1">
      <c r="A2217" s="57"/>
    </row>
    <row r="2218" spans="1:1">
      <c r="A2218" s="57"/>
    </row>
    <row r="2219" spans="1:1">
      <c r="A2219" s="57"/>
    </row>
    <row r="2220" spans="1:1">
      <c r="A2220" s="57"/>
    </row>
    <row r="2221" spans="1:1">
      <c r="A2221" s="57"/>
    </row>
    <row r="2222" spans="1:1">
      <c r="A2222" s="57"/>
    </row>
    <row r="2223" spans="1:1">
      <c r="A2223" s="57"/>
    </row>
    <row r="2224" spans="1:1">
      <c r="A2224" s="57"/>
    </row>
    <row r="2225" spans="1:1">
      <c r="A2225" s="57"/>
    </row>
    <row r="2226" spans="1:1">
      <c r="A2226" s="57"/>
    </row>
    <row r="2227" spans="1:1">
      <c r="A2227" s="57"/>
    </row>
    <row r="2228" spans="1:1">
      <c r="A2228" s="57"/>
    </row>
    <row r="2229" spans="1:1">
      <c r="A2229" s="57"/>
    </row>
    <row r="2230" spans="1:1">
      <c r="A2230" s="57"/>
    </row>
    <row r="2231" spans="1:1">
      <c r="A2231" s="57"/>
    </row>
    <row r="2232" spans="1:1">
      <c r="A2232" s="57"/>
    </row>
    <row r="2233" spans="1:1">
      <c r="A2233" s="57"/>
    </row>
    <row r="2234" spans="1:1">
      <c r="A2234" s="57"/>
    </row>
    <row r="2235" spans="1:1">
      <c r="A2235" s="57"/>
    </row>
    <row r="2236" spans="1:1">
      <c r="A2236" s="57"/>
    </row>
    <row r="2237" spans="1:1">
      <c r="A2237" s="57"/>
    </row>
    <row r="2238" spans="1:1">
      <c r="A2238" s="57"/>
    </row>
    <row r="2239" spans="1:1">
      <c r="A2239" s="57"/>
    </row>
    <row r="2240" spans="1:1">
      <c r="A2240" s="57"/>
    </row>
    <row r="2241" spans="1:1">
      <c r="A2241" s="57"/>
    </row>
    <row r="2242" spans="1:1">
      <c r="A2242" s="57"/>
    </row>
    <row r="2243" spans="1:1">
      <c r="A2243" s="57"/>
    </row>
    <row r="2244" spans="1:1">
      <c r="A2244" s="57"/>
    </row>
    <row r="2245" spans="1:1">
      <c r="A2245" s="57"/>
    </row>
    <row r="2246" spans="1:1">
      <c r="A2246" s="57"/>
    </row>
    <row r="2247" spans="1:1">
      <c r="A2247" s="57"/>
    </row>
    <row r="2248" spans="1:1">
      <c r="A2248" s="57"/>
    </row>
    <row r="2249" spans="1:1">
      <c r="A2249" s="57"/>
    </row>
    <row r="2250" spans="1:1">
      <c r="A2250" s="57"/>
    </row>
    <row r="2251" spans="1:1">
      <c r="A2251" s="57"/>
    </row>
    <row r="2252" spans="1:1">
      <c r="A2252" s="57"/>
    </row>
    <row r="2253" spans="1:1">
      <c r="A2253" s="57"/>
    </row>
    <row r="2254" spans="1:1">
      <c r="A2254" s="57"/>
    </row>
    <row r="2255" spans="1:1">
      <c r="A2255" s="57"/>
    </row>
    <row r="2256" spans="1:1">
      <c r="A2256" s="57"/>
    </row>
    <row r="2257" spans="1:1">
      <c r="A2257" s="57"/>
    </row>
    <row r="2258" spans="1:1">
      <c r="A2258" s="57"/>
    </row>
    <row r="2259" spans="1:1">
      <c r="A2259" s="57"/>
    </row>
    <row r="2260" spans="1:1">
      <c r="A2260" s="57"/>
    </row>
    <row r="2261" spans="1:1">
      <c r="A2261" s="57"/>
    </row>
    <row r="2262" spans="1:1">
      <c r="A2262" s="57"/>
    </row>
    <row r="2263" spans="1:1">
      <c r="A2263" s="57"/>
    </row>
    <row r="2264" spans="1:1">
      <c r="A2264" s="57"/>
    </row>
    <row r="2265" spans="1:1">
      <c r="A2265" s="57"/>
    </row>
    <row r="2266" spans="1:1">
      <c r="A2266" s="57"/>
    </row>
  </sheetData>
  <dataValidations count="10">
    <dataValidation type="list" allowBlank="1" showInputMessage="1" showErrorMessage="1" sqref="D13">
      <formula1>$J$149:$J$198</formula1>
    </dataValidation>
    <dataValidation type="list" allowBlank="1" showInputMessage="1" showErrorMessage="1" sqref="D11:D12">
      <formula1>$K$154:$K$155</formula1>
    </dataValidation>
    <dataValidation type="whole" showInputMessage="1" showErrorMessage="1" sqref="D27">
      <formula1>-10000000000</formula1>
      <formula2>10000000000</formula2>
    </dataValidation>
    <dataValidation type="list" allowBlank="1" showInputMessage="1" showErrorMessage="1" sqref="D16">
      <formula1>$E$217:$E$221</formula1>
    </dataValidation>
    <dataValidation type="list" allowBlank="1" showInputMessage="1" showErrorMessage="1" sqref="D14">
      <formula1>$J$203:$J$221</formula1>
    </dataValidation>
    <dataValidation type="list" allowBlank="1" showInputMessage="1" showErrorMessage="1" sqref="D15">
      <formula1>$E$171:$E$174</formula1>
    </dataValidation>
    <dataValidation type="list" allowBlank="1" showInputMessage="1" showErrorMessage="1" sqref="D20:D22">
      <formula1>"AEO2014, No Growth, User Defined"</formula1>
    </dataValidation>
    <dataValidation type="list" allowBlank="1" showInputMessage="1" showErrorMessage="1" sqref="D23:D25">
      <formula1>"NEMS, Navigant, RW Beck, User Fit"</formula1>
    </dataValidation>
    <dataValidation type="list" allowBlank="1" showInputMessage="1" showErrorMessage="1" sqref="D17:D19">
      <formula1>$J$224:$J$226</formula1>
    </dataValidation>
    <dataValidation type="list" allowBlank="1" showInputMessage="1" showErrorMessage="1" sqref="D26">
      <formula1>"No Carbon Price, Price Based On State Carbon Intensity, Price Based On NG Offset"</formula1>
    </dataValidation>
  </dataValidations>
  <hyperlinks>
    <hyperlink ref="C26" location="Carbon!A1" display="Carbon Price"/>
    <hyperlink ref="C22" location="'Rate Escalation'!A85" display="Com Rate Escalation"/>
    <hyperlink ref="C18" location="'Rate Escalation'!A91" display="Com Rate Structure"/>
    <hyperlink ref="C21" location="'Rate Escalation'!A85" display="Com Rate Escalation"/>
    <hyperlink ref="C20" location="'Rate Escalation'!A5" display="Res Rate Escalation"/>
    <hyperlink ref="C17"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1]!SaveWorkBook">
                <anchor moveWithCells="1" sizeWithCells="1">
                  <from>
                    <xdr:col>3</xdr:col>
                    <xdr:colOff>215900</xdr:colOff>
                    <xdr:row>6</xdr:row>
                    <xdr:rowOff>50800</xdr:rowOff>
                  </from>
                  <to>
                    <xdr:col>3</xdr:col>
                    <xdr:colOff>2146300</xdr:colOff>
                    <xdr:row>6</xdr:row>
                    <xdr:rowOff>393700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0"/>
  </sheetPr>
  <dimension ref="A1:CC244"/>
  <sheetViews>
    <sheetView tabSelected="1" workbookViewId="0">
      <selection activeCell="F41" sqref="F41"/>
    </sheetView>
  </sheetViews>
  <sheetFormatPr baseColWidth="10" defaultColWidth="9.1640625" defaultRowHeight="14" x14ac:dyDescent="0"/>
  <cols>
    <col min="1" max="1" width="4" style="57" customWidth="1"/>
    <col min="2" max="2" width="43.83203125" style="57" customWidth="1"/>
    <col min="3" max="3" width="6.5" style="57" customWidth="1"/>
    <col min="4" max="6" width="10" style="57" customWidth="1"/>
    <col min="7" max="7" width="16" style="57" customWidth="1"/>
    <col min="8" max="8" width="6.33203125" style="57" customWidth="1"/>
    <col min="9" max="9" width="6.1640625" style="57" customWidth="1"/>
    <col min="10" max="10" width="18.1640625" style="57" customWidth="1"/>
    <col min="11" max="11" width="10.1640625" style="57" customWidth="1"/>
    <col min="12" max="12" width="11.1640625" style="57" customWidth="1"/>
    <col min="13" max="14" width="7" style="57" customWidth="1"/>
    <col min="15" max="15" width="7.1640625" style="57" customWidth="1"/>
    <col min="16" max="16" width="7.5" style="57" customWidth="1"/>
    <col min="17" max="17" width="6.5" style="57" customWidth="1"/>
    <col min="18" max="19" width="15.33203125" style="57" customWidth="1"/>
    <col min="20" max="20" width="6.5" style="57" customWidth="1"/>
    <col min="21" max="22" width="6.6640625" style="57" customWidth="1"/>
    <col min="23" max="23" width="6.83203125" style="57" customWidth="1"/>
    <col min="24" max="24" width="9.1640625" style="57" customWidth="1"/>
    <col min="25" max="25" width="20.33203125" style="57" customWidth="1"/>
    <col min="26" max="27" width="10.33203125" style="57" customWidth="1"/>
    <col min="28" max="43" width="9.5" style="57" bestFit="1" customWidth="1"/>
    <col min="44" max="44" width="9.1640625" style="57"/>
    <col min="45" max="45" width="48.83203125" style="57" customWidth="1"/>
    <col min="46" max="46" width="14.5" style="59" customWidth="1"/>
    <col min="47" max="47" width="20.6640625" style="59" customWidth="1"/>
    <col min="48" max="48" width="14.83203125" style="59" hidden="1" customWidth="1"/>
    <col min="49" max="49" width="14.83203125" style="59" customWidth="1"/>
    <col min="50" max="50" width="14.1640625" style="57" customWidth="1"/>
    <col min="51" max="51" width="18.33203125" style="57" customWidth="1"/>
    <col min="52" max="52" width="16.83203125" style="57" customWidth="1"/>
    <col min="53" max="16384" width="9.1640625" style="57"/>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61"/>
      <c r="AS1" s="60"/>
      <c r="AT1" s="60"/>
      <c r="AW1" s="57"/>
    </row>
    <row r="2" spans="1:49" ht="33" customHeight="1">
      <c r="A2" s="1"/>
      <c r="B2" s="1"/>
      <c r="C2" s="1"/>
      <c r="D2" s="120" t="s">
        <v>214</v>
      </c>
      <c r="E2" s="1"/>
      <c r="F2" s="1"/>
      <c r="G2" s="1"/>
      <c r="H2" s="5"/>
      <c r="I2" s="5"/>
      <c r="J2" s="147"/>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61"/>
      <c r="AS2" s="61"/>
      <c r="AT2" s="60"/>
    </row>
    <row r="3" spans="1:49" ht="33" customHeight="1" thickBot="1">
      <c r="A3" s="1"/>
      <c r="B3" s="71"/>
      <c r="C3" s="71"/>
      <c r="D3" s="120"/>
      <c r="E3" s="1"/>
      <c r="F3" s="1"/>
      <c r="G3" s="1"/>
      <c r="H3" s="5"/>
      <c r="I3" s="5"/>
      <c r="J3" s="147"/>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61"/>
      <c r="AS3" s="61"/>
      <c r="AT3" s="60"/>
    </row>
    <row r="4" spans="1:49" ht="18.75" customHeight="1" thickBot="1">
      <c r="A4" s="1"/>
      <c r="B4" s="146" t="s">
        <v>213</v>
      </c>
      <c r="C4" s="145">
        <v>2.5000000000000001E-2</v>
      </c>
      <c r="D4" s="1"/>
      <c r="E4" s="1"/>
      <c r="F4" s="1"/>
      <c r="G4" s="1"/>
      <c r="H4" s="1"/>
      <c r="I4" s="1"/>
      <c r="J4" s="144"/>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61"/>
      <c r="AS4" s="61"/>
      <c r="AT4" s="60"/>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61"/>
      <c r="AS5" s="61"/>
      <c r="AT5" s="60"/>
    </row>
    <row r="6" spans="1:49" ht="24" customHeight="1" thickBot="1">
      <c r="A6" s="1"/>
      <c r="B6" s="1"/>
      <c r="C6" s="143" t="s">
        <v>212</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60"/>
      <c r="AR6" s="60"/>
      <c r="AS6" s="60"/>
      <c r="AU6" s="57"/>
      <c r="AV6" s="57"/>
      <c r="AW6" s="57"/>
    </row>
    <row r="7" spans="1:49">
      <c r="A7" s="1"/>
      <c r="B7" s="1"/>
      <c r="C7" s="142">
        <v>2014</v>
      </c>
      <c r="D7" s="141">
        <v>2016</v>
      </c>
      <c r="E7" s="141">
        <v>2018</v>
      </c>
      <c r="F7" s="141">
        <v>2020</v>
      </c>
      <c r="G7" s="141">
        <v>2022</v>
      </c>
      <c r="H7" s="141">
        <v>2024</v>
      </c>
      <c r="I7" s="141">
        <v>2026</v>
      </c>
      <c r="J7" s="141">
        <v>2028</v>
      </c>
      <c r="K7" s="141">
        <v>2030</v>
      </c>
      <c r="L7" s="141">
        <v>2032</v>
      </c>
      <c r="M7" s="141">
        <v>2034</v>
      </c>
      <c r="N7" s="141">
        <v>2036</v>
      </c>
      <c r="O7" s="141">
        <v>2038</v>
      </c>
      <c r="P7" s="141">
        <v>2040</v>
      </c>
      <c r="Q7" s="141">
        <v>2042</v>
      </c>
      <c r="R7" s="141">
        <v>2044</v>
      </c>
      <c r="S7" s="141">
        <v>2046</v>
      </c>
      <c r="T7" s="141">
        <v>2048</v>
      </c>
      <c r="U7" s="140">
        <v>2050</v>
      </c>
      <c r="V7" s="1"/>
      <c r="W7" s="1"/>
      <c r="X7" s="1"/>
      <c r="Y7" s="1"/>
      <c r="Z7" s="1"/>
      <c r="AA7" s="1"/>
      <c r="AB7" s="1"/>
      <c r="AC7" s="1"/>
      <c r="AD7" s="1"/>
      <c r="AE7" s="1"/>
      <c r="AF7" s="1"/>
      <c r="AG7" s="1"/>
      <c r="AH7" s="1"/>
      <c r="AI7" s="1"/>
      <c r="AJ7" s="1"/>
      <c r="AK7" s="1"/>
      <c r="AL7" s="1"/>
      <c r="AM7" s="1"/>
      <c r="AN7" s="61"/>
      <c r="AO7" s="61"/>
      <c r="AP7" s="60"/>
      <c r="AQ7" s="59"/>
      <c r="AR7" s="59"/>
      <c r="AS7" s="59"/>
      <c r="AT7" s="57"/>
      <c r="AU7" s="57"/>
      <c r="AV7" s="57"/>
      <c r="AW7" s="57"/>
    </row>
    <row r="8" spans="1:49" ht="23.25" customHeight="1">
      <c r="A8" s="1"/>
      <c r="B8" s="132" t="s">
        <v>211</v>
      </c>
      <c r="C8" s="139">
        <v>6.716112885599955E-2</v>
      </c>
      <c r="D8" s="138">
        <v>6.716112885599955E-2</v>
      </c>
      <c r="E8" s="138">
        <v>7.069152417709805E-2</v>
      </c>
      <c r="F8" s="138">
        <v>7.0347955561126996E-2</v>
      </c>
      <c r="G8" s="138">
        <v>7.1495626034100784E-2</v>
      </c>
      <c r="H8" s="138">
        <v>7.3315070171019889E-2</v>
      </c>
      <c r="I8" s="138">
        <v>7.4234191750519027E-2</v>
      </c>
      <c r="J8" s="138">
        <v>7.5507611458691851E-2</v>
      </c>
      <c r="K8" s="138">
        <v>7.8436431199780485E-2</v>
      </c>
      <c r="L8" s="138">
        <v>7.9817380533738005E-2</v>
      </c>
      <c r="M8" s="138">
        <v>8.2116713331783497E-2</v>
      </c>
      <c r="N8" s="138">
        <v>8.523876671294224E-2</v>
      </c>
      <c r="O8" s="138">
        <v>8.5863324546405356E-2</v>
      </c>
      <c r="P8" s="138">
        <v>8.9004952397194789E-2</v>
      </c>
      <c r="Q8" s="138">
        <v>8.9004952397194789E-2</v>
      </c>
      <c r="R8" s="138">
        <v>8.9004952397194789E-2</v>
      </c>
      <c r="S8" s="138">
        <v>8.9004952397194789E-2</v>
      </c>
      <c r="T8" s="138">
        <v>8.9004952397194789E-2</v>
      </c>
      <c r="U8" s="137">
        <v>8.9004952397194789E-2</v>
      </c>
      <c r="V8" s="71" t="s">
        <v>210</v>
      </c>
      <c r="W8" s="1"/>
      <c r="X8" s="1"/>
      <c r="Y8" s="1"/>
      <c r="Z8" s="1"/>
      <c r="AA8" s="1"/>
      <c r="AB8" s="1"/>
      <c r="AC8" s="1"/>
      <c r="AD8" s="1"/>
      <c r="AE8" s="1"/>
      <c r="AF8" s="1"/>
      <c r="AG8" s="1"/>
      <c r="AH8" s="1"/>
      <c r="AI8" s="1"/>
      <c r="AJ8" s="1"/>
      <c r="AK8" s="1"/>
      <c r="AL8" s="1"/>
      <c r="AM8" s="1"/>
      <c r="AN8" s="60"/>
      <c r="AO8" s="60"/>
      <c r="AP8" s="60"/>
      <c r="AQ8" s="59"/>
      <c r="AT8" s="57"/>
      <c r="AU8" s="57"/>
      <c r="AV8" s="57"/>
      <c r="AW8" s="57"/>
    </row>
    <row r="9" spans="1:49" ht="22.5" customHeight="1">
      <c r="A9" s="1"/>
      <c r="B9" s="132" t="s">
        <v>209</v>
      </c>
      <c r="C9" s="136">
        <v>0</v>
      </c>
      <c r="D9" s="135">
        <v>0</v>
      </c>
      <c r="E9" s="135">
        <v>0</v>
      </c>
      <c r="F9" s="135">
        <v>0</v>
      </c>
      <c r="G9" s="135">
        <v>20</v>
      </c>
      <c r="H9" s="135">
        <v>20</v>
      </c>
      <c r="I9" s="135">
        <v>20</v>
      </c>
      <c r="J9" s="135">
        <v>20</v>
      </c>
      <c r="K9" s="135">
        <v>30</v>
      </c>
      <c r="L9" s="135">
        <v>30</v>
      </c>
      <c r="M9" s="135">
        <v>30</v>
      </c>
      <c r="N9" s="135">
        <v>30</v>
      </c>
      <c r="O9" s="135">
        <v>40</v>
      </c>
      <c r="P9" s="135">
        <v>40</v>
      </c>
      <c r="Q9" s="135">
        <v>40</v>
      </c>
      <c r="R9" s="135">
        <v>40</v>
      </c>
      <c r="S9" s="135">
        <v>50</v>
      </c>
      <c r="T9" s="135">
        <v>50</v>
      </c>
      <c r="U9" s="134">
        <v>50</v>
      </c>
      <c r="V9" s="1" t="s">
        <v>208</v>
      </c>
      <c r="W9" s="1"/>
      <c r="X9" s="1"/>
      <c r="Y9" s="1"/>
      <c r="Z9" s="1"/>
      <c r="AA9" s="1"/>
      <c r="AB9" s="1"/>
      <c r="AC9" s="1"/>
      <c r="AD9" s="1"/>
      <c r="AE9" s="1"/>
      <c r="AF9" s="1"/>
      <c r="AG9" s="1"/>
      <c r="AH9" s="1"/>
      <c r="AI9" s="1"/>
      <c r="AJ9" s="1"/>
      <c r="AK9" s="1"/>
      <c r="AL9" s="1"/>
      <c r="AM9" s="1"/>
      <c r="AN9" s="60"/>
      <c r="AO9" s="60"/>
      <c r="AP9" s="60"/>
      <c r="AQ9" s="59"/>
      <c r="AT9" s="57"/>
      <c r="AU9" s="57"/>
      <c r="AV9" s="57"/>
      <c r="AW9" s="57"/>
    </row>
    <row r="10" spans="1:49">
      <c r="A10" s="1"/>
      <c r="B10" s="132" t="s">
        <v>207</v>
      </c>
      <c r="C10" s="133">
        <v>1</v>
      </c>
      <c r="D10" s="130">
        <v>1.0249999999999999</v>
      </c>
      <c r="E10" s="130">
        <v>1.0506249999999999</v>
      </c>
      <c r="F10" s="130">
        <v>1.0768906249999999</v>
      </c>
      <c r="G10" s="130">
        <v>1.1038128906249998</v>
      </c>
      <c r="H10" s="130">
        <v>1.1314082128906247</v>
      </c>
      <c r="I10" s="130">
        <v>1.1596934182128902</v>
      </c>
      <c r="J10" s="130">
        <v>1.1886857536682123</v>
      </c>
      <c r="K10" s="130">
        <v>1.2184028975099175</v>
      </c>
      <c r="L10" s="130">
        <v>1.2488629699476652</v>
      </c>
      <c r="M10" s="130">
        <v>1.2800845441963566</v>
      </c>
      <c r="N10" s="130">
        <v>1.3120866578012655</v>
      </c>
      <c r="O10" s="130">
        <v>1.3448888242462971</v>
      </c>
      <c r="P10" s="130">
        <v>1.3785110448524545</v>
      </c>
      <c r="Q10" s="130">
        <v>1.4129738209737657</v>
      </c>
      <c r="R10" s="130">
        <v>1.4482981664981096</v>
      </c>
      <c r="S10" s="130">
        <v>1.4845056206605622</v>
      </c>
      <c r="T10" s="130">
        <v>1.5216182611770761</v>
      </c>
      <c r="U10" s="129">
        <v>1.5596587177065029</v>
      </c>
      <c r="V10" s="1"/>
      <c r="W10" s="1"/>
      <c r="X10" s="1"/>
      <c r="Y10" s="1"/>
      <c r="Z10" s="1"/>
      <c r="AA10" s="1"/>
      <c r="AB10" s="1"/>
      <c r="AC10" s="1"/>
      <c r="AD10" s="1"/>
      <c r="AE10" s="1"/>
      <c r="AF10" s="1"/>
      <c r="AG10" s="1"/>
      <c r="AH10" s="1"/>
      <c r="AI10" s="1"/>
      <c r="AJ10" s="1"/>
      <c r="AK10" s="1"/>
      <c r="AL10" s="1"/>
      <c r="AM10" s="1"/>
      <c r="AN10" s="1"/>
      <c r="AO10" s="1"/>
      <c r="AP10" s="1"/>
      <c r="AQ10" s="98"/>
      <c r="AR10" s="60"/>
      <c r="AS10" s="60"/>
      <c r="AT10" s="60"/>
      <c r="AU10" s="57"/>
      <c r="AV10" s="57"/>
      <c r="AW10" s="57"/>
    </row>
    <row r="11" spans="1:49">
      <c r="A11" s="1"/>
      <c r="B11" s="132" t="s">
        <v>206</v>
      </c>
      <c r="C11" s="133">
        <v>1</v>
      </c>
      <c r="D11" s="130">
        <v>1.0249999999999999</v>
      </c>
      <c r="E11" s="130">
        <v>1.0506249999999999</v>
      </c>
      <c r="F11" s="130">
        <v>1.0768906249999999</v>
      </c>
      <c r="G11" s="130">
        <v>1.1038128906249998</v>
      </c>
      <c r="H11" s="130">
        <v>1.1314082128906247</v>
      </c>
      <c r="I11" s="130">
        <v>1.1596934182128902</v>
      </c>
      <c r="J11" s="130">
        <v>1.1886857536682123</v>
      </c>
      <c r="K11" s="130">
        <v>1.2184028975099175</v>
      </c>
      <c r="L11" s="130">
        <v>1.2488629699476652</v>
      </c>
      <c r="M11" s="130">
        <v>1.2800845441963566</v>
      </c>
      <c r="N11" s="130">
        <v>1.3120866578012655</v>
      </c>
      <c r="O11" s="130">
        <v>1.3448888242462971</v>
      </c>
      <c r="P11" s="130">
        <v>1.3785110448524545</v>
      </c>
      <c r="Q11" s="130">
        <v>1.4129738209737657</v>
      </c>
      <c r="R11" s="130">
        <v>1.4482981664981096</v>
      </c>
      <c r="S11" s="130">
        <v>1.4845056206605622</v>
      </c>
      <c r="T11" s="130">
        <v>1.5216182611770761</v>
      </c>
      <c r="U11" s="129">
        <v>1.5596587177065029</v>
      </c>
      <c r="V11" s="1"/>
      <c r="W11" s="1"/>
      <c r="X11" s="1"/>
      <c r="Y11" s="1"/>
      <c r="Z11" s="1"/>
      <c r="AA11" s="1"/>
      <c r="AB11" s="1"/>
      <c r="AC11" s="1"/>
      <c r="AD11" s="1"/>
      <c r="AE11" s="1"/>
      <c r="AF11" s="1"/>
      <c r="AG11" s="1"/>
      <c r="AH11" s="1"/>
      <c r="AI11" s="1"/>
      <c r="AJ11" s="1"/>
      <c r="AK11" s="1"/>
      <c r="AL11" s="1"/>
      <c r="AM11" s="1"/>
      <c r="AN11" s="1"/>
      <c r="AO11" s="1"/>
      <c r="AP11" s="1"/>
      <c r="AQ11" s="1"/>
      <c r="AR11" s="60"/>
      <c r="AS11" s="60"/>
      <c r="AT11" s="60"/>
      <c r="AV11" s="57"/>
      <c r="AW11" s="57"/>
    </row>
    <row r="12" spans="1:49">
      <c r="A12" s="1"/>
      <c r="B12" s="132" t="s">
        <v>205</v>
      </c>
      <c r="C12" s="131">
        <v>1</v>
      </c>
      <c r="D12" s="130">
        <v>1.0249999999999999</v>
      </c>
      <c r="E12" s="130">
        <v>1.0506249999999999</v>
      </c>
      <c r="F12" s="130">
        <v>1.0768906249999999</v>
      </c>
      <c r="G12" s="130">
        <v>1.1038128906249998</v>
      </c>
      <c r="H12" s="130">
        <v>1.1314082128906247</v>
      </c>
      <c r="I12" s="130">
        <v>1.1596934182128902</v>
      </c>
      <c r="J12" s="130">
        <v>1.1886857536682123</v>
      </c>
      <c r="K12" s="130">
        <v>1.2184028975099175</v>
      </c>
      <c r="L12" s="130">
        <v>1.2488629699476652</v>
      </c>
      <c r="M12" s="130">
        <v>1.2800845441963566</v>
      </c>
      <c r="N12" s="130">
        <v>1.3120866578012655</v>
      </c>
      <c r="O12" s="130">
        <v>1.3448888242462971</v>
      </c>
      <c r="P12" s="130">
        <v>1.3785110448524545</v>
      </c>
      <c r="Q12" s="130">
        <v>1.4129738209737657</v>
      </c>
      <c r="R12" s="130">
        <v>1.4482981664981096</v>
      </c>
      <c r="S12" s="130">
        <v>1.4845056206605622</v>
      </c>
      <c r="T12" s="130">
        <v>1.5216182611770761</v>
      </c>
      <c r="U12" s="129">
        <v>1.5596587177065029</v>
      </c>
      <c r="V12" s="1"/>
      <c r="W12" s="1"/>
      <c r="X12" s="1"/>
      <c r="Y12" s="1"/>
      <c r="Z12" s="1"/>
      <c r="AA12" s="1"/>
      <c r="AB12" s="1"/>
      <c r="AC12" s="1"/>
      <c r="AD12" s="1"/>
      <c r="AE12" s="1"/>
      <c r="AF12" s="1"/>
      <c r="AG12" s="1"/>
      <c r="AH12" s="1"/>
      <c r="AI12" s="1"/>
      <c r="AJ12" s="1"/>
      <c r="AK12" s="1"/>
      <c r="AL12" s="1"/>
      <c r="AM12" s="1"/>
      <c r="AN12" s="1"/>
      <c r="AO12" s="1"/>
      <c r="AP12" s="1"/>
      <c r="AQ12" s="1"/>
      <c r="AR12" s="61"/>
      <c r="AS12" s="60"/>
      <c r="AT12" s="60"/>
      <c r="AW12" s="57"/>
    </row>
    <row r="13" spans="1:49" ht="16" thickBot="1">
      <c r="A13" s="1"/>
      <c r="B13" s="128" t="s">
        <v>204</v>
      </c>
      <c r="C13" s="127">
        <v>1.0249999999999999</v>
      </c>
      <c r="D13" s="126">
        <v>1.0249999999999999</v>
      </c>
      <c r="E13" s="126">
        <v>1.0249999999999999</v>
      </c>
      <c r="F13" s="126">
        <v>1.0249999999999999</v>
      </c>
      <c r="G13" s="126">
        <v>1.0249999999999999</v>
      </c>
      <c r="H13" s="126">
        <v>1.0249999999999999</v>
      </c>
      <c r="I13" s="126">
        <v>1.0249999999999999</v>
      </c>
      <c r="J13" s="126">
        <v>1.0249999999999999</v>
      </c>
      <c r="K13" s="126">
        <v>1.0249999999999999</v>
      </c>
      <c r="L13" s="126">
        <v>1.0249999999999999</v>
      </c>
      <c r="M13" s="126">
        <v>1.0249999999999999</v>
      </c>
      <c r="N13" s="126">
        <v>1.0249999999999999</v>
      </c>
      <c r="O13" s="126">
        <v>1.0249999999999999</v>
      </c>
      <c r="P13" s="126">
        <v>1.0249999999999999</v>
      </c>
      <c r="Q13" s="126">
        <v>1.0249999999999999</v>
      </c>
      <c r="R13" s="126">
        <v>1.0249999999999999</v>
      </c>
      <c r="S13" s="126">
        <v>1.0249999999999999</v>
      </c>
      <c r="T13" s="126">
        <v>1.0249999999999999</v>
      </c>
      <c r="U13" s="126">
        <v>1.0249999999999999</v>
      </c>
      <c r="V13" s="66"/>
      <c r="W13" s="66"/>
      <c r="X13" s="66"/>
      <c r="Y13" s="66"/>
      <c r="Z13" s="66"/>
      <c r="AA13" s="66"/>
      <c r="AB13" s="66"/>
      <c r="AC13" s="66"/>
      <c r="AD13" s="66"/>
      <c r="AE13" s="66"/>
      <c r="AF13" s="66"/>
      <c r="AG13" s="66"/>
      <c r="AH13" s="66"/>
      <c r="AI13" s="66"/>
      <c r="AJ13" s="66"/>
      <c r="AK13" s="66"/>
      <c r="AL13" s="66"/>
      <c r="AM13" s="66"/>
      <c r="AN13" s="66"/>
      <c r="AO13" s="66"/>
      <c r="AP13" s="66"/>
      <c r="AQ13" s="66"/>
      <c r="AR13" s="61"/>
      <c r="AS13" s="60"/>
      <c r="AT13" s="60"/>
      <c r="AW13" s="57"/>
    </row>
    <row r="14" spans="1:49">
      <c r="A14" s="1"/>
      <c r="B14" s="86"/>
      <c r="C14" s="124"/>
      <c r="D14" s="125"/>
      <c r="E14" s="124"/>
      <c r="F14" s="122"/>
      <c r="G14" s="123"/>
      <c r="H14" s="122"/>
      <c r="I14" s="121"/>
      <c r="J14" s="121"/>
      <c r="K14" s="66"/>
      <c r="L14" s="66"/>
      <c r="M14" s="66"/>
      <c r="N14" s="66"/>
      <c r="O14" s="66"/>
      <c r="P14" s="66"/>
      <c r="Q14" s="66"/>
      <c r="R14" s="66"/>
      <c r="S14" s="66"/>
      <c r="T14" s="66"/>
      <c r="U14" s="66"/>
      <c r="V14" s="66"/>
      <c r="W14" s="66"/>
      <c r="X14" s="66"/>
      <c r="Y14" s="66"/>
      <c r="Z14" s="66"/>
      <c r="AA14" s="66"/>
      <c r="AB14" s="66"/>
      <c r="AC14" s="66"/>
      <c r="AD14" s="66"/>
      <c r="AE14" s="66"/>
      <c r="AF14" s="66"/>
      <c r="AG14" s="66"/>
      <c r="AH14" s="66"/>
      <c r="AI14" s="66"/>
      <c r="AJ14" s="66"/>
      <c r="AK14" s="66"/>
      <c r="AL14" s="66"/>
      <c r="AM14" s="66"/>
      <c r="AN14" s="66"/>
      <c r="AO14" s="66"/>
      <c r="AP14" s="66"/>
      <c r="AQ14" s="66"/>
      <c r="AR14" s="61"/>
      <c r="AS14" s="60"/>
      <c r="AT14" s="60"/>
      <c r="AW14" s="57"/>
    </row>
    <row r="15" spans="1:49" ht="39" customHeight="1">
      <c r="A15" s="1"/>
      <c r="B15" s="86"/>
      <c r="C15" s="75"/>
      <c r="D15" s="75"/>
      <c r="E15" s="75"/>
      <c r="F15" s="75"/>
      <c r="G15" s="75"/>
      <c r="H15" s="75"/>
      <c r="I15" s="75"/>
      <c r="J15" s="75"/>
      <c r="K15" s="75"/>
      <c r="L15" s="75"/>
      <c r="M15" s="75"/>
      <c r="N15" s="75"/>
      <c r="O15" s="75"/>
      <c r="P15" s="75"/>
      <c r="Q15" s="75"/>
      <c r="R15" s="75"/>
      <c r="S15" s="75"/>
      <c r="T15" s="75"/>
      <c r="U15" s="75"/>
      <c r="V15" s="75"/>
      <c r="W15" s="75"/>
      <c r="X15" s="71"/>
      <c r="Y15" s="71"/>
      <c r="Z15" s="71"/>
      <c r="AA15" s="66"/>
      <c r="AB15" s="66"/>
      <c r="AC15" s="66"/>
      <c r="AD15" s="66"/>
      <c r="AE15" s="66"/>
      <c r="AF15" s="66"/>
      <c r="AG15" s="66"/>
      <c r="AH15" s="66"/>
      <c r="AI15" s="66"/>
      <c r="AJ15" s="66"/>
      <c r="AK15" s="66"/>
      <c r="AL15" s="66"/>
      <c r="AM15" s="66"/>
      <c r="AN15" s="66"/>
      <c r="AO15" s="66"/>
      <c r="AP15" s="66"/>
      <c r="AQ15" s="66"/>
      <c r="AR15" s="61"/>
      <c r="AS15" s="60"/>
      <c r="AT15" s="60"/>
      <c r="AW15" s="57"/>
    </row>
    <row r="16" spans="1:49" ht="26">
      <c r="A16" s="1"/>
      <c r="B16" s="86"/>
      <c r="C16" s="119" t="s">
        <v>203</v>
      </c>
      <c r="D16" s="71"/>
      <c r="E16" s="71"/>
      <c r="F16" s="71"/>
      <c r="G16" s="71"/>
      <c r="H16" s="71"/>
      <c r="I16" s="71"/>
      <c r="J16" s="120" t="s">
        <v>202</v>
      </c>
      <c r="K16" s="66"/>
      <c r="L16" s="66"/>
      <c r="M16" s="71"/>
      <c r="N16" s="75"/>
      <c r="O16" s="75"/>
      <c r="P16" s="75"/>
      <c r="Q16" s="119" t="s">
        <v>201</v>
      </c>
      <c r="R16" s="71"/>
      <c r="S16" s="71"/>
      <c r="T16" s="75"/>
      <c r="U16" s="75"/>
      <c r="V16" s="75"/>
      <c r="W16" s="75"/>
      <c r="X16" s="71"/>
      <c r="Y16" s="71"/>
      <c r="Z16" s="71"/>
      <c r="AA16" s="66"/>
      <c r="AB16" s="66"/>
      <c r="AC16" s="66"/>
      <c r="AD16" s="66"/>
      <c r="AE16" s="66"/>
      <c r="AF16" s="66"/>
      <c r="AG16" s="66"/>
      <c r="AH16" s="66"/>
      <c r="AI16" s="66"/>
      <c r="AJ16" s="66"/>
      <c r="AK16" s="66"/>
      <c r="AL16" s="66"/>
      <c r="AM16" s="66"/>
      <c r="AN16" s="66"/>
      <c r="AO16" s="66"/>
      <c r="AP16" s="66"/>
      <c r="AQ16" s="66"/>
      <c r="AR16" s="61"/>
      <c r="AS16" s="60"/>
      <c r="AT16" s="60"/>
      <c r="AW16" s="57"/>
    </row>
    <row r="17" spans="1:49" ht="38" thickBot="1">
      <c r="A17" s="1"/>
      <c r="B17" s="86"/>
      <c r="C17" s="118" t="s">
        <v>200</v>
      </c>
      <c r="D17" s="117" t="s">
        <v>199</v>
      </c>
      <c r="E17" s="117" t="s">
        <v>198</v>
      </c>
      <c r="F17" s="117" t="s">
        <v>197</v>
      </c>
      <c r="G17" s="71"/>
      <c r="H17" s="71"/>
      <c r="I17" s="71"/>
      <c r="J17" s="116"/>
      <c r="K17" s="115" t="s">
        <v>196</v>
      </c>
      <c r="L17" s="114" t="s">
        <v>195</v>
      </c>
      <c r="M17" s="71"/>
      <c r="N17" s="75"/>
      <c r="O17" s="75"/>
      <c r="P17" s="75"/>
      <c r="Q17" s="66"/>
      <c r="R17" s="113" t="s">
        <v>194</v>
      </c>
      <c r="S17" s="113" t="s">
        <v>193</v>
      </c>
      <c r="T17" s="75"/>
      <c r="U17" s="75"/>
      <c r="V17" s="75"/>
      <c r="W17" s="75"/>
      <c r="X17" s="71"/>
      <c r="Y17" s="71"/>
      <c r="Z17" s="71"/>
      <c r="AA17" s="66"/>
      <c r="AB17" s="66"/>
      <c r="AC17" s="66"/>
      <c r="AD17" s="66"/>
      <c r="AE17" s="66"/>
      <c r="AF17" s="66"/>
      <c r="AG17" s="66"/>
      <c r="AH17" s="66"/>
      <c r="AI17" s="66"/>
      <c r="AJ17" s="66"/>
      <c r="AK17" s="66"/>
      <c r="AL17" s="66"/>
      <c r="AM17" s="66"/>
      <c r="AN17" s="66"/>
      <c r="AO17" s="66"/>
      <c r="AP17" s="66"/>
      <c r="AQ17" s="66"/>
      <c r="AR17" s="61"/>
      <c r="AS17" s="60"/>
      <c r="AT17" s="60"/>
      <c r="AW17" s="57"/>
    </row>
    <row r="18" spans="1:49">
      <c r="A18" s="1"/>
      <c r="B18" s="86"/>
      <c r="C18" s="112" t="s">
        <v>192</v>
      </c>
      <c r="D18" s="111">
        <v>0.18</v>
      </c>
      <c r="E18" s="111">
        <v>0.15</v>
      </c>
      <c r="F18" s="110">
        <v>0.17</v>
      </c>
      <c r="G18" s="71"/>
      <c r="H18" s="71"/>
      <c r="I18" s="71"/>
      <c r="J18" s="106" t="s">
        <v>191</v>
      </c>
      <c r="K18" s="105">
        <v>0.2</v>
      </c>
      <c r="L18" s="104">
        <v>0.05</v>
      </c>
      <c r="M18" s="71"/>
      <c r="N18" s="75"/>
      <c r="O18" s="75"/>
      <c r="P18" s="75"/>
      <c r="Q18" s="109" t="s">
        <v>190</v>
      </c>
      <c r="R18" s="108">
        <v>2.744201934324435E-4</v>
      </c>
      <c r="S18" s="107">
        <v>4.14000004529953E-4</v>
      </c>
      <c r="T18" s="75"/>
      <c r="U18" s="75"/>
      <c r="V18" s="75"/>
      <c r="W18" s="75"/>
      <c r="X18" s="71"/>
      <c r="Y18" s="71"/>
      <c r="Z18" s="71"/>
      <c r="AA18" s="66"/>
      <c r="AB18" s="66"/>
      <c r="AC18" s="66"/>
      <c r="AD18" s="66"/>
      <c r="AE18" s="66"/>
      <c r="AF18" s="66"/>
      <c r="AG18" s="66"/>
      <c r="AH18" s="66"/>
      <c r="AI18" s="66"/>
      <c r="AJ18" s="66"/>
      <c r="AK18" s="66"/>
      <c r="AL18" s="66"/>
      <c r="AM18" s="66"/>
      <c r="AN18" s="66"/>
      <c r="AO18" s="66"/>
      <c r="AP18" s="66"/>
      <c r="AQ18" s="66"/>
      <c r="AR18" s="61"/>
      <c r="AS18" s="60"/>
      <c r="AT18" s="60"/>
      <c r="AW18" s="57"/>
    </row>
    <row r="19" spans="1:49">
      <c r="A19" s="1"/>
      <c r="B19" s="86"/>
      <c r="C19" s="81" t="s">
        <v>190</v>
      </c>
      <c r="D19" s="80">
        <v>0.11</v>
      </c>
      <c r="E19" s="80">
        <v>0.11</v>
      </c>
      <c r="F19" s="79">
        <v>0.06</v>
      </c>
      <c r="G19" s="71"/>
      <c r="H19" s="71"/>
      <c r="I19" s="71"/>
      <c r="J19" s="106" t="s">
        <v>189</v>
      </c>
      <c r="K19" s="105">
        <v>0</v>
      </c>
      <c r="L19" s="104">
        <v>0.2</v>
      </c>
      <c r="M19" s="71"/>
      <c r="N19" s="75"/>
      <c r="O19" s="75"/>
      <c r="P19" s="75"/>
      <c r="Q19" s="89" t="s">
        <v>188</v>
      </c>
      <c r="R19" s="88">
        <v>2.8579410620991442E-4</v>
      </c>
      <c r="S19" s="87">
        <v>4.14000004529953E-4</v>
      </c>
      <c r="T19" s="75"/>
      <c r="U19" s="75"/>
      <c r="V19" s="75"/>
      <c r="W19" s="75"/>
      <c r="X19" s="71"/>
      <c r="Y19" s="71"/>
      <c r="Z19" s="71"/>
      <c r="AA19" s="66"/>
      <c r="AB19" s="66"/>
      <c r="AC19" s="66"/>
      <c r="AD19" s="66"/>
      <c r="AE19" s="66"/>
      <c r="AF19" s="66"/>
      <c r="AG19" s="66"/>
      <c r="AH19" s="66"/>
      <c r="AI19" s="66"/>
      <c r="AJ19" s="66"/>
      <c r="AK19" s="66"/>
      <c r="AL19" s="66"/>
      <c r="AM19" s="66"/>
      <c r="AN19" s="66"/>
      <c r="AO19" s="66"/>
      <c r="AP19" s="66"/>
      <c r="AQ19" s="66"/>
      <c r="AR19" s="61"/>
      <c r="AS19" s="60"/>
      <c r="AT19" s="60"/>
      <c r="AW19" s="57"/>
    </row>
    <row r="20" spans="1:49">
      <c r="A20" s="1"/>
      <c r="B20" s="86"/>
      <c r="C20" s="81" t="s">
        <v>188</v>
      </c>
      <c r="D20" s="80">
        <v>0.09</v>
      </c>
      <c r="E20" s="80">
        <v>0.08</v>
      </c>
      <c r="F20" s="79">
        <v>0.06</v>
      </c>
      <c r="G20" s="71"/>
      <c r="H20" s="71"/>
      <c r="I20" s="71"/>
      <c r="J20" s="106" t="s">
        <v>187</v>
      </c>
      <c r="K20" s="105">
        <v>0.2</v>
      </c>
      <c r="L20" s="104">
        <v>0.05</v>
      </c>
      <c r="M20" s="71"/>
      <c r="N20" s="75"/>
      <c r="O20" s="75"/>
      <c r="P20" s="75"/>
      <c r="Q20" s="89" t="s">
        <v>186</v>
      </c>
      <c r="R20" s="88">
        <v>4.7716993008320446E-4</v>
      </c>
      <c r="S20" s="87">
        <v>4.14000004529953E-4</v>
      </c>
      <c r="T20" s="75"/>
      <c r="U20" s="75"/>
      <c r="V20" s="75"/>
      <c r="W20" s="75"/>
      <c r="X20" s="71"/>
      <c r="Y20" s="71"/>
      <c r="Z20" s="71"/>
      <c r="AA20" s="66"/>
      <c r="AB20" s="66"/>
      <c r="AC20" s="66"/>
      <c r="AD20" s="66"/>
      <c r="AE20" s="66"/>
      <c r="AF20" s="66"/>
      <c r="AG20" s="66"/>
      <c r="AH20" s="66"/>
      <c r="AI20" s="66"/>
      <c r="AJ20" s="66"/>
      <c r="AK20" s="66"/>
      <c r="AL20" s="66"/>
      <c r="AM20" s="66"/>
      <c r="AN20" s="66"/>
      <c r="AO20" s="66"/>
      <c r="AP20" s="66"/>
      <c r="AQ20" s="66"/>
      <c r="AR20" s="61"/>
      <c r="AS20" s="60"/>
      <c r="AT20" s="60"/>
      <c r="AW20" s="57"/>
    </row>
    <row r="21" spans="1:49">
      <c r="A21" s="1"/>
      <c r="B21" s="86"/>
      <c r="C21" s="81" t="s">
        <v>186</v>
      </c>
      <c r="D21" s="80">
        <v>0.11</v>
      </c>
      <c r="E21" s="80">
        <v>0.1</v>
      </c>
      <c r="F21" s="79">
        <v>7.0000000000000007E-2</v>
      </c>
      <c r="G21" s="71"/>
      <c r="H21" s="71"/>
      <c r="I21" s="71"/>
      <c r="J21" s="106" t="s">
        <v>185</v>
      </c>
      <c r="K21" s="105">
        <v>0.2</v>
      </c>
      <c r="L21" s="104">
        <v>0.05</v>
      </c>
      <c r="M21" s="71"/>
      <c r="N21" s="75"/>
      <c r="O21" s="75"/>
      <c r="P21" s="75"/>
      <c r="Q21" s="89" t="s">
        <v>184</v>
      </c>
      <c r="R21" s="88">
        <v>2.0499097618064069E-4</v>
      </c>
      <c r="S21" s="87">
        <v>4.14000004529953E-4</v>
      </c>
      <c r="T21" s="75"/>
      <c r="U21" s="75"/>
      <c r="V21" s="75"/>
      <c r="W21" s="75"/>
      <c r="X21" s="71"/>
      <c r="Y21" s="71"/>
      <c r="Z21" s="71"/>
      <c r="AA21" s="66"/>
      <c r="AB21" s="66"/>
      <c r="AC21" s="66"/>
      <c r="AD21" s="66"/>
      <c r="AE21" s="66"/>
      <c r="AF21" s="66"/>
      <c r="AG21" s="66"/>
      <c r="AH21" s="66"/>
      <c r="AI21" s="66"/>
      <c r="AJ21" s="66"/>
      <c r="AK21" s="66"/>
      <c r="AL21" s="66"/>
      <c r="AM21" s="66"/>
      <c r="AN21" s="66"/>
      <c r="AO21" s="66"/>
      <c r="AP21" s="66"/>
      <c r="AQ21" s="66"/>
      <c r="AR21" s="61"/>
      <c r="AS21" s="61"/>
      <c r="AT21" s="60"/>
    </row>
    <row r="22" spans="1:49">
      <c r="A22" s="1"/>
      <c r="B22" s="86"/>
      <c r="C22" s="81" t="s">
        <v>184</v>
      </c>
      <c r="D22" s="80">
        <v>0.15</v>
      </c>
      <c r="E22" s="80">
        <v>0.13</v>
      </c>
      <c r="F22" s="79">
        <v>0.1</v>
      </c>
      <c r="G22" s="71"/>
      <c r="H22" s="71"/>
      <c r="I22" s="71"/>
      <c r="J22" s="106" t="s">
        <v>183</v>
      </c>
      <c r="K22" s="105">
        <v>0.15</v>
      </c>
      <c r="L22" s="104">
        <v>0.1</v>
      </c>
      <c r="M22" s="71"/>
      <c r="N22" s="75"/>
      <c r="O22" s="75"/>
      <c r="P22" s="75"/>
      <c r="Q22" s="89" t="s">
        <v>182</v>
      </c>
      <c r="R22" s="88">
        <v>7.3634398159432295E-4</v>
      </c>
      <c r="S22" s="87">
        <v>4.14000004529953E-4</v>
      </c>
      <c r="T22" s="75"/>
      <c r="U22" s="75"/>
      <c r="V22" s="75"/>
      <c r="W22" s="75"/>
      <c r="X22" s="71"/>
      <c r="Y22" s="71"/>
      <c r="Z22" s="71"/>
      <c r="AA22" s="66"/>
      <c r="AB22" s="66"/>
      <c r="AC22" s="66"/>
      <c r="AD22" s="66"/>
      <c r="AE22" s="66"/>
      <c r="AF22" s="66"/>
      <c r="AG22" s="66"/>
      <c r="AH22" s="66"/>
      <c r="AI22" s="66"/>
      <c r="AJ22" s="66"/>
      <c r="AK22" s="66"/>
      <c r="AL22" s="66"/>
      <c r="AM22" s="66"/>
      <c r="AN22" s="66"/>
      <c r="AO22" s="66"/>
      <c r="AP22" s="66"/>
      <c r="AQ22" s="66"/>
      <c r="AR22" s="61"/>
      <c r="AS22" s="61"/>
      <c r="AT22" s="60"/>
    </row>
    <row r="23" spans="1:49">
      <c r="A23" s="1"/>
      <c r="B23" s="86"/>
      <c r="C23" s="81" t="s">
        <v>182</v>
      </c>
      <c r="D23" s="80">
        <v>0.11</v>
      </c>
      <c r="E23" s="80">
        <v>0.09</v>
      </c>
      <c r="F23" s="79">
        <v>7.0000000000000007E-2</v>
      </c>
      <c r="G23" s="71"/>
      <c r="H23" s="71"/>
      <c r="I23" s="71"/>
      <c r="J23" s="106" t="s">
        <v>181</v>
      </c>
      <c r="K23" s="105">
        <v>0</v>
      </c>
      <c r="L23" s="104">
        <v>0.3</v>
      </c>
      <c r="M23" s="71"/>
      <c r="N23" s="75"/>
      <c r="O23" s="75"/>
      <c r="P23" s="75"/>
      <c r="Q23" s="89" t="s">
        <v>180</v>
      </c>
      <c r="R23" s="88">
        <v>1.5933500996702843E-4</v>
      </c>
      <c r="S23" s="87">
        <v>4.14000004529953E-4</v>
      </c>
      <c r="T23" s="75"/>
      <c r="U23" s="75"/>
      <c r="V23" s="75"/>
      <c r="W23" s="75"/>
      <c r="X23" s="71"/>
      <c r="Y23" s="71"/>
      <c r="Z23" s="71"/>
      <c r="AA23" s="66"/>
      <c r="AB23" s="66"/>
      <c r="AC23" s="66"/>
      <c r="AD23" s="66"/>
      <c r="AE23" s="66"/>
      <c r="AF23" s="66"/>
      <c r="AG23" s="66"/>
      <c r="AH23" s="66"/>
      <c r="AI23" s="66"/>
      <c r="AJ23" s="66"/>
      <c r="AK23" s="66"/>
      <c r="AL23" s="66"/>
      <c r="AM23" s="66"/>
      <c r="AN23" s="66"/>
      <c r="AO23" s="66"/>
      <c r="AP23" s="66"/>
      <c r="AQ23" s="66"/>
      <c r="AR23" s="61"/>
      <c r="AS23" s="61"/>
      <c r="AT23" s="60"/>
    </row>
    <row r="24" spans="1:49">
      <c r="A24" s="1"/>
      <c r="B24" s="86"/>
      <c r="C24" s="81" t="s">
        <v>180</v>
      </c>
      <c r="D24" s="80">
        <v>0.17</v>
      </c>
      <c r="E24" s="80">
        <v>0.15</v>
      </c>
      <c r="F24" s="79">
        <v>0.13</v>
      </c>
      <c r="G24" s="71"/>
      <c r="H24" s="71"/>
      <c r="I24" s="71"/>
      <c r="J24" s="106" t="s">
        <v>179</v>
      </c>
      <c r="K24" s="105">
        <v>0.2</v>
      </c>
      <c r="L24" s="104">
        <v>0.05</v>
      </c>
      <c r="M24" s="71"/>
      <c r="N24" s="75"/>
      <c r="O24" s="75"/>
      <c r="P24" s="75"/>
      <c r="Q24" s="89" t="s">
        <v>178</v>
      </c>
      <c r="R24" s="88">
        <v>5.0685048336163163E-4</v>
      </c>
      <c r="S24" s="87">
        <v>4.14000004529953E-4</v>
      </c>
      <c r="T24" s="75"/>
      <c r="U24" s="75"/>
      <c r="V24" s="75"/>
      <c r="W24" s="75"/>
      <c r="X24" s="71"/>
      <c r="Y24" s="71"/>
      <c r="Z24" s="71"/>
      <c r="AA24" s="66"/>
      <c r="AB24" s="66"/>
      <c r="AC24" s="66"/>
      <c r="AD24" s="66"/>
      <c r="AE24" s="66"/>
      <c r="AF24" s="66"/>
      <c r="AG24" s="66"/>
      <c r="AH24" s="66"/>
      <c r="AI24" s="66"/>
      <c r="AJ24" s="66"/>
      <c r="AK24" s="66"/>
      <c r="AL24" s="66"/>
      <c r="AM24" s="66"/>
      <c r="AN24" s="66"/>
      <c r="AO24" s="66"/>
      <c r="AP24" s="66"/>
      <c r="AQ24" s="66"/>
      <c r="AR24" s="61"/>
      <c r="AS24" s="61"/>
      <c r="AT24" s="60"/>
    </row>
    <row r="25" spans="1:49">
      <c r="A25" s="1"/>
      <c r="B25" s="86"/>
      <c r="C25" s="81" t="s">
        <v>178</v>
      </c>
      <c r="D25" s="80">
        <v>0.12</v>
      </c>
      <c r="E25" s="80">
        <v>0.12</v>
      </c>
      <c r="F25" s="79">
        <v>0.05</v>
      </c>
      <c r="G25" s="71"/>
      <c r="H25" s="71"/>
      <c r="I25" s="71"/>
      <c r="J25" s="106" t="s">
        <v>177</v>
      </c>
      <c r="K25" s="105">
        <v>0</v>
      </c>
      <c r="L25" s="104">
        <v>0.15</v>
      </c>
      <c r="M25" s="71"/>
      <c r="N25" s="75"/>
      <c r="O25" s="75"/>
      <c r="P25" s="75"/>
      <c r="Q25" s="89" t="s">
        <v>176</v>
      </c>
      <c r="R25" s="88">
        <v>8.3442486284763834E-4</v>
      </c>
      <c r="S25" s="87">
        <v>4.14000004529953E-4</v>
      </c>
      <c r="T25" s="75"/>
      <c r="U25" s="75"/>
      <c r="V25" s="75"/>
      <c r="W25" s="75"/>
      <c r="X25" s="71"/>
      <c r="Y25" s="71"/>
      <c r="Z25" s="71"/>
      <c r="AA25" s="66"/>
      <c r="AB25" s="66"/>
      <c r="AC25" s="66"/>
      <c r="AD25" s="66"/>
      <c r="AE25" s="66"/>
      <c r="AF25" s="66"/>
      <c r="AG25" s="66"/>
      <c r="AH25" s="66"/>
      <c r="AI25" s="66"/>
      <c r="AJ25" s="66"/>
      <c r="AK25" s="66"/>
      <c r="AL25" s="66"/>
      <c r="AM25" s="66"/>
      <c r="AN25" s="66"/>
      <c r="AO25" s="66"/>
      <c r="AP25" s="66"/>
      <c r="AQ25" s="66"/>
      <c r="AR25" s="61"/>
      <c r="AS25" s="61"/>
      <c r="AT25" s="60"/>
    </row>
    <row r="26" spans="1:49" ht="15" thickBot="1">
      <c r="A26" s="1"/>
      <c r="B26" s="86"/>
      <c r="C26" s="81" t="s">
        <v>176</v>
      </c>
      <c r="D26" s="80">
        <v>0.14000000000000001</v>
      </c>
      <c r="E26" s="80">
        <v>0.1</v>
      </c>
      <c r="F26" s="79">
        <v>0.08</v>
      </c>
      <c r="G26" s="71"/>
      <c r="H26" s="71"/>
      <c r="I26" s="71"/>
      <c r="J26" s="103" t="s">
        <v>175</v>
      </c>
      <c r="K26" s="102">
        <v>0.05</v>
      </c>
      <c r="L26" s="101">
        <v>0.05</v>
      </c>
      <c r="M26" s="71"/>
      <c r="N26" s="75"/>
      <c r="O26" s="75"/>
      <c r="P26" s="75"/>
      <c r="Q26" s="89" t="s">
        <v>174</v>
      </c>
      <c r="R26" s="88">
        <v>4.5283915436484851E-4</v>
      </c>
      <c r="S26" s="87">
        <v>4.14000004529953E-4</v>
      </c>
      <c r="T26" s="75"/>
      <c r="U26" s="75"/>
      <c r="V26" s="75"/>
      <c r="W26" s="75"/>
      <c r="X26" s="71"/>
      <c r="Y26" s="71"/>
      <c r="Z26" s="71"/>
      <c r="AA26" s="66"/>
      <c r="AB26" s="66"/>
      <c r="AC26" s="66"/>
      <c r="AD26" s="66"/>
      <c r="AE26" s="66"/>
      <c r="AF26" s="66"/>
      <c r="AG26" s="66"/>
      <c r="AH26" s="66"/>
      <c r="AI26" s="66"/>
      <c r="AJ26" s="66"/>
      <c r="AK26" s="66"/>
      <c r="AL26" s="66"/>
      <c r="AM26" s="66"/>
      <c r="AN26" s="66"/>
      <c r="AO26" s="66"/>
      <c r="AP26" s="66"/>
      <c r="AQ26" s="66"/>
      <c r="AR26" s="61"/>
      <c r="AS26" s="61"/>
      <c r="AT26" s="60"/>
    </row>
    <row r="27" spans="1:49">
      <c r="A27" s="1"/>
      <c r="B27" s="86"/>
      <c r="C27" s="81" t="s">
        <v>174</v>
      </c>
      <c r="D27" s="80">
        <v>0.11</v>
      </c>
      <c r="E27" s="80">
        <v>0.1</v>
      </c>
      <c r="F27" s="79">
        <v>0.08</v>
      </c>
      <c r="G27" s="71"/>
      <c r="H27" s="71"/>
      <c r="I27" s="71"/>
      <c r="J27" s="100" t="s">
        <v>173</v>
      </c>
      <c r="K27" s="99">
        <v>1</v>
      </c>
      <c r="L27" s="99">
        <v>1</v>
      </c>
      <c r="M27" s="71"/>
      <c r="N27" s="75"/>
      <c r="O27" s="75"/>
      <c r="P27" s="75"/>
      <c r="Q27" s="89" t="s">
        <v>172</v>
      </c>
      <c r="R27" s="88">
        <v>3.486895207898603E-4</v>
      </c>
      <c r="S27" s="87">
        <v>4.14000004529953E-4</v>
      </c>
      <c r="T27" s="75"/>
      <c r="U27" s="75"/>
      <c r="V27" s="75"/>
      <c r="W27" s="75"/>
      <c r="X27" s="71"/>
      <c r="Y27" s="71"/>
      <c r="Z27" s="71"/>
      <c r="AA27" s="66"/>
      <c r="AB27" s="66"/>
      <c r="AC27" s="66"/>
      <c r="AD27" s="66"/>
      <c r="AE27" s="66"/>
      <c r="AF27" s="66"/>
      <c r="AG27" s="66"/>
      <c r="AH27" s="66"/>
      <c r="AI27" s="66"/>
      <c r="AJ27" s="66"/>
      <c r="AK27" s="66"/>
      <c r="AL27" s="66"/>
      <c r="AM27" s="66"/>
      <c r="AN27" s="66"/>
      <c r="AO27" s="66"/>
      <c r="AP27" s="66"/>
      <c r="AQ27" s="66"/>
      <c r="AR27" s="61"/>
      <c r="AS27" s="61"/>
      <c r="AT27" s="60"/>
    </row>
    <row r="28" spans="1:49">
      <c r="A28" s="1"/>
      <c r="B28" s="86"/>
      <c r="C28" s="81" t="s">
        <v>172</v>
      </c>
      <c r="D28" s="80">
        <v>0.11</v>
      </c>
      <c r="E28" s="80">
        <v>0.1</v>
      </c>
      <c r="F28" s="79">
        <v>0.06</v>
      </c>
      <c r="G28" s="69"/>
      <c r="H28" s="69"/>
      <c r="I28" s="69"/>
      <c r="J28" s="69"/>
      <c r="K28" s="69"/>
      <c r="L28" s="69"/>
      <c r="M28" s="69"/>
      <c r="N28" s="75"/>
      <c r="O28" s="75"/>
      <c r="P28" s="75"/>
      <c r="Q28" s="89" t="s">
        <v>170</v>
      </c>
      <c r="R28" s="88">
        <v>6.1012381532656111E-4</v>
      </c>
      <c r="S28" s="87">
        <v>4.14000004529953E-4</v>
      </c>
      <c r="T28" s="75"/>
      <c r="U28" s="75"/>
      <c r="V28" s="75"/>
      <c r="W28" s="75"/>
      <c r="X28" s="71"/>
      <c r="Y28" s="71"/>
      <c r="Z28" s="71"/>
      <c r="AA28" s="66"/>
      <c r="AB28" s="66"/>
      <c r="AC28" s="66"/>
      <c r="AD28" s="66"/>
      <c r="AE28" s="66"/>
      <c r="AF28" s="66"/>
      <c r="AG28" s="66"/>
      <c r="AH28" s="66"/>
      <c r="AI28" s="66"/>
      <c r="AJ28" s="66"/>
      <c r="AK28" s="66"/>
      <c r="AL28" s="66"/>
      <c r="AM28" s="66"/>
      <c r="AN28" s="98"/>
      <c r="AO28" s="98"/>
      <c r="AP28" s="98"/>
      <c r="AQ28" s="98"/>
      <c r="AR28" s="61"/>
      <c r="AS28" s="61"/>
      <c r="AT28" s="61"/>
      <c r="AU28" s="57"/>
      <c r="AV28" s="57"/>
      <c r="AW28" s="57"/>
    </row>
    <row r="29" spans="1:49">
      <c r="A29" s="1"/>
      <c r="B29" s="86"/>
      <c r="C29" s="81" t="s">
        <v>171</v>
      </c>
      <c r="D29" s="80">
        <v>0.37</v>
      </c>
      <c r="E29" s="80">
        <v>0.35</v>
      </c>
      <c r="F29" s="79">
        <v>0.31</v>
      </c>
      <c r="G29" s="66"/>
      <c r="H29" s="69"/>
      <c r="I29" s="69"/>
      <c r="J29" s="69"/>
      <c r="K29" s="69"/>
      <c r="L29" s="69"/>
      <c r="M29" s="69"/>
      <c r="N29" s="75"/>
      <c r="O29" s="75"/>
      <c r="P29" s="75"/>
      <c r="Q29" s="89" t="s">
        <v>169</v>
      </c>
      <c r="R29" s="88">
        <v>3.9139311155092061E-5</v>
      </c>
      <c r="S29" s="87">
        <v>4.14000004529953E-4</v>
      </c>
      <c r="T29" s="75"/>
      <c r="U29" s="75"/>
      <c r="V29" s="75"/>
      <c r="W29" s="75"/>
      <c r="X29" s="71"/>
      <c r="Y29" s="71"/>
      <c r="Z29" s="71"/>
      <c r="AA29" s="66"/>
      <c r="AB29" s="66"/>
      <c r="AC29" s="66"/>
      <c r="AD29" s="66"/>
      <c r="AE29" s="66"/>
      <c r="AF29" s="66"/>
      <c r="AG29" s="66"/>
      <c r="AH29" s="66"/>
      <c r="AI29" s="66"/>
      <c r="AJ29" s="66"/>
      <c r="AK29" s="66"/>
      <c r="AL29" s="66"/>
      <c r="AM29" s="66"/>
      <c r="AN29" s="66"/>
      <c r="AO29" s="66"/>
      <c r="AP29" s="66"/>
      <c r="AQ29" s="66"/>
      <c r="AR29" s="61"/>
      <c r="AS29" s="61"/>
      <c r="AT29" s="60"/>
    </row>
    <row r="30" spans="1:49">
      <c r="A30" s="1"/>
      <c r="B30" s="86"/>
      <c r="C30" s="81" t="s">
        <v>170</v>
      </c>
      <c r="D30" s="80">
        <v>0.11</v>
      </c>
      <c r="E30" s="80">
        <v>0.08</v>
      </c>
      <c r="F30" s="79">
        <v>0.05</v>
      </c>
      <c r="G30" s="66"/>
      <c r="H30" s="69"/>
      <c r="I30" s="69"/>
      <c r="J30" s="71"/>
      <c r="K30" s="71"/>
      <c r="L30" s="71"/>
      <c r="M30" s="69"/>
      <c r="N30" s="75"/>
      <c r="O30" s="75"/>
      <c r="P30" s="75"/>
      <c r="Q30" s="89" t="s">
        <v>168</v>
      </c>
      <c r="R30" s="88">
        <v>3.2453938138303045E-4</v>
      </c>
      <c r="S30" s="87">
        <v>4.14000004529953E-4</v>
      </c>
      <c r="T30" s="75"/>
      <c r="U30" s="75"/>
      <c r="V30" s="75"/>
      <c r="W30" s="75"/>
      <c r="X30" s="71"/>
      <c r="Y30" s="71"/>
      <c r="Z30" s="71"/>
      <c r="AA30" s="97"/>
      <c r="AB30" s="97"/>
      <c r="AC30" s="97"/>
      <c r="AD30" s="97"/>
      <c r="AE30" s="97"/>
      <c r="AF30" s="97"/>
      <c r="AG30" s="97"/>
      <c r="AH30" s="97"/>
      <c r="AI30" s="97"/>
      <c r="AJ30" s="97"/>
      <c r="AK30" s="97"/>
      <c r="AL30" s="97"/>
      <c r="AM30" s="97"/>
      <c r="AN30" s="97"/>
      <c r="AO30" s="97"/>
      <c r="AP30" s="97"/>
      <c r="AQ30" s="97"/>
      <c r="AR30" s="61"/>
      <c r="AS30" s="61"/>
      <c r="AT30" s="60"/>
    </row>
    <row r="31" spans="1:49">
      <c r="A31" s="1"/>
      <c r="B31" s="86"/>
      <c r="C31" s="81" t="s">
        <v>169</v>
      </c>
      <c r="D31" s="80">
        <v>0.09</v>
      </c>
      <c r="E31" s="80">
        <v>7.0000000000000007E-2</v>
      </c>
      <c r="F31" s="79">
        <v>0.05</v>
      </c>
      <c r="G31" s="66"/>
      <c r="H31" s="69"/>
      <c r="I31" s="71"/>
      <c r="J31" s="71"/>
      <c r="K31" s="71"/>
      <c r="L31" s="71"/>
      <c r="M31" s="69"/>
      <c r="N31" s="75"/>
      <c r="O31" s="75"/>
      <c r="P31" s="75"/>
      <c r="Q31" s="89" t="s">
        <v>167</v>
      </c>
      <c r="R31" s="88">
        <v>7.9415196034054991E-4</v>
      </c>
      <c r="S31" s="87">
        <v>4.14000004529953E-4</v>
      </c>
      <c r="T31" s="75"/>
      <c r="U31" s="75"/>
      <c r="V31" s="75"/>
      <c r="W31" s="75"/>
      <c r="X31" s="71"/>
      <c r="Y31" s="71"/>
      <c r="Z31" s="71"/>
      <c r="AA31" s="96"/>
      <c r="AB31" s="96"/>
      <c r="AC31" s="96"/>
      <c r="AD31" s="96"/>
      <c r="AE31" s="96"/>
      <c r="AF31" s="96"/>
      <c r="AG31" s="96"/>
      <c r="AH31" s="96"/>
      <c r="AI31" s="96"/>
      <c r="AJ31" s="96"/>
      <c r="AK31" s="96"/>
      <c r="AL31" s="96"/>
      <c r="AM31" s="96"/>
      <c r="AN31" s="96"/>
      <c r="AO31" s="96"/>
      <c r="AP31" s="96"/>
      <c r="AQ31" s="96"/>
      <c r="AR31" s="61"/>
      <c r="AS31" s="61"/>
      <c r="AT31" s="60"/>
    </row>
    <row r="32" spans="1:49">
      <c r="A32" s="1"/>
      <c r="B32" s="86"/>
      <c r="C32" s="81" t="s">
        <v>168</v>
      </c>
      <c r="D32" s="80">
        <v>0.11</v>
      </c>
      <c r="E32" s="80">
        <v>0.08</v>
      </c>
      <c r="F32" s="79">
        <v>0.06</v>
      </c>
      <c r="G32" s="66"/>
      <c r="H32" s="69"/>
      <c r="I32" s="71"/>
      <c r="J32" s="71"/>
      <c r="K32" s="71"/>
      <c r="L32" s="71"/>
      <c r="M32" s="69"/>
      <c r="N32" s="75"/>
      <c r="O32" s="75"/>
      <c r="P32" s="75"/>
      <c r="Q32" s="89" t="s">
        <v>166</v>
      </c>
      <c r="R32" s="88">
        <v>3.2602707909398565E-4</v>
      </c>
      <c r="S32" s="87">
        <v>4.14000004529953E-4</v>
      </c>
      <c r="T32" s="75"/>
      <c r="U32" s="75"/>
      <c r="V32" s="75"/>
      <c r="W32" s="75"/>
      <c r="X32" s="71"/>
      <c r="Y32" s="71"/>
      <c r="Z32" s="71"/>
      <c r="AA32" s="92"/>
      <c r="AB32" s="92"/>
      <c r="AC32" s="92"/>
      <c r="AD32" s="92"/>
      <c r="AE32" s="92"/>
      <c r="AF32" s="92"/>
      <c r="AG32" s="92"/>
      <c r="AH32" s="92"/>
      <c r="AI32" s="92"/>
      <c r="AJ32" s="92"/>
      <c r="AK32" s="92"/>
      <c r="AL32" s="92"/>
      <c r="AM32" s="92"/>
      <c r="AN32" s="92"/>
      <c r="AO32" s="92"/>
      <c r="AP32" s="92"/>
      <c r="AQ32" s="92"/>
      <c r="AR32" s="61"/>
      <c r="AS32" s="61"/>
      <c r="AT32" s="60"/>
    </row>
    <row r="33" spans="1:75" ht="18" customHeight="1">
      <c r="A33" s="1"/>
      <c r="B33" s="86"/>
      <c r="C33" s="81" t="s">
        <v>167</v>
      </c>
      <c r="D33" s="80">
        <v>0.11</v>
      </c>
      <c r="E33" s="80">
        <v>0.09</v>
      </c>
      <c r="F33" s="79">
        <v>0.06</v>
      </c>
      <c r="G33" s="66"/>
      <c r="H33" s="69"/>
      <c r="I33" s="71"/>
      <c r="J33" s="71"/>
      <c r="K33" s="71"/>
      <c r="L33" s="71"/>
      <c r="M33" s="69"/>
      <c r="N33" s="75"/>
      <c r="O33" s="75"/>
      <c r="P33" s="75"/>
      <c r="Q33" s="89" t="s">
        <v>165</v>
      </c>
      <c r="R33" s="88">
        <v>8.465955465067626E-4</v>
      </c>
      <c r="S33" s="87">
        <v>4.14000004529953E-4</v>
      </c>
      <c r="T33" s="75"/>
      <c r="U33" s="75"/>
      <c r="V33" s="75"/>
      <c r="W33" s="75"/>
      <c r="X33" s="71"/>
      <c r="Y33" s="71"/>
      <c r="Z33" s="71"/>
      <c r="AA33" s="92"/>
      <c r="AB33" s="92"/>
      <c r="AC33" s="92"/>
      <c r="AD33" s="92"/>
      <c r="AE33" s="92"/>
      <c r="AF33" s="92"/>
      <c r="AG33" s="92"/>
      <c r="AH33" s="92"/>
      <c r="AI33" s="92"/>
      <c r="AJ33" s="92"/>
      <c r="AK33" s="92"/>
      <c r="AL33" s="92"/>
      <c r="AM33" s="92"/>
      <c r="AN33" s="92"/>
      <c r="AO33" s="92"/>
      <c r="AP33" s="92"/>
      <c r="AQ33" s="92"/>
      <c r="AR33" s="61"/>
      <c r="AS33" s="61"/>
      <c r="AT33" s="60"/>
    </row>
    <row r="34" spans="1:75" s="93" customFormat="1" ht="16.5" customHeight="1">
      <c r="A34" s="1"/>
      <c r="B34" s="86"/>
      <c r="C34" s="81" t="s">
        <v>166</v>
      </c>
      <c r="D34" s="80">
        <v>0.11</v>
      </c>
      <c r="E34" s="80">
        <v>0.09</v>
      </c>
      <c r="F34" s="79">
        <v>7.0000000000000007E-2</v>
      </c>
      <c r="G34" s="66"/>
      <c r="H34" s="69"/>
      <c r="I34" s="95"/>
      <c r="J34" s="95"/>
      <c r="K34" s="95"/>
      <c r="L34" s="71"/>
      <c r="M34" s="69"/>
      <c r="N34" s="75"/>
      <c r="O34" s="75"/>
      <c r="P34" s="75"/>
      <c r="Q34" s="89" t="s">
        <v>164</v>
      </c>
      <c r="R34" s="88">
        <v>3.0858219124592655E-4</v>
      </c>
      <c r="S34" s="87">
        <v>4.14000004529953E-4</v>
      </c>
      <c r="T34" s="75"/>
      <c r="U34" s="75"/>
      <c r="V34" s="75"/>
      <c r="W34" s="75"/>
      <c r="X34" s="95"/>
      <c r="Y34" s="95"/>
      <c r="Z34" s="95"/>
      <c r="AA34" s="92"/>
      <c r="AB34" s="92"/>
      <c r="AC34" s="92"/>
      <c r="AD34" s="92"/>
      <c r="AE34" s="92"/>
      <c r="AF34" s="92"/>
      <c r="AG34" s="92"/>
      <c r="AH34" s="92"/>
      <c r="AI34" s="92"/>
      <c r="AJ34" s="92"/>
      <c r="AK34" s="92"/>
      <c r="AL34" s="92"/>
      <c r="AM34" s="92"/>
      <c r="AN34" s="92"/>
      <c r="AO34" s="92"/>
      <c r="AP34" s="92"/>
      <c r="AQ34" s="92"/>
      <c r="AR34" s="61"/>
      <c r="AS34" s="61"/>
      <c r="AT34" s="60"/>
      <c r="AU34" s="59"/>
      <c r="AV34" s="59"/>
      <c r="AW34" s="59"/>
      <c r="AX34" s="57"/>
      <c r="AY34" s="57"/>
      <c r="AZ34" s="57"/>
      <c r="BA34" s="57"/>
      <c r="BB34" s="57"/>
      <c r="BC34" s="57"/>
      <c r="BD34" s="57"/>
      <c r="BE34" s="57"/>
      <c r="BF34" s="57"/>
      <c r="BG34" s="94"/>
      <c r="BH34" s="94"/>
      <c r="BI34" s="94"/>
      <c r="BJ34" s="94"/>
      <c r="BK34" s="94"/>
      <c r="BL34" s="94"/>
      <c r="BM34" s="94"/>
      <c r="BN34" s="94"/>
      <c r="BO34" s="94"/>
      <c r="BP34" s="94"/>
      <c r="BQ34" s="94"/>
      <c r="BR34" s="94"/>
      <c r="BS34" s="94"/>
      <c r="BT34" s="94"/>
      <c r="BU34" s="94"/>
      <c r="BV34" s="94"/>
      <c r="BW34" s="94"/>
    </row>
    <row r="35" spans="1:75" s="6" customFormat="1">
      <c r="A35" s="1"/>
      <c r="B35" s="86"/>
      <c r="C35" s="81" t="s">
        <v>165</v>
      </c>
      <c r="D35" s="80">
        <v>0.09</v>
      </c>
      <c r="E35" s="80">
        <v>0.09</v>
      </c>
      <c r="F35" s="79">
        <v>0.05</v>
      </c>
      <c r="G35" s="66"/>
      <c r="H35" s="69"/>
      <c r="I35" s="71"/>
      <c r="J35" s="71"/>
      <c r="K35" s="71"/>
      <c r="L35" s="71"/>
      <c r="M35" s="69"/>
      <c r="N35" s="75"/>
      <c r="O35" s="75"/>
      <c r="P35" s="75"/>
      <c r="Q35" s="89" t="s">
        <v>163</v>
      </c>
      <c r="R35" s="88">
        <v>2.7443623595127412E-4</v>
      </c>
      <c r="S35" s="87">
        <v>4.14000004529953E-4</v>
      </c>
      <c r="T35" s="75"/>
      <c r="U35" s="75"/>
      <c r="V35" s="75"/>
      <c r="W35" s="75"/>
      <c r="X35" s="71"/>
      <c r="Y35" s="71"/>
      <c r="Z35" s="71"/>
      <c r="AA35" s="92"/>
      <c r="AB35" s="92"/>
      <c r="AC35" s="92"/>
      <c r="AD35" s="92"/>
      <c r="AE35" s="92"/>
      <c r="AF35" s="92"/>
      <c r="AG35" s="92"/>
      <c r="AH35" s="92"/>
      <c r="AI35" s="92"/>
      <c r="AJ35" s="92"/>
      <c r="AK35" s="92"/>
      <c r="AL35" s="92"/>
      <c r="AM35" s="92"/>
      <c r="AN35" s="92"/>
      <c r="AO35" s="92"/>
      <c r="AP35" s="92"/>
      <c r="AQ35" s="92"/>
      <c r="AR35" s="61"/>
      <c r="AS35" s="61"/>
      <c r="AT35" s="60"/>
      <c r="AU35" s="59"/>
      <c r="AV35" s="59"/>
      <c r="AW35" s="59"/>
      <c r="AX35" s="57"/>
      <c r="AY35" s="57"/>
      <c r="AZ35" s="57"/>
      <c r="BA35" s="57"/>
      <c r="BB35" s="57"/>
      <c r="BC35" s="57"/>
      <c r="BD35" s="57"/>
      <c r="BE35" s="57"/>
      <c r="BF35" s="57"/>
      <c r="BG35" s="57"/>
      <c r="BH35" s="57"/>
      <c r="BI35" s="57"/>
      <c r="BJ35" s="57"/>
      <c r="BK35" s="57"/>
      <c r="BL35" s="57"/>
      <c r="BM35" s="57"/>
      <c r="BN35" s="57"/>
      <c r="BO35" s="57"/>
      <c r="BP35" s="57"/>
      <c r="BQ35" s="57"/>
      <c r="BR35" s="57"/>
      <c r="BS35" s="57"/>
      <c r="BT35" s="57"/>
      <c r="BU35" s="57"/>
      <c r="BV35" s="57"/>
      <c r="BW35" s="57"/>
    </row>
    <row r="36" spans="1:75" s="6" customFormat="1">
      <c r="A36" s="1"/>
      <c r="B36" s="86"/>
      <c r="C36" s="81" t="s">
        <v>164</v>
      </c>
      <c r="D36" s="80">
        <v>0.08</v>
      </c>
      <c r="E36" s="80">
        <v>0.08</v>
      </c>
      <c r="F36" s="79">
        <v>0.05</v>
      </c>
      <c r="G36" s="66"/>
      <c r="H36" s="69"/>
      <c r="I36" s="71"/>
      <c r="J36" s="71"/>
      <c r="K36" s="71"/>
      <c r="L36" s="71"/>
      <c r="M36" s="69"/>
      <c r="N36" s="75"/>
      <c r="O36" s="75"/>
      <c r="P36" s="75"/>
      <c r="Q36" s="89" t="s">
        <v>162</v>
      </c>
      <c r="R36" s="88">
        <v>5.3598020242062749E-4</v>
      </c>
      <c r="S36" s="87">
        <v>4.14000004529953E-4</v>
      </c>
      <c r="T36" s="75"/>
      <c r="U36" s="75"/>
      <c r="V36" s="75"/>
      <c r="W36" s="75"/>
      <c r="X36" s="71"/>
      <c r="Y36" s="71"/>
      <c r="Z36" s="71"/>
      <c r="AA36" s="92"/>
      <c r="AB36" s="92"/>
      <c r="AC36" s="92"/>
      <c r="AD36" s="92"/>
      <c r="AE36" s="92"/>
      <c r="AF36" s="92"/>
      <c r="AG36" s="92"/>
      <c r="AH36" s="92"/>
      <c r="AI36" s="92"/>
      <c r="AJ36" s="92"/>
      <c r="AK36" s="92"/>
      <c r="AL36" s="92"/>
      <c r="AM36" s="92"/>
      <c r="AN36" s="92"/>
      <c r="AO36" s="92"/>
      <c r="AP36" s="92"/>
      <c r="AQ36" s="92"/>
      <c r="AR36" s="61"/>
      <c r="AS36" s="61"/>
      <c r="AT36" s="60"/>
      <c r="AU36" s="59"/>
      <c r="AV36" s="59"/>
      <c r="AW36" s="59"/>
      <c r="AX36" s="57"/>
      <c r="AY36" s="57"/>
      <c r="AZ36" s="57"/>
      <c r="BA36" s="57"/>
      <c r="BB36" s="57"/>
      <c r="BC36" s="57"/>
      <c r="BD36" s="57"/>
      <c r="BE36" s="57"/>
      <c r="BF36" s="57"/>
      <c r="BG36" s="57"/>
      <c r="BH36" s="57"/>
      <c r="BI36" s="57"/>
      <c r="BJ36" s="57"/>
      <c r="BK36" s="57"/>
      <c r="BL36" s="57"/>
      <c r="BM36" s="57"/>
      <c r="BN36" s="57"/>
      <c r="BO36" s="57"/>
      <c r="BP36" s="57"/>
      <c r="BQ36" s="57"/>
      <c r="BR36" s="57"/>
      <c r="BS36" s="57"/>
      <c r="BT36" s="57"/>
      <c r="BU36" s="57"/>
      <c r="BV36" s="57"/>
      <c r="BW36" s="57"/>
    </row>
    <row r="37" spans="1:75" s="6" customFormat="1">
      <c r="A37" s="1"/>
      <c r="B37" s="86"/>
      <c r="C37" s="81" t="s">
        <v>163</v>
      </c>
      <c r="D37" s="80">
        <v>0.15</v>
      </c>
      <c r="E37" s="80">
        <v>0.14000000000000001</v>
      </c>
      <c r="F37" s="79">
        <v>0.13</v>
      </c>
      <c r="G37" s="66"/>
      <c r="H37" s="69"/>
      <c r="I37" s="71"/>
      <c r="J37" s="71"/>
      <c r="K37" s="71"/>
      <c r="L37" s="71"/>
      <c r="M37" s="69"/>
      <c r="N37" s="75"/>
      <c r="O37" s="75"/>
      <c r="P37" s="75"/>
      <c r="Q37" s="89" t="s">
        <v>161</v>
      </c>
      <c r="R37" s="88">
        <v>2.0322708687071074E-4</v>
      </c>
      <c r="S37" s="87">
        <v>4.14000004529953E-4</v>
      </c>
      <c r="T37" s="75"/>
      <c r="U37" s="75"/>
      <c r="V37" s="75"/>
      <c r="W37" s="75"/>
      <c r="X37" s="71"/>
      <c r="Y37" s="71"/>
      <c r="Z37" s="71"/>
      <c r="AA37" s="92"/>
      <c r="AB37" s="92"/>
      <c r="AC37" s="92"/>
      <c r="AD37" s="92"/>
      <c r="AE37" s="92"/>
      <c r="AF37" s="92"/>
      <c r="AG37" s="92"/>
      <c r="AH37" s="92"/>
      <c r="AI37" s="92"/>
      <c r="AJ37" s="92"/>
      <c r="AK37" s="92"/>
      <c r="AL37" s="92"/>
      <c r="AM37" s="92"/>
      <c r="AN37" s="92"/>
      <c r="AO37" s="92"/>
      <c r="AP37" s="92"/>
      <c r="AQ37" s="92"/>
      <c r="AR37" s="61"/>
      <c r="AS37" s="61"/>
      <c r="AT37" s="60"/>
      <c r="AU37" s="59"/>
      <c r="AV37" s="59"/>
      <c r="AW37" s="59"/>
      <c r="AX37" s="57"/>
      <c r="AY37" s="57"/>
      <c r="AZ37" s="57"/>
      <c r="BA37" s="57"/>
      <c r="BB37" s="57"/>
      <c r="BC37" s="57"/>
      <c r="BD37" s="57"/>
      <c r="BE37" s="57"/>
      <c r="BF37" s="57"/>
      <c r="BG37" s="57"/>
      <c r="BH37" s="57"/>
      <c r="BI37" s="57"/>
      <c r="BJ37" s="57"/>
      <c r="BK37" s="57"/>
      <c r="BL37" s="57"/>
      <c r="BM37" s="57"/>
      <c r="BN37" s="57"/>
      <c r="BO37" s="57"/>
      <c r="BP37" s="57"/>
      <c r="BQ37" s="57"/>
      <c r="BR37" s="57"/>
      <c r="BS37" s="57"/>
      <c r="BT37" s="57"/>
      <c r="BU37" s="57"/>
      <c r="BV37" s="57"/>
      <c r="BW37" s="57"/>
    </row>
    <row r="38" spans="1:75" s="6" customFormat="1">
      <c r="A38" s="1"/>
      <c r="B38" s="86"/>
      <c r="C38" s="81" t="s">
        <v>162</v>
      </c>
      <c r="D38" s="80">
        <v>0.13</v>
      </c>
      <c r="E38" s="80">
        <v>0.1</v>
      </c>
      <c r="F38" s="79">
        <v>0.08</v>
      </c>
      <c r="G38" s="66"/>
      <c r="H38" s="69"/>
      <c r="I38" s="71"/>
      <c r="J38" s="71"/>
      <c r="K38" s="71"/>
      <c r="L38" s="71"/>
      <c r="M38" s="69"/>
      <c r="N38" s="75"/>
      <c r="O38" s="75"/>
      <c r="P38" s="75"/>
      <c r="Q38" s="89" t="s">
        <v>160</v>
      </c>
      <c r="R38" s="88">
        <v>5.0054878730029545E-4</v>
      </c>
      <c r="S38" s="87">
        <v>4.14000004529953E-4</v>
      </c>
      <c r="T38" s="75"/>
      <c r="U38" s="75"/>
      <c r="V38" s="75"/>
      <c r="W38" s="75"/>
      <c r="X38" s="71"/>
      <c r="Y38" s="71"/>
      <c r="Z38" s="71"/>
      <c r="AA38" s="92"/>
      <c r="AB38" s="92"/>
      <c r="AC38" s="92"/>
      <c r="AD38" s="92"/>
      <c r="AE38" s="92"/>
      <c r="AF38" s="92"/>
      <c r="AG38" s="92"/>
      <c r="AH38" s="92"/>
      <c r="AI38" s="92"/>
      <c r="AJ38" s="92"/>
      <c r="AK38" s="92"/>
      <c r="AL38" s="92"/>
      <c r="AM38" s="92"/>
      <c r="AN38" s="92"/>
      <c r="AO38" s="92"/>
      <c r="AP38" s="92"/>
      <c r="AQ38" s="92"/>
      <c r="AR38" s="61"/>
      <c r="AS38" s="61"/>
      <c r="AT38" s="60"/>
      <c r="AU38" s="59"/>
      <c r="AV38" s="59"/>
      <c r="AW38" s="59"/>
      <c r="AX38" s="57"/>
      <c r="AY38" s="57"/>
      <c r="AZ38" s="57"/>
      <c r="BA38" s="57"/>
      <c r="BB38" s="57"/>
      <c r="BC38" s="57"/>
      <c r="BD38" s="57"/>
      <c r="BE38" s="57"/>
      <c r="BF38" s="57"/>
      <c r="BG38" s="57"/>
      <c r="BH38" s="57"/>
      <c r="BI38" s="57"/>
      <c r="BJ38" s="57"/>
      <c r="BK38" s="57"/>
      <c r="BL38" s="57"/>
      <c r="BM38" s="57"/>
      <c r="BN38" s="57"/>
      <c r="BO38" s="57"/>
      <c r="BP38" s="57"/>
      <c r="BQ38" s="57"/>
      <c r="BR38" s="57"/>
      <c r="BS38" s="57"/>
      <c r="BT38" s="57"/>
      <c r="BU38" s="57"/>
      <c r="BV38" s="57"/>
      <c r="BW38" s="57"/>
    </row>
    <row r="39" spans="1:75" s="6" customFormat="1">
      <c r="A39" s="1"/>
      <c r="B39" s="86"/>
      <c r="C39" s="81" t="s">
        <v>161</v>
      </c>
      <c r="D39" s="80">
        <v>0.15</v>
      </c>
      <c r="E39" s="80">
        <v>0.12</v>
      </c>
      <c r="F39" s="79">
        <v>0.08</v>
      </c>
      <c r="G39" s="66"/>
      <c r="H39" s="69"/>
      <c r="I39" s="71"/>
      <c r="J39" s="71"/>
      <c r="K39" s="71"/>
      <c r="L39" s="71"/>
      <c r="M39" s="69"/>
      <c r="N39" s="75"/>
      <c r="O39" s="75"/>
      <c r="P39" s="75"/>
      <c r="Q39" s="89" t="s">
        <v>159</v>
      </c>
      <c r="R39" s="88">
        <v>5.4427544121789305E-4</v>
      </c>
      <c r="S39" s="87">
        <v>4.14000004529953E-4</v>
      </c>
      <c r="T39" s="75"/>
      <c r="U39" s="75"/>
      <c r="V39" s="75"/>
      <c r="W39" s="75"/>
      <c r="X39" s="71"/>
      <c r="Y39" s="71"/>
      <c r="Z39" s="71"/>
      <c r="AA39" s="92"/>
      <c r="AB39" s="92"/>
      <c r="AC39" s="92"/>
      <c r="AD39" s="92"/>
      <c r="AE39" s="92"/>
      <c r="AF39" s="92"/>
      <c r="AG39" s="92"/>
      <c r="AH39" s="92"/>
      <c r="AI39" s="92"/>
      <c r="AJ39" s="92"/>
      <c r="AK39" s="92"/>
      <c r="AL39" s="92"/>
      <c r="AM39" s="92"/>
      <c r="AN39" s="92"/>
      <c r="AO39" s="92"/>
      <c r="AP39" s="92"/>
      <c r="AQ39" s="92"/>
      <c r="AR39" s="61"/>
      <c r="AS39" s="61"/>
      <c r="AT39" s="60"/>
      <c r="AU39" s="59"/>
      <c r="AV39" s="59"/>
      <c r="AW39" s="59"/>
      <c r="AX39" s="57"/>
      <c r="AY39" s="57"/>
      <c r="AZ39" s="57"/>
      <c r="BA39" s="57"/>
      <c r="BB39" s="57"/>
      <c r="BC39" s="57"/>
      <c r="BD39" s="57"/>
      <c r="BE39" s="57"/>
      <c r="BF39" s="57"/>
      <c r="BG39" s="57"/>
      <c r="BH39" s="57"/>
      <c r="BI39" s="57"/>
      <c r="BJ39" s="57"/>
      <c r="BK39" s="57"/>
      <c r="BL39" s="57"/>
      <c r="BM39" s="57"/>
      <c r="BN39" s="57"/>
      <c r="BO39" s="57"/>
      <c r="BP39" s="57"/>
      <c r="BQ39" s="57"/>
      <c r="BR39" s="57"/>
      <c r="BS39" s="57"/>
      <c r="BT39" s="57"/>
      <c r="BU39" s="57"/>
      <c r="BV39" s="57"/>
      <c r="BW39" s="57"/>
    </row>
    <row r="40" spans="1:75" s="6" customFormat="1">
      <c r="A40" s="1"/>
      <c r="B40" s="86"/>
      <c r="C40" s="81" t="s">
        <v>160</v>
      </c>
      <c r="D40" s="80">
        <v>0.14000000000000001</v>
      </c>
      <c r="E40" s="80">
        <v>0.11</v>
      </c>
      <c r="F40" s="79">
        <v>0.08</v>
      </c>
      <c r="G40" s="66"/>
      <c r="H40" s="69"/>
      <c r="I40" s="71"/>
      <c r="J40" s="71"/>
      <c r="K40" s="71"/>
      <c r="L40" s="71"/>
      <c r="M40" s="69"/>
      <c r="N40" s="75"/>
      <c r="O40" s="75"/>
      <c r="P40" s="75"/>
      <c r="Q40" s="89" t="s">
        <v>158</v>
      </c>
      <c r="R40" s="88">
        <v>6.8060201713878701E-4</v>
      </c>
      <c r="S40" s="87">
        <v>4.14000004529953E-4</v>
      </c>
      <c r="T40" s="75"/>
      <c r="U40" s="75"/>
      <c r="V40" s="75"/>
      <c r="W40" s="75"/>
      <c r="X40" s="71"/>
      <c r="Y40" s="71"/>
      <c r="Z40" s="71"/>
      <c r="AA40" s="66"/>
      <c r="AB40" s="66"/>
      <c r="AC40" s="66"/>
      <c r="AD40" s="66"/>
      <c r="AE40" s="66"/>
      <c r="AF40" s="66"/>
      <c r="AG40" s="66"/>
      <c r="AH40" s="66"/>
      <c r="AI40" s="66"/>
      <c r="AJ40" s="66"/>
      <c r="AK40" s="66"/>
      <c r="AL40" s="66"/>
      <c r="AM40" s="66"/>
      <c r="AN40" s="66"/>
      <c r="AO40" s="66"/>
      <c r="AP40" s="66"/>
      <c r="AQ40" s="66"/>
      <c r="AR40" s="61"/>
      <c r="AS40" s="61"/>
      <c r="AT40" s="60"/>
      <c r="AU40" s="59"/>
      <c r="AV40" s="59"/>
      <c r="AW40" s="59"/>
      <c r="AX40" s="57"/>
      <c r="AY40" s="57"/>
      <c r="AZ40" s="57"/>
      <c r="BA40" s="57"/>
      <c r="BB40" s="57"/>
      <c r="BC40" s="57"/>
      <c r="BD40" s="57"/>
      <c r="BE40" s="57"/>
      <c r="BF40" s="57"/>
      <c r="BG40" s="57"/>
      <c r="BH40" s="57"/>
      <c r="BI40" s="57"/>
      <c r="BJ40" s="57"/>
      <c r="BK40" s="57"/>
      <c r="BL40" s="57"/>
      <c r="BM40" s="57"/>
      <c r="BN40" s="57"/>
      <c r="BO40" s="57"/>
      <c r="BP40" s="57"/>
      <c r="BQ40" s="57"/>
      <c r="BR40" s="57"/>
      <c r="BS40" s="57"/>
      <c r="BT40" s="57"/>
      <c r="BU40" s="57"/>
      <c r="BV40" s="57"/>
      <c r="BW40" s="57"/>
    </row>
    <row r="41" spans="1:75" s="6" customFormat="1">
      <c r="A41" s="1"/>
      <c r="B41" s="86"/>
      <c r="C41" s="81" t="s">
        <v>159</v>
      </c>
      <c r="D41" s="80">
        <v>0.11</v>
      </c>
      <c r="E41" s="80">
        <v>0.09</v>
      </c>
      <c r="F41" s="79">
        <v>7.0000000000000007E-2</v>
      </c>
      <c r="G41" s="66"/>
      <c r="H41" s="69"/>
      <c r="I41" s="71"/>
      <c r="J41" s="71"/>
      <c r="K41" s="71"/>
      <c r="L41" s="71"/>
      <c r="M41" s="69"/>
      <c r="N41" s="75"/>
      <c r="O41" s="75"/>
      <c r="P41" s="75"/>
      <c r="Q41" s="89" t="s">
        <v>157</v>
      </c>
      <c r="R41" s="88">
        <v>3.457177533004125E-4</v>
      </c>
      <c r="S41" s="87">
        <v>4.14000004529953E-4</v>
      </c>
      <c r="T41" s="75"/>
      <c r="U41" s="75"/>
      <c r="V41" s="75"/>
      <c r="W41" s="75"/>
      <c r="X41" s="71"/>
      <c r="Y41" s="71"/>
      <c r="Z41" s="71"/>
      <c r="AA41" s="66"/>
      <c r="AB41" s="66"/>
      <c r="AC41" s="66"/>
      <c r="AD41" s="66"/>
      <c r="AE41" s="66"/>
      <c r="AF41" s="66"/>
      <c r="AG41" s="66"/>
      <c r="AH41" s="66"/>
      <c r="AI41" s="66"/>
      <c r="AJ41" s="66"/>
      <c r="AK41" s="66"/>
      <c r="AL41" s="66"/>
      <c r="AM41" s="66"/>
      <c r="AN41" s="66"/>
      <c r="AO41" s="66"/>
      <c r="AP41" s="66"/>
      <c r="AQ41" s="66"/>
      <c r="AR41" s="61"/>
      <c r="AS41" s="61"/>
      <c r="AT41" s="60"/>
      <c r="AU41" s="59"/>
      <c r="AV41" s="59"/>
      <c r="AW41" s="59"/>
      <c r="AX41" s="57"/>
      <c r="AY41" s="57"/>
      <c r="AZ41" s="57"/>
      <c r="BA41" s="57"/>
      <c r="BB41" s="57"/>
      <c r="BC41" s="57"/>
      <c r="BD41" s="57"/>
      <c r="BE41" s="57"/>
      <c r="BF41" s="57"/>
      <c r="BG41" s="57"/>
      <c r="BH41" s="57"/>
      <c r="BI41" s="57"/>
      <c r="BJ41" s="57"/>
      <c r="BK41" s="57"/>
      <c r="BL41" s="57"/>
      <c r="BM41" s="57"/>
      <c r="BN41" s="57"/>
      <c r="BO41" s="57"/>
      <c r="BP41" s="57"/>
      <c r="BQ41" s="57"/>
      <c r="BR41" s="57"/>
      <c r="BS41" s="57"/>
      <c r="BT41" s="57"/>
      <c r="BU41" s="57"/>
      <c r="BV41" s="57"/>
      <c r="BW41" s="57"/>
    </row>
    <row r="42" spans="1:75" s="6" customFormat="1">
      <c r="A42" s="1"/>
      <c r="B42" s="86"/>
      <c r="C42" s="81" t="s">
        <v>158</v>
      </c>
      <c r="D42" s="80">
        <v>0.1</v>
      </c>
      <c r="E42" s="80">
        <v>0.08</v>
      </c>
      <c r="F42" s="79">
        <v>0.06</v>
      </c>
      <c r="G42" s="66"/>
      <c r="H42" s="69"/>
      <c r="I42" s="71"/>
      <c r="J42" s="71"/>
      <c r="K42" s="71"/>
      <c r="L42" s="69"/>
      <c r="M42" s="69"/>
      <c r="N42" s="75"/>
      <c r="O42" s="75"/>
      <c r="P42" s="75"/>
      <c r="Q42" s="89" t="s">
        <v>156</v>
      </c>
      <c r="R42" s="88">
        <v>2.7139739187690266E-4</v>
      </c>
      <c r="S42" s="87">
        <v>4.14000004529953E-4</v>
      </c>
      <c r="T42" s="75"/>
      <c r="U42" s="75"/>
      <c r="V42" s="75"/>
      <c r="W42" s="75"/>
      <c r="X42" s="71"/>
      <c r="Y42" s="71"/>
      <c r="Z42" s="71"/>
      <c r="AA42" s="66"/>
      <c r="AB42" s="66"/>
      <c r="AC42" s="66"/>
      <c r="AD42" s="66"/>
      <c r="AE42" s="66"/>
      <c r="AF42" s="66"/>
      <c r="AG42" s="66"/>
      <c r="AH42" s="66"/>
      <c r="AI42" s="66"/>
      <c r="AJ42" s="66"/>
      <c r="AK42" s="66"/>
      <c r="AL42" s="66"/>
      <c r="AM42" s="66"/>
      <c r="AN42" s="66"/>
      <c r="AO42" s="66"/>
      <c r="AP42" s="66"/>
      <c r="AQ42" s="66"/>
      <c r="AR42" s="61"/>
      <c r="AS42" s="61"/>
      <c r="AT42" s="60"/>
      <c r="AU42" s="59"/>
      <c r="AV42" s="59"/>
      <c r="AW42" s="59"/>
      <c r="AX42" s="57"/>
      <c r="AY42" s="57"/>
      <c r="AZ42" s="57"/>
      <c r="BA42" s="57"/>
      <c r="BB42" s="57"/>
      <c r="BC42" s="57"/>
      <c r="BD42" s="57"/>
      <c r="BE42" s="57"/>
      <c r="BF42" s="57"/>
      <c r="BG42" s="57"/>
      <c r="BH42" s="57"/>
      <c r="BI42" s="57"/>
      <c r="BJ42" s="57"/>
      <c r="BK42" s="57"/>
      <c r="BL42" s="57"/>
      <c r="BM42" s="57"/>
      <c r="BN42" s="57"/>
      <c r="BO42" s="57"/>
      <c r="BP42" s="57"/>
      <c r="BQ42" s="57"/>
      <c r="BR42" s="57"/>
      <c r="BS42" s="57"/>
      <c r="BT42" s="57"/>
      <c r="BU42" s="57"/>
      <c r="BV42" s="57"/>
      <c r="BW42" s="57"/>
    </row>
    <row r="43" spans="1:75" s="6" customFormat="1">
      <c r="A43" s="1"/>
      <c r="B43" s="86"/>
      <c r="C43" s="81" t="s">
        <v>157</v>
      </c>
      <c r="D43" s="80">
        <v>0.1</v>
      </c>
      <c r="E43" s="80">
        <v>0.09</v>
      </c>
      <c r="F43" s="79">
        <v>0.06</v>
      </c>
      <c r="G43" s="66"/>
      <c r="H43" s="69"/>
      <c r="I43" s="71"/>
      <c r="J43" s="71"/>
      <c r="K43" s="71"/>
      <c r="L43" s="69"/>
      <c r="M43" s="69"/>
      <c r="N43" s="75"/>
      <c r="O43" s="75"/>
      <c r="P43" s="75"/>
      <c r="Q43" s="89" t="s">
        <v>155</v>
      </c>
      <c r="R43" s="88">
        <v>4.6005555553392324E-4</v>
      </c>
      <c r="S43" s="87">
        <v>4.14000004529953E-4</v>
      </c>
      <c r="T43" s="75"/>
      <c r="U43" s="75"/>
      <c r="V43" s="75"/>
      <c r="W43" s="75"/>
      <c r="X43" s="71"/>
      <c r="Y43" s="71"/>
      <c r="Z43" s="71"/>
      <c r="AA43" s="66"/>
      <c r="AB43" s="66"/>
      <c r="AC43" s="66"/>
      <c r="AD43" s="66"/>
      <c r="AE43" s="66"/>
      <c r="AF43" s="66"/>
      <c r="AG43" s="66"/>
      <c r="AH43" s="66"/>
      <c r="AI43" s="66"/>
      <c r="AJ43" s="66"/>
      <c r="AK43" s="66"/>
      <c r="AL43" s="66"/>
      <c r="AM43" s="66"/>
      <c r="AN43" s="66"/>
      <c r="AO43" s="66"/>
      <c r="AP43" s="66"/>
      <c r="AQ43" s="66"/>
      <c r="AR43" s="61"/>
      <c r="AS43" s="61"/>
      <c r="AT43" s="60"/>
      <c r="AU43" s="59"/>
      <c r="AV43" s="59"/>
      <c r="AW43" s="59"/>
      <c r="AX43" s="57"/>
      <c r="AY43" s="57"/>
      <c r="AZ43" s="57"/>
      <c r="BA43" s="57"/>
      <c r="BB43" s="57"/>
      <c r="BC43" s="57"/>
      <c r="BD43" s="57"/>
      <c r="BE43" s="57"/>
      <c r="BF43" s="57"/>
      <c r="BG43" s="57"/>
      <c r="BH43" s="57"/>
      <c r="BI43" s="57"/>
      <c r="BJ43" s="57"/>
      <c r="BK43" s="57"/>
      <c r="BL43" s="57"/>
      <c r="BM43" s="57"/>
      <c r="BN43" s="57"/>
      <c r="BO43" s="57"/>
      <c r="BP43" s="57"/>
      <c r="BQ43" s="57"/>
      <c r="BR43" s="57"/>
      <c r="BS43" s="57"/>
      <c r="BT43" s="57"/>
      <c r="BU43" s="57"/>
      <c r="BV43" s="57"/>
      <c r="BW43" s="57"/>
    </row>
    <row r="44" spans="1:75">
      <c r="A44" s="1"/>
      <c r="B44" s="86"/>
      <c r="C44" s="81" t="s">
        <v>156</v>
      </c>
      <c r="D44" s="80">
        <v>0.1</v>
      </c>
      <c r="E44" s="80">
        <v>0.09</v>
      </c>
      <c r="F44" s="79">
        <v>0.05</v>
      </c>
      <c r="G44" s="66"/>
      <c r="H44" s="66"/>
      <c r="I44" s="71"/>
      <c r="J44" s="71"/>
      <c r="K44" s="71"/>
      <c r="L44" s="66"/>
      <c r="M44" s="66"/>
      <c r="N44" s="75"/>
      <c r="O44" s="75"/>
      <c r="P44" s="75"/>
      <c r="Q44" s="89" t="s">
        <v>154</v>
      </c>
      <c r="R44" s="88">
        <v>7.7706033252806421E-4</v>
      </c>
      <c r="S44" s="87">
        <v>4.14000004529953E-4</v>
      </c>
      <c r="T44" s="75"/>
      <c r="U44" s="75"/>
      <c r="V44" s="75"/>
      <c r="W44" s="75"/>
      <c r="X44" s="71"/>
      <c r="Y44" s="71"/>
      <c r="Z44" s="71"/>
      <c r="AA44" s="66"/>
      <c r="AB44" s="66"/>
      <c r="AC44" s="66"/>
      <c r="AD44" s="66"/>
      <c r="AE44" s="66"/>
      <c r="AF44" s="66"/>
      <c r="AG44" s="66"/>
      <c r="AH44" s="66"/>
      <c r="AI44" s="66"/>
      <c r="AJ44" s="66"/>
      <c r="AK44" s="66"/>
      <c r="AL44" s="66"/>
      <c r="AM44" s="66"/>
      <c r="AN44" s="66"/>
      <c r="AO44" s="66"/>
      <c r="AP44" s="66"/>
      <c r="AQ44" s="66"/>
      <c r="AR44" s="61"/>
      <c r="AS44" s="61"/>
      <c r="AT44" s="60"/>
    </row>
    <row r="45" spans="1:75">
      <c r="A45" s="1"/>
      <c r="B45" s="86"/>
      <c r="C45" s="81" t="s">
        <v>155</v>
      </c>
      <c r="D45" s="80">
        <v>0.11</v>
      </c>
      <c r="E45" s="80">
        <v>0.09</v>
      </c>
      <c r="F45" s="79">
        <v>0.06</v>
      </c>
      <c r="G45" s="66"/>
      <c r="H45" s="66"/>
      <c r="I45" s="71"/>
      <c r="J45" s="71"/>
      <c r="K45" s="71"/>
      <c r="L45" s="66"/>
      <c r="M45" s="66"/>
      <c r="N45" s="75"/>
      <c r="O45" s="75"/>
      <c r="P45" s="75"/>
      <c r="Q45" s="89" t="s">
        <v>153</v>
      </c>
      <c r="R45" s="88">
        <v>6.5903358116509451E-4</v>
      </c>
      <c r="S45" s="87">
        <v>4.14000004529953E-4</v>
      </c>
      <c r="T45" s="75"/>
      <c r="U45" s="75"/>
      <c r="V45" s="75"/>
      <c r="W45" s="75"/>
      <c r="X45" s="71"/>
      <c r="Y45" s="71"/>
      <c r="Z45" s="71"/>
      <c r="AA45" s="66"/>
      <c r="AB45" s="66"/>
      <c r="AC45" s="66"/>
      <c r="AD45" s="66"/>
      <c r="AE45" s="66"/>
      <c r="AF45" s="66"/>
      <c r="AG45" s="66"/>
      <c r="AH45" s="66"/>
      <c r="AI45" s="66"/>
      <c r="AJ45" s="66"/>
      <c r="AK45" s="66"/>
      <c r="AL45" s="66"/>
      <c r="AM45" s="66"/>
      <c r="AN45" s="66"/>
      <c r="AO45" s="66"/>
      <c r="AP45" s="66"/>
      <c r="AQ45" s="66"/>
      <c r="AR45" s="61"/>
      <c r="AS45" s="61"/>
      <c r="AT45" s="60"/>
    </row>
    <row r="46" spans="1:75">
      <c r="A46" s="1"/>
      <c r="B46" s="86"/>
      <c r="C46" s="81" t="s">
        <v>154</v>
      </c>
      <c r="D46" s="80">
        <v>0.09</v>
      </c>
      <c r="E46" s="80">
        <v>0.08</v>
      </c>
      <c r="F46" s="79">
        <v>7.0000000000000007E-2</v>
      </c>
      <c r="G46" s="66"/>
      <c r="H46" s="66"/>
      <c r="I46" s="71"/>
      <c r="J46" s="71"/>
      <c r="K46" s="71"/>
      <c r="L46" s="66"/>
      <c r="M46" s="66"/>
      <c r="N46" s="75"/>
      <c r="O46" s="75"/>
      <c r="P46" s="75"/>
      <c r="Q46" s="89" t="s">
        <v>152</v>
      </c>
      <c r="R46" s="88">
        <v>1.3708824581532242E-4</v>
      </c>
      <c r="S46" s="87">
        <v>4.14000004529953E-4</v>
      </c>
      <c r="T46" s="75"/>
      <c r="U46" s="75"/>
      <c r="V46" s="75"/>
      <c r="W46" s="75"/>
      <c r="X46" s="71"/>
      <c r="Y46" s="71"/>
      <c r="Z46" s="71"/>
      <c r="AA46" s="66"/>
      <c r="AB46" s="66"/>
      <c r="AC46" s="66"/>
      <c r="AD46" s="66"/>
      <c r="AE46" s="66"/>
      <c r="AF46" s="66"/>
      <c r="AG46" s="66"/>
      <c r="AH46" s="66"/>
      <c r="AI46" s="66"/>
      <c r="AJ46" s="66"/>
      <c r="AK46" s="66"/>
      <c r="AL46" s="66"/>
      <c r="AM46" s="66"/>
      <c r="AN46" s="66"/>
      <c r="AO46" s="66"/>
      <c r="AP46" s="66"/>
      <c r="AQ46" s="66"/>
      <c r="AR46" s="61"/>
      <c r="AS46" s="61"/>
      <c r="AT46" s="60"/>
    </row>
    <row r="47" spans="1:75">
      <c r="A47" s="1"/>
      <c r="B47" s="86"/>
      <c r="C47" s="81" t="s">
        <v>153</v>
      </c>
      <c r="D47" s="80">
        <v>0.1</v>
      </c>
      <c r="E47" s="80">
        <v>0.08</v>
      </c>
      <c r="F47" s="79">
        <v>7.0000000000000007E-2</v>
      </c>
      <c r="G47" s="66"/>
      <c r="H47" s="66"/>
      <c r="I47" s="71"/>
      <c r="J47" s="71"/>
      <c r="K47" s="71"/>
      <c r="L47" s="66"/>
      <c r="M47" s="66"/>
      <c r="N47" s="75"/>
      <c r="O47" s="75"/>
      <c r="P47" s="75"/>
      <c r="Q47" s="89" t="s">
        <v>151</v>
      </c>
      <c r="R47" s="88">
        <v>2.4826092420676649E-4</v>
      </c>
      <c r="S47" s="87">
        <v>4.14000004529953E-4</v>
      </c>
      <c r="T47" s="75"/>
      <c r="U47" s="75"/>
      <c r="V47" s="75"/>
      <c r="W47" s="75"/>
      <c r="X47" s="71"/>
      <c r="Y47" s="71"/>
      <c r="Z47" s="71"/>
      <c r="AA47" s="66"/>
      <c r="AB47" s="66"/>
      <c r="AC47" s="66"/>
      <c r="AD47" s="66"/>
      <c r="AE47" s="66"/>
      <c r="AF47" s="66"/>
      <c r="AG47" s="66"/>
      <c r="AH47" s="66"/>
      <c r="AI47" s="66"/>
      <c r="AJ47" s="66"/>
      <c r="AK47" s="66"/>
      <c r="AL47" s="66"/>
      <c r="AM47" s="66"/>
      <c r="AN47" s="66"/>
      <c r="AO47" s="66"/>
      <c r="AP47" s="66"/>
      <c r="AQ47" s="66"/>
      <c r="AR47" s="61"/>
      <c r="AS47" s="61"/>
      <c r="AT47" s="60"/>
    </row>
    <row r="48" spans="1:75">
      <c r="A48" s="1"/>
      <c r="B48" s="86"/>
      <c r="C48" s="81" t="s">
        <v>152</v>
      </c>
      <c r="D48" s="80">
        <v>0.16</v>
      </c>
      <c r="E48" s="80">
        <v>0.13</v>
      </c>
      <c r="F48" s="79">
        <v>0.12</v>
      </c>
      <c r="G48" s="66"/>
      <c r="H48" s="66"/>
      <c r="I48" s="71"/>
      <c r="J48" s="71"/>
      <c r="K48" s="71"/>
      <c r="L48" s="66"/>
      <c r="M48" s="66"/>
      <c r="N48" s="75"/>
      <c r="O48" s="75"/>
      <c r="P48" s="75"/>
      <c r="Q48" s="89" t="s">
        <v>150</v>
      </c>
      <c r="R48" s="88">
        <v>6.5123632733018436E-4</v>
      </c>
      <c r="S48" s="87">
        <v>4.14000004529953E-4</v>
      </c>
      <c r="T48" s="75"/>
      <c r="U48" s="75"/>
      <c r="V48" s="75"/>
      <c r="W48" s="75"/>
      <c r="X48" s="71"/>
      <c r="Y48" s="71"/>
      <c r="Z48" s="71"/>
      <c r="AA48" s="66"/>
      <c r="AB48" s="66"/>
      <c r="AC48" s="66"/>
      <c r="AD48" s="66"/>
      <c r="AE48" s="66"/>
      <c r="AF48" s="66"/>
      <c r="AG48" s="66"/>
      <c r="AH48" s="66"/>
      <c r="AI48" s="66"/>
      <c r="AJ48" s="66"/>
      <c r="AK48" s="66"/>
      <c r="AL48" s="66"/>
      <c r="AM48" s="66"/>
      <c r="AN48" s="66"/>
      <c r="AO48" s="66"/>
      <c r="AP48" s="66"/>
      <c r="AQ48" s="66"/>
      <c r="AR48" s="61"/>
      <c r="AS48" s="61"/>
      <c r="AT48" s="60"/>
    </row>
    <row r="49" spans="1:81">
      <c r="A49" s="1"/>
      <c r="B49" s="86"/>
      <c r="C49" s="81" t="s">
        <v>151</v>
      </c>
      <c r="D49" s="80">
        <v>0.16</v>
      </c>
      <c r="E49" s="80">
        <v>0.13</v>
      </c>
      <c r="F49" s="79">
        <v>0.11</v>
      </c>
      <c r="G49" s="66"/>
      <c r="H49" s="66"/>
      <c r="I49" s="71"/>
      <c r="J49" s="71"/>
      <c r="K49" s="71"/>
      <c r="L49" s="66"/>
      <c r="M49" s="66"/>
      <c r="N49" s="75"/>
      <c r="O49" s="75"/>
      <c r="P49" s="75"/>
      <c r="Q49" s="89" t="s">
        <v>149</v>
      </c>
      <c r="R49" s="88">
        <v>4.4027318096914698E-4</v>
      </c>
      <c r="S49" s="87">
        <v>4.14000004529953E-4</v>
      </c>
      <c r="T49" s="75"/>
      <c r="U49" s="75"/>
      <c r="V49" s="75"/>
      <c r="W49" s="75"/>
      <c r="X49" s="71"/>
      <c r="Y49" s="71"/>
      <c r="Z49" s="71"/>
      <c r="AA49" s="66"/>
      <c r="AB49" s="66"/>
      <c r="AC49" s="66"/>
      <c r="AD49" s="66"/>
      <c r="AE49" s="66"/>
      <c r="AF49" s="66"/>
      <c r="AG49" s="66"/>
      <c r="AH49" s="66"/>
      <c r="AI49" s="66"/>
      <c r="AJ49" s="66"/>
      <c r="AK49" s="66"/>
      <c r="AL49" s="66"/>
      <c r="AM49" s="66"/>
      <c r="AN49" s="66"/>
      <c r="AO49" s="66"/>
      <c r="AP49" s="66"/>
      <c r="AQ49" s="66"/>
      <c r="AR49" s="61"/>
      <c r="AS49" s="61"/>
      <c r="AT49" s="60"/>
    </row>
    <row r="50" spans="1:81">
      <c r="A50" s="1"/>
      <c r="B50" s="86"/>
      <c r="C50" s="81" t="s">
        <v>150</v>
      </c>
      <c r="D50" s="80">
        <v>0.11</v>
      </c>
      <c r="E50" s="80">
        <v>0.09</v>
      </c>
      <c r="F50" s="79">
        <v>0.06</v>
      </c>
      <c r="G50" s="66"/>
      <c r="H50" s="66"/>
      <c r="I50" s="71"/>
      <c r="J50" s="71"/>
      <c r="K50" s="71"/>
      <c r="L50" s="66"/>
      <c r="M50" s="66"/>
      <c r="N50" s="75"/>
      <c r="O50" s="75"/>
      <c r="P50" s="75"/>
      <c r="Q50" s="89" t="s">
        <v>148</v>
      </c>
      <c r="R50" s="88">
        <v>1.931816909789435E-4</v>
      </c>
      <c r="S50" s="87">
        <v>4.14000004529953E-4</v>
      </c>
      <c r="T50" s="75"/>
      <c r="U50" s="75"/>
      <c r="V50" s="75"/>
      <c r="W50" s="75"/>
      <c r="X50" s="71"/>
      <c r="Y50" s="71"/>
      <c r="Z50" s="71"/>
      <c r="AA50" s="66"/>
      <c r="AB50" s="66"/>
      <c r="AC50" s="66"/>
      <c r="AD50" s="66"/>
      <c r="AE50" s="66"/>
      <c r="AF50" s="66"/>
      <c r="AG50" s="66"/>
      <c r="AH50" s="66"/>
      <c r="AI50" s="66"/>
      <c r="AJ50" s="66"/>
      <c r="AK50" s="66"/>
      <c r="AL50" s="66"/>
      <c r="AM50" s="66"/>
      <c r="AN50" s="66"/>
      <c r="AO50" s="66"/>
      <c r="AP50" s="66"/>
      <c r="AQ50" s="66"/>
      <c r="AR50" s="61"/>
      <c r="AS50" s="61"/>
      <c r="AT50" s="60"/>
    </row>
    <row r="51" spans="1:81">
      <c r="A51" s="1"/>
      <c r="B51" s="86"/>
      <c r="C51" s="81" t="s">
        <v>149</v>
      </c>
      <c r="D51" s="80">
        <v>0.12</v>
      </c>
      <c r="E51" s="80">
        <v>0.09</v>
      </c>
      <c r="F51" s="79">
        <v>0.06</v>
      </c>
      <c r="G51" s="66"/>
      <c r="H51" s="66"/>
      <c r="I51" s="71"/>
      <c r="J51" s="71"/>
      <c r="K51" s="71"/>
      <c r="L51" s="66"/>
      <c r="M51" s="66"/>
      <c r="N51" s="75"/>
      <c r="O51" s="75"/>
      <c r="P51" s="75"/>
      <c r="Q51" s="89" t="s">
        <v>147</v>
      </c>
      <c r="R51" s="88">
        <v>7.0176185178426537E-4</v>
      </c>
      <c r="S51" s="87">
        <v>4.14000004529953E-4</v>
      </c>
      <c r="T51" s="75"/>
      <c r="U51" s="75"/>
      <c r="V51" s="75"/>
      <c r="W51" s="75"/>
      <c r="X51" s="71"/>
      <c r="Y51" s="71"/>
      <c r="Z51" s="71"/>
      <c r="AA51" s="66"/>
      <c r="AB51" s="66"/>
      <c r="AC51" s="66"/>
      <c r="AD51" s="66"/>
      <c r="AE51" s="66"/>
      <c r="AF51" s="66"/>
      <c r="AG51" s="66"/>
      <c r="AH51" s="66"/>
      <c r="AI51" s="66"/>
      <c r="AJ51" s="66"/>
      <c r="AK51" s="66"/>
      <c r="AL51" s="66"/>
      <c r="AM51" s="66"/>
      <c r="AN51" s="66"/>
      <c r="AO51" s="66"/>
      <c r="AP51" s="66"/>
      <c r="AQ51" s="66"/>
      <c r="AR51" s="61"/>
      <c r="AS51" s="61"/>
      <c r="AT51" s="60"/>
    </row>
    <row r="52" spans="1:81" s="6" customFormat="1" ht="17.25" customHeight="1">
      <c r="A52" s="1"/>
      <c r="B52" s="86"/>
      <c r="C52" s="81" t="s">
        <v>148</v>
      </c>
      <c r="D52" s="80">
        <v>0.18</v>
      </c>
      <c r="E52" s="80">
        <v>0.15</v>
      </c>
      <c r="F52" s="79">
        <v>7.0000000000000007E-2</v>
      </c>
      <c r="G52" s="66"/>
      <c r="H52" s="66"/>
      <c r="I52" s="71"/>
      <c r="J52" s="71"/>
      <c r="K52" s="71"/>
      <c r="L52" s="66"/>
      <c r="M52" s="66"/>
      <c r="N52" s="75"/>
      <c r="O52" s="75"/>
      <c r="P52" s="75"/>
      <c r="Q52" s="89" t="s">
        <v>146</v>
      </c>
      <c r="R52" s="88">
        <v>3.7480116346849359E-4</v>
      </c>
      <c r="S52" s="87">
        <v>4.14000004529953E-4</v>
      </c>
      <c r="T52" s="75"/>
      <c r="U52" s="75"/>
      <c r="V52" s="75"/>
      <c r="W52" s="75"/>
      <c r="X52" s="71"/>
      <c r="Y52" s="71"/>
      <c r="Z52" s="71"/>
      <c r="AA52" s="66"/>
      <c r="AB52" s="66"/>
      <c r="AC52" s="66"/>
      <c r="AD52" s="66"/>
      <c r="AE52" s="66"/>
      <c r="AF52" s="66"/>
      <c r="AG52" s="66"/>
      <c r="AH52" s="66"/>
      <c r="AI52" s="66"/>
      <c r="AJ52" s="66"/>
      <c r="AK52" s="66"/>
      <c r="AL52" s="66"/>
      <c r="AM52" s="66"/>
      <c r="AN52" s="66"/>
      <c r="AO52" s="66"/>
      <c r="AP52" s="66"/>
      <c r="AQ52" s="66"/>
      <c r="AR52" s="61"/>
      <c r="AS52" s="61"/>
      <c r="AT52" s="60"/>
      <c r="AU52" s="59"/>
      <c r="AV52" s="59"/>
      <c r="AW52" s="59"/>
      <c r="AX52" s="57"/>
      <c r="AY52" s="57"/>
      <c r="AZ52" s="57"/>
      <c r="BA52" s="57"/>
      <c r="BB52" s="57"/>
      <c r="BC52" s="57"/>
      <c r="BD52" s="57"/>
      <c r="BE52" s="57"/>
      <c r="BF52" s="57"/>
      <c r="BG52" s="57"/>
      <c r="BH52" s="57"/>
      <c r="BI52" s="57"/>
      <c r="BJ52" s="57"/>
      <c r="BK52" s="57"/>
      <c r="BL52" s="57"/>
      <c r="BM52" s="57"/>
      <c r="BN52" s="57"/>
      <c r="BO52" s="57"/>
      <c r="BP52" s="57"/>
      <c r="BQ52" s="57"/>
      <c r="BR52" s="57"/>
      <c r="BS52" s="57"/>
      <c r="BT52" s="57"/>
      <c r="BU52" s="57"/>
      <c r="BV52" s="57"/>
      <c r="BW52" s="57"/>
      <c r="BX52" s="57"/>
      <c r="BY52" s="57"/>
      <c r="BZ52" s="57"/>
      <c r="CA52" s="57"/>
      <c r="CB52" s="57"/>
      <c r="CC52" s="57"/>
    </row>
    <row r="53" spans="1:81" s="6" customFormat="1">
      <c r="A53" s="1"/>
      <c r="B53" s="86"/>
      <c r="C53" s="81" t="s">
        <v>147</v>
      </c>
      <c r="D53" s="80">
        <v>0.12</v>
      </c>
      <c r="E53" s="80">
        <v>0.09</v>
      </c>
      <c r="F53" s="79">
        <v>0.06</v>
      </c>
      <c r="G53" s="66"/>
      <c r="H53" s="66"/>
      <c r="I53" s="71"/>
      <c r="J53" s="71"/>
      <c r="K53" s="71"/>
      <c r="L53" s="66"/>
      <c r="M53" s="66"/>
      <c r="N53" s="75"/>
      <c r="O53" s="75"/>
      <c r="P53" s="75"/>
      <c r="Q53" s="89" t="s">
        <v>145</v>
      </c>
      <c r="R53" s="88">
        <v>1.2706954449993432E-4</v>
      </c>
      <c r="S53" s="87">
        <v>4.14000004529953E-4</v>
      </c>
      <c r="T53" s="75"/>
      <c r="U53" s="75"/>
      <c r="V53" s="75"/>
      <c r="W53" s="75"/>
      <c r="X53" s="71"/>
      <c r="Y53" s="71"/>
      <c r="Z53" s="71"/>
      <c r="AA53" s="66"/>
      <c r="AB53" s="66"/>
      <c r="AC53" s="66"/>
      <c r="AD53" s="66"/>
      <c r="AE53" s="66"/>
      <c r="AF53" s="66"/>
      <c r="AG53" s="66"/>
      <c r="AH53" s="66"/>
      <c r="AI53" s="66"/>
      <c r="AJ53" s="66"/>
      <c r="AK53" s="66"/>
      <c r="AL53" s="66"/>
      <c r="AM53" s="66"/>
      <c r="AN53" s="66"/>
      <c r="AO53" s="66"/>
      <c r="AP53" s="66"/>
      <c r="AQ53" s="66"/>
      <c r="AR53" s="61"/>
      <c r="AS53" s="61"/>
      <c r="AT53" s="60"/>
      <c r="AU53" s="59"/>
      <c r="AV53" s="59"/>
      <c r="AW53" s="59"/>
      <c r="AX53" s="57"/>
      <c r="AY53" s="57"/>
      <c r="AZ53" s="57"/>
      <c r="BA53" s="57"/>
      <c r="BB53" s="57"/>
      <c r="BC53" s="57"/>
      <c r="BD53" s="57"/>
      <c r="BE53" s="57"/>
      <c r="BF53" s="57"/>
      <c r="BG53" s="57"/>
      <c r="BH53" s="57"/>
      <c r="BI53" s="57"/>
      <c r="BJ53" s="57"/>
      <c r="BK53" s="57"/>
      <c r="BL53" s="57"/>
      <c r="BM53" s="57"/>
      <c r="BN53" s="57"/>
      <c r="BO53" s="57"/>
      <c r="BP53" s="57"/>
      <c r="BQ53" s="57"/>
      <c r="BR53" s="57"/>
      <c r="BS53" s="57"/>
      <c r="BT53" s="57"/>
      <c r="BU53" s="57"/>
      <c r="BV53" s="57"/>
      <c r="BW53" s="57"/>
      <c r="BX53" s="57"/>
      <c r="BY53" s="57"/>
      <c r="BZ53" s="57"/>
      <c r="CA53" s="57"/>
      <c r="CB53" s="57"/>
      <c r="CC53" s="57"/>
    </row>
    <row r="54" spans="1:81" s="6" customFormat="1">
      <c r="A54" s="1"/>
      <c r="B54" s="86"/>
      <c r="C54" s="81" t="s">
        <v>146</v>
      </c>
      <c r="D54" s="80">
        <v>0.1</v>
      </c>
      <c r="E54" s="80">
        <v>7.0000000000000007E-2</v>
      </c>
      <c r="F54" s="79">
        <v>0.05</v>
      </c>
      <c r="G54" s="66"/>
      <c r="H54" s="66"/>
      <c r="I54" s="71"/>
      <c r="J54" s="71"/>
      <c r="K54" s="71"/>
      <c r="L54" s="66"/>
      <c r="M54" s="66"/>
      <c r="N54" s="75"/>
      <c r="O54" s="75"/>
      <c r="P54" s="75"/>
      <c r="Q54" s="89" t="s">
        <v>144</v>
      </c>
      <c r="R54" s="88">
        <v>4.3552522745260029E-4</v>
      </c>
      <c r="S54" s="87">
        <v>4.14000004529953E-4</v>
      </c>
      <c r="T54" s="75"/>
      <c r="U54" s="75"/>
      <c r="V54" s="75"/>
      <c r="W54" s="75"/>
      <c r="X54" s="71"/>
      <c r="Y54" s="71"/>
      <c r="Z54" s="71"/>
      <c r="AA54" s="66"/>
      <c r="AB54" s="66"/>
      <c r="AC54" s="66"/>
      <c r="AD54" s="66"/>
      <c r="AE54" s="66"/>
      <c r="AF54" s="66"/>
      <c r="AG54" s="66"/>
      <c r="AH54" s="66"/>
      <c r="AI54" s="66"/>
      <c r="AJ54" s="66"/>
      <c r="AK54" s="66"/>
      <c r="AL54" s="66"/>
      <c r="AM54" s="66"/>
      <c r="AN54" s="66"/>
      <c r="AO54" s="66"/>
      <c r="AP54" s="66"/>
      <c r="AQ54" s="66"/>
      <c r="AR54" s="61"/>
      <c r="AS54" s="68"/>
      <c r="AT54" s="67"/>
      <c r="AU54" s="65"/>
      <c r="AV54" s="65"/>
      <c r="AW54" s="65"/>
      <c r="AX54" s="57"/>
      <c r="AY54" s="57"/>
      <c r="AZ54" s="57"/>
      <c r="BA54" s="57"/>
      <c r="BB54" s="57"/>
      <c r="BC54" s="57"/>
      <c r="BD54" s="57"/>
      <c r="BE54" s="57"/>
      <c r="BF54" s="57"/>
      <c r="BG54" s="57"/>
      <c r="BH54" s="57"/>
      <c r="BI54" s="57"/>
      <c r="BJ54" s="57"/>
      <c r="BK54" s="57"/>
      <c r="BL54" s="57"/>
      <c r="BM54" s="57"/>
      <c r="BN54" s="57"/>
      <c r="BO54" s="57"/>
      <c r="BP54" s="57"/>
      <c r="BQ54" s="57"/>
      <c r="BR54" s="57"/>
      <c r="BS54" s="57"/>
      <c r="BT54" s="57"/>
      <c r="BU54" s="57"/>
      <c r="BV54" s="57"/>
      <c r="BW54" s="57"/>
      <c r="BX54" s="57"/>
      <c r="BY54" s="57"/>
      <c r="BZ54" s="57"/>
      <c r="CA54" s="57"/>
      <c r="CB54" s="57"/>
      <c r="CC54" s="57"/>
    </row>
    <row r="55" spans="1:81" s="6" customFormat="1">
      <c r="A55" s="1"/>
      <c r="B55" s="86"/>
      <c r="C55" s="81" t="s">
        <v>145</v>
      </c>
      <c r="D55" s="80">
        <v>0.1</v>
      </c>
      <c r="E55" s="80">
        <v>0.08</v>
      </c>
      <c r="F55" s="79">
        <v>0.06</v>
      </c>
      <c r="G55" s="66"/>
      <c r="H55" s="66"/>
      <c r="I55" s="71"/>
      <c r="J55" s="71"/>
      <c r="K55" s="71"/>
      <c r="L55" s="66"/>
      <c r="M55" s="66"/>
      <c r="N55" s="75"/>
      <c r="O55" s="75"/>
      <c r="P55" s="75"/>
      <c r="Q55" s="89" t="s">
        <v>143</v>
      </c>
      <c r="R55" s="88">
        <v>3.7217229024403897E-4</v>
      </c>
      <c r="S55" s="87">
        <v>4.14000004529953E-4</v>
      </c>
      <c r="T55" s="75"/>
      <c r="U55" s="75"/>
      <c r="V55" s="75"/>
      <c r="W55" s="75"/>
      <c r="X55" s="71"/>
      <c r="Y55" s="71"/>
      <c r="Z55" s="71"/>
      <c r="AA55" s="66"/>
      <c r="AB55" s="66"/>
      <c r="AC55" s="66"/>
      <c r="AD55" s="66"/>
      <c r="AE55" s="66"/>
      <c r="AF55" s="66"/>
      <c r="AG55" s="66"/>
      <c r="AH55" s="66"/>
      <c r="AI55" s="66"/>
      <c r="AJ55" s="66"/>
      <c r="AK55" s="66"/>
      <c r="AL55" s="66"/>
      <c r="AM55" s="66"/>
      <c r="AN55" s="66"/>
      <c r="AO55" s="66"/>
      <c r="AP55" s="66"/>
      <c r="AQ55" s="66"/>
      <c r="AR55" s="61"/>
      <c r="AS55" s="68"/>
      <c r="AT55" s="67"/>
      <c r="AU55" s="65"/>
      <c r="AV55" s="65"/>
      <c r="AW55" s="65"/>
      <c r="AX55" s="57"/>
      <c r="AY55" s="57"/>
      <c r="AZ55" s="57"/>
      <c r="BA55" s="57"/>
      <c r="BB55" s="57"/>
      <c r="BC55" s="57"/>
      <c r="BD55" s="57"/>
      <c r="BE55" s="57"/>
      <c r="BF55" s="57"/>
      <c r="BG55" s="57"/>
      <c r="BH55" s="57"/>
      <c r="BI55" s="57"/>
      <c r="BJ55" s="57"/>
      <c r="BK55" s="57"/>
      <c r="BL55" s="57"/>
      <c r="BM55" s="57"/>
      <c r="BN55" s="57"/>
      <c r="BO55" s="57"/>
      <c r="BP55" s="57"/>
      <c r="BQ55" s="57"/>
      <c r="BR55" s="57"/>
      <c r="BS55" s="57"/>
      <c r="BT55" s="57"/>
      <c r="BU55" s="57"/>
      <c r="BV55" s="57"/>
      <c r="BW55" s="57"/>
      <c r="BX55" s="57"/>
      <c r="BY55" s="57"/>
      <c r="BZ55" s="57"/>
      <c r="CA55" s="57"/>
      <c r="CB55" s="57"/>
      <c r="CC55" s="57"/>
    </row>
    <row r="56" spans="1:81" s="6" customFormat="1">
      <c r="A56" s="1"/>
      <c r="B56" s="86"/>
      <c r="C56" s="81" t="s">
        <v>144</v>
      </c>
      <c r="D56" s="80">
        <v>0.13</v>
      </c>
      <c r="E56" s="80">
        <v>0.09</v>
      </c>
      <c r="F56" s="79">
        <v>7.0000000000000007E-2</v>
      </c>
      <c r="G56" s="66"/>
      <c r="H56" s="66"/>
      <c r="I56" s="71"/>
      <c r="J56" s="71"/>
      <c r="K56" s="71"/>
      <c r="L56" s="66"/>
      <c r="M56" s="66"/>
      <c r="N56" s="75"/>
      <c r="O56" s="75"/>
      <c r="P56" s="75"/>
      <c r="Q56" s="89" t="s">
        <v>142</v>
      </c>
      <c r="R56" s="88">
        <v>2.3421760822486782E-4</v>
      </c>
      <c r="S56" s="87">
        <v>4.14000004529953E-4</v>
      </c>
      <c r="T56" s="75"/>
      <c r="U56" s="75"/>
      <c r="V56" s="75"/>
      <c r="W56" s="75"/>
      <c r="X56" s="71"/>
      <c r="Y56" s="71"/>
      <c r="Z56" s="71"/>
      <c r="AA56" s="66"/>
      <c r="AB56" s="66"/>
      <c r="AC56" s="66"/>
      <c r="AD56" s="66"/>
      <c r="AE56" s="66"/>
      <c r="AF56" s="66"/>
      <c r="AG56" s="66"/>
      <c r="AH56" s="66"/>
      <c r="AI56" s="66"/>
      <c r="AJ56" s="66"/>
      <c r="AK56" s="66"/>
      <c r="AL56" s="66"/>
      <c r="AM56" s="66"/>
      <c r="AN56" s="66"/>
      <c r="AO56" s="66"/>
      <c r="AP56" s="66"/>
      <c r="AQ56" s="66"/>
      <c r="AR56" s="61"/>
      <c r="AS56" s="91"/>
      <c r="AT56" s="90"/>
      <c r="AU56" s="74"/>
      <c r="AV56" s="74"/>
      <c r="AW56" s="74"/>
      <c r="AX56" s="57"/>
      <c r="AY56" s="57"/>
      <c r="AZ56" s="57"/>
      <c r="BA56" s="57"/>
      <c r="BB56" s="57"/>
      <c r="BC56" s="57"/>
      <c r="BD56" s="57"/>
      <c r="BE56" s="57"/>
      <c r="BF56" s="57"/>
      <c r="BG56" s="57"/>
      <c r="BH56" s="57"/>
      <c r="BI56" s="57"/>
      <c r="BJ56" s="57"/>
      <c r="BK56" s="57"/>
      <c r="BL56" s="57"/>
      <c r="BM56" s="57"/>
      <c r="BN56" s="57"/>
      <c r="BO56" s="57"/>
      <c r="BP56" s="57"/>
      <c r="BQ56" s="57"/>
      <c r="BR56" s="57"/>
      <c r="BS56" s="57"/>
      <c r="BT56" s="57"/>
      <c r="BU56" s="57"/>
      <c r="BV56" s="57"/>
      <c r="BW56" s="57"/>
      <c r="BX56" s="57"/>
      <c r="BY56" s="57"/>
      <c r="BZ56" s="57"/>
      <c r="CA56" s="57"/>
      <c r="CB56" s="57"/>
      <c r="CC56" s="57"/>
    </row>
    <row r="57" spans="1:81" s="6" customFormat="1">
      <c r="A57" s="1"/>
      <c r="B57" s="86"/>
      <c r="C57" s="81" t="s">
        <v>143</v>
      </c>
      <c r="D57" s="80">
        <v>0.14000000000000001</v>
      </c>
      <c r="E57" s="80">
        <v>0.12</v>
      </c>
      <c r="F57" s="79">
        <v>0.11</v>
      </c>
      <c r="G57" s="66"/>
      <c r="H57" s="66"/>
      <c r="I57" s="71"/>
      <c r="J57" s="71"/>
      <c r="K57" s="71"/>
      <c r="L57" s="66"/>
      <c r="M57" s="66"/>
      <c r="N57" s="75"/>
      <c r="O57" s="75"/>
      <c r="P57" s="75"/>
      <c r="Q57" s="89" t="s">
        <v>141</v>
      </c>
      <c r="R57" s="88">
        <v>3.9218138779391148E-4</v>
      </c>
      <c r="S57" s="87">
        <v>4.14000004529953E-4</v>
      </c>
      <c r="T57" s="75"/>
      <c r="U57" s="75"/>
      <c r="V57" s="75"/>
      <c r="W57" s="75"/>
      <c r="X57" s="71"/>
      <c r="Y57" s="71"/>
      <c r="Z57" s="71"/>
      <c r="AA57" s="66"/>
      <c r="AB57" s="66"/>
      <c r="AC57" s="66"/>
      <c r="AD57" s="66"/>
      <c r="AE57" s="66"/>
      <c r="AF57" s="66"/>
      <c r="AG57" s="66"/>
      <c r="AH57" s="66"/>
      <c r="AI57" s="66"/>
      <c r="AJ57" s="66"/>
      <c r="AK57" s="66"/>
      <c r="AL57" s="66"/>
      <c r="AM57" s="66"/>
      <c r="AN57" s="66"/>
      <c r="AO57" s="66"/>
      <c r="AP57" s="66"/>
      <c r="AQ57" s="66"/>
      <c r="AR57" s="61"/>
      <c r="AS57" s="68"/>
      <c r="AT57" s="67"/>
      <c r="AU57" s="64"/>
      <c r="AV57" s="65"/>
      <c r="AW57" s="63"/>
      <c r="AX57" s="57"/>
      <c r="AY57" s="57"/>
      <c r="AZ57" s="57"/>
      <c r="BA57" s="57"/>
      <c r="BB57" s="57"/>
      <c r="BC57" s="57"/>
      <c r="BD57" s="57"/>
      <c r="BE57" s="57"/>
      <c r="BF57" s="57"/>
      <c r="BG57" s="57"/>
      <c r="BH57" s="57"/>
      <c r="BI57" s="57"/>
      <c r="BJ57" s="57"/>
      <c r="BK57" s="57"/>
      <c r="BL57" s="57"/>
      <c r="BM57" s="57"/>
      <c r="BN57" s="57"/>
      <c r="BO57" s="57"/>
      <c r="BP57" s="57"/>
      <c r="BQ57" s="57"/>
      <c r="BR57" s="57"/>
      <c r="BS57" s="57"/>
      <c r="BT57" s="57"/>
      <c r="BU57" s="57"/>
      <c r="BV57" s="57"/>
      <c r="BW57" s="57"/>
      <c r="BX57" s="57"/>
      <c r="BY57" s="57"/>
      <c r="BZ57" s="57"/>
      <c r="CA57" s="57"/>
      <c r="CB57" s="57"/>
      <c r="CC57" s="57"/>
    </row>
    <row r="58" spans="1:81" s="6" customFormat="1">
      <c r="A58" s="1"/>
      <c r="B58" s="86"/>
      <c r="C58" s="81" t="s">
        <v>142</v>
      </c>
      <c r="D58" s="80">
        <v>0.12</v>
      </c>
      <c r="E58" s="80">
        <v>0.1</v>
      </c>
      <c r="F58" s="79">
        <v>0.06</v>
      </c>
      <c r="G58" s="66"/>
      <c r="H58" s="66"/>
      <c r="I58" s="71"/>
      <c r="J58" s="71"/>
      <c r="K58" s="71"/>
      <c r="L58" s="66"/>
      <c r="M58" s="66"/>
      <c r="N58" s="75"/>
      <c r="O58" s="75"/>
      <c r="P58" s="75"/>
      <c r="Q58" s="89" t="s">
        <v>140</v>
      </c>
      <c r="R58" s="88">
        <v>2.51710742463223E-4</v>
      </c>
      <c r="S58" s="87">
        <v>4.14000004529953E-4</v>
      </c>
      <c r="T58" s="75"/>
      <c r="U58" s="75"/>
      <c r="V58" s="75"/>
      <c r="W58" s="75"/>
      <c r="X58" s="71"/>
      <c r="Y58" s="71"/>
      <c r="Z58" s="71"/>
      <c r="AA58" s="66"/>
      <c r="AB58" s="66"/>
      <c r="AC58" s="66"/>
      <c r="AD58" s="66"/>
      <c r="AE58" s="66"/>
      <c r="AF58" s="66"/>
      <c r="AG58" s="66"/>
      <c r="AH58" s="66"/>
      <c r="AI58" s="66"/>
      <c r="AJ58" s="66"/>
      <c r="AK58" s="66"/>
      <c r="AL58" s="66"/>
      <c r="AM58" s="66"/>
      <c r="AN58" s="66"/>
      <c r="AO58" s="66"/>
      <c r="AP58" s="66"/>
      <c r="AQ58" s="66"/>
      <c r="AR58" s="61"/>
      <c r="AS58" s="68"/>
      <c r="AT58" s="67"/>
      <c r="AU58" s="64"/>
      <c r="AV58" s="65"/>
      <c r="AW58" s="63"/>
      <c r="AX58" s="57"/>
      <c r="AY58" s="57"/>
      <c r="AZ58" s="57"/>
      <c r="BA58" s="57"/>
      <c r="BB58" s="57"/>
      <c r="BC58" s="57"/>
      <c r="BD58" s="57"/>
      <c r="BE58" s="57"/>
      <c r="BF58" s="57"/>
      <c r="BG58" s="57"/>
      <c r="BH58" s="57"/>
      <c r="BI58" s="57"/>
      <c r="BJ58" s="57"/>
      <c r="BK58" s="57"/>
      <c r="BL58" s="57"/>
      <c r="BM58" s="57"/>
      <c r="BN58" s="57"/>
      <c r="BO58" s="57"/>
      <c r="BP58" s="57"/>
      <c r="BQ58" s="57"/>
      <c r="BR58" s="57"/>
      <c r="BS58" s="57"/>
      <c r="BT58" s="57"/>
      <c r="BU58" s="57"/>
      <c r="BV58" s="57"/>
      <c r="BW58" s="57"/>
      <c r="BX58" s="57"/>
      <c r="BY58" s="57"/>
      <c r="BZ58" s="57"/>
      <c r="CA58" s="57"/>
      <c r="CB58" s="57"/>
      <c r="CC58" s="57"/>
    </row>
    <row r="59" spans="1:81" s="6" customFormat="1">
      <c r="A59" s="1"/>
      <c r="B59" s="86"/>
      <c r="C59" s="81" t="s">
        <v>141</v>
      </c>
      <c r="D59" s="80">
        <v>0.1</v>
      </c>
      <c r="E59" s="80">
        <v>0.08</v>
      </c>
      <c r="F59" s="79">
        <v>7.0000000000000007E-2</v>
      </c>
      <c r="G59" s="66"/>
      <c r="H59" s="66"/>
      <c r="I59" s="71"/>
      <c r="J59" s="71"/>
      <c r="K59" s="71"/>
      <c r="L59" s="66"/>
      <c r="M59" s="66"/>
      <c r="N59" s="75"/>
      <c r="O59" s="75"/>
      <c r="P59" s="75"/>
      <c r="Q59" s="89" t="s">
        <v>139</v>
      </c>
      <c r="R59" s="88">
        <v>4.9438144200333368E-4</v>
      </c>
      <c r="S59" s="87">
        <v>4.14000004529953E-4</v>
      </c>
      <c r="T59" s="75"/>
      <c r="U59" s="75"/>
      <c r="V59" s="75"/>
      <c r="W59" s="75"/>
      <c r="X59" s="71"/>
      <c r="Y59" s="71"/>
      <c r="Z59" s="71"/>
      <c r="AA59" s="66"/>
      <c r="AB59" s="66"/>
      <c r="AC59" s="66"/>
      <c r="AD59" s="66"/>
      <c r="AE59" s="66"/>
      <c r="AF59" s="66"/>
      <c r="AG59" s="66"/>
      <c r="AH59" s="66"/>
      <c r="AI59" s="66"/>
      <c r="AJ59" s="66"/>
      <c r="AK59" s="66"/>
      <c r="AL59" s="66"/>
      <c r="AM59" s="66"/>
      <c r="AN59" s="66"/>
      <c r="AO59" s="66"/>
      <c r="AP59" s="66"/>
      <c r="AQ59" s="66"/>
      <c r="AR59" s="61"/>
      <c r="AS59" s="68"/>
      <c r="AT59" s="67"/>
      <c r="AU59" s="64"/>
      <c r="AV59" s="65"/>
      <c r="AW59" s="63"/>
      <c r="AX59" s="57"/>
      <c r="AY59" s="57"/>
      <c r="AZ59" s="57"/>
      <c r="BA59" s="57"/>
      <c r="BB59" s="57"/>
      <c r="BC59" s="57"/>
      <c r="BD59" s="57"/>
      <c r="BE59" s="57"/>
      <c r="BF59" s="57"/>
      <c r="BG59" s="57"/>
      <c r="BH59" s="57"/>
      <c r="BI59" s="57"/>
      <c r="BJ59" s="57"/>
      <c r="BK59" s="57"/>
      <c r="BL59" s="57"/>
      <c r="BM59" s="57"/>
      <c r="BN59" s="57"/>
      <c r="BO59" s="57"/>
      <c r="BP59" s="57"/>
      <c r="BQ59" s="57"/>
      <c r="BR59" s="57"/>
      <c r="BS59" s="57"/>
      <c r="BT59" s="57"/>
      <c r="BU59" s="57"/>
      <c r="BV59" s="57"/>
      <c r="BW59" s="57"/>
      <c r="BX59" s="57"/>
      <c r="BY59" s="57"/>
      <c r="BZ59" s="57"/>
      <c r="CA59" s="57"/>
      <c r="CB59" s="57"/>
      <c r="CC59" s="57"/>
    </row>
    <row r="60" spans="1:81" s="6" customFormat="1">
      <c r="A60" s="1"/>
      <c r="B60" s="86"/>
      <c r="C60" s="81" t="s">
        <v>140</v>
      </c>
      <c r="D60" s="80">
        <v>0.1</v>
      </c>
      <c r="E60" s="80">
        <v>0.1</v>
      </c>
      <c r="F60" s="79">
        <v>7.0000000000000007E-2</v>
      </c>
      <c r="G60" s="66"/>
      <c r="H60" s="66"/>
      <c r="I60" s="71"/>
      <c r="J60" s="71"/>
      <c r="K60" s="71"/>
      <c r="L60" s="66"/>
      <c r="M60" s="66"/>
      <c r="N60" s="75"/>
      <c r="O60" s="75"/>
      <c r="P60" s="75"/>
      <c r="Q60" s="89" t="s">
        <v>138</v>
      </c>
      <c r="R60" s="88">
        <v>7.6676322767228755E-4</v>
      </c>
      <c r="S60" s="87">
        <v>4.14000004529953E-4</v>
      </c>
      <c r="T60" s="75"/>
      <c r="U60" s="75"/>
      <c r="V60" s="75"/>
      <c r="W60" s="75"/>
      <c r="X60" s="71"/>
      <c r="Y60" s="71"/>
      <c r="Z60" s="71"/>
      <c r="AA60" s="66"/>
      <c r="AB60" s="66"/>
      <c r="AC60" s="66"/>
      <c r="AD60" s="66"/>
      <c r="AE60" s="66"/>
      <c r="AF60" s="66"/>
      <c r="AG60" s="66"/>
      <c r="AH60" s="66"/>
      <c r="AI60" s="66"/>
      <c r="AJ60" s="66"/>
      <c r="AK60" s="66"/>
      <c r="AL60" s="66"/>
      <c r="AM60" s="66"/>
      <c r="AN60" s="66"/>
      <c r="AO60" s="66"/>
      <c r="AP60" s="66"/>
      <c r="AQ60" s="66"/>
      <c r="AR60" s="61"/>
      <c r="AS60" s="68"/>
      <c r="AT60" s="67"/>
      <c r="AU60" s="64"/>
      <c r="AV60" s="65"/>
      <c r="AW60" s="63"/>
      <c r="AX60" s="57"/>
      <c r="AY60" s="57"/>
      <c r="AZ60" s="57"/>
      <c r="BA60" s="57"/>
      <c r="BB60" s="57"/>
      <c r="BC60" s="57"/>
      <c r="BD60" s="57"/>
      <c r="BE60" s="57"/>
      <c r="BF60" s="57"/>
      <c r="BG60" s="57"/>
      <c r="BH60" s="57"/>
      <c r="BI60" s="57"/>
      <c r="BJ60" s="57"/>
      <c r="BK60" s="57"/>
      <c r="BL60" s="57"/>
      <c r="BM60" s="57"/>
      <c r="BN60" s="57"/>
      <c r="BO60" s="57"/>
      <c r="BP60" s="57"/>
      <c r="BQ60" s="57"/>
      <c r="BR60" s="57"/>
      <c r="BS60" s="57"/>
      <c r="BT60" s="57"/>
      <c r="BU60" s="57"/>
      <c r="BV60" s="57"/>
      <c r="BW60" s="57"/>
      <c r="BX60" s="57"/>
      <c r="BY60" s="57"/>
      <c r="BZ60" s="57"/>
      <c r="CA60" s="57"/>
      <c r="CB60" s="57"/>
      <c r="CC60" s="57"/>
    </row>
    <row r="61" spans="1:81" s="6" customFormat="1">
      <c r="A61" s="1"/>
      <c r="B61" s="86"/>
      <c r="C61" s="81" t="s">
        <v>139</v>
      </c>
      <c r="D61" s="80">
        <v>0.11</v>
      </c>
      <c r="E61" s="80">
        <v>0.08</v>
      </c>
      <c r="F61" s="79">
        <v>0.06</v>
      </c>
      <c r="G61" s="66"/>
      <c r="H61" s="66"/>
      <c r="I61" s="71"/>
      <c r="J61" s="71"/>
      <c r="K61" s="71"/>
      <c r="L61" s="66"/>
      <c r="M61" s="66"/>
      <c r="N61" s="75"/>
      <c r="O61" s="75"/>
      <c r="P61" s="75"/>
      <c r="Q61" s="89" t="s">
        <v>137</v>
      </c>
      <c r="R61" s="88">
        <v>3.3864707385370345E-4</v>
      </c>
      <c r="S61" s="87">
        <v>4.14000004529953E-4</v>
      </c>
      <c r="T61" s="75"/>
      <c r="U61" s="75"/>
      <c r="V61" s="75"/>
      <c r="W61" s="75"/>
      <c r="X61" s="71"/>
      <c r="Y61" s="71"/>
      <c r="Z61" s="71"/>
      <c r="AA61" s="66"/>
      <c r="AB61" s="66"/>
      <c r="AC61" s="66"/>
      <c r="AD61" s="66"/>
      <c r="AE61" s="66"/>
      <c r="AF61" s="66"/>
      <c r="AG61" s="66"/>
      <c r="AH61" s="66"/>
      <c r="AI61" s="66"/>
      <c r="AJ61" s="66"/>
      <c r="AK61" s="66"/>
      <c r="AL61" s="66"/>
      <c r="AM61" s="66"/>
      <c r="AN61" s="66"/>
      <c r="AO61" s="66"/>
      <c r="AP61" s="66"/>
      <c r="AQ61" s="66"/>
      <c r="AR61" s="61"/>
      <c r="AS61" s="68"/>
      <c r="AT61" s="67"/>
      <c r="AU61" s="64"/>
      <c r="AV61" s="65"/>
      <c r="AW61" s="63"/>
      <c r="AX61" s="57"/>
      <c r="AY61" s="57"/>
      <c r="AZ61" s="57"/>
      <c r="BA61" s="57"/>
      <c r="BB61" s="57"/>
      <c r="BC61" s="57"/>
      <c r="BD61" s="57"/>
      <c r="BE61" s="57"/>
      <c r="BF61" s="57"/>
      <c r="BG61" s="57"/>
      <c r="BH61" s="57"/>
      <c r="BI61" s="57"/>
      <c r="BJ61" s="57"/>
      <c r="BK61" s="57"/>
      <c r="BL61" s="57"/>
      <c r="BM61" s="57"/>
      <c r="BN61" s="57"/>
      <c r="BO61" s="57"/>
      <c r="BP61" s="57"/>
      <c r="BQ61" s="57"/>
      <c r="BR61" s="57"/>
      <c r="BS61" s="57"/>
      <c r="BT61" s="57"/>
      <c r="BU61" s="57"/>
      <c r="BV61" s="57"/>
      <c r="BW61" s="57"/>
      <c r="BX61" s="57"/>
      <c r="BY61" s="57"/>
      <c r="BZ61" s="57"/>
      <c r="CA61" s="57"/>
      <c r="CB61" s="57"/>
      <c r="CC61" s="57"/>
    </row>
    <row r="62" spans="1:81">
      <c r="A62" s="1"/>
      <c r="B62" s="86"/>
      <c r="C62" s="81" t="s">
        <v>138</v>
      </c>
      <c r="D62" s="80">
        <v>0.1</v>
      </c>
      <c r="E62" s="80">
        <v>0.08</v>
      </c>
      <c r="F62" s="79">
        <v>0.06</v>
      </c>
      <c r="G62" s="66"/>
      <c r="H62" s="66"/>
      <c r="I62" s="71"/>
      <c r="J62" s="71"/>
      <c r="K62" s="71"/>
      <c r="L62" s="66"/>
      <c r="M62" s="66"/>
      <c r="N62" s="75"/>
      <c r="O62" s="75"/>
      <c r="P62" s="75"/>
      <c r="Q62" s="89" t="s">
        <v>136</v>
      </c>
      <c r="R62" s="88">
        <v>0</v>
      </c>
      <c r="S62" s="87">
        <v>4.14000004529953E-4</v>
      </c>
      <c r="T62" s="75"/>
      <c r="U62" s="75"/>
      <c r="V62" s="75"/>
      <c r="W62" s="75"/>
      <c r="X62" s="71"/>
      <c r="Y62" s="71"/>
      <c r="Z62" s="71"/>
      <c r="AA62" s="66"/>
      <c r="AB62" s="66"/>
      <c r="AC62" s="66"/>
      <c r="AD62" s="66"/>
      <c r="AE62" s="66"/>
      <c r="AF62" s="66"/>
      <c r="AG62" s="66"/>
      <c r="AH62" s="66"/>
      <c r="AI62" s="66"/>
      <c r="AJ62" s="66"/>
      <c r="AK62" s="66"/>
      <c r="AL62" s="66"/>
      <c r="AM62" s="66"/>
      <c r="AN62" s="66"/>
      <c r="AO62" s="66"/>
      <c r="AP62" s="66"/>
      <c r="AQ62" s="66"/>
      <c r="AR62" s="61"/>
      <c r="AS62" s="68"/>
      <c r="AT62" s="67"/>
      <c r="AU62" s="64"/>
      <c r="AV62" s="65"/>
      <c r="AW62" s="63"/>
    </row>
    <row r="63" spans="1:81">
      <c r="A63" s="1"/>
      <c r="B63" s="86"/>
      <c r="C63" s="81" t="s">
        <v>137</v>
      </c>
      <c r="D63" s="80">
        <v>0.11</v>
      </c>
      <c r="E63" s="80">
        <v>0.08</v>
      </c>
      <c r="F63" s="79">
        <v>7.0000000000000007E-2</v>
      </c>
      <c r="G63" s="66"/>
      <c r="H63" s="66"/>
      <c r="I63" s="71"/>
      <c r="J63" s="71"/>
      <c r="K63" s="71"/>
      <c r="L63" s="66"/>
      <c r="M63" s="66"/>
      <c r="N63" s="75"/>
      <c r="O63" s="75"/>
      <c r="P63" s="75"/>
      <c r="Q63" s="89" t="s">
        <v>135</v>
      </c>
      <c r="R63" s="88">
        <v>2.2923348213669437E-5</v>
      </c>
      <c r="S63" s="87">
        <v>4.14000004529953E-4</v>
      </c>
      <c r="T63" s="75"/>
      <c r="U63" s="75"/>
      <c r="V63" s="75"/>
      <c r="W63" s="75"/>
      <c r="X63" s="71"/>
      <c r="Y63" s="71"/>
      <c r="Z63" s="71"/>
      <c r="AA63" s="66"/>
      <c r="AB63" s="66"/>
      <c r="AC63" s="66"/>
      <c r="AD63" s="66"/>
      <c r="AE63" s="66"/>
      <c r="AF63" s="66"/>
      <c r="AG63" s="66"/>
      <c r="AH63" s="66"/>
      <c r="AI63" s="66"/>
      <c r="AJ63" s="66"/>
      <c r="AK63" s="66"/>
      <c r="AL63" s="66"/>
      <c r="AM63" s="66"/>
      <c r="AN63" s="66"/>
      <c r="AO63" s="66"/>
      <c r="AP63" s="66"/>
      <c r="AQ63" s="66"/>
      <c r="AR63" s="61"/>
      <c r="AS63" s="68"/>
      <c r="AT63" s="67"/>
      <c r="AU63" s="64"/>
      <c r="AV63" s="65"/>
      <c r="AW63" s="63"/>
    </row>
    <row r="64" spans="1:81">
      <c r="A64" s="1"/>
      <c r="B64" s="86"/>
      <c r="C64" s="81" t="s">
        <v>136</v>
      </c>
      <c r="D64" s="80">
        <v>0.17</v>
      </c>
      <c r="E64" s="80">
        <v>0.14000000000000001</v>
      </c>
      <c r="F64" s="79">
        <v>0.1</v>
      </c>
      <c r="G64" s="66"/>
      <c r="H64" s="66"/>
      <c r="I64" s="71"/>
      <c r="J64" s="71"/>
      <c r="K64" s="71"/>
      <c r="L64" s="66"/>
      <c r="M64" s="66"/>
      <c r="N64" s="75"/>
      <c r="O64" s="75"/>
      <c r="P64" s="75"/>
      <c r="Q64" s="89" t="s">
        <v>134</v>
      </c>
      <c r="R64" s="88">
        <v>5.8465338475716154E-4</v>
      </c>
      <c r="S64" s="87">
        <v>4.14000004529953E-4</v>
      </c>
      <c r="T64" s="75"/>
      <c r="U64" s="75"/>
      <c r="V64" s="75"/>
      <c r="W64" s="75"/>
      <c r="X64" s="71"/>
      <c r="Y64" s="71"/>
      <c r="Z64" s="71"/>
      <c r="AA64" s="66"/>
      <c r="AB64" s="66"/>
      <c r="AC64" s="66"/>
      <c r="AD64" s="66"/>
      <c r="AE64" s="66"/>
      <c r="AF64" s="66"/>
      <c r="AG64" s="66"/>
      <c r="AH64" s="66"/>
      <c r="AI64" s="66"/>
      <c r="AJ64" s="66"/>
      <c r="AK64" s="66"/>
      <c r="AL64" s="66"/>
      <c r="AM64" s="66"/>
      <c r="AN64" s="66"/>
      <c r="AO64" s="66"/>
      <c r="AP64" s="66"/>
      <c r="AQ64" s="66"/>
      <c r="AR64" s="61"/>
      <c r="AS64" s="68"/>
      <c r="AT64" s="67"/>
      <c r="AU64" s="70"/>
      <c r="AV64" s="65"/>
      <c r="AW64" s="63"/>
    </row>
    <row r="65" spans="1:81">
      <c r="A65" s="1"/>
      <c r="B65" s="86"/>
      <c r="C65" s="81" t="s">
        <v>135</v>
      </c>
      <c r="D65" s="80">
        <v>0.09</v>
      </c>
      <c r="E65" s="80">
        <v>0.08</v>
      </c>
      <c r="F65" s="79">
        <v>0.04</v>
      </c>
      <c r="G65" s="66"/>
      <c r="H65" s="66"/>
      <c r="I65" s="71"/>
      <c r="J65" s="71"/>
      <c r="K65" s="71"/>
      <c r="L65" s="66"/>
      <c r="M65" s="66"/>
      <c r="N65" s="75"/>
      <c r="O65" s="75"/>
      <c r="P65" s="75"/>
      <c r="Q65" s="89" t="s">
        <v>133</v>
      </c>
      <c r="R65" s="88">
        <v>8.3039048317398809E-4</v>
      </c>
      <c r="S65" s="87">
        <v>4.14000004529953E-4</v>
      </c>
      <c r="T65" s="75"/>
      <c r="U65" s="75"/>
      <c r="V65" s="75"/>
      <c r="W65" s="75"/>
      <c r="X65" s="66"/>
      <c r="Y65" s="66"/>
      <c r="Z65" s="66"/>
      <c r="AA65" s="66"/>
      <c r="AB65" s="66"/>
      <c r="AC65" s="66"/>
      <c r="AD65" s="66"/>
      <c r="AE65" s="66"/>
      <c r="AF65" s="66"/>
      <c r="AG65" s="66"/>
      <c r="AH65" s="66"/>
      <c r="AI65" s="66"/>
      <c r="AJ65" s="66"/>
      <c r="AK65" s="66"/>
      <c r="AL65" s="66"/>
      <c r="AM65" s="66"/>
      <c r="AN65" s="66"/>
      <c r="AO65" s="66"/>
      <c r="AP65" s="66"/>
      <c r="AQ65" s="66"/>
      <c r="AR65" s="61"/>
      <c r="AS65" s="68"/>
      <c r="AT65" s="67"/>
      <c r="AU65" s="64"/>
      <c r="AV65" s="65"/>
      <c r="AW65" s="63"/>
    </row>
    <row r="66" spans="1:81" ht="15" thickBot="1">
      <c r="A66" s="1"/>
      <c r="B66" s="86"/>
      <c r="C66" s="81" t="s">
        <v>134</v>
      </c>
      <c r="D66" s="80">
        <v>0.13</v>
      </c>
      <c r="E66" s="80">
        <v>0.11</v>
      </c>
      <c r="F66" s="79">
        <v>7.0000000000000007E-2</v>
      </c>
      <c r="G66" s="66"/>
      <c r="H66" s="66"/>
      <c r="I66" s="71"/>
      <c r="J66" s="71"/>
      <c r="K66" s="71"/>
      <c r="L66" s="66"/>
      <c r="M66" s="66"/>
      <c r="N66" s="75"/>
      <c r="O66" s="75"/>
      <c r="P66" s="75"/>
      <c r="Q66" s="85" t="s">
        <v>132</v>
      </c>
      <c r="R66" s="84">
        <v>7.5840059121394163E-4</v>
      </c>
      <c r="S66" s="83">
        <v>4.14000004529953E-4</v>
      </c>
      <c r="T66" s="75"/>
      <c r="U66" s="75"/>
      <c r="V66" s="75"/>
      <c r="W66" s="75"/>
      <c r="X66" s="66"/>
      <c r="Y66" s="66"/>
      <c r="Z66" s="66"/>
      <c r="AA66" s="66"/>
      <c r="AB66" s="66"/>
      <c r="AC66" s="66"/>
      <c r="AD66" s="66"/>
      <c r="AE66" s="66"/>
      <c r="AF66" s="66"/>
      <c r="AG66" s="66"/>
      <c r="AH66" s="66"/>
      <c r="AI66" s="66"/>
      <c r="AJ66" s="66"/>
      <c r="AK66" s="66"/>
      <c r="AL66" s="66"/>
      <c r="AM66" s="66"/>
      <c r="AN66" s="66"/>
      <c r="AO66" s="66"/>
      <c r="AP66" s="66"/>
      <c r="AQ66" s="66"/>
      <c r="AR66" s="61"/>
      <c r="AS66" s="68"/>
      <c r="AT66" s="67"/>
      <c r="AU66" s="64"/>
      <c r="AV66" s="65"/>
      <c r="AW66" s="63"/>
    </row>
    <row r="67" spans="1:81">
      <c r="A67" s="1"/>
      <c r="B67" s="82"/>
      <c r="C67" s="81" t="s">
        <v>133</v>
      </c>
      <c r="D67" s="80">
        <v>0.1</v>
      </c>
      <c r="E67" s="80">
        <v>0.08</v>
      </c>
      <c r="F67" s="79">
        <v>0.06</v>
      </c>
      <c r="G67" s="66"/>
      <c r="H67" s="66"/>
      <c r="I67" s="71"/>
      <c r="J67" s="71"/>
      <c r="K67" s="71"/>
      <c r="L67" s="66"/>
      <c r="M67" s="66"/>
      <c r="N67" s="75"/>
      <c r="O67" s="75"/>
      <c r="P67" s="75"/>
      <c r="Q67" s="75"/>
      <c r="R67" s="75"/>
      <c r="S67" s="75"/>
      <c r="T67" s="75"/>
      <c r="U67" s="75"/>
      <c r="V67" s="75"/>
      <c r="W67" s="75"/>
      <c r="X67" s="66"/>
      <c r="Y67" s="66"/>
      <c r="Z67" s="66"/>
      <c r="AA67" s="66"/>
      <c r="AB67" s="66"/>
      <c r="AC67" s="66"/>
      <c r="AD67" s="66"/>
      <c r="AE67" s="66"/>
      <c r="AF67" s="66"/>
      <c r="AG67" s="66"/>
      <c r="AH67" s="66"/>
      <c r="AI67" s="66"/>
      <c r="AJ67" s="66"/>
      <c r="AK67" s="66"/>
      <c r="AL67" s="66"/>
      <c r="AM67" s="66"/>
      <c r="AN67" s="66"/>
      <c r="AO67" s="66"/>
      <c r="AP67" s="66"/>
      <c r="AQ67" s="66"/>
      <c r="AR67" s="61"/>
      <c r="AS67" s="68"/>
      <c r="AT67" s="67"/>
      <c r="AU67" s="64"/>
      <c r="AV67" s="65"/>
      <c r="AW67" s="63"/>
    </row>
    <row r="68" spans="1:81" ht="15" thickBot="1">
      <c r="A68" s="1"/>
      <c r="B68" s="73"/>
      <c r="C68" s="78" t="s">
        <v>132</v>
      </c>
      <c r="D68" s="77">
        <v>0.1</v>
      </c>
      <c r="E68" s="77">
        <v>0.08</v>
      </c>
      <c r="F68" s="76">
        <v>0.06</v>
      </c>
      <c r="G68" s="66"/>
      <c r="H68" s="66"/>
      <c r="I68" s="71"/>
      <c r="J68" s="71"/>
      <c r="K68" s="71"/>
      <c r="L68" s="66"/>
      <c r="M68" s="66"/>
      <c r="N68" s="75"/>
      <c r="O68" s="75"/>
      <c r="P68" s="75"/>
      <c r="Q68" s="75"/>
      <c r="R68" s="75"/>
      <c r="S68" s="75"/>
      <c r="T68" s="75"/>
      <c r="U68" s="75"/>
      <c r="V68" s="75"/>
      <c r="W68" s="75"/>
      <c r="X68" s="66"/>
      <c r="Y68" s="66"/>
      <c r="Z68" s="66"/>
      <c r="AA68" s="66"/>
      <c r="AB68" s="66"/>
      <c r="AC68" s="66"/>
      <c r="AD68" s="66"/>
      <c r="AE68" s="66"/>
      <c r="AF68" s="66"/>
      <c r="AG68" s="66"/>
      <c r="AH68" s="66"/>
      <c r="AI68" s="66"/>
      <c r="AJ68" s="66"/>
      <c r="AK68" s="66"/>
      <c r="AL68" s="66"/>
      <c r="AM68" s="66"/>
      <c r="AN68" s="66"/>
      <c r="AO68" s="66"/>
      <c r="AP68" s="66"/>
      <c r="AQ68" s="66"/>
      <c r="AR68" s="61"/>
      <c r="AS68" s="68"/>
      <c r="AT68" s="67"/>
      <c r="AU68" s="64"/>
      <c r="AV68" s="65"/>
      <c r="AW68" s="63"/>
    </row>
    <row r="69" spans="1:81">
      <c r="A69" s="1"/>
      <c r="B69" s="73"/>
      <c r="C69" s="71"/>
      <c r="D69" s="71"/>
      <c r="E69" s="71"/>
      <c r="F69" s="71"/>
      <c r="G69" s="69"/>
      <c r="H69" s="66"/>
      <c r="I69" s="71"/>
      <c r="J69" s="71"/>
      <c r="K69" s="71"/>
      <c r="L69" s="66"/>
      <c r="M69" s="66"/>
      <c r="N69" s="71"/>
      <c r="O69" s="71"/>
      <c r="P69" s="71"/>
      <c r="Q69" s="71"/>
      <c r="R69" s="71"/>
      <c r="S69" s="71"/>
      <c r="T69" s="71"/>
      <c r="U69" s="71"/>
      <c r="V69" s="71"/>
      <c r="W69" s="66"/>
      <c r="X69" s="66"/>
      <c r="Y69" s="66"/>
      <c r="Z69" s="66"/>
      <c r="AA69" s="66"/>
      <c r="AB69" s="66"/>
      <c r="AC69" s="66"/>
      <c r="AD69" s="66"/>
      <c r="AE69" s="66"/>
      <c r="AF69" s="66"/>
      <c r="AG69" s="66"/>
      <c r="AH69" s="66"/>
      <c r="AI69" s="66"/>
      <c r="AJ69" s="66"/>
      <c r="AK69" s="66"/>
      <c r="AL69" s="66"/>
      <c r="AM69" s="66"/>
      <c r="AN69" s="66"/>
      <c r="AO69" s="66"/>
      <c r="AP69" s="66"/>
      <c r="AQ69" s="66"/>
      <c r="AR69" s="61"/>
      <c r="AS69" s="68"/>
      <c r="AT69" s="67"/>
      <c r="AU69" s="64"/>
      <c r="AV69" s="65"/>
      <c r="AW69" s="63"/>
      <c r="AX69" s="62"/>
      <c r="AY69" s="62"/>
      <c r="AZ69" s="62"/>
      <c r="BA69" s="62"/>
    </row>
    <row r="70" spans="1:81">
      <c r="A70" s="1"/>
      <c r="B70" s="73"/>
      <c r="C70" s="71"/>
      <c r="D70" s="71"/>
      <c r="E70" s="71"/>
      <c r="F70" s="71"/>
      <c r="G70" s="71"/>
      <c r="H70" s="71"/>
      <c r="I70" s="71"/>
      <c r="J70" s="71"/>
      <c r="K70" s="71"/>
      <c r="L70" s="71"/>
      <c r="M70" s="71"/>
      <c r="N70" s="71"/>
      <c r="O70" s="71"/>
      <c r="P70" s="71"/>
      <c r="Q70" s="71"/>
      <c r="R70" s="71"/>
      <c r="S70" s="71"/>
      <c r="T70" s="71"/>
      <c r="U70" s="71"/>
      <c r="V70" s="71"/>
      <c r="W70" s="66"/>
      <c r="X70" s="66"/>
      <c r="Y70" s="66"/>
      <c r="Z70" s="66"/>
      <c r="AA70" s="66"/>
      <c r="AB70" s="66"/>
      <c r="AC70" s="66"/>
      <c r="AD70" s="66"/>
      <c r="AE70" s="66"/>
      <c r="AF70" s="66"/>
      <c r="AG70" s="66"/>
      <c r="AH70" s="66"/>
      <c r="AI70" s="66"/>
      <c r="AJ70" s="66"/>
      <c r="AK70" s="66"/>
      <c r="AL70" s="66"/>
      <c r="AM70" s="66"/>
      <c r="AN70" s="66"/>
      <c r="AO70" s="66"/>
      <c r="AP70" s="66"/>
      <c r="AQ70" s="66"/>
      <c r="AR70" s="61"/>
      <c r="AS70" s="68"/>
      <c r="AT70" s="67"/>
      <c r="AU70" s="64"/>
      <c r="AV70" s="65"/>
      <c r="AW70" s="63"/>
      <c r="AX70" s="65"/>
      <c r="AY70" s="65"/>
      <c r="AZ70" s="65"/>
      <c r="BA70" s="62"/>
    </row>
    <row r="71" spans="1:81">
      <c r="A71" s="1"/>
      <c r="B71" s="73"/>
      <c r="C71" s="71"/>
      <c r="D71" s="71"/>
      <c r="E71" s="71"/>
      <c r="F71" s="71"/>
      <c r="G71" s="71"/>
      <c r="H71" s="71"/>
      <c r="I71" s="71"/>
      <c r="J71" s="71"/>
      <c r="K71" s="71"/>
      <c r="L71" s="71"/>
      <c r="M71" s="71"/>
      <c r="N71" s="71"/>
      <c r="O71" s="71"/>
      <c r="P71" s="71"/>
      <c r="Q71" s="71"/>
      <c r="R71" s="71"/>
      <c r="S71" s="71"/>
      <c r="T71" s="71"/>
      <c r="U71" s="71"/>
      <c r="V71" s="71"/>
      <c r="W71" s="66"/>
      <c r="X71" s="66"/>
      <c r="Y71" s="66"/>
      <c r="Z71" s="66"/>
      <c r="AA71" s="66"/>
      <c r="AB71" s="66"/>
      <c r="AC71" s="66"/>
      <c r="AD71" s="66"/>
      <c r="AE71" s="66"/>
      <c r="AF71" s="66"/>
      <c r="AG71" s="66"/>
      <c r="AH71" s="66"/>
      <c r="AI71" s="66"/>
      <c r="AJ71" s="66"/>
      <c r="AK71" s="66"/>
      <c r="AL71" s="66"/>
      <c r="AM71" s="66"/>
      <c r="AN71" s="66"/>
      <c r="AO71" s="66"/>
      <c r="AP71" s="66"/>
      <c r="AQ71" s="66"/>
      <c r="AR71" s="61"/>
      <c r="AS71" s="68"/>
      <c r="AT71" s="67"/>
      <c r="AU71" s="64"/>
      <c r="AV71" s="65"/>
      <c r="AW71" s="63"/>
      <c r="AX71" s="74"/>
      <c r="AY71" s="74"/>
      <c r="AZ71" s="74"/>
      <c r="BA71" s="62"/>
    </row>
    <row r="72" spans="1:81" s="6" customFormat="1" ht="34" customHeight="1">
      <c r="A72" s="1"/>
      <c r="B72" s="73"/>
      <c r="C72" s="71"/>
      <c r="D72" s="71"/>
      <c r="E72" s="71"/>
      <c r="F72" s="71"/>
      <c r="G72" s="71"/>
      <c r="H72" s="71"/>
      <c r="I72" s="71"/>
      <c r="J72" s="71"/>
      <c r="K72" s="71"/>
      <c r="L72" s="71"/>
      <c r="M72" s="71"/>
      <c r="N72" s="71"/>
      <c r="O72" s="71"/>
      <c r="P72" s="71"/>
      <c r="Q72" s="71"/>
      <c r="R72" s="71"/>
      <c r="S72" s="71"/>
      <c r="T72" s="71"/>
      <c r="U72" s="71"/>
      <c r="V72" s="71"/>
      <c r="W72" s="66"/>
      <c r="X72" s="66"/>
      <c r="Y72" s="66"/>
      <c r="Z72" s="66"/>
      <c r="AA72" s="66"/>
      <c r="AB72" s="66"/>
      <c r="AC72" s="66"/>
      <c r="AD72" s="66"/>
      <c r="AE72" s="66"/>
      <c r="AF72" s="66"/>
      <c r="AG72" s="66"/>
      <c r="AH72" s="66"/>
      <c r="AI72" s="66"/>
      <c r="AJ72" s="66"/>
      <c r="AK72" s="66"/>
      <c r="AL72" s="66"/>
      <c r="AM72" s="66"/>
      <c r="AN72" s="66"/>
      <c r="AO72" s="66"/>
      <c r="AP72" s="66"/>
      <c r="AQ72" s="66"/>
      <c r="AR72" s="61"/>
      <c r="AS72" s="68"/>
      <c r="AT72" s="67"/>
      <c r="AU72" s="64"/>
      <c r="AV72" s="65"/>
      <c r="AW72" s="63"/>
      <c r="AX72" s="65"/>
      <c r="AY72" s="64"/>
      <c r="AZ72" s="63"/>
      <c r="BA72" s="62"/>
      <c r="BB72" s="57"/>
      <c r="BC72" s="57"/>
      <c r="BD72" s="57"/>
      <c r="BE72" s="57"/>
      <c r="BF72" s="57"/>
      <c r="BG72" s="57"/>
      <c r="BH72" s="57"/>
      <c r="BI72" s="57"/>
      <c r="BJ72" s="57"/>
      <c r="BK72" s="57"/>
      <c r="BL72" s="57"/>
      <c r="BM72" s="57"/>
      <c r="BN72" s="57"/>
      <c r="BO72" s="57"/>
      <c r="BP72" s="57"/>
      <c r="BQ72" s="57"/>
      <c r="BR72" s="57"/>
      <c r="BS72" s="57"/>
      <c r="BT72" s="57"/>
      <c r="BU72" s="57"/>
      <c r="BV72" s="57"/>
      <c r="BW72" s="57"/>
      <c r="BX72" s="57"/>
      <c r="BY72" s="57"/>
      <c r="BZ72" s="57"/>
      <c r="CA72" s="57"/>
      <c r="CB72" s="57"/>
      <c r="CC72" s="57"/>
    </row>
    <row r="73" spans="1:81" s="6" customFormat="1">
      <c r="A73" s="1"/>
      <c r="B73" s="73"/>
      <c r="C73" s="71"/>
      <c r="D73" s="71"/>
      <c r="E73" s="71"/>
      <c r="F73" s="71"/>
      <c r="G73" s="71"/>
      <c r="H73" s="71"/>
      <c r="I73" s="71"/>
      <c r="J73" s="71"/>
      <c r="K73" s="71"/>
      <c r="L73" s="71"/>
      <c r="M73" s="71"/>
      <c r="N73" s="71"/>
      <c r="O73" s="71"/>
      <c r="P73" s="71"/>
      <c r="Q73" s="71"/>
      <c r="R73" s="71"/>
      <c r="S73" s="71"/>
      <c r="T73" s="71"/>
      <c r="U73" s="71"/>
      <c r="V73" s="71"/>
      <c r="W73" s="66"/>
      <c r="X73" s="66"/>
      <c r="Y73" s="66"/>
      <c r="Z73" s="66"/>
      <c r="AA73" s="66"/>
      <c r="AB73" s="66"/>
      <c r="AC73" s="66"/>
      <c r="AD73" s="66"/>
      <c r="AE73" s="66"/>
      <c r="AF73" s="66"/>
      <c r="AG73" s="66"/>
      <c r="AH73" s="66"/>
      <c r="AI73" s="66"/>
      <c r="AJ73" s="66"/>
      <c r="AK73" s="66"/>
      <c r="AL73" s="66"/>
      <c r="AM73" s="66"/>
      <c r="AN73" s="66"/>
      <c r="AO73" s="66"/>
      <c r="AP73" s="66"/>
      <c r="AQ73" s="66"/>
      <c r="AR73" s="61"/>
      <c r="AS73" s="68"/>
      <c r="AT73" s="67"/>
      <c r="AU73" s="64"/>
      <c r="AV73" s="65"/>
      <c r="AW73" s="63"/>
      <c r="AX73" s="65"/>
      <c r="AY73" s="64"/>
      <c r="AZ73" s="63"/>
      <c r="BA73" s="62"/>
      <c r="BB73" s="57"/>
      <c r="BC73" s="57"/>
      <c r="BD73" s="57"/>
      <c r="BE73" s="57"/>
      <c r="BF73" s="57"/>
      <c r="BG73" s="57"/>
      <c r="BH73" s="57"/>
      <c r="BI73" s="57"/>
      <c r="BJ73" s="57"/>
      <c r="BK73" s="57"/>
      <c r="BL73" s="57"/>
      <c r="BM73" s="57"/>
      <c r="BN73" s="57"/>
      <c r="BO73" s="57"/>
      <c r="BP73" s="57"/>
      <c r="BQ73" s="57"/>
      <c r="BR73" s="57"/>
      <c r="BS73" s="57"/>
      <c r="BT73" s="57"/>
      <c r="BU73" s="57"/>
      <c r="BV73" s="57"/>
      <c r="BW73" s="57"/>
      <c r="BX73" s="57"/>
      <c r="BY73" s="57"/>
      <c r="BZ73" s="57"/>
      <c r="CA73" s="57"/>
      <c r="CB73" s="57"/>
      <c r="CC73" s="57"/>
    </row>
    <row r="74" spans="1:81" s="6" customFormat="1">
      <c r="A74" s="1"/>
      <c r="B74" s="73"/>
      <c r="C74" s="71"/>
      <c r="D74" s="71"/>
      <c r="E74" s="71"/>
      <c r="F74" s="71"/>
      <c r="G74" s="71"/>
      <c r="H74" s="71"/>
      <c r="I74" s="71"/>
      <c r="J74" s="71"/>
      <c r="K74" s="71"/>
      <c r="L74" s="71"/>
      <c r="M74" s="71"/>
      <c r="N74" s="71"/>
      <c r="O74" s="71"/>
      <c r="P74" s="71"/>
      <c r="Q74" s="71"/>
      <c r="R74" s="71"/>
      <c r="S74" s="71"/>
      <c r="T74" s="71"/>
      <c r="U74" s="71"/>
      <c r="V74" s="71"/>
      <c r="W74" s="66"/>
      <c r="X74" s="66"/>
      <c r="Y74" s="66"/>
      <c r="Z74" s="66"/>
      <c r="AA74" s="66"/>
      <c r="AB74" s="66"/>
      <c r="AC74" s="66"/>
      <c r="AD74" s="66"/>
      <c r="AE74" s="66"/>
      <c r="AF74" s="66"/>
      <c r="AG74" s="66"/>
      <c r="AH74" s="66"/>
      <c r="AI74" s="66"/>
      <c r="AJ74" s="66"/>
      <c r="AK74" s="66"/>
      <c r="AL74" s="66"/>
      <c r="AM74" s="66"/>
      <c r="AN74" s="66"/>
      <c r="AO74" s="66"/>
      <c r="AP74" s="66"/>
      <c r="AQ74" s="66"/>
      <c r="AR74" s="61"/>
      <c r="AS74" s="68"/>
      <c r="AT74" s="67"/>
      <c r="AU74" s="64"/>
      <c r="AV74" s="65"/>
      <c r="AW74" s="63"/>
      <c r="AX74" s="65"/>
      <c r="AY74" s="64"/>
      <c r="AZ74" s="63"/>
      <c r="BA74" s="62"/>
      <c r="BB74" s="57"/>
      <c r="BC74" s="57"/>
      <c r="BD74" s="57"/>
      <c r="BE74" s="57"/>
      <c r="BF74" s="57"/>
      <c r="BG74" s="57"/>
      <c r="BH74" s="57"/>
      <c r="BI74" s="57"/>
      <c r="BJ74" s="57"/>
      <c r="BK74" s="57"/>
      <c r="BL74" s="57"/>
      <c r="BM74" s="57"/>
      <c r="BN74" s="57"/>
      <c r="BO74" s="57"/>
      <c r="BP74" s="57"/>
      <c r="BQ74" s="57"/>
      <c r="BR74" s="57"/>
      <c r="BS74" s="57"/>
      <c r="BT74" s="57"/>
      <c r="BU74" s="57"/>
      <c r="BV74" s="57"/>
      <c r="BW74" s="57"/>
      <c r="BX74" s="57"/>
      <c r="BY74" s="57"/>
      <c r="BZ74" s="57"/>
      <c r="CA74" s="57"/>
      <c r="CB74" s="57"/>
      <c r="CC74" s="57"/>
    </row>
    <row r="75" spans="1:81" s="6" customFormat="1">
      <c r="A75" s="1"/>
      <c r="B75" s="73"/>
      <c r="C75" s="71"/>
      <c r="D75" s="71"/>
      <c r="E75" s="71"/>
      <c r="F75" s="71"/>
      <c r="G75" s="71"/>
      <c r="H75" s="71"/>
      <c r="I75" s="71"/>
      <c r="J75" s="71"/>
      <c r="K75" s="71"/>
      <c r="L75" s="71"/>
      <c r="M75" s="71"/>
      <c r="N75" s="71"/>
      <c r="O75" s="71"/>
      <c r="P75" s="71"/>
      <c r="Q75" s="71"/>
      <c r="R75" s="71"/>
      <c r="S75" s="71"/>
      <c r="T75" s="71"/>
      <c r="U75" s="71"/>
      <c r="V75" s="71"/>
      <c r="W75" s="66"/>
      <c r="X75" s="66"/>
      <c r="Y75" s="66"/>
      <c r="Z75" s="66"/>
      <c r="AA75" s="66"/>
      <c r="AB75" s="66"/>
      <c r="AC75" s="66"/>
      <c r="AD75" s="66"/>
      <c r="AE75" s="66"/>
      <c r="AF75" s="66"/>
      <c r="AG75" s="66"/>
      <c r="AH75" s="66"/>
      <c r="AI75" s="66"/>
      <c r="AJ75" s="66"/>
      <c r="AK75" s="66"/>
      <c r="AL75" s="66"/>
      <c r="AM75" s="66"/>
      <c r="AN75" s="66"/>
      <c r="AO75" s="66"/>
      <c r="AP75" s="66"/>
      <c r="AQ75" s="66"/>
      <c r="AR75" s="61"/>
      <c r="AS75" s="68"/>
      <c r="AT75" s="67"/>
      <c r="AU75" s="64"/>
      <c r="AV75" s="65"/>
      <c r="AW75" s="63"/>
      <c r="AX75" s="65"/>
      <c r="AY75" s="64"/>
      <c r="AZ75" s="63"/>
      <c r="BA75" s="62"/>
      <c r="BB75" s="57"/>
      <c r="BC75" s="57"/>
      <c r="BD75" s="57"/>
      <c r="BE75" s="57"/>
      <c r="BF75" s="57"/>
      <c r="BG75" s="57"/>
      <c r="BH75" s="57"/>
      <c r="BI75" s="57"/>
      <c r="BJ75" s="57"/>
      <c r="BK75" s="57"/>
      <c r="BL75" s="57"/>
      <c r="BM75" s="57"/>
      <c r="BN75" s="57"/>
      <c r="BO75" s="57"/>
      <c r="BP75" s="57"/>
      <c r="BQ75" s="57"/>
      <c r="BR75" s="57"/>
      <c r="BS75" s="57"/>
      <c r="BT75" s="57"/>
      <c r="BU75" s="57"/>
      <c r="BV75" s="57"/>
      <c r="BW75" s="57"/>
      <c r="BX75" s="57"/>
      <c r="BY75" s="57"/>
      <c r="BZ75" s="57"/>
      <c r="CA75" s="57"/>
      <c r="CB75" s="57"/>
      <c r="CC75" s="57"/>
    </row>
    <row r="76" spans="1:81" s="6" customFormat="1">
      <c r="A76" s="1"/>
      <c r="B76" s="69"/>
      <c r="C76" s="71"/>
      <c r="D76" s="71"/>
      <c r="E76" s="71"/>
      <c r="F76" s="71"/>
      <c r="G76" s="71"/>
      <c r="H76" s="71"/>
      <c r="I76" s="71"/>
      <c r="J76" s="71"/>
      <c r="K76" s="71"/>
      <c r="L76" s="71"/>
      <c r="M76" s="71"/>
      <c r="N76" s="71"/>
      <c r="O76" s="71"/>
      <c r="P76" s="71"/>
      <c r="Q76" s="71"/>
      <c r="R76" s="71"/>
      <c r="S76" s="71"/>
      <c r="T76" s="71"/>
      <c r="U76" s="71"/>
      <c r="V76" s="71"/>
      <c r="W76" s="66"/>
      <c r="X76" s="66"/>
      <c r="Y76" s="66"/>
      <c r="Z76" s="66"/>
      <c r="AA76" s="66"/>
      <c r="AB76" s="66"/>
      <c r="AC76" s="66"/>
      <c r="AD76" s="66"/>
      <c r="AE76" s="66"/>
      <c r="AF76" s="66"/>
      <c r="AG76" s="66"/>
      <c r="AH76" s="66"/>
      <c r="AI76" s="66"/>
      <c r="AJ76" s="66"/>
      <c r="AK76" s="66"/>
      <c r="AL76" s="66"/>
      <c r="AM76" s="66"/>
      <c r="AN76" s="66"/>
      <c r="AO76" s="66"/>
      <c r="AP76" s="66"/>
      <c r="AQ76" s="66"/>
      <c r="AR76" s="61"/>
      <c r="AS76" s="68"/>
      <c r="AT76" s="67"/>
      <c r="AU76" s="64"/>
      <c r="AV76" s="65"/>
      <c r="AW76" s="63"/>
      <c r="AX76" s="65"/>
      <c r="AY76" s="64"/>
      <c r="AZ76" s="63"/>
      <c r="BA76" s="62"/>
      <c r="BB76" s="57"/>
      <c r="BC76" s="57"/>
      <c r="BD76" s="57"/>
      <c r="BE76" s="57"/>
      <c r="BF76" s="57"/>
      <c r="BG76" s="57"/>
      <c r="BH76" s="57"/>
      <c r="BI76" s="57"/>
      <c r="BJ76" s="57"/>
      <c r="BK76" s="57"/>
      <c r="BL76" s="57"/>
      <c r="BM76" s="57"/>
      <c r="BN76" s="57"/>
      <c r="BO76" s="57"/>
      <c r="BP76" s="57"/>
      <c r="BQ76" s="57"/>
      <c r="BR76" s="57"/>
      <c r="BS76" s="57"/>
      <c r="BT76" s="57"/>
      <c r="BU76" s="57"/>
      <c r="BV76" s="57"/>
      <c r="BW76" s="57"/>
      <c r="BX76" s="57"/>
      <c r="BY76" s="57"/>
      <c r="BZ76" s="57"/>
      <c r="CA76" s="57"/>
      <c r="CB76" s="57"/>
      <c r="CC76" s="57"/>
    </row>
    <row r="77" spans="1:81" s="6" customFormat="1">
      <c r="A77" s="1"/>
      <c r="B77" s="69"/>
      <c r="C77" s="71"/>
      <c r="D77" s="71"/>
      <c r="E77" s="71"/>
      <c r="F77" s="71"/>
      <c r="G77" s="71"/>
      <c r="H77" s="71"/>
      <c r="I77" s="71"/>
      <c r="J77" s="71"/>
      <c r="K77" s="71"/>
      <c r="L77" s="71"/>
      <c r="M77" s="71"/>
      <c r="N77" s="71"/>
      <c r="O77" s="71"/>
      <c r="P77" s="71"/>
      <c r="Q77" s="71"/>
      <c r="R77" s="71"/>
      <c r="S77" s="71"/>
      <c r="T77" s="71"/>
      <c r="U77" s="71"/>
      <c r="V77" s="71"/>
      <c r="W77" s="66"/>
      <c r="X77" s="66"/>
      <c r="Y77" s="66"/>
      <c r="Z77" s="66"/>
      <c r="AA77" s="66"/>
      <c r="AB77" s="66"/>
      <c r="AC77" s="66"/>
      <c r="AD77" s="66"/>
      <c r="AE77" s="66"/>
      <c r="AF77" s="66"/>
      <c r="AG77" s="66"/>
      <c r="AH77" s="66"/>
      <c r="AI77" s="66"/>
      <c r="AJ77" s="66"/>
      <c r="AK77" s="66"/>
      <c r="AL77" s="66"/>
      <c r="AM77" s="66"/>
      <c r="AN77" s="66"/>
      <c r="AO77" s="66"/>
      <c r="AP77" s="66"/>
      <c r="AQ77" s="66"/>
      <c r="AR77" s="61"/>
      <c r="AS77" s="68"/>
      <c r="AT77" s="67"/>
      <c r="AU77" s="64"/>
      <c r="AV77" s="65"/>
      <c r="AW77" s="63"/>
      <c r="AX77" s="65"/>
      <c r="AY77" s="64"/>
      <c r="AZ77" s="63"/>
      <c r="BA77" s="62"/>
      <c r="BB77" s="57"/>
      <c r="BC77" s="57"/>
      <c r="BD77" s="57"/>
      <c r="BE77" s="57"/>
      <c r="BF77" s="57"/>
      <c r="BG77" s="57"/>
      <c r="BH77" s="57"/>
      <c r="BI77" s="57"/>
      <c r="BJ77" s="57"/>
      <c r="BK77" s="57"/>
      <c r="BL77" s="57"/>
      <c r="BM77" s="57"/>
      <c r="BN77" s="57"/>
      <c r="BO77" s="57"/>
      <c r="BP77" s="57"/>
      <c r="BQ77" s="57"/>
      <c r="BR77" s="57"/>
      <c r="BS77" s="57"/>
      <c r="BT77" s="57"/>
      <c r="BU77" s="57"/>
      <c r="BV77" s="57"/>
      <c r="BW77" s="57"/>
      <c r="BX77" s="57"/>
      <c r="BY77" s="57"/>
      <c r="BZ77" s="57"/>
      <c r="CA77" s="57"/>
      <c r="CB77" s="57"/>
      <c r="CC77" s="57"/>
    </row>
    <row r="78" spans="1:81" s="6" customFormat="1">
      <c r="A78" s="1"/>
      <c r="B78" s="69"/>
      <c r="C78" s="71"/>
      <c r="D78" s="71"/>
      <c r="E78" s="71"/>
      <c r="F78" s="71"/>
      <c r="G78" s="71"/>
      <c r="H78" s="71"/>
      <c r="I78" s="71"/>
      <c r="J78" s="71"/>
      <c r="K78" s="71"/>
      <c r="L78" s="71"/>
      <c r="M78" s="71"/>
      <c r="N78" s="71"/>
      <c r="O78" s="71"/>
      <c r="P78" s="71"/>
      <c r="Q78" s="71"/>
      <c r="R78" s="71"/>
      <c r="S78" s="71"/>
      <c r="T78" s="71"/>
      <c r="U78" s="71"/>
      <c r="V78" s="71"/>
      <c r="W78" s="66"/>
      <c r="X78" s="66"/>
      <c r="Y78" s="66"/>
      <c r="Z78" s="66"/>
      <c r="AA78" s="66"/>
      <c r="AB78" s="66"/>
      <c r="AC78" s="66"/>
      <c r="AD78" s="66"/>
      <c r="AE78" s="66"/>
      <c r="AF78" s="66"/>
      <c r="AG78" s="66"/>
      <c r="AH78" s="66"/>
      <c r="AI78" s="66"/>
      <c r="AJ78" s="66"/>
      <c r="AK78" s="66"/>
      <c r="AL78" s="66"/>
      <c r="AM78" s="66"/>
      <c r="AN78" s="66"/>
      <c r="AO78" s="66"/>
      <c r="AP78" s="66"/>
      <c r="AQ78" s="66"/>
      <c r="AR78" s="61"/>
      <c r="AS78" s="68"/>
      <c r="AT78" s="67"/>
      <c r="AU78" s="64"/>
      <c r="AV78" s="65"/>
      <c r="AW78" s="63"/>
      <c r="AX78" s="65"/>
      <c r="AY78" s="64"/>
      <c r="AZ78" s="63"/>
      <c r="BA78" s="62"/>
      <c r="BB78" s="57"/>
      <c r="BC78" s="57"/>
      <c r="BD78" s="57"/>
      <c r="BE78" s="57"/>
      <c r="BF78" s="57"/>
      <c r="BG78" s="57"/>
      <c r="BH78" s="57"/>
      <c r="BI78" s="57"/>
      <c r="BJ78" s="57"/>
      <c r="BK78" s="57"/>
      <c r="BL78" s="57"/>
      <c r="BM78" s="57"/>
      <c r="BN78" s="57"/>
      <c r="BO78" s="57"/>
      <c r="BP78" s="57"/>
      <c r="BQ78" s="57"/>
      <c r="BR78" s="57"/>
      <c r="BS78" s="57"/>
      <c r="BT78" s="57"/>
      <c r="BU78" s="57"/>
      <c r="BV78" s="57"/>
      <c r="BW78" s="57"/>
      <c r="BX78" s="57"/>
      <c r="BY78" s="57"/>
      <c r="BZ78" s="57"/>
      <c r="CA78" s="57"/>
      <c r="CB78" s="57"/>
      <c r="CC78" s="57"/>
    </row>
    <row r="79" spans="1:81" s="6" customFormat="1">
      <c r="A79" s="1"/>
      <c r="B79" s="69"/>
      <c r="C79" s="71"/>
      <c r="D79" s="71"/>
      <c r="E79" s="71"/>
      <c r="F79" s="71"/>
      <c r="G79" s="71"/>
      <c r="H79" s="71"/>
      <c r="I79" s="71"/>
      <c r="J79" s="71"/>
      <c r="K79" s="71"/>
      <c r="L79" s="71"/>
      <c r="M79" s="71"/>
      <c r="N79" s="71"/>
      <c r="O79" s="71"/>
      <c r="P79" s="71"/>
      <c r="Q79" s="71"/>
      <c r="R79" s="71"/>
      <c r="S79" s="71"/>
      <c r="T79" s="71"/>
      <c r="U79" s="71"/>
      <c r="V79" s="71"/>
      <c r="W79" s="66"/>
      <c r="X79" s="66"/>
      <c r="Y79" s="66"/>
      <c r="Z79" s="66"/>
      <c r="AA79" s="66"/>
      <c r="AB79" s="66"/>
      <c r="AC79" s="66"/>
      <c r="AD79" s="66"/>
      <c r="AE79" s="66"/>
      <c r="AF79" s="66"/>
      <c r="AG79" s="66"/>
      <c r="AH79" s="66"/>
      <c r="AI79" s="66"/>
      <c r="AJ79" s="66"/>
      <c r="AK79" s="66"/>
      <c r="AL79" s="66"/>
      <c r="AM79" s="66"/>
      <c r="AN79" s="66"/>
      <c r="AO79" s="66"/>
      <c r="AP79" s="66"/>
      <c r="AQ79" s="66"/>
      <c r="AR79" s="61"/>
      <c r="AS79" s="68"/>
      <c r="AT79" s="67"/>
      <c r="AU79" s="64"/>
      <c r="AV79" s="65"/>
      <c r="AW79" s="63"/>
      <c r="AX79" s="65"/>
      <c r="AY79" s="64"/>
      <c r="AZ79" s="63"/>
      <c r="BA79" s="62"/>
      <c r="BB79" s="57"/>
      <c r="BC79" s="57"/>
      <c r="BD79" s="57"/>
      <c r="BE79" s="57"/>
      <c r="BF79" s="57"/>
      <c r="BG79" s="57"/>
      <c r="BH79" s="57"/>
      <c r="BI79" s="57"/>
      <c r="BJ79" s="57"/>
      <c r="BK79" s="57"/>
      <c r="BL79" s="57"/>
      <c r="BM79" s="57"/>
      <c r="BN79" s="57"/>
      <c r="BO79" s="57"/>
      <c r="BP79" s="57"/>
      <c r="BQ79" s="57"/>
      <c r="BR79" s="57"/>
      <c r="BS79" s="57"/>
      <c r="BT79" s="57"/>
      <c r="BU79" s="57"/>
      <c r="BV79" s="57"/>
      <c r="BW79" s="57"/>
      <c r="BX79" s="57"/>
      <c r="BY79" s="57"/>
      <c r="BZ79" s="57"/>
      <c r="CA79" s="57"/>
      <c r="CB79" s="57"/>
      <c r="CC79" s="57"/>
    </row>
    <row r="80" spans="1:81" s="6" customFormat="1">
      <c r="A80" s="1"/>
      <c r="B80" s="69"/>
      <c r="C80" s="71"/>
      <c r="D80" s="71"/>
      <c r="E80" s="71"/>
      <c r="F80" s="71"/>
      <c r="G80" s="71"/>
      <c r="H80" s="71"/>
      <c r="I80" s="71"/>
      <c r="J80" s="71"/>
      <c r="K80" s="71"/>
      <c r="L80" s="71"/>
      <c r="M80" s="71"/>
      <c r="N80" s="71"/>
      <c r="O80" s="71"/>
      <c r="P80" s="71"/>
      <c r="Q80" s="71"/>
      <c r="R80" s="71"/>
      <c r="S80" s="71"/>
      <c r="T80" s="71"/>
      <c r="U80" s="71"/>
      <c r="V80" s="71"/>
      <c r="W80" s="66"/>
      <c r="X80" s="66"/>
      <c r="Y80" s="66"/>
      <c r="Z80" s="66"/>
      <c r="AA80" s="66"/>
      <c r="AB80" s="66"/>
      <c r="AC80" s="66"/>
      <c r="AD80" s="66"/>
      <c r="AE80" s="66"/>
      <c r="AF80" s="66"/>
      <c r="AG80" s="66"/>
      <c r="AH80" s="66"/>
      <c r="AI80" s="66"/>
      <c r="AJ80" s="66"/>
      <c r="AK80" s="66"/>
      <c r="AL80" s="66"/>
      <c r="AM80" s="66"/>
      <c r="AN80" s="66"/>
      <c r="AO80" s="66"/>
      <c r="AP80" s="66"/>
      <c r="AQ80" s="66"/>
      <c r="AR80" s="61"/>
      <c r="AS80" s="68"/>
      <c r="AT80" s="67"/>
      <c r="AU80" s="64"/>
      <c r="AV80" s="65"/>
      <c r="AW80" s="63"/>
      <c r="AX80" s="65"/>
      <c r="AY80" s="64"/>
      <c r="AZ80" s="63"/>
      <c r="BA80" s="62"/>
      <c r="BB80" s="57"/>
      <c r="BC80" s="57"/>
      <c r="BD80" s="57"/>
      <c r="BE80" s="57"/>
      <c r="BF80" s="57"/>
      <c r="BG80" s="57"/>
      <c r="BH80" s="57"/>
      <c r="BI80" s="57"/>
      <c r="BJ80" s="57"/>
      <c r="BK80" s="57"/>
      <c r="BL80" s="57"/>
      <c r="BM80" s="57"/>
      <c r="BN80" s="57"/>
      <c r="BO80" s="57"/>
      <c r="BP80" s="57"/>
      <c r="BQ80" s="57"/>
      <c r="BR80" s="57"/>
      <c r="BS80" s="57"/>
      <c r="BT80" s="57"/>
      <c r="BU80" s="57"/>
      <c r="BV80" s="57"/>
      <c r="BW80" s="57"/>
      <c r="BX80" s="57"/>
      <c r="BY80" s="57"/>
      <c r="BZ80" s="57"/>
      <c r="CA80" s="57"/>
      <c r="CB80" s="57"/>
      <c r="CC80" s="57"/>
    </row>
    <row r="81" spans="1:81" s="6" customFormat="1">
      <c r="A81" s="1"/>
      <c r="B81" s="69"/>
      <c r="C81" s="71"/>
      <c r="D81" s="71"/>
      <c r="E81" s="71"/>
      <c r="F81" s="71"/>
      <c r="G81" s="71"/>
      <c r="H81" s="71"/>
      <c r="I81" s="71"/>
      <c r="J81" s="71"/>
      <c r="K81" s="71"/>
      <c r="L81" s="71"/>
      <c r="M81" s="71"/>
      <c r="N81" s="71"/>
      <c r="O81" s="71"/>
      <c r="P81" s="71"/>
      <c r="Q81" s="71"/>
      <c r="R81" s="71"/>
      <c r="S81" s="71"/>
      <c r="T81" s="71"/>
      <c r="U81" s="71"/>
      <c r="V81" s="71"/>
      <c r="W81" s="66"/>
      <c r="X81" s="66"/>
      <c r="Y81" s="66"/>
      <c r="Z81" s="66"/>
      <c r="AA81" s="66"/>
      <c r="AB81" s="66"/>
      <c r="AC81" s="66"/>
      <c r="AD81" s="66"/>
      <c r="AE81" s="66"/>
      <c r="AF81" s="66"/>
      <c r="AG81" s="66"/>
      <c r="AH81" s="66"/>
      <c r="AI81" s="66"/>
      <c r="AJ81" s="66"/>
      <c r="AK81" s="66"/>
      <c r="AL81" s="66"/>
      <c r="AM81" s="66"/>
      <c r="AN81" s="66"/>
      <c r="AO81" s="66"/>
      <c r="AP81" s="66"/>
      <c r="AQ81" s="66"/>
      <c r="AR81" s="61"/>
      <c r="AS81" s="68"/>
      <c r="AT81" s="67"/>
      <c r="AU81" s="64"/>
      <c r="AV81" s="65"/>
      <c r="AW81" s="63"/>
      <c r="AX81" s="65"/>
      <c r="AY81" s="64"/>
      <c r="AZ81" s="63"/>
      <c r="BA81" s="62"/>
      <c r="BB81" s="57"/>
      <c r="BC81" s="57"/>
      <c r="BD81" s="57"/>
      <c r="BE81" s="57"/>
      <c r="BF81" s="57"/>
      <c r="BG81" s="57"/>
      <c r="BH81" s="57"/>
      <c r="BI81" s="57"/>
      <c r="BJ81" s="57"/>
      <c r="BK81" s="57"/>
      <c r="BL81" s="57"/>
      <c r="BM81" s="57"/>
      <c r="BN81" s="57"/>
      <c r="BO81" s="57"/>
      <c r="BP81" s="57"/>
      <c r="BQ81" s="57"/>
      <c r="BR81" s="57"/>
      <c r="BS81" s="57"/>
      <c r="BT81" s="57"/>
      <c r="BU81" s="57"/>
      <c r="BV81" s="57"/>
      <c r="BW81" s="57"/>
      <c r="BX81" s="57"/>
      <c r="BY81" s="57"/>
      <c r="BZ81" s="57"/>
      <c r="CA81" s="57"/>
      <c r="CB81" s="57"/>
      <c r="CC81" s="57"/>
    </row>
    <row r="82" spans="1:81">
      <c r="A82" s="1"/>
      <c r="B82" s="69"/>
      <c r="C82" s="71"/>
      <c r="D82" s="71"/>
      <c r="E82" s="71"/>
      <c r="F82" s="71"/>
      <c r="G82" s="71"/>
      <c r="H82" s="71"/>
      <c r="I82" s="71"/>
      <c r="J82" s="71"/>
      <c r="K82" s="71"/>
      <c r="L82" s="71"/>
      <c r="M82" s="71"/>
      <c r="N82" s="71"/>
      <c r="O82" s="71"/>
      <c r="P82" s="71"/>
      <c r="Q82" s="71"/>
      <c r="R82" s="71"/>
      <c r="S82" s="71"/>
      <c r="T82" s="71"/>
      <c r="U82" s="71"/>
      <c r="V82" s="71"/>
      <c r="W82" s="66"/>
      <c r="X82" s="66"/>
      <c r="Y82" s="66"/>
      <c r="Z82" s="66"/>
      <c r="AA82" s="66"/>
      <c r="AB82" s="66"/>
      <c r="AC82" s="66"/>
      <c r="AD82" s="66"/>
      <c r="AE82" s="66"/>
      <c r="AF82" s="66"/>
      <c r="AG82" s="66"/>
      <c r="AH82" s="66"/>
      <c r="AI82" s="66"/>
      <c r="AJ82" s="66"/>
      <c r="AK82" s="66"/>
      <c r="AL82" s="66"/>
      <c r="AM82" s="66"/>
      <c r="AN82" s="66"/>
      <c r="AO82" s="66"/>
      <c r="AP82" s="66"/>
      <c r="AQ82" s="66"/>
      <c r="AR82" s="61"/>
      <c r="AS82" s="68"/>
      <c r="AT82" s="67"/>
      <c r="AU82" s="64"/>
      <c r="AV82" s="65"/>
      <c r="AW82" s="63"/>
      <c r="AX82" s="65"/>
      <c r="AY82" s="64"/>
      <c r="AZ82" s="63"/>
      <c r="BA82" s="62"/>
    </row>
    <row r="83" spans="1:81">
      <c r="A83" s="1"/>
      <c r="B83" s="69"/>
      <c r="C83" s="71"/>
      <c r="D83" s="71"/>
      <c r="E83" s="71"/>
      <c r="F83" s="71"/>
      <c r="G83" s="71"/>
      <c r="H83" s="71"/>
      <c r="I83" s="71"/>
      <c r="J83" s="71"/>
      <c r="K83" s="71"/>
      <c r="L83" s="71"/>
      <c r="M83" s="71"/>
      <c r="N83" s="69"/>
      <c r="O83" s="69"/>
      <c r="P83" s="69"/>
      <c r="Q83" s="69"/>
      <c r="R83" s="69"/>
      <c r="S83" s="69"/>
      <c r="T83" s="69"/>
      <c r="U83" s="69"/>
      <c r="V83" s="69"/>
      <c r="W83" s="66"/>
      <c r="X83" s="66"/>
      <c r="Y83" s="66"/>
      <c r="Z83" s="66"/>
      <c r="AA83" s="66"/>
      <c r="AB83" s="66"/>
      <c r="AC83" s="66"/>
      <c r="AD83" s="66"/>
      <c r="AE83" s="66"/>
      <c r="AF83" s="66"/>
      <c r="AG83" s="66"/>
      <c r="AH83" s="66"/>
      <c r="AI83" s="66"/>
      <c r="AJ83" s="66"/>
      <c r="AK83" s="66"/>
      <c r="AL83" s="66"/>
      <c r="AM83" s="66"/>
      <c r="AN83" s="66"/>
      <c r="AO83" s="66"/>
      <c r="AP83" s="66"/>
      <c r="AQ83" s="66"/>
      <c r="AR83" s="61"/>
      <c r="AS83" s="68"/>
      <c r="AT83" s="67"/>
      <c r="AU83" s="64"/>
      <c r="AV83" s="65"/>
      <c r="AW83" s="63"/>
      <c r="AX83" s="65"/>
      <c r="AY83" s="64"/>
      <c r="AZ83" s="63"/>
      <c r="BA83" s="62"/>
    </row>
    <row r="84" spans="1:81">
      <c r="A84" s="1"/>
      <c r="B84" s="66"/>
      <c r="C84" s="71"/>
      <c r="D84" s="71"/>
      <c r="E84" s="71"/>
      <c r="F84" s="71"/>
      <c r="G84" s="71"/>
      <c r="H84" s="71"/>
      <c r="I84" s="71"/>
      <c r="J84" s="71"/>
      <c r="K84" s="71"/>
      <c r="L84" s="71"/>
      <c r="M84" s="71"/>
      <c r="N84" s="69"/>
      <c r="O84" s="66"/>
      <c r="P84" s="66"/>
      <c r="Q84" s="66"/>
      <c r="R84" s="66"/>
      <c r="S84" s="66"/>
      <c r="T84" s="66"/>
      <c r="U84" s="66"/>
      <c r="V84" s="66"/>
      <c r="W84" s="66"/>
      <c r="X84" s="66"/>
      <c r="Y84" s="66"/>
      <c r="Z84" s="66"/>
      <c r="AA84" s="66"/>
      <c r="AB84" s="66"/>
      <c r="AC84" s="66"/>
      <c r="AD84" s="66"/>
      <c r="AE84" s="66"/>
      <c r="AF84" s="66"/>
      <c r="AG84" s="66"/>
      <c r="AH84" s="66"/>
      <c r="AI84" s="66"/>
      <c r="AJ84" s="66"/>
      <c r="AK84" s="66"/>
      <c r="AL84" s="66"/>
      <c r="AM84" s="66"/>
      <c r="AN84" s="66"/>
      <c r="AO84" s="66"/>
      <c r="AP84" s="66"/>
      <c r="AQ84" s="66"/>
      <c r="AR84" s="61"/>
      <c r="AS84" s="68"/>
      <c r="AT84" s="67"/>
      <c r="AU84" s="64"/>
      <c r="AV84" s="65"/>
      <c r="AW84" s="63"/>
      <c r="AX84" s="65"/>
      <c r="AY84" s="64"/>
      <c r="AZ84" s="63"/>
      <c r="BA84" s="62"/>
    </row>
    <row r="85" spans="1:81">
      <c r="A85" s="1"/>
      <c r="B85" s="66"/>
      <c r="C85" s="71"/>
      <c r="D85" s="71"/>
      <c r="E85" s="71"/>
      <c r="F85" s="71"/>
      <c r="G85" s="71"/>
      <c r="H85" s="71"/>
      <c r="I85" s="71"/>
      <c r="J85" s="71"/>
      <c r="K85" s="71"/>
      <c r="L85" s="71"/>
      <c r="M85" s="71"/>
      <c r="N85" s="69"/>
      <c r="O85" s="66"/>
      <c r="P85" s="66"/>
      <c r="Q85" s="66"/>
      <c r="R85" s="66"/>
      <c r="S85" s="66"/>
      <c r="T85" s="66"/>
      <c r="U85" s="66"/>
      <c r="V85" s="66"/>
      <c r="W85" s="66"/>
      <c r="X85" s="66"/>
      <c r="Y85" s="66"/>
      <c r="Z85" s="66"/>
      <c r="AA85" s="66"/>
      <c r="AB85" s="66"/>
      <c r="AC85" s="66"/>
      <c r="AD85" s="66"/>
      <c r="AE85" s="66"/>
      <c r="AF85" s="66"/>
      <c r="AG85" s="66"/>
      <c r="AH85" s="66"/>
      <c r="AI85" s="66"/>
      <c r="AJ85" s="66"/>
      <c r="AK85" s="66"/>
      <c r="AL85" s="66"/>
      <c r="AM85" s="66"/>
      <c r="AN85" s="66"/>
      <c r="AO85" s="66"/>
      <c r="AP85" s="66"/>
      <c r="AQ85" s="66"/>
      <c r="AR85" s="61"/>
      <c r="AS85" s="68"/>
      <c r="AT85" s="67"/>
      <c r="AU85" s="64"/>
      <c r="AV85" s="65"/>
      <c r="AW85" s="63"/>
      <c r="AX85" s="65"/>
      <c r="AY85" s="64"/>
      <c r="AZ85" s="63"/>
      <c r="BA85" s="62"/>
    </row>
    <row r="86" spans="1:81" s="6" customFormat="1">
      <c r="A86" s="1"/>
      <c r="B86" s="66"/>
      <c r="C86" s="71"/>
      <c r="D86" s="71"/>
      <c r="E86" s="71"/>
      <c r="F86" s="71"/>
      <c r="G86" s="71"/>
      <c r="H86" s="71"/>
      <c r="I86" s="71"/>
      <c r="J86" s="71"/>
      <c r="K86" s="71"/>
      <c r="L86" s="71"/>
      <c r="M86" s="71"/>
      <c r="N86" s="69"/>
      <c r="O86" s="66"/>
      <c r="P86" s="66"/>
      <c r="Q86" s="66"/>
      <c r="R86" s="66"/>
      <c r="S86" s="66"/>
      <c r="T86" s="66"/>
      <c r="U86" s="66"/>
      <c r="V86" s="66"/>
      <c r="W86" s="66"/>
      <c r="X86" s="66"/>
      <c r="Y86" s="66"/>
      <c r="Z86" s="66"/>
      <c r="AA86" s="66"/>
      <c r="AB86" s="66"/>
      <c r="AC86" s="66"/>
      <c r="AD86" s="66"/>
      <c r="AE86" s="66"/>
      <c r="AF86" s="66"/>
      <c r="AG86" s="66"/>
      <c r="AH86" s="66"/>
      <c r="AI86" s="66"/>
      <c r="AJ86" s="66"/>
      <c r="AK86" s="66"/>
      <c r="AL86" s="66"/>
      <c r="AM86" s="66"/>
      <c r="AN86" s="66"/>
      <c r="AO86" s="66"/>
      <c r="AP86" s="66"/>
      <c r="AQ86" s="66"/>
      <c r="AR86" s="61"/>
      <c r="AS86" s="68"/>
      <c r="AT86" s="67"/>
      <c r="AU86" s="64"/>
      <c r="AV86" s="65"/>
      <c r="AW86" s="63"/>
      <c r="AX86" s="65"/>
      <c r="AY86" s="64"/>
      <c r="AZ86" s="63"/>
      <c r="BA86" s="62"/>
      <c r="BB86" s="57"/>
      <c r="BC86" s="57"/>
      <c r="BD86" s="57"/>
      <c r="BE86" s="57"/>
      <c r="BF86" s="57"/>
      <c r="BG86" s="57"/>
      <c r="BH86" s="57"/>
      <c r="BI86" s="57"/>
      <c r="BJ86" s="57"/>
      <c r="BK86" s="57"/>
      <c r="BL86" s="57"/>
      <c r="BM86" s="57"/>
      <c r="BN86" s="57"/>
      <c r="BO86" s="57"/>
      <c r="BP86" s="57"/>
      <c r="BQ86" s="57"/>
      <c r="BR86" s="57"/>
      <c r="BS86" s="57"/>
      <c r="BT86" s="57"/>
      <c r="BU86" s="57"/>
      <c r="BV86" s="57"/>
      <c r="BW86" s="57"/>
      <c r="BX86" s="57"/>
      <c r="BY86" s="57"/>
      <c r="BZ86" s="57"/>
      <c r="CA86" s="57"/>
      <c r="CB86" s="57"/>
      <c r="CC86" s="57"/>
    </row>
    <row r="87" spans="1:81" s="6" customFormat="1">
      <c r="A87" s="1"/>
      <c r="B87" s="66"/>
      <c r="C87" s="71"/>
      <c r="D87" s="71"/>
      <c r="E87" s="71"/>
      <c r="F87" s="71"/>
      <c r="G87" s="71"/>
      <c r="H87" s="71"/>
      <c r="I87" s="71"/>
      <c r="J87" s="71"/>
      <c r="K87" s="71"/>
      <c r="L87" s="71"/>
      <c r="M87" s="71"/>
      <c r="N87" s="69"/>
      <c r="O87" s="66"/>
      <c r="P87" s="66"/>
      <c r="Q87" s="66"/>
      <c r="R87" s="66"/>
      <c r="S87" s="66"/>
      <c r="T87" s="66"/>
      <c r="U87" s="66"/>
      <c r="V87" s="66"/>
      <c r="W87" s="66"/>
      <c r="X87" s="66"/>
      <c r="Y87" s="66"/>
      <c r="Z87" s="66"/>
      <c r="AA87" s="66"/>
      <c r="AB87" s="66"/>
      <c r="AC87" s="66"/>
      <c r="AD87" s="66"/>
      <c r="AE87" s="66"/>
      <c r="AF87" s="66"/>
      <c r="AG87" s="66"/>
      <c r="AH87" s="66"/>
      <c r="AI87" s="66"/>
      <c r="AJ87" s="66"/>
      <c r="AK87" s="66"/>
      <c r="AL87" s="66"/>
      <c r="AM87" s="66"/>
      <c r="AN87" s="66"/>
      <c r="AO87" s="66"/>
      <c r="AP87" s="66"/>
      <c r="AQ87" s="66"/>
      <c r="AR87" s="61"/>
      <c r="AS87" s="68"/>
      <c r="AT87" s="67"/>
      <c r="AU87" s="64"/>
      <c r="AV87" s="65"/>
      <c r="AW87" s="63"/>
      <c r="AX87" s="65"/>
      <c r="AY87" s="64"/>
      <c r="AZ87" s="63"/>
      <c r="BA87" s="62"/>
      <c r="BB87" s="57"/>
      <c r="BC87" s="57"/>
      <c r="BD87" s="57"/>
      <c r="BE87" s="57"/>
      <c r="BF87" s="57"/>
      <c r="BG87" s="57"/>
      <c r="BH87" s="57"/>
      <c r="BI87" s="57"/>
      <c r="BJ87" s="57"/>
      <c r="BK87" s="57"/>
      <c r="BL87" s="57"/>
      <c r="BM87" s="57"/>
      <c r="BN87" s="57"/>
      <c r="BO87" s="57"/>
      <c r="BP87" s="57"/>
      <c r="BQ87" s="57"/>
      <c r="BR87" s="57"/>
      <c r="BS87" s="57"/>
      <c r="BT87" s="57"/>
      <c r="BU87" s="57"/>
      <c r="BV87" s="57"/>
      <c r="BW87" s="57"/>
      <c r="BX87" s="57"/>
      <c r="BY87" s="57"/>
      <c r="BZ87" s="57"/>
      <c r="CA87" s="57"/>
      <c r="CB87" s="57"/>
      <c r="CC87" s="57"/>
    </row>
    <row r="88" spans="1:81" s="6" customFormat="1">
      <c r="A88" s="1"/>
      <c r="B88" s="66"/>
      <c r="C88" s="71"/>
      <c r="D88" s="71"/>
      <c r="E88" s="71"/>
      <c r="F88" s="71"/>
      <c r="G88" s="71"/>
      <c r="H88" s="71"/>
      <c r="I88" s="71"/>
      <c r="J88" s="71"/>
      <c r="K88" s="71"/>
      <c r="L88" s="71"/>
      <c r="M88" s="71"/>
      <c r="N88" s="69"/>
      <c r="O88" s="66"/>
      <c r="P88" s="66"/>
      <c r="Q88" s="66"/>
      <c r="R88" s="66"/>
      <c r="S88" s="66"/>
      <c r="T88" s="66"/>
      <c r="U88" s="66"/>
      <c r="V88" s="66"/>
      <c r="W88" s="66"/>
      <c r="X88" s="66"/>
      <c r="Y88" s="66"/>
      <c r="Z88" s="66"/>
      <c r="AA88" s="66"/>
      <c r="AB88" s="66"/>
      <c r="AC88" s="66"/>
      <c r="AD88" s="66"/>
      <c r="AE88" s="66"/>
      <c r="AF88" s="66"/>
      <c r="AG88" s="66"/>
      <c r="AH88" s="66"/>
      <c r="AI88" s="66"/>
      <c r="AJ88" s="66"/>
      <c r="AK88" s="66"/>
      <c r="AL88" s="66"/>
      <c r="AM88" s="66"/>
      <c r="AN88" s="66"/>
      <c r="AO88" s="66"/>
      <c r="AP88" s="66"/>
      <c r="AQ88" s="66"/>
      <c r="AR88" s="61"/>
      <c r="AS88" s="68"/>
      <c r="AT88" s="67"/>
      <c r="AU88" s="64"/>
      <c r="AV88" s="65"/>
      <c r="AW88" s="63"/>
      <c r="AX88" s="65"/>
      <c r="AY88" s="64"/>
      <c r="AZ88" s="63"/>
      <c r="BA88" s="62"/>
      <c r="BB88" s="57"/>
      <c r="BC88" s="57"/>
      <c r="BD88" s="57"/>
      <c r="BE88" s="57"/>
      <c r="BF88" s="57"/>
      <c r="BG88" s="57"/>
      <c r="BH88" s="57"/>
      <c r="BI88" s="57"/>
      <c r="BJ88" s="57"/>
      <c r="BK88" s="57"/>
      <c r="BL88" s="57"/>
      <c r="BM88" s="57"/>
      <c r="BN88" s="57"/>
      <c r="BO88" s="57"/>
      <c r="BP88" s="57"/>
      <c r="BQ88" s="57"/>
      <c r="BR88" s="57"/>
      <c r="BS88" s="57"/>
      <c r="BT88" s="57"/>
      <c r="BU88" s="57"/>
      <c r="BV88" s="57"/>
      <c r="BW88" s="57"/>
      <c r="BX88" s="57"/>
      <c r="BY88" s="57"/>
      <c r="BZ88" s="57"/>
      <c r="CA88" s="57"/>
      <c r="CB88" s="57"/>
      <c r="CC88" s="57"/>
    </row>
    <row r="89" spans="1:81" s="6" customFormat="1">
      <c r="A89" s="1"/>
      <c r="B89" s="66"/>
      <c r="C89" s="71"/>
      <c r="D89" s="71"/>
      <c r="E89" s="71"/>
      <c r="F89" s="71"/>
      <c r="G89" s="71"/>
      <c r="H89" s="71"/>
      <c r="I89" s="71"/>
      <c r="J89" s="71"/>
      <c r="K89" s="71"/>
      <c r="L89" s="71"/>
      <c r="M89" s="71"/>
      <c r="N89" s="69"/>
      <c r="O89" s="66"/>
      <c r="P89" s="66"/>
      <c r="Q89" s="66"/>
      <c r="R89" s="66"/>
      <c r="S89" s="66"/>
      <c r="T89" s="66"/>
      <c r="U89" s="66"/>
      <c r="V89" s="66"/>
      <c r="W89" s="66"/>
      <c r="X89" s="66"/>
      <c r="Y89" s="66"/>
      <c r="Z89" s="66"/>
      <c r="AA89" s="66"/>
      <c r="AB89" s="66"/>
      <c r="AC89" s="66"/>
      <c r="AD89" s="66"/>
      <c r="AE89" s="66"/>
      <c r="AF89" s="66"/>
      <c r="AG89" s="66"/>
      <c r="AH89" s="66"/>
      <c r="AI89" s="66"/>
      <c r="AJ89" s="66"/>
      <c r="AK89" s="66"/>
      <c r="AL89" s="66"/>
      <c r="AM89" s="66"/>
      <c r="AN89" s="66"/>
      <c r="AO89" s="66"/>
      <c r="AP89" s="66"/>
      <c r="AQ89" s="66"/>
      <c r="AR89" s="61"/>
      <c r="AS89" s="68"/>
      <c r="AT89" s="67"/>
      <c r="AU89" s="64"/>
      <c r="AV89" s="65"/>
      <c r="AW89" s="63"/>
      <c r="AX89" s="65"/>
      <c r="AY89" s="64"/>
      <c r="AZ89" s="63"/>
      <c r="BA89" s="62"/>
      <c r="BB89" s="57"/>
      <c r="BC89" s="57"/>
      <c r="BD89" s="57"/>
      <c r="BE89" s="57"/>
      <c r="BF89" s="57"/>
      <c r="BG89" s="57"/>
      <c r="BH89" s="57"/>
      <c r="BI89" s="57"/>
      <c r="BJ89" s="57"/>
      <c r="BK89" s="57"/>
      <c r="BL89" s="57"/>
      <c r="BM89" s="57"/>
      <c r="BN89" s="57"/>
      <c r="BO89" s="57"/>
      <c r="BP89" s="57"/>
      <c r="BQ89" s="57"/>
      <c r="BR89" s="57"/>
      <c r="BS89" s="57"/>
      <c r="BT89" s="57"/>
      <c r="BU89" s="57"/>
      <c r="BV89" s="57"/>
      <c r="BW89" s="57"/>
      <c r="BX89" s="57"/>
      <c r="BY89" s="57"/>
      <c r="BZ89" s="57"/>
      <c r="CA89" s="57"/>
      <c r="CB89" s="57"/>
      <c r="CC89" s="57"/>
    </row>
    <row r="90" spans="1:81" s="6" customFormat="1">
      <c r="A90" s="1"/>
      <c r="B90" s="66"/>
      <c r="C90" s="71"/>
      <c r="D90" s="71"/>
      <c r="E90" s="71"/>
      <c r="F90" s="71"/>
      <c r="G90" s="71"/>
      <c r="H90" s="71"/>
      <c r="I90" s="71"/>
      <c r="J90" s="71"/>
      <c r="K90" s="71"/>
      <c r="L90" s="71"/>
      <c r="M90" s="71"/>
      <c r="N90" s="69"/>
      <c r="O90" s="66"/>
      <c r="P90" s="66"/>
      <c r="Q90" s="66"/>
      <c r="R90" s="66"/>
      <c r="S90" s="66"/>
      <c r="T90" s="66"/>
      <c r="U90" s="66"/>
      <c r="V90" s="66"/>
      <c r="W90" s="66"/>
      <c r="X90" s="66"/>
      <c r="Y90" s="66"/>
      <c r="Z90" s="66"/>
      <c r="AA90" s="66"/>
      <c r="AB90" s="66"/>
      <c r="AC90" s="66"/>
      <c r="AD90" s="66"/>
      <c r="AE90" s="66"/>
      <c r="AF90" s="66"/>
      <c r="AG90" s="66"/>
      <c r="AH90" s="66"/>
      <c r="AI90" s="66"/>
      <c r="AJ90" s="66"/>
      <c r="AK90" s="66"/>
      <c r="AL90" s="66"/>
      <c r="AM90" s="66"/>
      <c r="AN90" s="66"/>
      <c r="AO90" s="66"/>
      <c r="AP90" s="66"/>
      <c r="AQ90" s="66"/>
      <c r="AR90" s="61"/>
      <c r="AS90" s="68"/>
      <c r="AT90" s="67"/>
      <c r="AU90" s="64"/>
      <c r="AV90" s="65"/>
      <c r="AW90" s="63"/>
      <c r="AX90" s="65"/>
      <c r="AY90" s="64"/>
      <c r="AZ90" s="63"/>
      <c r="BA90" s="62"/>
      <c r="BB90" s="57"/>
      <c r="BC90" s="57"/>
      <c r="BD90" s="57"/>
      <c r="BE90" s="57"/>
      <c r="BF90" s="57"/>
      <c r="BG90" s="57"/>
      <c r="BH90" s="57"/>
      <c r="BI90" s="57"/>
      <c r="BJ90" s="57"/>
      <c r="BK90" s="57"/>
      <c r="BL90" s="57"/>
      <c r="BM90" s="57"/>
      <c r="BN90" s="57"/>
      <c r="BO90" s="57"/>
      <c r="BP90" s="57"/>
      <c r="BQ90" s="57"/>
      <c r="BR90" s="57"/>
      <c r="BS90" s="57"/>
      <c r="BT90" s="57"/>
      <c r="BU90" s="57"/>
      <c r="BV90" s="57"/>
      <c r="BW90" s="57"/>
      <c r="BX90" s="57"/>
      <c r="BY90" s="57"/>
      <c r="BZ90" s="57"/>
      <c r="CA90" s="57"/>
      <c r="CB90" s="57"/>
      <c r="CC90" s="57"/>
    </row>
    <row r="91" spans="1:81" s="6" customFormat="1">
      <c r="A91" s="1"/>
      <c r="B91" s="66"/>
      <c r="C91" s="71"/>
      <c r="D91" s="71"/>
      <c r="E91" s="71"/>
      <c r="F91" s="71"/>
      <c r="G91" s="71"/>
      <c r="H91" s="71"/>
      <c r="I91" s="71"/>
      <c r="J91" s="71"/>
      <c r="K91" s="71"/>
      <c r="L91" s="71"/>
      <c r="M91" s="71"/>
      <c r="N91" s="69"/>
      <c r="O91" s="66"/>
      <c r="P91" s="66"/>
      <c r="Q91" s="66"/>
      <c r="R91" s="66"/>
      <c r="S91" s="66"/>
      <c r="T91" s="66"/>
      <c r="U91" s="66"/>
      <c r="V91" s="66"/>
      <c r="W91" s="66"/>
      <c r="X91" s="66"/>
      <c r="Y91" s="66"/>
      <c r="Z91" s="66"/>
      <c r="AA91" s="66"/>
      <c r="AB91" s="66"/>
      <c r="AC91" s="66"/>
      <c r="AD91" s="66"/>
      <c r="AE91" s="66"/>
      <c r="AF91" s="66"/>
      <c r="AG91" s="66"/>
      <c r="AH91" s="66"/>
      <c r="AI91" s="66"/>
      <c r="AJ91" s="66"/>
      <c r="AK91" s="66"/>
      <c r="AL91" s="66"/>
      <c r="AM91" s="66"/>
      <c r="AN91" s="66"/>
      <c r="AO91" s="66"/>
      <c r="AP91" s="66"/>
      <c r="AQ91" s="66"/>
      <c r="AR91" s="61"/>
      <c r="AS91" s="68"/>
      <c r="AT91" s="67"/>
      <c r="AU91" s="64"/>
      <c r="AV91" s="65"/>
      <c r="AW91" s="63"/>
      <c r="AX91" s="65"/>
      <c r="AY91" s="64"/>
      <c r="AZ91" s="63"/>
      <c r="BA91" s="62"/>
      <c r="BB91" s="57"/>
      <c r="BC91" s="57"/>
      <c r="BD91" s="57"/>
      <c r="BE91" s="57"/>
      <c r="BF91" s="57"/>
      <c r="BG91" s="57"/>
      <c r="BH91" s="57"/>
      <c r="BI91" s="57"/>
      <c r="BJ91" s="57"/>
      <c r="BK91" s="57"/>
      <c r="BL91" s="57"/>
      <c r="BM91" s="57"/>
      <c r="BN91" s="57"/>
      <c r="BO91" s="57"/>
      <c r="BP91" s="57"/>
      <c r="BQ91" s="57"/>
      <c r="BR91" s="57"/>
      <c r="BS91" s="57"/>
      <c r="BT91" s="57"/>
      <c r="BU91" s="57"/>
      <c r="BV91" s="57"/>
      <c r="BW91" s="57"/>
      <c r="BX91" s="57"/>
      <c r="BY91" s="57"/>
      <c r="BZ91" s="57"/>
      <c r="CA91" s="57"/>
      <c r="CB91" s="57"/>
      <c r="CC91" s="57"/>
    </row>
    <row r="92" spans="1:81" s="6" customFormat="1">
      <c r="A92" s="1"/>
      <c r="B92" s="66"/>
      <c r="C92" s="71"/>
      <c r="D92" s="71"/>
      <c r="E92" s="71"/>
      <c r="F92" s="71"/>
      <c r="G92" s="71"/>
      <c r="H92" s="71"/>
      <c r="I92" s="71"/>
      <c r="J92" s="71"/>
      <c r="K92" s="71"/>
      <c r="L92" s="71"/>
      <c r="M92" s="71"/>
      <c r="N92" s="69"/>
      <c r="O92" s="66"/>
      <c r="P92" s="66"/>
      <c r="Q92" s="66"/>
      <c r="R92" s="66"/>
      <c r="S92" s="66"/>
      <c r="T92" s="66"/>
      <c r="U92" s="66"/>
      <c r="V92" s="66"/>
      <c r="W92" s="66"/>
      <c r="X92" s="66"/>
      <c r="Y92" s="66"/>
      <c r="Z92" s="66"/>
      <c r="AA92" s="66"/>
      <c r="AB92" s="66"/>
      <c r="AC92" s="66"/>
      <c r="AD92" s="66"/>
      <c r="AE92" s="66"/>
      <c r="AF92" s="66"/>
      <c r="AG92" s="66"/>
      <c r="AH92" s="66"/>
      <c r="AI92" s="66"/>
      <c r="AJ92" s="66"/>
      <c r="AK92" s="66"/>
      <c r="AL92" s="66"/>
      <c r="AM92" s="66"/>
      <c r="AN92" s="66"/>
      <c r="AO92" s="66"/>
      <c r="AP92" s="66"/>
      <c r="AQ92" s="66"/>
      <c r="AR92" s="61"/>
      <c r="AS92" s="68"/>
      <c r="AT92" s="67"/>
      <c r="AU92" s="64"/>
      <c r="AV92" s="65"/>
      <c r="AW92" s="63"/>
      <c r="AX92" s="65"/>
      <c r="AY92" s="64"/>
      <c r="AZ92" s="63"/>
      <c r="BA92" s="62"/>
      <c r="BB92" s="57"/>
      <c r="BC92" s="57"/>
      <c r="BD92" s="57"/>
      <c r="BE92" s="57"/>
      <c r="BF92" s="57"/>
      <c r="BG92" s="57"/>
      <c r="BH92" s="57"/>
      <c r="BI92" s="57"/>
      <c r="BJ92" s="57"/>
      <c r="BK92" s="57"/>
      <c r="BL92" s="57"/>
      <c r="BM92" s="57"/>
      <c r="BN92" s="57"/>
      <c r="BO92" s="57"/>
      <c r="BP92" s="57"/>
      <c r="BQ92" s="57"/>
      <c r="BR92" s="57"/>
      <c r="BS92" s="57"/>
      <c r="BT92" s="57"/>
      <c r="BU92" s="57"/>
      <c r="BV92" s="57"/>
      <c r="BW92" s="57"/>
      <c r="BX92" s="57"/>
      <c r="BY92" s="57"/>
      <c r="BZ92" s="57"/>
      <c r="CA92" s="57"/>
      <c r="CB92" s="57"/>
      <c r="CC92" s="57"/>
    </row>
    <row r="93" spans="1:81" s="6" customFormat="1">
      <c r="A93" s="1"/>
      <c r="B93" s="66"/>
      <c r="C93" s="71"/>
      <c r="D93" s="71"/>
      <c r="E93" s="71"/>
      <c r="F93" s="71"/>
      <c r="G93" s="71"/>
      <c r="H93" s="71"/>
      <c r="I93" s="71"/>
      <c r="J93" s="71"/>
      <c r="K93" s="71"/>
      <c r="L93" s="71"/>
      <c r="M93" s="71"/>
      <c r="N93" s="69"/>
      <c r="O93" s="66"/>
      <c r="P93" s="66"/>
      <c r="Q93" s="66"/>
      <c r="R93" s="66"/>
      <c r="S93" s="66"/>
      <c r="T93" s="66"/>
      <c r="U93" s="66"/>
      <c r="V93" s="66"/>
      <c r="W93" s="66"/>
      <c r="X93" s="66"/>
      <c r="Y93" s="66"/>
      <c r="Z93" s="66"/>
      <c r="AA93" s="66"/>
      <c r="AB93" s="66"/>
      <c r="AC93" s="66"/>
      <c r="AD93" s="66"/>
      <c r="AE93" s="66"/>
      <c r="AF93" s="66"/>
      <c r="AG93" s="66"/>
      <c r="AH93" s="66"/>
      <c r="AI93" s="66"/>
      <c r="AJ93" s="66"/>
      <c r="AK93" s="66"/>
      <c r="AL93" s="66"/>
      <c r="AM93" s="66"/>
      <c r="AN93" s="66"/>
      <c r="AO93" s="66"/>
      <c r="AP93" s="66"/>
      <c r="AQ93" s="66"/>
      <c r="AR93" s="61"/>
      <c r="AS93" s="68"/>
      <c r="AT93" s="67"/>
      <c r="AU93" s="64"/>
      <c r="AV93" s="65"/>
      <c r="AW93" s="63"/>
      <c r="AX93" s="65"/>
      <c r="AY93" s="64"/>
      <c r="AZ93" s="63"/>
      <c r="BA93" s="62"/>
      <c r="BB93" s="57"/>
      <c r="BC93" s="57"/>
      <c r="BD93" s="57"/>
      <c r="BE93" s="57"/>
      <c r="BF93" s="57"/>
      <c r="BG93" s="57"/>
      <c r="BH93" s="57"/>
      <c r="BI93" s="57"/>
      <c r="BJ93" s="57"/>
      <c r="BK93" s="57"/>
      <c r="BL93" s="57"/>
      <c r="BM93" s="57"/>
      <c r="BN93" s="57"/>
      <c r="BO93" s="57"/>
      <c r="BP93" s="57"/>
      <c r="BQ93" s="57"/>
      <c r="BR93" s="57"/>
      <c r="BS93" s="57"/>
      <c r="BT93" s="57"/>
      <c r="BU93" s="57"/>
      <c r="BV93" s="57"/>
      <c r="BW93" s="57"/>
      <c r="BX93" s="57"/>
      <c r="BY93" s="57"/>
      <c r="BZ93" s="57"/>
      <c r="CA93" s="57"/>
      <c r="CB93" s="57"/>
      <c r="CC93" s="57"/>
    </row>
    <row r="94" spans="1:81" s="6" customFormat="1">
      <c r="A94" s="1"/>
      <c r="B94" s="66"/>
      <c r="C94" s="71"/>
      <c r="D94" s="71"/>
      <c r="E94" s="71"/>
      <c r="F94" s="71"/>
      <c r="G94" s="71"/>
      <c r="H94" s="71"/>
      <c r="I94" s="71"/>
      <c r="J94" s="71"/>
      <c r="K94" s="71"/>
      <c r="L94" s="71"/>
      <c r="M94" s="71"/>
      <c r="N94" s="69"/>
      <c r="O94" s="66"/>
      <c r="P94" s="66"/>
      <c r="Q94" s="66"/>
      <c r="R94" s="66"/>
      <c r="S94" s="66"/>
      <c r="T94" s="66"/>
      <c r="U94" s="66"/>
      <c r="V94" s="66"/>
      <c r="W94" s="66"/>
      <c r="X94" s="66"/>
      <c r="Y94" s="66"/>
      <c r="Z94" s="66"/>
      <c r="AA94" s="66"/>
      <c r="AB94" s="66"/>
      <c r="AC94" s="66"/>
      <c r="AD94" s="66"/>
      <c r="AE94" s="66"/>
      <c r="AF94" s="66"/>
      <c r="AG94" s="66"/>
      <c r="AH94" s="66"/>
      <c r="AI94" s="66"/>
      <c r="AJ94" s="66"/>
      <c r="AK94" s="66"/>
      <c r="AL94" s="66"/>
      <c r="AM94" s="66"/>
      <c r="AN94" s="66"/>
      <c r="AO94" s="66"/>
      <c r="AP94" s="66"/>
      <c r="AQ94" s="66"/>
      <c r="AR94" s="61"/>
      <c r="AS94" s="68"/>
      <c r="AT94" s="67"/>
      <c r="AU94" s="72"/>
      <c r="AV94" s="65"/>
      <c r="AW94" s="63"/>
      <c r="AX94" s="65"/>
      <c r="AY94" s="64"/>
      <c r="AZ94" s="63"/>
      <c r="BA94" s="62"/>
      <c r="BB94" s="57"/>
      <c r="BC94" s="57"/>
      <c r="BD94" s="57"/>
      <c r="BE94" s="57"/>
      <c r="BF94" s="57"/>
      <c r="BG94" s="57"/>
      <c r="BH94" s="57"/>
      <c r="BI94" s="57"/>
      <c r="BJ94" s="57"/>
      <c r="BK94" s="57"/>
      <c r="BL94" s="57"/>
      <c r="BM94" s="57"/>
      <c r="BN94" s="57"/>
      <c r="BO94" s="57"/>
      <c r="BP94" s="57"/>
      <c r="BQ94" s="57"/>
      <c r="BR94" s="57"/>
      <c r="BS94" s="57"/>
      <c r="BT94" s="57"/>
      <c r="BU94" s="57"/>
      <c r="BV94" s="57"/>
      <c r="BW94" s="57"/>
      <c r="BX94" s="57"/>
      <c r="BY94" s="57"/>
      <c r="BZ94" s="57"/>
      <c r="CA94" s="57"/>
      <c r="CB94" s="57"/>
      <c r="CC94" s="57"/>
    </row>
    <row r="95" spans="1:81" s="6" customFormat="1">
      <c r="A95" s="1"/>
      <c r="B95" s="66"/>
      <c r="C95" s="71"/>
      <c r="D95" s="71"/>
      <c r="E95" s="71"/>
      <c r="F95" s="71"/>
      <c r="G95" s="71"/>
      <c r="H95" s="71"/>
      <c r="I95" s="71"/>
      <c r="J95" s="71"/>
      <c r="K95" s="71"/>
      <c r="L95" s="71"/>
      <c r="M95" s="71"/>
      <c r="N95" s="69"/>
      <c r="O95" s="66"/>
      <c r="P95" s="66"/>
      <c r="Q95" s="66"/>
      <c r="R95" s="66"/>
      <c r="S95" s="66"/>
      <c r="T95" s="66"/>
      <c r="U95" s="66"/>
      <c r="V95" s="66"/>
      <c r="W95" s="66"/>
      <c r="X95" s="66"/>
      <c r="Y95" s="66"/>
      <c r="Z95" s="66"/>
      <c r="AA95" s="66"/>
      <c r="AB95" s="66"/>
      <c r="AC95" s="66"/>
      <c r="AD95" s="66"/>
      <c r="AE95" s="66"/>
      <c r="AF95" s="66"/>
      <c r="AG95" s="66"/>
      <c r="AH95" s="66"/>
      <c r="AI95" s="66"/>
      <c r="AJ95" s="66"/>
      <c r="AK95" s="66"/>
      <c r="AL95" s="66"/>
      <c r="AM95" s="66"/>
      <c r="AN95" s="66"/>
      <c r="AO95" s="66"/>
      <c r="AP95" s="66"/>
      <c r="AQ95" s="66"/>
      <c r="AR95" s="61"/>
      <c r="AS95" s="68"/>
      <c r="AT95" s="67"/>
      <c r="AU95" s="72"/>
      <c r="AV95" s="65"/>
      <c r="AW95" s="63"/>
      <c r="AX95" s="65"/>
      <c r="AY95" s="64"/>
      <c r="AZ95" s="63"/>
      <c r="BA95" s="62"/>
      <c r="BB95" s="57"/>
      <c r="BC95" s="57"/>
      <c r="BD95" s="57"/>
      <c r="BE95" s="57"/>
      <c r="BF95" s="57"/>
      <c r="BG95" s="57"/>
      <c r="BH95" s="57"/>
      <c r="BI95" s="57"/>
      <c r="BJ95" s="57"/>
      <c r="BK95" s="57"/>
      <c r="BL95" s="57"/>
      <c r="BM95" s="57"/>
      <c r="BN95" s="57"/>
      <c r="BO95" s="57"/>
      <c r="BP95" s="57"/>
      <c r="BQ95" s="57"/>
      <c r="BR95" s="57"/>
      <c r="BS95" s="57"/>
      <c r="BT95" s="57"/>
      <c r="BU95" s="57"/>
      <c r="BV95" s="57"/>
      <c r="BW95" s="57"/>
      <c r="BX95" s="57"/>
      <c r="BY95" s="57"/>
      <c r="BZ95" s="57"/>
      <c r="CA95" s="57"/>
      <c r="CB95" s="57"/>
      <c r="CC95" s="57"/>
    </row>
    <row r="96" spans="1:81">
      <c r="A96" s="1"/>
      <c r="B96" s="66"/>
      <c r="C96" s="71"/>
      <c r="D96" s="71"/>
      <c r="E96" s="71"/>
      <c r="F96" s="71"/>
      <c r="G96" s="71"/>
      <c r="H96" s="71"/>
      <c r="I96" s="71"/>
      <c r="J96" s="71"/>
      <c r="K96" s="71"/>
      <c r="L96" s="71"/>
      <c r="M96" s="71"/>
      <c r="N96" s="69"/>
      <c r="O96" s="66"/>
      <c r="P96" s="66"/>
      <c r="Q96" s="66"/>
      <c r="R96" s="66"/>
      <c r="S96" s="66"/>
      <c r="T96" s="66"/>
      <c r="U96" s="66"/>
      <c r="V96" s="66"/>
      <c r="W96" s="66"/>
      <c r="X96" s="66"/>
      <c r="Y96" s="66"/>
      <c r="Z96" s="66"/>
      <c r="AA96" s="66"/>
      <c r="AB96" s="66"/>
      <c r="AC96" s="66"/>
      <c r="AD96" s="66"/>
      <c r="AE96" s="66"/>
      <c r="AF96" s="66"/>
      <c r="AG96" s="66"/>
      <c r="AH96" s="66"/>
      <c r="AI96" s="66"/>
      <c r="AJ96" s="66"/>
      <c r="AK96" s="66"/>
      <c r="AL96" s="66"/>
      <c r="AM96" s="66"/>
      <c r="AN96" s="66"/>
      <c r="AO96" s="66"/>
      <c r="AP96" s="66"/>
      <c r="AQ96" s="66"/>
      <c r="AR96" s="61"/>
      <c r="AS96" s="68"/>
      <c r="AT96" s="67"/>
      <c r="AU96" s="64"/>
      <c r="AV96" s="65"/>
      <c r="AW96" s="63"/>
      <c r="AX96" s="65"/>
      <c r="AY96" s="64"/>
      <c r="AZ96" s="63"/>
      <c r="BA96" s="62"/>
    </row>
    <row r="97" spans="1:53">
      <c r="A97" s="1"/>
      <c r="B97" s="66"/>
      <c r="C97" s="71"/>
      <c r="D97" s="71"/>
      <c r="E97" s="71"/>
      <c r="F97" s="71"/>
      <c r="G97" s="71"/>
      <c r="H97" s="71"/>
      <c r="I97" s="71"/>
      <c r="J97" s="71"/>
      <c r="K97" s="71"/>
      <c r="L97" s="71"/>
      <c r="M97" s="71"/>
      <c r="N97" s="69"/>
      <c r="O97" s="66"/>
      <c r="P97" s="66"/>
      <c r="Q97" s="66"/>
      <c r="R97" s="66"/>
      <c r="S97" s="66"/>
      <c r="T97" s="66"/>
      <c r="U97" s="66"/>
      <c r="V97" s="66"/>
      <c r="W97" s="66"/>
      <c r="X97" s="66"/>
      <c r="Y97" s="66"/>
      <c r="Z97" s="66"/>
      <c r="AA97" s="66"/>
      <c r="AB97" s="66"/>
      <c r="AC97" s="66"/>
      <c r="AD97" s="66"/>
      <c r="AE97" s="66"/>
      <c r="AF97" s="66"/>
      <c r="AG97" s="66"/>
      <c r="AH97" s="66"/>
      <c r="AI97" s="66"/>
      <c r="AJ97" s="66"/>
      <c r="AK97" s="66"/>
      <c r="AL97" s="66"/>
      <c r="AM97" s="66"/>
      <c r="AN97" s="66"/>
      <c r="AO97" s="66"/>
      <c r="AP97" s="66"/>
      <c r="AQ97" s="66"/>
      <c r="AR97" s="61"/>
      <c r="AS97" s="68"/>
      <c r="AT97" s="67"/>
      <c r="AU97" s="64"/>
      <c r="AV97" s="65"/>
      <c r="AW97" s="63"/>
      <c r="AX97" s="65"/>
      <c r="AY97" s="64"/>
      <c r="AZ97" s="63"/>
      <c r="BA97" s="62"/>
    </row>
    <row r="98" spans="1:53">
      <c r="A98" s="1"/>
      <c r="B98" s="66"/>
      <c r="C98" s="71"/>
      <c r="D98" s="71"/>
      <c r="E98" s="71"/>
      <c r="F98" s="71"/>
      <c r="G98" s="71"/>
      <c r="H98" s="71"/>
      <c r="I98" s="71"/>
      <c r="J98" s="71"/>
      <c r="K98" s="71"/>
      <c r="L98" s="71"/>
      <c r="M98" s="71"/>
      <c r="N98" s="69"/>
      <c r="O98" s="66"/>
      <c r="P98" s="66"/>
      <c r="Q98" s="66"/>
      <c r="R98" s="66"/>
      <c r="S98" s="66"/>
      <c r="T98" s="66"/>
      <c r="U98" s="66"/>
      <c r="V98" s="66"/>
      <c r="W98" s="66"/>
      <c r="X98" s="66"/>
      <c r="Y98" s="66"/>
      <c r="Z98" s="66"/>
      <c r="AA98" s="66"/>
      <c r="AB98" s="66"/>
      <c r="AC98" s="66"/>
      <c r="AD98" s="66"/>
      <c r="AE98" s="66"/>
      <c r="AF98" s="66"/>
      <c r="AG98" s="66"/>
      <c r="AH98" s="66"/>
      <c r="AI98" s="66"/>
      <c r="AJ98" s="66"/>
      <c r="AK98" s="66"/>
      <c r="AL98" s="66"/>
      <c r="AM98" s="66"/>
      <c r="AN98" s="66"/>
      <c r="AO98" s="66"/>
      <c r="AP98" s="66"/>
      <c r="AQ98" s="66"/>
      <c r="AR98" s="61"/>
      <c r="AS98" s="68"/>
      <c r="AT98" s="67"/>
      <c r="AU98" s="64"/>
      <c r="AV98" s="65"/>
      <c r="AW98" s="63"/>
      <c r="AX98" s="65"/>
      <c r="AY98" s="64"/>
      <c r="AZ98" s="63"/>
      <c r="BA98" s="62"/>
    </row>
    <row r="99" spans="1:53">
      <c r="A99" s="1"/>
      <c r="B99" s="66"/>
      <c r="C99" s="71"/>
      <c r="D99" s="71"/>
      <c r="E99" s="71"/>
      <c r="F99" s="71"/>
      <c r="G99" s="71"/>
      <c r="H99" s="71"/>
      <c r="I99" s="71"/>
      <c r="J99" s="71"/>
      <c r="K99" s="71"/>
      <c r="L99" s="71"/>
      <c r="M99" s="71"/>
      <c r="N99" s="66"/>
      <c r="O99" s="66"/>
      <c r="P99" s="66"/>
      <c r="Q99" s="66"/>
      <c r="R99" s="66"/>
      <c r="S99" s="66"/>
      <c r="T99" s="66"/>
      <c r="U99" s="66"/>
      <c r="V99" s="66"/>
      <c r="W99" s="66"/>
      <c r="X99" s="66"/>
      <c r="Y99" s="66"/>
      <c r="Z99" s="66"/>
      <c r="AA99" s="66"/>
      <c r="AB99" s="66"/>
      <c r="AC99" s="66"/>
      <c r="AD99" s="66"/>
      <c r="AE99" s="66"/>
      <c r="AF99" s="66"/>
      <c r="AG99" s="66"/>
      <c r="AH99" s="66"/>
      <c r="AI99" s="66"/>
      <c r="AJ99" s="66"/>
      <c r="AK99" s="66"/>
      <c r="AL99" s="66"/>
      <c r="AM99" s="66"/>
      <c r="AN99" s="66"/>
      <c r="AO99" s="66"/>
      <c r="AP99" s="66"/>
      <c r="AQ99" s="66"/>
      <c r="AR99" s="61"/>
      <c r="AS99" s="68"/>
      <c r="AT99" s="67"/>
      <c r="AU99" s="64"/>
      <c r="AV99" s="65"/>
      <c r="AW99" s="63"/>
      <c r="AX99" s="65"/>
      <c r="AY99" s="64"/>
      <c r="AZ99" s="63"/>
      <c r="BA99" s="62"/>
    </row>
    <row r="100" spans="1:53">
      <c r="A100" s="1"/>
      <c r="B100" s="66"/>
      <c r="C100" s="71"/>
      <c r="D100" s="71"/>
      <c r="E100" s="71"/>
      <c r="F100" s="71"/>
      <c r="G100" s="71"/>
      <c r="H100" s="71"/>
      <c r="I100" s="71"/>
      <c r="J100" s="71"/>
      <c r="K100" s="71"/>
      <c r="L100" s="71"/>
      <c r="M100" s="71"/>
      <c r="N100" s="66"/>
      <c r="O100" s="66"/>
      <c r="P100" s="66"/>
      <c r="Q100" s="66"/>
      <c r="R100" s="66"/>
      <c r="S100" s="66"/>
      <c r="T100" s="66"/>
      <c r="U100" s="66"/>
      <c r="V100" s="66"/>
      <c r="W100" s="66"/>
      <c r="X100" s="66"/>
      <c r="Y100" s="66"/>
      <c r="Z100" s="66"/>
      <c r="AA100" s="66"/>
      <c r="AB100" s="66"/>
      <c r="AC100" s="66"/>
      <c r="AD100" s="66"/>
      <c r="AE100" s="66"/>
      <c r="AF100" s="66"/>
      <c r="AG100" s="66"/>
      <c r="AH100" s="66"/>
      <c r="AI100" s="66"/>
      <c r="AJ100" s="66"/>
      <c r="AK100" s="66"/>
      <c r="AL100" s="66"/>
      <c r="AM100" s="66"/>
      <c r="AN100" s="66"/>
      <c r="AO100" s="66"/>
      <c r="AP100" s="66"/>
      <c r="AQ100" s="66"/>
      <c r="AR100" s="61"/>
      <c r="AS100" s="68"/>
      <c r="AT100" s="67"/>
      <c r="AU100" s="64"/>
      <c r="AV100" s="65"/>
      <c r="AW100" s="63"/>
      <c r="AX100" s="65"/>
      <c r="AY100" s="64"/>
      <c r="AZ100" s="63"/>
      <c r="BA100" s="62"/>
    </row>
    <row r="101" spans="1:53">
      <c r="A101" s="1"/>
      <c r="B101" s="66"/>
      <c r="C101" s="71"/>
      <c r="D101" s="71"/>
      <c r="E101" s="71"/>
      <c r="F101" s="71"/>
      <c r="G101" s="71"/>
      <c r="H101" s="71"/>
      <c r="I101" s="71"/>
      <c r="J101" s="71"/>
      <c r="K101" s="71"/>
      <c r="L101" s="71"/>
      <c r="M101" s="71"/>
      <c r="N101" s="66"/>
      <c r="O101" s="66"/>
      <c r="P101" s="66"/>
      <c r="Q101" s="66"/>
      <c r="R101" s="66"/>
      <c r="S101" s="66"/>
      <c r="T101" s="66"/>
      <c r="U101" s="66"/>
      <c r="V101" s="66"/>
      <c r="W101" s="66"/>
      <c r="X101" s="66"/>
      <c r="Y101" s="66"/>
      <c r="Z101" s="66"/>
      <c r="AA101" s="66"/>
      <c r="AB101" s="66"/>
      <c r="AC101" s="66"/>
      <c r="AD101" s="66"/>
      <c r="AE101" s="66"/>
      <c r="AF101" s="66"/>
      <c r="AG101" s="66"/>
      <c r="AH101" s="66"/>
      <c r="AI101" s="66"/>
      <c r="AJ101" s="66"/>
      <c r="AK101" s="66"/>
      <c r="AL101" s="66"/>
      <c r="AM101" s="66"/>
      <c r="AN101" s="66"/>
      <c r="AO101" s="66"/>
      <c r="AP101" s="66"/>
      <c r="AQ101" s="66"/>
      <c r="AR101" s="61"/>
      <c r="AS101" s="68"/>
      <c r="AT101" s="67"/>
      <c r="AU101" s="64"/>
      <c r="AV101" s="65"/>
      <c r="AW101" s="63"/>
      <c r="AX101" s="65"/>
      <c r="AY101" s="64"/>
      <c r="AZ101" s="63"/>
      <c r="BA101" s="62"/>
    </row>
    <row r="102" spans="1:53">
      <c r="A102" s="1"/>
      <c r="B102" s="66"/>
      <c r="C102" s="71"/>
      <c r="D102" s="71"/>
      <c r="E102" s="71"/>
      <c r="F102" s="71"/>
      <c r="G102" s="71"/>
      <c r="H102" s="71"/>
      <c r="I102" s="71"/>
      <c r="J102" s="71"/>
      <c r="K102" s="71"/>
      <c r="L102" s="71"/>
      <c r="M102" s="71"/>
      <c r="N102" s="66"/>
      <c r="O102" s="66"/>
      <c r="P102" s="66"/>
      <c r="Q102" s="66"/>
      <c r="R102" s="66"/>
      <c r="S102" s="66"/>
      <c r="T102" s="66"/>
      <c r="U102" s="66"/>
      <c r="V102" s="66"/>
      <c r="W102" s="66"/>
      <c r="X102" s="66"/>
      <c r="Y102" s="66"/>
      <c r="Z102" s="66"/>
      <c r="AA102" s="66"/>
      <c r="AB102" s="66"/>
      <c r="AC102" s="66"/>
      <c r="AD102" s="66"/>
      <c r="AE102" s="66"/>
      <c r="AF102" s="66"/>
      <c r="AG102" s="66"/>
      <c r="AH102" s="66"/>
      <c r="AI102" s="66"/>
      <c r="AJ102" s="66"/>
      <c r="AK102" s="66"/>
      <c r="AL102" s="66"/>
      <c r="AM102" s="66"/>
      <c r="AN102" s="66"/>
      <c r="AO102" s="66"/>
      <c r="AP102" s="66"/>
      <c r="AQ102" s="66"/>
      <c r="AR102" s="61"/>
      <c r="AS102" s="68"/>
      <c r="AT102" s="67"/>
      <c r="AU102" s="70"/>
      <c r="AV102" s="65"/>
      <c r="AW102" s="63"/>
      <c r="AX102" s="65"/>
      <c r="AY102" s="64"/>
      <c r="AZ102" s="63"/>
      <c r="BA102" s="62"/>
    </row>
    <row r="103" spans="1:53">
      <c r="A103" s="1"/>
      <c r="B103" s="66"/>
      <c r="C103" s="71"/>
      <c r="D103" s="71"/>
      <c r="E103" s="71"/>
      <c r="F103" s="71"/>
      <c r="G103" s="71"/>
      <c r="H103" s="71"/>
      <c r="I103" s="71"/>
      <c r="J103" s="71"/>
      <c r="K103" s="71"/>
      <c r="L103" s="71"/>
      <c r="M103" s="71"/>
      <c r="N103" s="66"/>
      <c r="O103" s="66"/>
      <c r="P103" s="66"/>
      <c r="Q103" s="66"/>
      <c r="R103" s="66"/>
      <c r="S103" s="66"/>
      <c r="T103" s="66"/>
      <c r="U103" s="66"/>
      <c r="V103" s="66"/>
      <c r="W103" s="66"/>
      <c r="X103" s="66"/>
      <c r="Y103" s="66"/>
      <c r="Z103" s="66"/>
      <c r="AA103" s="66"/>
      <c r="AB103" s="66"/>
      <c r="AC103" s="66"/>
      <c r="AD103" s="66"/>
      <c r="AE103" s="66"/>
      <c r="AF103" s="66"/>
      <c r="AG103" s="66"/>
      <c r="AH103" s="66"/>
      <c r="AI103" s="66"/>
      <c r="AJ103" s="66"/>
      <c r="AK103" s="66"/>
      <c r="AL103" s="66"/>
      <c r="AM103" s="66"/>
      <c r="AN103" s="66"/>
      <c r="AO103" s="66"/>
      <c r="AP103" s="66"/>
      <c r="AQ103" s="66"/>
      <c r="AR103" s="61"/>
      <c r="AS103" s="68"/>
      <c r="AT103" s="67"/>
      <c r="AU103" s="64"/>
      <c r="AV103" s="65"/>
      <c r="AW103" s="63"/>
      <c r="AX103" s="65"/>
      <c r="AY103" s="64"/>
      <c r="AZ103" s="63"/>
      <c r="BA103" s="62"/>
    </row>
    <row r="104" spans="1:53">
      <c r="A104" s="1"/>
      <c r="B104" s="66"/>
      <c r="C104" s="71"/>
      <c r="D104" s="71"/>
      <c r="E104" s="71"/>
      <c r="F104" s="71"/>
      <c r="G104" s="71"/>
      <c r="H104" s="71"/>
      <c r="I104" s="71"/>
      <c r="J104" s="71"/>
      <c r="K104" s="71"/>
      <c r="L104" s="71"/>
      <c r="M104" s="71"/>
      <c r="N104" s="66"/>
      <c r="O104" s="66"/>
      <c r="P104" s="66"/>
      <c r="Q104" s="66"/>
      <c r="R104" s="66"/>
      <c r="S104" s="66"/>
      <c r="T104" s="66"/>
      <c r="U104" s="66"/>
      <c r="V104" s="66"/>
      <c r="W104" s="66"/>
      <c r="X104" s="66"/>
      <c r="Y104" s="66"/>
      <c r="Z104" s="66"/>
      <c r="AA104" s="66"/>
      <c r="AB104" s="66"/>
      <c r="AC104" s="66"/>
      <c r="AD104" s="66"/>
      <c r="AE104" s="66"/>
      <c r="AF104" s="66"/>
      <c r="AG104" s="66"/>
      <c r="AH104" s="66"/>
      <c r="AI104" s="66"/>
      <c r="AJ104" s="66"/>
      <c r="AK104" s="66"/>
      <c r="AL104" s="66"/>
      <c r="AM104" s="66"/>
      <c r="AN104" s="66"/>
      <c r="AO104" s="66"/>
      <c r="AP104" s="66"/>
      <c r="AQ104" s="66"/>
      <c r="AR104" s="61"/>
      <c r="AS104" s="68"/>
      <c r="AT104" s="67"/>
      <c r="AU104" s="64"/>
      <c r="AV104" s="65"/>
      <c r="AW104" s="63"/>
      <c r="AX104" s="65"/>
      <c r="AY104" s="64"/>
      <c r="AZ104" s="63"/>
      <c r="BA104" s="62"/>
    </row>
    <row r="105" spans="1:53">
      <c r="A105" s="1"/>
      <c r="B105" s="66"/>
      <c r="C105" s="71"/>
      <c r="D105" s="71"/>
      <c r="E105" s="71"/>
      <c r="F105" s="71"/>
      <c r="G105" s="71"/>
      <c r="H105" s="71"/>
      <c r="I105" s="71"/>
      <c r="J105" s="71"/>
      <c r="K105" s="71"/>
      <c r="L105" s="71"/>
      <c r="M105" s="71"/>
      <c r="N105" s="66"/>
      <c r="O105" s="66"/>
      <c r="P105" s="66"/>
      <c r="Q105" s="66"/>
      <c r="R105" s="66"/>
      <c r="S105" s="66"/>
      <c r="T105" s="66"/>
      <c r="U105" s="66"/>
      <c r="V105" s="66"/>
      <c r="W105" s="66"/>
      <c r="X105" s="66"/>
      <c r="Y105" s="66"/>
      <c r="Z105" s="66"/>
      <c r="AA105" s="66"/>
      <c r="AB105" s="66"/>
      <c r="AC105" s="66"/>
      <c r="AD105" s="66"/>
      <c r="AE105" s="66"/>
      <c r="AF105" s="66"/>
      <c r="AG105" s="66"/>
      <c r="AH105" s="66"/>
      <c r="AI105" s="66"/>
      <c r="AJ105" s="66"/>
      <c r="AK105" s="66"/>
      <c r="AL105" s="66"/>
      <c r="AM105" s="66"/>
      <c r="AN105" s="66"/>
      <c r="AO105" s="66"/>
      <c r="AP105" s="66"/>
      <c r="AQ105" s="66"/>
      <c r="AR105" s="61"/>
      <c r="AS105" s="68"/>
      <c r="AT105" s="67"/>
      <c r="AU105" s="64"/>
      <c r="AV105" s="65"/>
      <c r="AW105" s="63"/>
      <c r="AX105" s="65"/>
      <c r="AY105" s="64"/>
      <c r="AZ105" s="63"/>
      <c r="BA105" s="62"/>
    </row>
    <row r="106" spans="1:53">
      <c r="A106" s="1"/>
      <c r="B106" s="66"/>
      <c r="C106" s="71"/>
      <c r="D106" s="71"/>
      <c r="E106" s="71"/>
      <c r="F106" s="71"/>
      <c r="G106" s="71"/>
      <c r="H106" s="71"/>
      <c r="I106" s="71"/>
      <c r="J106" s="71"/>
      <c r="K106" s="71"/>
      <c r="L106" s="71"/>
      <c r="M106" s="71"/>
      <c r="N106" s="66"/>
      <c r="O106" s="66"/>
      <c r="P106" s="66"/>
      <c r="Q106" s="66"/>
      <c r="R106" s="66"/>
      <c r="S106" s="66"/>
      <c r="T106" s="66"/>
      <c r="U106" s="66"/>
      <c r="V106" s="66"/>
      <c r="W106" s="66"/>
      <c r="X106" s="66"/>
      <c r="Y106" s="66"/>
      <c r="Z106" s="66"/>
      <c r="AA106" s="66"/>
      <c r="AB106" s="66"/>
      <c r="AC106" s="66"/>
      <c r="AD106" s="66"/>
      <c r="AE106" s="66"/>
      <c r="AF106" s="66"/>
      <c r="AG106" s="66"/>
      <c r="AH106" s="66"/>
      <c r="AI106" s="66"/>
      <c r="AJ106" s="66"/>
      <c r="AK106" s="66"/>
      <c r="AL106" s="66"/>
      <c r="AM106" s="66"/>
      <c r="AN106" s="66"/>
      <c r="AO106" s="66"/>
      <c r="AP106" s="66"/>
      <c r="AQ106" s="66"/>
      <c r="AR106" s="61"/>
      <c r="AS106" s="68"/>
      <c r="AT106" s="67"/>
      <c r="AU106" s="64"/>
      <c r="AV106" s="65"/>
      <c r="AW106" s="63"/>
      <c r="AX106" s="65"/>
      <c r="AY106" s="64"/>
      <c r="AZ106" s="63"/>
      <c r="BA106" s="62"/>
    </row>
    <row r="107" spans="1:53">
      <c r="A107" s="1"/>
      <c r="B107" s="66"/>
      <c r="C107" s="71"/>
      <c r="D107" s="71"/>
      <c r="E107" s="71"/>
      <c r="F107" s="71"/>
      <c r="G107" s="71"/>
      <c r="H107" s="71"/>
      <c r="I107" s="71"/>
      <c r="J107" s="71"/>
      <c r="K107" s="71"/>
      <c r="L107" s="71"/>
      <c r="M107" s="71"/>
      <c r="N107" s="66"/>
      <c r="O107" s="66"/>
      <c r="P107" s="66"/>
      <c r="Q107" s="66"/>
      <c r="R107" s="66"/>
      <c r="S107" s="66"/>
      <c r="T107" s="66"/>
      <c r="U107" s="66"/>
      <c r="V107" s="66"/>
      <c r="W107" s="66"/>
      <c r="X107" s="66"/>
      <c r="Y107" s="66"/>
      <c r="Z107" s="66"/>
      <c r="AA107" s="66"/>
      <c r="AB107" s="66"/>
      <c r="AC107" s="66"/>
      <c r="AD107" s="66"/>
      <c r="AE107" s="66"/>
      <c r="AF107" s="66"/>
      <c r="AG107" s="66"/>
      <c r="AH107" s="66"/>
      <c r="AI107" s="66"/>
      <c r="AJ107" s="66"/>
      <c r="AK107" s="66"/>
      <c r="AL107" s="66"/>
      <c r="AM107" s="66"/>
      <c r="AN107" s="66"/>
      <c r="AO107" s="66"/>
      <c r="AP107" s="66"/>
      <c r="AQ107" s="66"/>
      <c r="AR107" s="61"/>
      <c r="AS107" s="68"/>
      <c r="AT107" s="67"/>
      <c r="AU107" s="64"/>
      <c r="AV107" s="65"/>
      <c r="AW107" s="63"/>
      <c r="AX107" s="65"/>
      <c r="AY107" s="64"/>
      <c r="AZ107" s="63"/>
      <c r="BA107" s="62"/>
    </row>
    <row r="108" spans="1:53">
      <c r="A108" s="1"/>
      <c r="B108" s="66"/>
      <c r="C108" s="71"/>
      <c r="D108" s="71"/>
      <c r="E108" s="71"/>
      <c r="F108" s="71"/>
      <c r="G108" s="71"/>
      <c r="H108" s="71"/>
      <c r="I108" s="71"/>
      <c r="J108" s="71"/>
      <c r="K108" s="71"/>
      <c r="L108" s="71"/>
      <c r="M108" s="71"/>
      <c r="N108" s="66"/>
      <c r="O108" s="66"/>
      <c r="P108" s="66"/>
      <c r="Q108" s="66"/>
      <c r="R108" s="66"/>
      <c r="S108" s="66"/>
      <c r="T108" s="66"/>
      <c r="U108" s="66"/>
      <c r="V108" s="66"/>
      <c r="W108" s="66"/>
      <c r="X108" s="66"/>
      <c r="Y108" s="66"/>
      <c r="Z108" s="66"/>
      <c r="AA108" s="66"/>
      <c r="AB108" s="66"/>
      <c r="AC108" s="66"/>
      <c r="AD108" s="66"/>
      <c r="AE108" s="66"/>
      <c r="AF108" s="66"/>
      <c r="AG108" s="66"/>
      <c r="AH108" s="66"/>
      <c r="AI108" s="66"/>
      <c r="AJ108" s="66"/>
      <c r="AK108" s="66"/>
      <c r="AL108" s="66"/>
      <c r="AM108" s="66"/>
      <c r="AN108" s="66"/>
      <c r="AO108" s="66"/>
      <c r="AP108" s="66"/>
      <c r="AQ108" s="66"/>
      <c r="AR108" s="61"/>
      <c r="AS108" s="68"/>
      <c r="AT108" s="67"/>
      <c r="AU108" s="64"/>
      <c r="AV108" s="65"/>
      <c r="AW108" s="63"/>
      <c r="AX108" s="65"/>
      <c r="AY108" s="64"/>
      <c r="AZ108" s="63"/>
      <c r="BA108" s="62"/>
    </row>
    <row r="109" spans="1:53">
      <c r="A109" s="1"/>
      <c r="B109" s="66"/>
      <c r="C109" s="71"/>
      <c r="D109" s="71"/>
      <c r="E109" s="71"/>
      <c r="F109" s="71"/>
      <c r="G109" s="71"/>
      <c r="H109" s="71"/>
      <c r="I109" s="71"/>
      <c r="J109" s="71"/>
      <c r="K109" s="71"/>
      <c r="L109" s="71"/>
      <c r="M109" s="71"/>
      <c r="N109" s="66"/>
      <c r="O109" s="66"/>
      <c r="P109" s="66"/>
      <c r="Q109" s="66"/>
      <c r="R109" s="66"/>
      <c r="S109" s="66"/>
      <c r="T109" s="66"/>
      <c r="U109" s="66"/>
      <c r="V109" s="66"/>
      <c r="W109" s="66"/>
      <c r="X109" s="66"/>
      <c r="Y109" s="66"/>
      <c r="Z109" s="66"/>
      <c r="AA109" s="66"/>
      <c r="AB109" s="66"/>
      <c r="AC109" s="66"/>
      <c r="AD109" s="66"/>
      <c r="AE109" s="66"/>
      <c r="AF109" s="66"/>
      <c r="AG109" s="66"/>
      <c r="AH109" s="66"/>
      <c r="AI109" s="66"/>
      <c r="AJ109" s="66"/>
      <c r="AK109" s="66"/>
      <c r="AL109" s="66"/>
      <c r="AM109" s="66"/>
      <c r="AN109" s="66"/>
      <c r="AO109" s="66"/>
      <c r="AP109" s="66"/>
      <c r="AQ109" s="66"/>
      <c r="AR109" s="61"/>
      <c r="AS109" s="68"/>
      <c r="AT109" s="67"/>
      <c r="AU109" s="64"/>
      <c r="AV109" s="65"/>
      <c r="AW109" s="63"/>
      <c r="AX109" s="65"/>
      <c r="AY109" s="64"/>
      <c r="AZ109" s="63"/>
      <c r="BA109" s="62"/>
    </row>
    <row r="110" spans="1:53">
      <c r="A110" s="1"/>
      <c r="B110" s="66"/>
      <c r="C110" s="71"/>
      <c r="D110" s="71"/>
      <c r="E110" s="71"/>
      <c r="F110" s="71"/>
      <c r="G110" s="71"/>
      <c r="H110" s="71"/>
      <c r="I110" s="71"/>
      <c r="J110" s="71"/>
      <c r="K110" s="71"/>
      <c r="L110" s="71"/>
      <c r="M110" s="71"/>
      <c r="N110" s="66"/>
      <c r="O110" s="66"/>
      <c r="P110" s="66"/>
      <c r="Q110" s="66"/>
      <c r="R110" s="66"/>
      <c r="S110" s="66"/>
      <c r="T110" s="66"/>
      <c r="U110" s="66"/>
      <c r="V110" s="66"/>
      <c r="W110" s="66"/>
      <c r="X110" s="66"/>
      <c r="Y110" s="66"/>
      <c r="Z110" s="66"/>
      <c r="AA110" s="66"/>
      <c r="AB110" s="66"/>
      <c r="AC110" s="66"/>
      <c r="AD110" s="66"/>
      <c r="AE110" s="66"/>
      <c r="AF110" s="66"/>
      <c r="AG110" s="66"/>
      <c r="AH110" s="66"/>
      <c r="AI110" s="66"/>
      <c r="AJ110" s="66"/>
      <c r="AK110" s="66"/>
      <c r="AL110" s="66"/>
      <c r="AM110" s="66"/>
      <c r="AN110" s="66"/>
      <c r="AO110" s="66"/>
      <c r="AP110" s="66"/>
      <c r="AQ110" s="66"/>
      <c r="AR110" s="61"/>
      <c r="AS110" s="68"/>
      <c r="AT110" s="67"/>
      <c r="AU110" s="64"/>
      <c r="AV110" s="65"/>
      <c r="AW110" s="63"/>
      <c r="AX110" s="65"/>
      <c r="AY110" s="64"/>
      <c r="AZ110" s="63"/>
      <c r="BA110" s="62"/>
    </row>
    <row r="111" spans="1:53">
      <c r="A111" s="1"/>
      <c r="B111" s="66"/>
      <c r="C111" s="71"/>
      <c r="D111" s="71"/>
      <c r="E111" s="71"/>
      <c r="F111" s="71"/>
      <c r="G111" s="71"/>
      <c r="H111" s="71"/>
      <c r="I111" s="71"/>
      <c r="J111" s="71"/>
      <c r="K111" s="71"/>
      <c r="L111" s="71"/>
      <c r="M111" s="71"/>
      <c r="N111" s="66"/>
      <c r="O111" s="66"/>
      <c r="P111" s="66"/>
      <c r="Q111" s="66"/>
      <c r="R111" s="66"/>
      <c r="S111" s="66"/>
      <c r="T111" s="66"/>
      <c r="U111" s="66"/>
      <c r="V111" s="66"/>
      <c r="W111" s="66"/>
      <c r="X111" s="66"/>
      <c r="Y111" s="66"/>
      <c r="Z111" s="66"/>
      <c r="AA111" s="66"/>
      <c r="AB111" s="66"/>
      <c r="AC111" s="66"/>
      <c r="AD111" s="66"/>
      <c r="AE111" s="66"/>
      <c r="AF111" s="66"/>
      <c r="AG111" s="66"/>
      <c r="AH111" s="66"/>
      <c r="AI111" s="66"/>
      <c r="AJ111" s="66"/>
      <c r="AK111" s="66"/>
      <c r="AL111" s="66"/>
      <c r="AM111" s="66"/>
      <c r="AN111" s="66"/>
      <c r="AO111" s="66"/>
      <c r="AP111" s="66"/>
      <c r="AQ111" s="66"/>
      <c r="AR111" s="61"/>
      <c r="AS111" s="68"/>
      <c r="AT111" s="67"/>
      <c r="AU111" s="64"/>
      <c r="AV111" s="65"/>
      <c r="AW111" s="63"/>
      <c r="AX111" s="65"/>
      <c r="AY111" s="64"/>
      <c r="AZ111" s="63"/>
      <c r="BA111" s="62"/>
    </row>
    <row r="112" spans="1:53">
      <c r="A112" s="1"/>
      <c r="B112" s="66"/>
      <c r="C112" s="71"/>
      <c r="D112" s="71"/>
      <c r="E112" s="71"/>
      <c r="F112" s="71"/>
      <c r="G112" s="71"/>
      <c r="H112" s="71"/>
      <c r="I112" s="71"/>
      <c r="J112" s="71"/>
      <c r="K112" s="71"/>
      <c r="L112" s="71"/>
      <c r="M112" s="71"/>
      <c r="N112" s="66"/>
      <c r="O112" s="66"/>
      <c r="P112" s="66"/>
      <c r="Q112" s="66"/>
      <c r="R112" s="66"/>
      <c r="S112" s="66"/>
      <c r="T112" s="66"/>
      <c r="U112" s="66"/>
      <c r="V112" s="66"/>
      <c r="W112" s="66"/>
      <c r="X112" s="66"/>
      <c r="Y112" s="66"/>
      <c r="Z112" s="66"/>
      <c r="AA112" s="66"/>
      <c r="AB112" s="66"/>
      <c r="AC112" s="66"/>
      <c r="AD112" s="66"/>
      <c r="AE112" s="66"/>
      <c r="AF112" s="66"/>
      <c r="AG112" s="66"/>
      <c r="AH112" s="66"/>
      <c r="AI112" s="66"/>
      <c r="AJ112" s="66"/>
      <c r="AK112" s="66"/>
      <c r="AL112" s="66"/>
      <c r="AM112" s="66"/>
      <c r="AN112" s="66"/>
      <c r="AO112" s="66"/>
      <c r="AP112" s="66"/>
      <c r="AQ112" s="66"/>
      <c r="AR112" s="61"/>
      <c r="AS112" s="68"/>
      <c r="AT112" s="67"/>
      <c r="AU112" s="64"/>
      <c r="AV112" s="65"/>
      <c r="AW112" s="63"/>
      <c r="AX112" s="65"/>
      <c r="AY112" s="64"/>
      <c r="AZ112" s="63"/>
      <c r="BA112" s="62"/>
    </row>
    <row r="113" spans="1:53">
      <c r="A113" s="1"/>
      <c r="B113" s="66"/>
      <c r="C113" s="71"/>
      <c r="D113" s="71"/>
      <c r="E113" s="71"/>
      <c r="F113" s="71"/>
      <c r="G113" s="71"/>
      <c r="H113" s="71"/>
      <c r="I113" s="71"/>
      <c r="J113" s="71"/>
      <c r="K113" s="71"/>
      <c r="L113" s="71"/>
      <c r="M113" s="71"/>
      <c r="N113" s="66"/>
      <c r="O113" s="66"/>
      <c r="P113" s="66"/>
      <c r="Q113" s="66"/>
      <c r="R113" s="66"/>
      <c r="S113" s="66"/>
      <c r="T113" s="66"/>
      <c r="U113" s="66"/>
      <c r="V113" s="66"/>
      <c r="W113" s="66"/>
      <c r="X113" s="66"/>
      <c r="Y113" s="66"/>
      <c r="Z113" s="66"/>
      <c r="AA113" s="66"/>
      <c r="AB113" s="66"/>
      <c r="AC113" s="66"/>
      <c r="AD113" s="66"/>
      <c r="AE113" s="66"/>
      <c r="AF113" s="66"/>
      <c r="AG113" s="66"/>
      <c r="AH113" s="66"/>
      <c r="AI113" s="66"/>
      <c r="AJ113" s="66"/>
      <c r="AK113" s="66"/>
      <c r="AL113" s="66"/>
      <c r="AM113" s="66"/>
      <c r="AN113" s="66"/>
      <c r="AO113" s="66"/>
      <c r="AP113" s="66"/>
      <c r="AQ113" s="66"/>
      <c r="AR113" s="61"/>
      <c r="AS113" s="68"/>
      <c r="AT113" s="67"/>
      <c r="AU113" s="70"/>
      <c r="AV113" s="65"/>
      <c r="AW113" s="63"/>
      <c r="AX113" s="65"/>
      <c r="AY113" s="64"/>
      <c r="AZ113" s="63"/>
      <c r="BA113" s="62"/>
    </row>
    <row r="114" spans="1:53">
      <c r="A114" s="1"/>
      <c r="B114" s="66"/>
      <c r="C114" s="71"/>
      <c r="D114" s="71"/>
      <c r="E114" s="71"/>
      <c r="F114" s="71"/>
      <c r="G114" s="71"/>
      <c r="H114" s="71"/>
      <c r="I114" s="71"/>
      <c r="J114" s="71"/>
      <c r="K114" s="71"/>
      <c r="L114" s="71"/>
      <c r="M114" s="71"/>
      <c r="N114" s="66"/>
      <c r="O114" s="66"/>
      <c r="P114" s="66"/>
      <c r="Q114" s="66"/>
      <c r="R114" s="66"/>
      <c r="S114" s="66"/>
      <c r="T114" s="66"/>
      <c r="U114" s="66"/>
      <c r="V114" s="66"/>
      <c r="W114" s="66"/>
      <c r="X114" s="66"/>
      <c r="Y114" s="66"/>
      <c r="Z114" s="66"/>
      <c r="AA114" s="66"/>
      <c r="AB114" s="66"/>
      <c r="AC114" s="66"/>
      <c r="AD114" s="66"/>
      <c r="AE114" s="66"/>
      <c r="AF114" s="66"/>
      <c r="AG114" s="66"/>
      <c r="AH114" s="66"/>
      <c r="AI114" s="66"/>
      <c r="AJ114" s="66"/>
      <c r="AK114" s="66"/>
      <c r="AL114" s="66"/>
      <c r="AM114" s="66"/>
      <c r="AN114" s="66"/>
      <c r="AO114" s="66"/>
      <c r="AP114" s="66"/>
      <c r="AQ114" s="66"/>
      <c r="AR114" s="61"/>
      <c r="AS114" s="68"/>
      <c r="AT114" s="67"/>
      <c r="AU114" s="70"/>
      <c r="AV114" s="65"/>
      <c r="AW114" s="63"/>
      <c r="AX114" s="65"/>
      <c r="AY114" s="64"/>
      <c r="AZ114" s="63"/>
      <c r="BA114" s="62"/>
    </row>
    <row r="115" spans="1:53">
      <c r="A115" s="1"/>
      <c r="B115" s="66"/>
      <c r="C115" s="71"/>
      <c r="D115" s="71"/>
      <c r="E115" s="71"/>
      <c r="F115" s="71"/>
      <c r="G115" s="71"/>
      <c r="H115" s="71"/>
      <c r="I115" s="71"/>
      <c r="J115" s="71"/>
      <c r="K115" s="71"/>
      <c r="L115" s="71"/>
      <c r="M115" s="71"/>
      <c r="N115" s="66"/>
      <c r="O115" s="66"/>
      <c r="P115" s="66"/>
      <c r="Q115" s="66"/>
      <c r="R115" s="66"/>
      <c r="S115" s="66"/>
      <c r="T115" s="66"/>
      <c r="U115" s="66"/>
      <c r="V115" s="66"/>
      <c r="W115" s="66"/>
      <c r="X115" s="66"/>
      <c r="Y115" s="66"/>
      <c r="Z115" s="66"/>
      <c r="AA115" s="66"/>
      <c r="AB115" s="66"/>
      <c r="AC115" s="66"/>
      <c r="AD115" s="66"/>
      <c r="AE115" s="66"/>
      <c r="AF115" s="66"/>
      <c r="AG115" s="66"/>
      <c r="AH115" s="66"/>
      <c r="AI115" s="66"/>
      <c r="AJ115" s="66"/>
      <c r="AK115" s="66"/>
      <c r="AL115" s="66"/>
      <c r="AM115" s="66"/>
      <c r="AN115" s="66"/>
      <c r="AO115" s="66"/>
      <c r="AP115" s="66"/>
      <c r="AQ115" s="66"/>
      <c r="AR115" s="61"/>
      <c r="AS115" s="68"/>
      <c r="AT115" s="67"/>
      <c r="AU115" s="64"/>
      <c r="AV115" s="65"/>
      <c r="AW115" s="63"/>
      <c r="AX115" s="65"/>
      <c r="AY115" s="64"/>
      <c r="AZ115" s="63"/>
      <c r="BA115" s="62"/>
    </row>
    <row r="116" spans="1:53">
      <c r="A116" s="1"/>
      <c r="B116" s="66"/>
      <c r="C116" s="71"/>
      <c r="D116" s="71"/>
      <c r="E116" s="71"/>
      <c r="F116" s="71"/>
      <c r="G116" s="71"/>
      <c r="H116" s="71"/>
      <c r="I116" s="71"/>
      <c r="J116" s="71"/>
      <c r="K116" s="71"/>
      <c r="L116" s="71"/>
      <c r="M116" s="71"/>
      <c r="N116" s="66"/>
      <c r="O116" s="66"/>
      <c r="P116" s="66"/>
      <c r="Q116" s="66"/>
      <c r="R116" s="66"/>
      <c r="S116" s="66"/>
      <c r="T116" s="66"/>
      <c r="U116" s="66"/>
      <c r="V116" s="66"/>
      <c r="W116" s="66"/>
      <c r="X116" s="66"/>
      <c r="Y116" s="66"/>
      <c r="Z116" s="66"/>
      <c r="AA116" s="66"/>
      <c r="AB116" s="66"/>
      <c r="AC116" s="66"/>
      <c r="AD116" s="66"/>
      <c r="AE116" s="66"/>
      <c r="AF116" s="66"/>
      <c r="AG116" s="66"/>
      <c r="AH116" s="66"/>
      <c r="AI116" s="66"/>
      <c r="AJ116" s="66"/>
      <c r="AK116" s="66"/>
      <c r="AL116" s="66"/>
      <c r="AM116" s="66"/>
      <c r="AN116" s="66"/>
      <c r="AO116" s="66"/>
      <c r="AP116" s="66"/>
      <c r="AQ116" s="66"/>
      <c r="AR116" s="61"/>
      <c r="AS116" s="68"/>
      <c r="AT116" s="67"/>
      <c r="AU116" s="70"/>
      <c r="AV116" s="65"/>
      <c r="AW116" s="63"/>
      <c r="AX116" s="65"/>
      <c r="AY116" s="64"/>
      <c r="AZ116" s="63"/>
      <c r="BA116" s="62"/>
    </row>
    <row r="117" spans="1:53">
      <c r="A117" s="1"/>
      <c r="B117" s="66"/>
      <c r="C117" s="71"/>
      <c r="D117" s="71"/>
      <c r="E117" s="71"/>
      <c r="F117" s="71"/>
      <c r="G117" s="71"/>
      <c r="H117" s="71"/>
      <c r="I117" s="71"/>
      <c r="J117" s="71"/>
      <c r="K117" s="71"/>
      <c r="L117" s="71"/>
      <c r="M117" s="71"/>
      <c r="N117" s="66"/>
      <c r="O117" s="66"/>
      <c r="P117" s="66"/>
      <c r="Q117" s="66"/>
      <c r="R117" s="66"/>
      <c r="S117" s="66"/>
      <c r="T117" s="66"/>
      <c r="U117" s="66"/>
      <c r="V117" s="66"/>
      <c r="W117" s="66"/>
      <c r="X117" s="66"/>
      <c r="Y117" s="66"/>
      <c r="Z117" s="66"/>
      <c r="AA117" s="66"/>
      <c r="AB117" s="66"/>
      <c r="AC117" s="66"/>
      <c r="AD117" s="66"/>
      <c r="AE117" s="66"/>
      <c r="AF117" s="66"/>
      <c r="AG117" s="66"/>
      <c r="AH117" s="66"/>
      <c r="AI117" s="66"/>
      <c r="AJ117" s="66"/>
      <c r="AK117" s="66"/>
      <c r="AL117" s="66"/>
      <c r="AM117" s="66"/>
      <c r="AN117" s="66"/>
      <c r="AO117" s="66"/>
      <c r="AP117" s="66"/>
      <c r="AQ117" s="66"/>
      <c r="AR117" s="61"/>
      <c r="AS117" s="68"/>
      <c r="AT117" s="67"/>
      <c r="AU117" s="64"/>
      <c r="AV117" s="65"/>
      <c r="AW117" s="63"/>
      <c r="AX117" s="65"/>
      <c r="AY117" s="64"/>
      <c r="AZ117" s="63"/>
      <c r="BA117" s="62"/>
    </row>
    <row r="118" spans="1:53">
      <c r="A118" s="1"/>
      <c r="B118" s="66"/>
      <c r="C118" s="71"/>
      <c r="D118" s="71"/>
      <c r="E118" s="71"/>
      <c r="F118" s="71"/>
      <c r="G118" s="71"/>
      <c r="H118" s="71"/>
      <c r="I118" s="71"/>
      <c r="J118" s="71"/>
      <c r="K118" s="71"/>
      <c r="L118" s="71"/>
      <c r="M118" s="71"/>
      <c r="N118" s="66"/>
      <c r="O118" s="66"/>
      <c r="P118" s="66"/>
      <c r="Q118" s="66"/>
      <c r="R118" s="66"/>
      <c r="S118" s="66"/>
      <c r="T118" s="66"/>
      <c r="U118" s="66"/>
      <c r="V118" s="66"/>
      <c r="W118" s="66"/>
      <c r="X118" s="66"/>
      <c r="Y118" s="66"/>
      <c r="Z118" s="66"/>
      <c r="AA118" s="66"/>
      <c r="AB118" s="66"/>
      <c r="AC118" s="66"/>
      <c r="AD118" s="66"/>
      <c r="AE118" s="66"/>
      <c r="AF118" s="66"/>
      <c r="AG118" s="66"/>
      <c r="AH118" s="66"/>
      <c r="AI118" s="66"/>
      <c r="AJ118" s="66"/>
      <c r="AK118" s="66"/>
      <c r="AL118" s="66"/>
      <c r="AM118" s="66"/>
      <c r="AN118" s="66"/>
      <c r="AO118" s="66"/>
      <c r="AP118" s="66"/>
      <c r="AQ118" s="66"/>
      <c r="AR118" s="61"/>
      <c r="AS118" s="68"/>
      <c r="AT118" s="67"/>
      <c r="AU118" s="64"/>
      <c r="AV118" s="65"/>
      <c r="AW118" s="63"/>
      <c r="AX118" s="65"/>
      <c r="AY118" s="64"/>
      <c r="AZ118" s="63"/>
      <c r="BA118" s="62"/>
    </row>
    <row r="119" spans="1:53">
      <c r="A119" s="1"/>
      <c r="B119" s="66"/>
      <c r="C119" s="71"/>
      <c r="D119" s="71"/>
      <c r="E119" s="71"/>
      <c r="F119" s="71"/>
      <c r="G119" s="71"/>
      <c r="H119" s="71"/>
      <c r="I119" s="71"/>
      <c r="J119" s="71"/>
      <c r="K119" s="71"/>
      <c r="L119" s="71"/>
      <c r="M119" s="71"/>
      <c r="N119" s="66"/>
      <c r="O119" s="66"/>
      <c r="P119" s="66"/>
      <c r="Q119" s="66"/>
      <c r="R119" s="66"/>
      <c r="S119" s="66"/>
      <c r="T119" s="66"/>
      <c r="U119" s="66"/>
      <c r="V119" s="66"/>
      <c r="W119" s="66"/>
      <c r="X119" s="66"/>
      <c r="Y119" s="66"/>
      <c r="Z119" s="66"/>
      <c r="AA119" s="66"/>
      <c r="AB119" s="66"/>
      <c r="AC119" s="66"/>
      <c r="AD119" s="66"/>
      <c r="AE119" s="66"/>
      <c r="AF119" s="66"/>
      <c r="AG119" s="66"/>
      <c r="AH119" s="66"/>
      <c r="AI119" s="66"/>
      <c r="AJ119" s="66"/>
      <c r="AK119" s="66"/>
      <c r="AL119" s="66"/>
      <c r="AM119" s="66"/>
      <c r="AN119" s="66"/>
      <c r="AO119" s="66"/>
      <c r="AP119" s="66"/>
      <c r="AQ119" s="66"/>
      <c r="AR119" s="61"/>
      <c r="AS119" s="68"/>
      <c r="AT119" s="67"/>
      <c r="AU119" s="64"/>
      <c r="AV119" s="65"/>
      <c r="AW119" s="63"/>
      <c r="AX119" s="65"/>
      <c r="AY119" s="64"/>
      <c r="AZ119" s="63"/>
      <c r="BA119" s="62"/>
    </row>
    <row r="120" spans="1:53">
      <c r="A120" s="1"/>
      <c r="B120" s="66"/>
      <c r="C120" s="71"/>
      <c r="D120" s="71"/>
      <c r="E120" s="71"/>
      <c r="F120" s="71"/>
      <c r="G120" s="71"/>
      <c r="H120" s="71"/>
      <c r="I120" s="71"/>
      <c r="J120" s="71"/>
      <c r="K120" s="71"/>
      <c r="L120" s="71"/>
      <c r="M120" s="71"/>
      <c r="N120" s="66"/>
      <c r="O120" s="66"/>
      <c r="P120" s="66"/>
      <c r="Q120" s="66"/>
      <c r="R120" s="66"/>
      <c r="S120" s="66"/>
      <c r="T120" s="66"/>
      <c r="U120" s="66"/>
      <c r="V120" s="66"/>
      <c r="W120" s="66"/>
      <c r="X120" s="66"/>
      <c r="Y120" s="66"/>
      <c r="Z120" s="66"/>
      <c r="AA120" s="66"/>
      <c r="AB120" s="66"/>
      <c r="AC120" s="66"/>
      <c r="AD120" s="66"/>
      <c r="AE120" s="66"/>
      <c r="AF120" s="66"/>
      <c r="AG120" s="66"/>
      <c r="AH120" s="66"/>
      <c r="AI120" s="66"/>
      <c r="AJ120" s="66"/>
      <c r="AK120" s="66"/>
      <c r="AL120" s="66"/>
      <c r="AM120" s="66"/>
      <c r="AN120" s="66"/>
      <c r="AO120" s="66"/>
      <c r="AP120" s="66"/>
      <c r="AQ120" s="66"/>
      <c r="AR120" s="61"/>
      <c r="AS120" s="68"/>
      <c r="AT120" s="67"/>
      <c r="AU120" s="64"/>
      <c r="AV120" s="65"/>
      <c r="AW120" s="63"/>
      <c r="AX120" s="65"/>
      <c r="AY120" s="64"/>
      <c r="AZ120" s="63"/>
      <c r="BA120" s="62"/>
    </row>
    <row r="121" spans="1:53">
      <c r="A121" s="1"/>
      <c r="B121" s="66"/>
      <c r="C121" s="71"/>
      <c r="D121" s="71"/>
      <c r="E121" s="71"/>
      <c r="F121" s="71"/>
      <c r="G121" s="71"/>
      <c r="H121" s="71"/>
      <c r="I121" s="71"/>
      <c r="J121" s="71"/>
      <c r="K121" s="71"/>
      <c r="L121" s="71"/>
      <c r="M121" s="71"/>
      <c r="N121" s="66"/>
      <c r="O121" s="66"/>
      <c r="P121" s="66"/>
      <c r="Q121" s="66"/>
      <c r="R121" s="66"/>
      <c r="S121" s="66"/>
      <c r="T121" s="66"/>
      <c r="U121" s="66"/>
      <c r="V121" s="66"/>
      <c r="W121" s="66"/>
      <c r="X121" s="66"/>
      <c r="Y121" s="66"/>
      <c r="Z121" s="66"/>
      <c r="AA121" s="66"/>
      <c r="AB121" s="66"/>
      <c r="AC121" s="66"/>
      <c r="AD121" s="66"/>
      <c r="AE121" s="66"/>
      <c r="AF121" s="66"/>
      <c r="AG121" s="66"/>
      <c r="AH121" s="66"/>
      <c r="AI121" s="66"/>
      <c r="AJ121" s="66"/>
      <c r="AK121" s="66"/>
      <c r="AL121" s="66"/>
      <c r="AM121" s="66"/>
      <c r="AN121" s="66"/>
      <c r="AO121" s="66"/>
      <c r="AP121" s="66"/>
      <c r="AQ121" s="66"/>
      <c r="AR121" s="61"/>
      <c r="AS121" s="68"/>
      <c r="AT121" s="67"/>
      <c r="AU121" s="64"/>
      <c r="AV121" s="65"/>
      <c r="AW121" s="63"/>
      <c r="AX121" s="65"/>
      <c r="AY121" s="64"/>
      <c r="AZ121" s="63"/>
      <c r="BA121" s="62"/>
    </row>
    <row r="122" spans="1:53">
      <c r="A122" s="1"/>
      <c r="B122" s="66"/>
      <c r="C122" s="71"/>
      <c r="D122" s="71"/>
      <c r="E122" s="71"/>
      <c r="F122" s="71"/>
      <c r="G122" s="71"/>
      <c r="H122" s="71"/>
      <c r="I122" s="71"/>
      <c r="J122" s="71"/>
      <c r="K122" s="71"/>
      <c r="L122" s="71"/>
      <c r="M122" s="71"/>
      <c r="N122" s="66"/>
      <c r="O122" s="66"/>
      <c r="P122" s="66"/>
      <c r="Q122" s="66"/>
      <c r="R122" s="66"/>
      <c r="S122" s="66"/>
      <c r="T122" s="66"/>
      <c r="U122" s="66"/>
      <c r="V122" s="66"/>
      <c r="W122" s="66"/>
      <c r="X122" s="66"/>
      <c r="Y122" s="66"/>
      <c r="Z122" s="66"/>
      <c r="AA122" s="66"/>
      <c r="AB122" s="66"/>
      <c r="AC122" s="66"/>
      <c r="AD122" s="66"/>
      <c r="AE122" s="66"/>
      <c r="AF122" s="66"/>
      <c r="AG122" s="66"/>
      <c r="AH122" s="66"/>
      <c r="AI122" s="66"/>
      <c r="AJ122" s="66"/>
      <c r="AK122" s="66"/>
      <c r="AL122" s="66"/>
      <c r="AM122" s="66"/>
      <c r="AN122" s="66"/>
      <c r="AO122" s="66"/>
      <c r="AP122" s="66"/>
      <c r="AQ122" s="66"/>
      <c r="AR122" s="61"/>
      <c r="AS122" s="68"/>
      <c r="AT122" s="67"/>
      <c r="AU122" s="64"/>
      <c r="AV122" s="65"/>
      <c r="AW122" s="63"/>
      <c r="AX122" s="65"/>
      <c r="AY122" s="64"/>
      <c r="AZ122" s="63"/>
      <c r="BA122" s="62"/>
    </row>
    <row r="123" spans="1:53">
      <c r="A123" s="1"/>
      <c r="B123" s="66"/>
      <c r="C123" s="71"/>
      <c r="D123" s="71"/>
      <c r="E123" s="71"/>
      <c r="F123" s="71"/>
      <c r="G123" s="71"/>
      <c r="H123" s="71"/>
      <c r="I123" s="71"/>
      <c r="J123" s="71"/>
      <c r="K123" s="71"/>
      <c r="L123" s="71"/>
      <c r="M123" s="71"/>
      <c r="N123" s="66"/>
      <c r="O123" s="66"/>
      <c r="P123" s="66"/>
      <c r="Q123" s="66"/>
      <c r="R123" s="66"/>
      <c r="S123" s="66"/>
      <c r="T123" s="66"/>
      <c r="U123" s="66"/>
      <c r="V123" s="66"/>
      <c r="W123" s="66"/>
      <c r="X123" s="66"/>
      <c r="Y123" s="66"/>
      <c r="Z123" s="66"/>
      <c r="AA123" s="66"/>
      <c r="AB123" s="66"/>
      <c r="AC123" s="66"/>
      <c r="AD123" s="66"/>
      <c r="AE123" s="66"/>
      <c r="AF123" s="66"/>
      <c r="AG123" s="66"/>
      <c r="AH123" s="66"/>
      <c r="AI123" s="66"/>
      <c r="AJ123" s="66"/>
      <c r="AK123" s="66"/>
      <c r="AL123" s="66"/>
      <c r="AM123" s="66"/>
      <c r="AN123" s="66"/>
      <c r="AO123" s="66"/>
      <c r="AP123" s="66"/>
      <c r="AQ123" s="66"/>
      <c r="AR123" s="61"/>
      <c r="AS123" s="68"/>
      <c r="AT123" s="67"/>
      <c r="AU123" s="64"/>
      <c r="AV123" s="65"/>
      <c r="AW123" s="63"/>
      <c r="AX123" s="65"/>
      <c r="AY123" s="64"/>
      <c r="AZ123" s="63"/>
      <c r="BA123" s="62"/>
    </row>
    <row r="124" spans="1:53">
      <c r="A124" s="1"/>
      <c r="B124" s="69"/>
      <c r="C124" s="71"/>
      <c r="D124" s="71"/>
      <c r="E124" s="71"/>
      <c r="F124" s="71"/>
      <c r="G124" s="71"/>
      <c r="H124" s="71"/>
      <c r="I124" s="71"/>
      <c r="J124" s="71"/>
      <c r="K124" s="71"/>
      <c r="L124" s="71"/>
      <c r="M124" s="71"/>
      <c r="N124" s="66"/>
      <c r="O124" s="66"/>
      <c r="P124" s="66"/>
      <c r="Q124" s="66"/>
      <c r="R124" s="66"/>
      <c r="S124" s="66"/>
      <c r="T124" s="66"/>
      <c r="U124" s="66"/>
      <c r="V124" s="66"/>
      <c r="W124" s="66"/>
      <c r="X124" s="66"/>
      <c r="Y124" s="66"/>
      <c r="Z124" s="66"/>
      <c r="AA124" s="66"/>
      <c r="AB124" s="66"/>
      <c r="AC124" s="66"/>
      <c r="AD124" s="66"/>
      <c r="AE124" s="66"/>
      <c r="AF124" s="66"/>
      <c r="AG124" s="66"/>
      <c r="AH124" s="66"/>
      <c r="AI124" s="66"/>
      <c r="AJ124" s="66"/>
      <c r="AK124" s="66"/>
      <c r="AL124" s="66"/>
      <c r="AM124" s="66"/>
      <c r="AN124" s="66"/>
      <c r="AO124" s="66"/>
      <c r="AP124" s="66"/>
      <c r="AQ124" s="66"/>
      <c r="AR124" s="61"/>
      <c r="AS124" s="68"/>
      <c r="AT124" s="67"/>
      <c r="AU124" s="64"/>
      <c r="AV124" s="65"/>
      <c r="AW124" s="63"/>
      <c r="AX124" s="65"/>
      <c r="AY124" s="64"/>
      <c r="AZ124" s="63"/>
      <c r="BA124" s="62"/>
    </row>
    <row r="125" spans="1:53">
      <c r="A125" s="1"/>
      <c r="B125" s="69"/>
      <c r="C125" s="71"/>
      <c r="D125" s="71"/>
      <c r="E125" s="71"/>
      <c r="F125" s="71"/>
      <c r="G125" s="69"/>
      <c r="H125" s="69"/>
      <c r="I125" s="69"/>
      <c r="J125" s="69"/>
      <c r="K125" s="69"/>
      <c r="L125" s="69"/>
      <c r="M125" s="69"/>
      <c r="N125" s="66"/>
      <c r="O125" s="66"/>
      <c r="P125" s="66"/>
      <c r="Q125" s="66"/>
      <c r="R125" s="66"/>
      <c r="S125" s="66"/>
      <c r="T125" s="66"/>
      <c r="U125" s="66"/>
      <c r="V125" s="66"/>
      <c r="W125" s="66"/>
      <c r="X125" s="66"/>
      <c r="Y125" s="66"/>
      <c r="Z125" s="66"/>
      <c r="AA125" s="66"/>
      <c r="AB125" s="66"/>
      <c r="AC125" s="66"/>
      <c r="AD125" s="66"/>
      <c r="AE125" s="66"/>
      <c r="AF125" s="66"/>
      <c r="AG125" s="66"/>
      <c r="AH125" s="66"/>
      <c r="AI125" s="66"/>
      <c r="AJ125" s="66"/>
      <c r="AK125" s="66"/>
      <c r="AL125" s="66"/>
      <c r="AM125" s="66"/>
      <c r="AN125" s="66"/>
      <c r="AO125" s="66"/>
      <c r="AP125" s="66"/>
      <c r="AQ125" s="66"/>
      <c r="AR125" s="61"/>
      <c r="AS125" s="68"/>
      <c r="AT125" s="67"/>
      <c r="AU125" s="70"/>
      <c r="AV125" s="65"/>
      <c r="AW125" s="63"/>
      <c r="AX125" s="65"/>
      <c r="AY125" s="64"/>
      <c r="AZ125" s="63"/>
      <c r="BA125" s="62"/>
    </row>
    <row r="126" spans="1:53">
      <c r="A126" s="1"/>
      <c r="B126" s="69"/>
      <c r="C126" s="71"/>
      <c r="D126" s="71"/>
      <c r="E126" s="71"/>
      <c r="F126" s="71"/>
      <c r="G126" s="6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c r="AE126" s="66"/>
      <c r="AF126" s="66"/>
      <c r="AG126" s="66"/>
      <c r="AH126" s="66"/>
      <c r="AI126" s="66"/>
      <c r="AJ126" s="66"/>
      <c r="AK126" s="66"/>
      <c r="AL126" s="66"/>
      <c r="AM126" s="66"/>
      <c r="AN126" s="66"/>
      <c r="AO126" s="66"/>
      <c r="AP126" s="66"/>
      <c r="AQ126" s="66"/>
      <c r="AR126" s="61"/>
      <c r="AS126" s="68"/>
      <c r="AT126" s="67"/>
      <c r="AU126" s="70"/>
      <c r="AV126" s="65"/>
      <c r="AW126" s="63"/>
      <c r="AX126" s="65"/>
      <c r="AY126" s="64"/>
      <c r="AZ126" s="63"/>
      <c r="BA126" s="62"/>
    </row>
    <row r="127" spans="1:53">
      <c r="A127" s="1"/>
      <c r="B127" s="69"/>
      <c r="C127" s="71"/>
      <c r="D127" s="71"/>
      <c r="E127" s="71"/>
      <c r="F127" s="71"/>
      <c r="G127" s="6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c r="AE127" s="66"/>
      <c r="AF127" s="66"/>
      <c r="AG127" s="66"/>
      <c r="AH127" s="66"/>
      <c r="AI127" s="66"/>
      <c r="AJ127" s="66"/>
      <c r="AK127" s="66"/>
      <c r="AL127" s="66"/>
      <c r="AM127" s="66"/>
      <c r="AN127" s="66"/>
      <c r="AO127" s="66"/>
      <c r="AP127" s="66"/>
      <c r="AQ127" s="66"/>
      <c r="AR127" s="61"/>
      <c r="AS127" s="68"/>
      <c r="AT127" s="67"/>
      <c r="AU127" s="64"/>
      <c r="AV127" s="65"/>
      <c r="AW127" s="63"/>
      <c r="AX127" s="65"/>
      <c r="AY127" s="64"/>
      <c r="AZ127" s="63"/>
      <c r="BA127" s="62"/>
    </row>
    <row r="128" spans="1:53">
      <c r="A128" s="1"/>
      <c r="B128" s="69"/>
      <c r="C128" s="71"/>
      <c r="D128" s="71"/>
      <c r="E128" s="71"/>
      <c r="F128" s="71"/>
      <c r="G128" s="6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c r="AE128" s="66"/>
      <c r="AF128" s="66"/>
      <c r="AG128" s="66"/>
      <c r="AH128" s="66"/>
      <c r="AI128" s="66"/>
      <c r="AJ128" s="66"/>
      <c r="AK128" s="66"/>
      <c r="AL128" s="66"/>
      <c r="AM128" s="66"/>
      <c r="AN128" s="66"/>
      <c r="AO128" s="66"/>
      <c r="AP128" s="66"/>
      <c r="AQ128" s="66"/>
      <c r="AR128" s="61"/>
      <c r="AS128" s="68"/>
      <c r="AT128" s="67"/>
      <c r="AU128" s="64"/>
      <c r="AV128" s="65"/>
      <c r="AW128" s="63"/>
      <c r="AX128" s="65"/>
      <c r="AY128" s="70"/>
      <c r="AZ128" s="63"/>
      <c r="BA128" s="62"/>
    </row>
    <row r="129" spans="1:53">
      <c r="A129" s="1"/>
      <c r="B129" s="69"/>
      <c r="C129" s="71"/>
      <c r="D129" s="71"/>
      <c r="E129" s="71"/>
      <c r="F129" s="71"/>
      <c r="G129" s="6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c r="AE129" s="66"/>
      <c r="AF129" s="66"/>
      <c r="AG129" s="66"/>
      <c r="AH129" s="66"/>
      <c r="AI129" s="66"/>
      <c r="AJ129" s="66"/>
      <c r="AK129" s="66"/>
      <c r="AL129" s="66"/>
      <c r="AM129" s="66"/>
      <c r="AN129" s="66"/>
      <c r="AO129" s="66"/>
      <c r="AP129" s="66"/>
      <c r="AQ129" s="66"/>
      <c r="AR129" s="61"/>
      <c r="AS129" s="68"/>
      <c r="AT129" s="67"/>
      <c r="AU129" s="64"/>
      <c r="AV129" s="65"/>
      <c r="AW129" s="63"/>
      <c r="AX129" s="65"/>
      <c r="AY129" s="70"/>
      <c r="AZ129" s="63"/>
      <c r="BA129" s="62"/>
    </row>
    <row r="130" spans="1:53">
      <c r="A130" s="1"/>
      <c r="B130" s="69"/>
      <c r="C130" s="71"/>
      <c r="D130" s="71"/>
      <c r="E130" s="71"/>
      <c r="F130" s="71"/>
      <c r="G130" s="6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c r="AE130" s="66"/>
      <c r="AF130" s="66"/>
      <c r="AG130" s="66"/>
      <c r="AH130" s="66"/>
      <c r="AI130" s="66"/>
      <c r="AJ130" s="66"/>
      <c r="AK130" s="66"/>
      <c r="AL130" s="66"/>
      <c r="AM130" s="66"/>
      <c r="AN130" s="66"/>
      <c r="AO130" s="66"/>
      <c r="AP130" s="66"/>
      <c r="AQ130" s="66"/>
      <c r="AR130" s="61"/>
      <c r="AS130" s="68"/>
      <c r="AT130" s="67"/>
      <c r="AU130" s="64"/>
      <c r="AV130" s="65"/>
      <c r="AW130" s="63"/>
      <c r="AX130" s="65"/>
      <c r="AY130" s="70"/>
      <c r="AZ130" s="63"/>
      <c r="BA130" s="62"/>
    </row>
    <row r="131" spans="1:53">
      <c r="A131" s="1"/>
      <c r="B131" s="69"/>
      <c r="C131" s="71"/>
      <c r="D131" s="71"/>
      <c r="E131" s="71"/>
      <c r="F131" s="71"/>
      <c r="G131" s="6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c r="AE131" s="66"/>
      <c r="AF131" s="66"/>
      <c r="AG131" s="66"/>
      <c r="AH131" s="66"/>
      <c r="AI131" s="66"/>
      <c r="AJ131" s="66"/>
      <c r="AK131" s="66"/>
      <c r="AL131" s="66"/>
      <c r="AM131" s="66"/>
      <c r="AN131" s="66"/>
      <c r="AO131" s="66"/>
      <c r="AP131" s="66"/>
      <c r="AQ131" s="66"/>
      <c r="AR131" s="61"/>
      <c r="AS131" s="68"/>
      <c r="AT131" s="67"/>
      <c r="AU131" s="64"/>
      <c r="AV131" s="65"/>
      <c r="AW131" s="63"/>
      <c r="AX131" s="65"/>
      <c r="AY131" s="70"/>
      <c r="AZ131" s="63"/>
      <c r="BA131" s="62"/>
    </row>
    <row r="132" spans="1:53">
      <c r="A132" s="1"/>
      <c r="B132" s="69"/>
      <c r="C132" s="71"/>
      <c r="D132" s="71"/>
      <c r="E132" s="71"/>
      <c r="F132" s="71"/>
      <c r="G132" s="6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c r="AE132" s="66"/>
      <c r="AF132" s="66"/>
      <c r="AG132" s="66"/>
      <c r="AH132" s="66"/>
      <c r="AI132" s="66"/>
      <c r="AJ132" s="66"/>
      <c r="AK132" s="66"/>
      <c r="AL132" s="66"/>
      <c r="AM132" s="66"/>
      <c r="AN132" s="66"/>
      <c r="AO132" s="66"/>
      <c r="AP132" s="66"/>
      <c r="AQ132" s="66"/>
      <c r="AR132" s="61"/>
      <c r="AS132" s="68"/>
      <c r="AT132" s="67"/>
      <c r="AU132" s="64"/>
      <c r="AV132" s="65"/>
      <c r="AW132" s="63"/>
      <c r="AX132" s="65"/>
      <c r="AY132" s="64"/>
      <c r="AZ132" s="63"/>
      <c r="BA132" s="62"/>
    </row>
    <row r="133" spans="1:53">
      <c r="A133" s="1"/>
      <c r="B133" s="69"/>
      <c r="C133" s="71"/>
      <c r="D133" s="71"/>
      <c r="E133" s="71"/>
      <c r="F133" s="71"/>
      <c r="G133" s="6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c r="AE133" s="66"/>
      <c r="AF133" s="66"/>
      <c r="AG133" s="66"/>
      <c r="AH133" s="66"/>
      <c r="AI133" s="66"/>
      <c r="AJ133" s="66"/>
      <c r="AK133" s="66"/>
      <c r="AL133" s="66"/>
      <c r="AM133" s="66"/>
      <c r="AN133" s="66"/>
      <c r="AO133" s="66"/>
      <c r="AP133" s="66"/>
      <c r="AQ133" s="66"/>
      <c r="AR133" s="61"/>
      <c r="AS133" s="68"/>
      <c r="AT133" s="67"/>
      <c r="AU133" s="64"/>
      <c r="AV133" s="65"/>
      <c r="AW133" s="63"/>
      <c r="AX133" s="65"/>
      <c r="AY133" s="64"/>
      <c r="AZ133" s="63"/>
      <c r="BA133" s="62"/>
    </row>
    <row r="134" spans="1:53">
      <c r="A134" s="1"/>
      <c r="B134" s="69"/>
      <c r="C134" s="71"/>
      <c r="D134" s="71"/>
      <c r="E134" s="71"/>
      <c r="F134" s="71"/>
      <c r="G134" s="6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c r="AE134" s="66"/>
      <c r="AF134" s="66"/>
      <c r="AG134" s="66"/>
      <c r="AH134" s="66"/>
      <c r="AI134" s="66"/>
      <c r="AJ134" s="66"/>
      <c r="AK134" s="66"/>
      <c r="AL134" s="66"/>
      <c r="AM134" s="66"/>
      <c r="AN134" s="66"/>
      <c r="AO134" s="66"/>
      <c r="AP134" s="66"/>
      <c r="AQ134" s="66"/>
      <c r="AR134" s="61"/>
      <c r="AS134" s="68"/>
      <c r="AT134" s="67"/>
      <c r="AU134" s="64"/>
      <c r="AV134" s="65"/>
      <c r="AW134" s="63"/>
      <c r="AX134" s="65"/>
      <c r="AY134" s="64"/>
      <c r="AZ134" s="63"/>
      <c r="BA134" s="62"/>
    </row>
    <row r="135" spans="1:53">
      <c r="A135" s="1"/>
      <c r="B135" s="69"/>
      <c r="C135" s="71"/>
      <c r="D135" s="71"/>
      <c r="E135" s="71"/>
      <c r="F135" s="71"/>
      <c r="G135" s="6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c r="AE135" s="66"/>
      <c r="AF135" s="66"/>
      <c r="AG135" s="66"/>
      <c r="AH135" s="66"/>
      <c r="AI135" s="66"/>
      <c r="AJ135" s="66"/>
      <c r="AK135" s="66"/>
      <c r="AL135" s="66"/>
      <c r="AM135" s="66"/>
      <c r="AN135" s="66"/>
      <c r="AO135" s="66"/>
      <c r="AP135" s="66"/>
      <c r="AQ135" s="66"/>
      <c r="AR135" s="61"/>
      <c r="AS135" s="68"/>
      <c r="AT135" s="67"/>
      <c r="AU135" s="64"/>
      <c r="AV135" s="65"/>
      <c r="AW135" s="63"/>
      <c r="AX135" s="65"/>
      <c r="AY135" s="64"/>
      <c r="AZ135" s="63"/>
      <c r="BA135" s="62"/>
    </row>
    <row r="136" spans="1:53">
      <c r="A136" s="1"/>
      <c r="B136" s="69"/>
      <c r="C136" s="71"/>
      <c r="D136" s="71"/>
      <c r="E136" s="71"/>
      <c r="F136" s="71"/>
      <c r="G136" s="6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c r="AE136" s="66"/>
      <c r="AF136" s="66"/>
      <c r="AG136" s="66"/>
      <c r="AH136" s="66"/>
      <c r="AI136" s="66"/>
      <c r="AJ136" s="66"/>
      <c r="AK136" s="66"/>
      <c r="AL136" s="66"/>
      <c r="AM136" s="66"/>
      <c r="AN136" s="66"/>
      <c r="AO136" s="66"/>
      <c r="AP136" s="66"/>
      <c r="AQ136" s="66"/>
      <c r="AR136" s="61"/>
      <c r="AS136" s="68"/>
      <c r="AT136" s="67"/>
      <c r="AU136" s="64"/>
      <c r="AV136" s="65"/>
      <c r="AW136" s="63"/>
      <c r="AX136" s="65"/>
      <c r="AY136" s="64"/>
      <c r="AZ136" s="63"/>
      <c r="BA136" s="62"/>
    </row>
    <row r="137" spans="1:53">
      <c r="A137" s="1"/>
      <c r="B137" s="69"/>
      <c r="C137" s="71"/>
      <c r="D137" s="71"/>
      <c r="E137" s="71"/>
      <c r="F137" s="71"/>
      <c r="G137" s="6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c r="AE137" s="66"/>
      <c r="AF137" s="66"/>
      <c r="AG137" s="66"/>
      <c r="AH137" s="66"/>
      <c r="AI137" s="66"/>
      <c r="AJ137" s="66"/>
      <c r="AK137" s="66"/>
      <c r="AL137" s="66"/>
      <c r="AM137" s="66"/>
      <c r="AN137" s="66"/>
      <c r="AO137" s="66"/>
      <c r="AP137" s="66"/>
      <c r="AQ137" s="66"/>
      <c r="AR137" s="61"/>
      <c r="AS137" s="68"/>
      <c r="AT137" s="67"/>
      <c r="AU137" s="64"/>
      <c r="AV137" s="65"/>
      <c r="AW137" s="63"/>
      <c r="AX137" s="65"/>
      <c r="AY137" s="64"/>
      <c r="AZ137" s="63"/>
      <c r="BA137" s="62"/>
    </row>
    <row r="138" spans="1:53">
      <c r="A138" s="1"/>
      <c r="B138" s="69"/>
      <c r="C138" s="69"/>
      <c r="D138" s="69"/>
      <c r="E138" s="69"/>
      <c r="F138" s="69"/>
      <c r="G138" s="6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c r="AE138" s="66"/>
      <c r="AF138" s="66"/>
      <c r="AG138" s="66"/>
      <c r="AH138" s="66"/>
      <c r="AI138" s="66"/>
      <c r="AJ138" s="66"/>
      <c r="AK138" s="66"/>
      <c r="AL138" s="66"/>
      <c r="AM138" s="66"/>
      <c r="AN138" s="66"/>
      <c r="AO138" s="66"/>
      <c r="AP138" s="66"/>
      <c r="AQ138" s="66"/>
      <c r="AR138" s="61"/>
      <c r="AS138" s="68"/>
      <c r="AT138" s="67"/>
      <c r="AU138" s="64"/>
      <c r="AV138" s="65"/>
      <c r="AW138" s="63"/>
      <c r="AX138" s="65"/>
      <c r="AY138" s="64"/>
      <c r="AZ138" s="63"/>
      <c r="BA138" s="62"/>
    </row>
    <row r="139" spans="1:53">
      <c r="A139" s="1"/>
      <c r="B139" s="69"/>
      <c r="C139" s="69"/>
      <c r="D139" s="69"/>
      <c r="E139" s="69"/>
      <c r="F139" s="69"/>
      <c r="G139" s="6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c r="AE139" s="66"/>
      <c r="AF139" s="66"/>
      <c r="AG139" s="66"/>
      <c r="AH139" s="66"/>
      <c r="AI139" s="66"/>
      <c r="AJ139" s="66"/>
      <c r="AK139" s="66"/>
      <c r="AL139" s="66"/>
      <c r="AM139" s="66"/>
      <c r="AN139" s="66"/>
      <c r="AO139" s="66"/>
      <c r="AP139" s="66"/>
      <c r="AQ139" s="66"/>
      <c r="AR139" s="61"/>
      <c r="AS139" s="68"/>
      <c r="AT139" s="67"/>
      <c r="AU139" s="64"/>
      <c r="AV139" s="65"/>
      <c r="AW139" s="63"/>
      <c r="AX139" s="65"/>
      <c r="AY139" s="64"/>
      <c r="AZ139" s="63"/>
      <c r="BA139" s="62"/>
    </row>
    <row r="140" spans="1:53">
      <c r="A140" s="1"/>
      <c r="B140" s="69"/>
      <c r="C140" s="69"/>
      <c r="D140" s="69"/>
      <c r="E140" s="69"/>
      <c r="F140" s="69"/>
      <c r="G140" s="6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c r="AE140" s="66"/>
      <c r="AF140" s="66"/>
      <c r="AG140" s="66"/>
      <c r="AH140" s="66"/>
      <c r="AI140" s="66"/>
      <c r="AJ140" s="66"/>
      <c r="AK140" s="66"/>
      <c r="AL140" s="66"/>
      <c r="AM140" s="66"/>
      <c r="AN140" s="66"/>
      <c r="AO140" s="66"/>
      <c r="AP140" s="66"/>
      <c r="AQ140" s="66"/>
      <c r="AR140" s="61"/>
      <c r="AS140" s="68"/>
      <c r="AT140" s="67"/>
      <c r="AU140" s="64"/>
      <c r="AV140" s="65"/>
      <c r="AW140" s="63"/>
      <c r="AX140" s="65"/>
      <c r="AY140" s="70"/>
      <c r="AZ140" s="63"/>
      <c r="BA140" s="62"/>
    </row>
    <row r="141" spans="1:53">
      <c r="A141" s="1"/>
      <c r="B141" s="69"/>
      <c r="C141" s="69"/>
      <c r="D141" s="69"/>
      <c r="E141" s="69"/>
      <c r="F141" s="69"/>
      <c r="G141" s="6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c r="AE141" s="66"/>
      <c r="AF141" s="66"/>
      <c r="AG141" s="66"/>
      <c r="AH141" s="66"/>
      <c r="AI141" s="66"/>
      <c r="AJ141" s="66"/>
      <c r="AK141" s="66"/>
      <c r="AL141" s="66"/>
      <c r="AM141" s="66"/>
      <c r="AN141" s="66"/>
      <c r="AO141" s="66"/>
      <c r="AP141" s="66"/>
      <c r="AQ141" s="66"/>
      <c r="AR141" s="61"/>
      <c r="AS141" s="68"/>
      <c r="AT141" s="67"/>
      <c r="AU141" s="64"/>
      <c r="AV141" s="65"/>
      <c r="AW141" s="63"/>
      <c r="AX141" s="65"/>
      <c r="AY141" s="70"/>
      <c r="AZ141" s="63"/>
      <c r="BA141" s="62"/>
    </row>
    <row r="142" spans="1:53">
      <c r="A142" s="1"/>
      <c r="B142" s="69"/>
      <c r="C142" s="69"/>
      <c r="D142" s="69"/>
      <c r="E142" s="69"/>
      <c r="F142" s="69"/>
      <c r="G142" s="6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c r="AE142" s="66"/>
      <c r="AF142" s="66"/>
      <c r="AG142" s="66"/>
      <c r="AH142" s="66"/>
      <c r="AI142" s="66"/>
      <c r="AJ142" s="66"/>
      <c r="AK142" s="66"/>
      <c r="AL142" s="66"/>
      <c r="AM142" s="66"/>
      <c r="AN142" s="66"/>
      <c r="AO142" s="66"/>
      <c r="AP142" s="66"/>
      <c r="AQ142" s="66"/>
      <c r="AR142" s="61"/>
      <c r="AS142" s="68"/>
      <c r="AT142" s="67"/>
      <c r="AU142" s="64"/>
      <c r="AV142" s="65"/>
      <c r="AW142" s="63"/>
      <c r="AX142" s="65"/>
      <c r="AY142" s="64"/>
      <c r="AZ142" s="63"/>
      <c r="BA142" s="62"/>
    </row>
    <row r="143" spans="1:53">
      <c r="A143" s="1"/>
      <c r="B143" s="69"/>
      <c r="C143" s="69"/>
      <c r="D143" s="69"/>
      <c r="E143" s="69"/>
      <c r="F143" s="69"/>
      <c r="G143" s="6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c r="AE143" s="66"/>
      <c r="AF143" s="66"/>
      <c r="AG143" s="66"/>
      <c r="AH143" s="66"/>
      <c r="AI143" s="66"/>
      <c r="AJ143" s="66"/>
      <c r="AK143" s="66"/>
      <c r="AL143" s="66"/>
      <c r="AM143" s="66"/>
      <c r="AN143" s="66"/>
      <c r="AO143" s="66"/>
      <c r="AP143" s="66"/>
      <c r="AQ143" s="66"/>
      <c r="AR143" s="61"/>
      <c r="AS143" s="68"/>
      <c r="AT143" s="67"/>
      <c r="AU143" s="64"/>
      <c r="AV143" s="65"/>
      <c r="AW143" s="63"/>
      <c r="AX143" s="65"/>
      <c r="AY143" s="64"/>
      <c r="AZ143" s="63"/>
      <c r="BA143" s="62"/>
    </row>
    <row r="144" spans="1:53">
      <c r="A144" s="1"/>
      <c r="B144" s="69"/>
      <c r="C144" s="69"/>
      <c r="D144" s="69"/>
      <c r="E144" s="69"/>
      <c r="F144" s="69"/>
      <c r="G144" s="6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c r="AE144" s="66"/>
      <c r="AF144" s="66"/>
      <c r="AG144" s="66"/>
      <c r="AH144" s="66"/>
      <c r="AI144" s="66"/>
      <c r="AJ144" s="66"/>
      <c r="AK144" s="66"/>
      <c r="AL144" s="66"/>
      <c r="AM144" s="66"/>
      <c r="AN144" s="66"/>
      <c r="AO144" s="66"/>
      <c r="AP144" s="66"/>
      <c r="AQ144" s="66"/>
      <c r="AR144" s="61"/>
      <c r="AS144" s="68"/>
      <c r="AT144" s="67"/>
      <c r="AU144" s="64"/>
      <c r="AV144" s="65"/>
      <c r="AW144" s="63"/>
      <c r="AX144" s="65"/>
      <c r="AY144" s="64"/>
      <c r="AZ144" s="63"/>
      <c r="BA144" s="62"/>
    </row>
    <row r="145" spans="1:53">
      <c r="A145" s="1"/>
      <c r="B145" s="66"/>
      <c r="C145" s="66"/>
      <c r="D145" s="66"/>
      <c r="E145" s="66"/>
      <c r="F145" s="66"/>
      <c r="G145" s="66"/>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c r="AE145" s="66"/>
      <c r="AF145" s="66"/>
      <c r="AG145" s="66"/>
      <c r="AH145" s="66"/>
      <c r="AI145" s="66"/>
      <c r="AJ145" s="66"/>
      <c r="AK145" s="66"/>
      <c r="AL145" s="66"/>
      <c r="AM145" s="66"/>
      <c r="AN145" s="66"/>
      <c r="AO145" s="66"/>
      <c r="AP145" s="66"/>
      <c r="AQ145" s="66"/>
      <c r="AR145" s="61"/>
      <c r="AS145" s="68"/>
      <c r="AT145" s="67"/>
      <c r="AU145" s="64"/>
      <c r="AV145" s="65"/>
      <c r="AW145" s="63"/>
      <c r="AX145" s="65"/>
      <c r="AY145" s="64"/>
      <c r="AZ145" s="63"/>
      <c r="BA145" s="62"/>
    </row>
    <row r="146" spans="1:53">
      <c r="A146" s="1"/>
      <c r="B146" s="66"/>
      <c r="C146" s="66"/>
      <c r="D146" s="1"/>
      <c r="E146" s="1"/>
      <c r="F146" s="66"/>
      <c r="G146" s="66"/>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c r="AE146" s="66"/>
      <c r="AF146" s="66"/>
      <c r="AG146" s="66"/>
      <c r="AH146" s="66"/>
      <c r="AI146" s="66"/>
      <c r="AJ146" s="66"/>
      <c r="AK146" s="66"/>
      <c r="AL146" s="66"/>
      <c r="AM146" s="66"/>
      <c r="AN146" s="66"/>
      <c r="AO146" s="66"/>
      <c r="AP146" s="66"/>
      <c r="AQ146" s="66"/>
      <c r="AR146" s="61"/>
      <c r="AS146" s="68"/>
      <c r="AT146" s="67"/>
      <c r="AU146" s="64"/>
      <c r="AV146" s="65"/>
      <c r="AW146" s="63"/>
      <c r="AX146" s="65"/>
      <c r="AY146" s="64"/>
      <c r="AZ146" s="63"/>
      <c r="BA146" s="62"/>
    </row>
    <row r="147" spans="1:53">
      <c r="A147" s="1"/>
      <c r="B147" s="1"/>
      <c r="C147" s="1"/>
      <c r="D147" s="1"/>
      <c r="E147" s="1"/>
      <c r="F147" s="66"/>
      <c r="G147" s="66"/>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c r="AE147" s="66"/>
      <c r="AF147" s="66"/>
      <c r="AG147" s="66"/>
      <c r="AH147" s="66"/>
      <c r="AI147" s="66"/>
      <c r="AJ147" s="66"/>
      <c r="AK147" s="66"/>
      <c r="AL147" s="66"/>
      <c r="AM147" s="66"/>
      <c r="AN147" s="66"/>
      <c r="AO147" s="66"/>
      <c r="AP147" s="66"/>
      <c r="AQ147" s="66"/>
      <c r="AR147" s="61"/>
      <c r="AS147" s="68"/>
      <c r="AT147" s="67"/>
      <c r="AU147" s="64"/>
      <c r="AV147" s="65"/>
      <c r="AW147" s="63"/>
      <c r="AX147" s="65"/>
      <c r="AY147" s="64"/>
      <c r="AZ147" s="63"/>
      <c r="BA147" s="62"/>
    </row>
    <row r="148" spans="1:53">
      <c r="A148" s="1"/>
      <c r="B148" s="1"/>
      <c r="C148" s="1"/>
      <c r="D148" s="1"/>
      <c r="E148" s="1"/>
      <c r="F148" s="66"/>
      <c r="G148" s="66"/>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c r="AE148" s="66"/>
      <c r="AF148" s="66"/>
      <c r="AG148" s="66"/>
      <c r="AH148" s="66"/>
      <c r="AI148" s="66"/>
      <c r="AJ148" s="66"/>
      <c r="AK148" s="66"/>
      <c r="AL148" s="66"/>
      <c r="AM148" s="66"/>
      <c r="AN148" s="66"/>
      <c r="AO148" s="66"/>
      <c r="AP148" s="66"/>
      <c r="AQ148" s="66"/>
      <c r="AR148" s="61"/>
      <c r="AS148" s="68"/>
      <c r="AT148" s="67"/>
      <c r="AU148" s="64"/>
      <c r="AV148" s="65"/>
      <c r="AW148" s="63"/>
      <c r="AX148" s="65"/>
      <c r="AY148" s="64"/>
      <c r="AZ148" s="63"/>
      <c r="BA148" s="62"/>
    </row>
    <row r="149" spans="1:53">
      <c r="A149" s="1"/>
      <c r="B149" s="1"/>
      <c r="C149" s="1"/>
      <c r="D149" s="1"/>
      <c r="E149" s="1"/>
      <c r="F149" s="66"/>
      <c r="G149" s="66"/>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c r="AE149" s="66"/>
      <c r="AF149" s="66"/>
      <c r="AG149" s="66"/>
      <c r="AH149" s="66"/>
      <c r="AI149" s="66"/>
      <c r="AJ149" s="66"/>
      <c r="AK149" s="66"/>
      <c r="AL149" s="66"/>
      <c r="AM149" s="66"/>
      <c r="AN149" s="66"/>
      <c r="AO149" s="66"/>
      <c r="AP149" s="66"/>
      <c r="AQ149" s="66"/>
      <c r="AR149" s="61"/>
      <c r="AS149" s="68"/>
      <c r="AT149" s="67"/>
      <c r="AU149" s="64"/>
      <c r="AV149" s="65"/>
      <c r="AW149" s="63"/>
      <c r="AX149" s="65"/>
      <c r="AY149" s="64"/>
      <c r="AZ149" s="63"/>
      <c r="BA149" s="62"/>
    </row>
    <row r="150" spans="1:53">
      <c r="A150" s="1"/>
      <c r="B150" s="1"/>
      <c r="C150" s="1"/>
      <c r="D150" s="1"/>
      <c r="E150" s="1"/>
      <c r="F150" s="66"/>
      <c r="G150" s="66"/>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c r="AE150" s="66"/>
      <c r="AF150" s="66"/>
      <c r="AG150" s="66"/>
      <c r="AH150" s="66"/>
      <c r="AI150" s="66"/>
      <c r="AJ150" s="66"/>
      <c r="AK150" s="66"/>
      <c r="AL150" s="66"/>
      <c r="AM150" s="66"/>
      <c r="AN150" s="66"/>
      <c r="AO150" s="66"/>
      <c r="AP150" s="66"/>
      <c r="AQ150" s="66"/>
      <c r="AR150" s="61"/>
      <c r="AS150" s="68"/>
      <c r="AT150" s="67"/>
      <c r="AU150" s="64"/>
      <c r="AV150" s="65"/>
      <c r="AW150" s="63"/>
      <c r="AX150" s="65"/>
      <c r="AY150" s="64"/>
      <c r="AZ150" s="63"/>
      <c r="BA150" s="62"/>
    </row>
    <row r="151" spans="1:53">
      <c r="A151" s="1"/>
      <c r="B151" s="1"/>
      <c r="C151" s="1"/>
      <c r="D151" s="1"/>
      <c r="E151" s="1"/>
      <c r="F151" s="66"/>
      <c r="G151" s="66"/>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c r="AE151" s="66"/>
      <c r="AF151" s="66"/>
      <c r="AG151" s="66"/>
      <c r="AH151" s="66"/>
      <c r="AI151" s="66"/>
      <c r="AJ151" s="66"/>
      <c r="AK151" s="66"/>
      <c r="AL151" s="66"/>
      <c r="AM151" s="66"/>
      <c r="AN151" s="66"/>
      <c r="AO151" s="66"/>
      <c r="AP151" s="66"/>
      <c r="AQ151" s="66"/>
      <c r="AR151" s="61"/>
      <c r="AS151" s="68"/>
      <c r="AT151" s="67"/>
      <c r="AU151" s="64"/>
      <c r="AV151" s="65"/>
      <c r="AW151" s="63"/>
      <c r="AX151" s="65"/>
      <c r="AY151" s="64"/>
      <c r="AZ151" s="63"/>
      <c r="BA151" s="62"/>
    </row>
    <row r="152" spans="1:53">
      <c r="A152" s="1"/>
      <c r="B152" s="1"/>
      <c r="C152" s="1"/>
      <c r="D152" s="1"/>
      <c r="E152" s="1"/>
      <c r="F152" s="66"/>
      <c r="G152" s="66"/>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c r="AE152" s="66"/>
      <c r="AF152" s="66"/>
      <c r="AG152" s="66"/>
      <c r="AH152" s="66"/>
      <c r="AI152" s="66"/>
      <c r="AJ152" s="66"/>
      <c r="AK152" s="66"/>
      <c r="AL152" s="66"/>
      <c r="AM152" s="66"/>
      <c r="AN152" s="66"/>
      <c r="AO152" s="66"/>
      <c r="AP152" s="66"/>
      <c r="AQ152" s="66"/>
      <c r="AR152" s="61"/>
      <c r="AS152" s="68"/>
      <c r="AT152" s="67"/>
      <c r="AU152" s="64"/>
      <c r="AV152" s="65"/>
      <c r="AW152" s="63"/>
      <c r="AX152" s="65"/>
      <c r="AY152" s="64"/>
      <c r="AZ152" s="63"/>
      <c r="BA152" s="62"/>
    </row>
    <row r="153" spans="1:53">
      <c r="A153" s="1"/>
      <c r="B153" s="1"/>
      <c r="C153" s="1"/>
      <c r="D153" s="1"/>
      <c r="E153" s="1"/>
      <c r="F153" s="66"/>
      <c r="G153" s="66"/>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c r="AE153" s="66"/>
      <c r="AF153" s="66"/>
      <c r="AG153" s="66"/>
      <c r="AH153" s="66"/>
      <c r="AI153" s="66"/>
      <c r="AJ153" s="66"/>
      <c r="AK153" s="66"/>
      <c r="AL153" s="66"/>
      <c r="AM153" s="66"/>
      <c r="AN153" s="66"/>
      <c r="AO153" s="66"/>
      <c r="AP153" s="66"/>
      <c r="AQ153" s="66"/>
      <c r="AR153" s="61"/>
      <c r="AS153" s="68"/>
      <c r="AT153" s="67"/>
      <c r="AU153" s="64"/>
      <c r="AV153" s="65"/>
      <c r="AW153" s="63"/>
      <c r="AX153" s="65"/>
      <c r="AY153" s="64"/>
      <c r="AZ153" s="63"/>
      <c r="BA153" s="62"/>
    </row>
    <row r="154" spans="1:53">
      <c r="A154" s="1"/>
      <c r="B154" s="1"/>
      <c r="C154" s="1"/>
      <c r="D154" s="1"/>
      <c r="E154" s="1"/>
      <c r="F154" s="66"/>
      <c r="G154" s="66"/>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c r="AE154" s="66"/>
      <c r="AF154" s="66"/>
      <c r="AG154" s="66"/>
      <c r="AH154" s="66"/>
      <c r="AI154" s="66"/>
      <c r="AJ154" s="66"/>
      <c r="AK154" s="66"/>
      <c r="AL154" s="66"/>
      <c r="AM154" s="66"/>
      <c r="AN154" s="66"/>
      <c r="AO154" s="66"/>
      <c r="AP154" s="66"/>
      <c r="AQ154" s="66"/>
      <c r="AR154" s="61"/>
      <c r="AS154" s="68"/>
      <c r="AT154" s="67"/>
      <c r="AU154" s="64"/>
      <c r="AV154" s="65"/>
      <c r="AW154" s="63"/>
      <c r="AX154" s="65"/>
      <c r="AY154" s="64"/>
      <c r="AZ154" s="63"/>
      <c r="BA154" s="62"/>
    </row>
    <row r="155" spans="1:53">
      <c r="A155" s="1"/>
      <c r="B155" s="1"/>
      <c r="C155" s="1"/>
      <c r="D155" s="1"/>
      <c r="E155" s="1"/>
      <c r="F155" s="66"/>
      <c r="G155" s="66"/>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c r="AE155" s="66"/>
      <c r="AF155" s="66"/>
      <c r="AG155" s="66"/>
      <c r="AH155" s="66"/>
      <c r="AI155" s="66"/>
      <c r="AJ155" s="66"/>
      <c r="AK155" s="66"/>
      <c r="AL155" s="66"/>
      <c r="AM155" s="66"/>
      <c r="AN155" s="66"/>
      <c r="AO155" s="66"/>
      <c r="AP155" s="66"/>
      <c r="AQ155" s="66"/>
      <c r="AR155" s="61"/>
      <c r="AS155" s="68"/>
      <c r="AT155" s="67"/>
      <c r="AU155" s="65"/>
      <c r="AV155" s="65"/>
      <c r="AW155" s="65"/>
      <c r="AX155" s="65"/>
      <c r="AY155" s="64"/>
      <c r="AZ155" s="63"/>
      <c r="BA155" s="62"/>
    </row>
    <row r="156" spans="1:53">
      <c r="A156" s="1"/>
      <c r="B156" s="1"/>
      <c r="C156" s="1"/>
      <c r="D156" s="1"/>
      <c r="E156" s="1"/>
      <c r="F156" s="66"/>
      <c r="G156" s="66"/>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c r="AE156" s="66"/>
      <c r="AF156" s="66"/>
      <c r="AG156" s="66"/>
      <c r="AH156" s="66"/>
      <c r="AI156" s="66"/>
      <c r="AJ156" s="66"/>
      <c r="AK156" s="66"/>
      <c r="AL156" s="66"/>
      <c r="AM156" s="66"/>
      <c r="AN156" s="66"/>
      <c r="AO156" s="66"/>
      <c r="AP156" s="66"/>
      <c r="AQ156" s="66"/>
      <c r="AR156" s="61"/>
      <c r="AS156" s="68"/>
      <c r="AT156" s="67"/>
      <c r="AU156" s="65"/>
      <c r="AV156" s="65"/>
      <c r="AW156" s="65"/>
      <c r="AX156" s="65"/>
      <c r="AY156" s="64"/>
      <c r="AZ156" s="63"/>
      <c r="BA156" s="62"/>
    </row>
    <row r="157" spans="1:53">
      <c r="A157" s="1"/>
      <c r="B157" s="1"/>
      <c r="C157" s="1"/>
      <c r="D157" s="1"/>
      <c r="E157" s="1"/>
      <c r="F157" s="66"/>
      <c r="G157" s="66"/>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c r="AE157" s="66"/>
      <c r="AF157" s="66"/>
      <c r="AG157" s="66"/>
      <c r="AH157" s="66"/>
      <c r="AI157" s="66"/>
      <c r="AJ157" s="66"/>
      <c r="AK157" s="66"/>
      <c r="AL157" s="66"/>
      <c r="AM157" s="66"/>
      <c r="AN157" s="66"/>
      <c r="AO157" s="66"/>
      <c r="AP157" s="66"/>
      <c r="AQ157" s="66"/>
      <c r="AR157" s="61"/>
      <c r="AS157" s="68"/>
      <c r="AT157" s="67"/>
      <c r="AU157" s="65"/>
      <c r="AV157" s="65"/>
      <c r="AW157" s="65"/>
      <c r="AX157" s="65"/>
      <c r="AY157" s="64"/>
      <c r="AZ157" s="63"/>
      <c r="BA157" s="62"/>
    </row>
    <row r="158" spans="1:53">
      <c r="A158" s="1"/>
      <c r="B158" s="1"/>
      <c r="C158" s="1"/>
      <c r="D158" s="1"/>
      <c r="E158" s="1"/>
      <c r="F158" s="66"/>
      <c r="G158" s="66"/>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c r="AE158" s="66"/>
      <c r="AF158" s="66"/>
      <c r="AG158" s="66"/>
      <c r="AH158" s="66"/>
      <c r="AI158" s="66"/>
      <c r="AJ158" s="66"/>
      <c r="AK158" s="66"/>
      <c r="AL158" s="66"/>
      <c r="AM158" s="66"/>
      <c r="AN158" s="66"/>
      <c r="AO158" s="66"/>
      <c r="AP158" s="66"/>
      <c r="AQ158" s="66"/>
      <c r="AR158" s="61"/>
      <c r="AS158" s="68"/>
      <c r="AT158" s="67"/>
      <c r="AU158" s="65"/>
      <c r="AV158" s="65"/>
      <c r="AW158" s="65"/>
      <c r="AX158" s="65"/>
      <c r="AY158" s="64"/>
      <c r="AZ158" s="63"/>
      <c r="BA158" s="62"/>
    </row>
    <row r="159" spans="1:53">
      <c r="A159" s="1"/>
      <c r="B159" s="1"/>
      <c r="C159" s="1"/>
      <c r="D159" s="1"/>
      <c r="E159" s="1"/>
      <c r="F159" s="66"/>
      <c r="G159" s="66"/>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c r="AE159" s="66"/>
      <c r="AF159" s="66"/>
      <c r="AG159" s="66"/>
      <c r="AH159" s="66"/>
      <c r="AI159" s="66"/>
      <c r="AJ159" s="66"/>
      <c r="AK159" s="66"/>
      <c r="AL159" s="66"/>
      <c r="AM159" s="66"/>
      <c r="AN159" s="66"/>
      <c r="AO159" s="66"/>
      <c r="AP159" s="66"/>
      <c r="AQ159" s="66"/>
      <c r="AR159" s="61"/>
      <c r="AS159" s="68"/>
      <c r="AT159" s="67"/>
      <c r="AU159" s="65"/>
      <c r="AV159" s="65"/>
      <c r="AW159" s="65"/>
      <c r="AX159" s="65"/>
      <c r="AY159" s="64"/>
      <c r="AZ159" s="63"/>
      <c r="BA159" s="62"/>
    </row>
    <row r="160" spans="1:53">
      <c r="A160" s="1"/>
      <c r="B160" s="1"/>
      <c r="C160" s="1"/>
      <c r="D160" s="1"/>
      <c r="E160" s="1"/>
      <c r="F160" s="66"/>
      <c r="G160" s="66"/>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c r="AE160" s="66"/>
      <c r="AF160" s="66"/>
      <c r="AG160" s="66"/>
      <c r="AH160" s="66"/>
      <c r="AI160" s="66"/>
      <c r="AJ160" s="66"/>
      <c r="AK160" s="66"/>
      <c r="AL160" s="66"/>
      <c r="AM160" s="66"/>
      <c r="AN160" s="66"/>
      <c r="AO160" s="66"/>
      <c r="AP160" s="66"/>
      <c r="AQ160" s="66"/>
      <c r="AR160" s="61"/>
      <c r="AS160" s="68"/>
      <c r="AT160" s="67"/>
      <c r="AU160" s="65"/>
      <c r="AV160" s="65"/>
      <c r="AW160" s="65"/>
      <c r="AX160" s="65"/>
      <c r="AY160" s="64"/>
      <c r="AZ160" s="63"/>
      <c r="BA160" s="62"/>
    </row>
    <row r="161" spans="1:53">
      <c r="A161" s="1"/>
      <c r="B161" s="1"/>
      <c r="C161" s="1"/>
      <c r="D161" s="1"/>
      <c r="E161" s="1"/>
      <c r="F161" s="66"/>
      <c r="G161" s="66"/>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c r="AE161" s="66"/>
      <c r="AF161" s="66"/>
      <c r="AG161" s="66"/>
      <c r="AH161" s="66"/>
      <c r="AI161" s="66"/>
      <c r="AJ161" s="66"/>
      <c r="AK161" s="66"/>
      <c r="AL161" s="66"/>
      <c r="AM161" s="66"/>
      <c r="AN161" s="66"/>
      <c r="AO161" s="66"/>
      <c r="AP161" s="66"/>
      <c r="AQ161" s="66"/>
      <c r="AR161" s="61"/>
      <c r="AS161" s="68"/>
      <c r="AT161" s="67"/>
      <c r="AU161" s="65"/>
      <c r="AV161" s="65"/>
      <c r="AW161" s="65"/>
      <c r="AX161" s="65"/>
      <c r="AY161" s="64"/>
      <c r="AZ161" s="63"/>
      <c r="BA161" s="62"/>
    </row>
    <row r="162" spans="1:53">
      <c r="A162" s="1"/>
      <c r="B162" s="1"/>
      <c r="C162" s="1"/>
      <c r="D162" s="1"/>
      <c r="E162" s="1"/>
      <c r="F162" s="66"/>
      <c r="G162" s="66"/>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c r="AE162" s="66"/>
      <c r="AF162" s="66"/>
      <c r="AG162" s="66"/>
      <c r="AH162" s="66"/>
      <c r="AI162" s="66"/>
      <c r="AJ162" s="66"/>
      <c r="AK162" s="66"/>
      <c r="AL162" s="66"/>
      <c r="AM162" s="66"/>
      <c r="AN162" s="66"/>
      <c r="AO162" s="66"/>
      <c r="AP162" s="66"/>
      <c r="AQ162" s="66"/>
      <c r="AR162" s="61"/>
      <c r="AS162" s="61"/>
      <c r="AT162" s="60"/>
      <c r="AX162" s="65"/>
      <c r="AY162" s="64"/>
      <c r="AZ162" s="63"/>
      <c r="BA162" s="62"/>
    </row>
    <row r="163" spans="1:53">
      <c r="A163" s="1"/>
      <c r="B163" s="1"/>
      <c r="C163" s="1"/>
      <c r="D163" s="1"/>
      <c r="E163" s="1"/>
      <c r="F163" s="66"/>
      <c r="G163" s="66"/>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c r="AE163" s="66"/>
      <c r="AF163" s="66"/>
      <c r="AG163" s="66"/>
      <c r="AH163" s="66"/>
      <c r="AI163" s="66"/>
      <c r="AJ163" s="66"/>
      <c r="AK163" s="66"/>
      <c r="AL163" s="66"/>
      <c r="AM163" s="66"/>
      <c r="AN163" s="66"/>
      <c r="AO163" s="66"/>
      <c r="AP163" s="66"/>
      <c r="AQ163" s="66"/>
      <c r="AR163" s="61"/>
      <c r="AS163" s="61"/>
      <c r="AT163" s="60"/>
      <c r="AX163" s="65"/>
      <c r="AY163" s="64"/>
      <c r="AZ163" s="63"/>
      <c r="BA163" s="62"/>
    </row>
    <row r="164" spans="1:53">
      <c r="A164" s="1"/>
      <c r="B164" s="1"/>
      <c r="C164" s="1"/>
      <c r="D164" s="1"/>
      <c r="E164" s="1"/>
      <c r="F164" s="66"/>
      <c r="G164" s="66"/>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c r="AE164" s="66"/>
      <c r="AF164" s="66"/>
      <c r="AG164" s="66"/>
      <c r="AH164" s="66"/>
      <c r="AI164" s="66"/>
      <c r="AJ164" s="66"/>
      <c r="AK164" s="66"/>
      <c r="AL164" s="66"/>
      <c r="AM164" s="66"/>
      <c r="AN164" s="66"/>
      <c r="AO164" s="66"/>
      <c r="AP164" s="66"/>
      <c r="AQ164" s="66"/>
      <c r="AR164" s="61"/>
      <c r="AS164" s="61"/>
      <c r="AT164" s="60"/>
      <c r="AX164" s="65"/>
      <c r="AY164" s="64"/>
      <c r="AZ164" s="63"/>
      <c r="BA164" s="62"/>
    </row>
    <row r="165" spans="1:53">
      <c r="A165" s="1"/>
      <c r="B165" s="1"/>
      <c r="C165" s="1"/>
      <c r="D165" s="1"/>
      <c r="E165" s="1"/>
      <c r="F165" s="66"/>
      <c r="G165" s="66"/>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c r="AE165" s="66"/>
      <c r="AF165" s="66"/>
      <c r="AG165" s="66"/>
      <c r="AH165" s="66"/>
      <c r="AI165" s="66"/>
      <c r="AJ165" s="66"/>
      <c r="AK165" s="66"/>
      <c r="AL165" s="66"/>
      <c r="AM165" s="66"/>
      <c r="AN165" s="66"/>
      <c r="AO165" s="66"/>
      <c r="AP165" s="66"/>
      <c r="AQ165" s="66"/>
      <c r="AR165" s="61"/>
      <c r="AS165" s="61"/>
      <c r="AT165" s="60"/>
      <c r="AX165" s="65"/>
      <c r="AY165" s="64"/>
      <c r="AZ165" s="63"/>
      <c r="BA165" s="62"/>
    </row>
    <row r="166" spans="1:53">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61"/>
      <c r="AS166" s="61"/>
      <c r="AT166" s="60"/>
      <c r="AX166" s="65"/>
      <c r="AY166" s="64"/>
      <c r="AZ166" s="63"/>
      <c r="BA166" s="62"/>
    </row>
    <row r="167" spans="1:53">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61"/>
      <c r="AS167" s="61"/>
      <c r="AT167" s="60"/>
      <c r="AX167" s="65"/>
      <c r="AY167" s="64"/>
      <c r="AZ167" s="63"/>
      <c r="BA167" s="62"/>
    </row>
    <row r="168" spans="1:53">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61"/>
      <c r="AS168" s="61"/>
      <c r="AT168" s="60"/>
      <c r="AX168" s="65"/>
      <c r="AY168" s="64"/>
      <c r="AZ168" s="63"/>
      <c r="BA168" s="62"/>
    </row>
    <row r="169" spans="1:53">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61"/>
      <c r="AS169" s="61"/>
      <c r="AT169" s="60"/>
      <c r="AX169" s="65"/>
      <c r="AY169" s="64"/>
      <c r="AZ169" s="63"/>
      <c r="BA169" s="62"/>
    </row>
    <row r="170" spans="1:53">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61"/>
      <c r="AS170" s="61"/>
      <c r="AT170" s="60"/>
      <c r="AX170" s="62"/>
      <c r="AY170" s="62"/>
      <c r="AZ170" s="62"/>
      <c r="BA170" s="62"/>
    </row>
    <row r="171" spans="1:53">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61"/>
      <c r="AS171" s="61"/>
      <c r="AT171" s="60"/>
      <c r="AX171" s="62"/>
      <c r="AY171" s="62"/>
      <c r="AZ171" s="62"/>
      <c r="BA171" s="62"/>
    </row>
    <row r="172" spans="1:53">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61"/>
      <c r="AS172" s="61"/>
      <c r="AT172" s="60"/>
      <c r="AX172" s="62"/>
      <c r="AY172" s="62"/>
      <c r="AZ172" s="62"/>
      <c r="BA172" s="62"/>
    </row>
    <row r="173" spans="1:53">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61"/>
      <c r="AS173" s="61"/>
      <c r="AT173" s="60"/>
      <c r="AX173" s="62"/>
      <c r="AY173" s="62"/>
      <c r="AZ173" s="62"/>
      <c r="BA173" s="62"/>
    </row>
    <row r="174" spans="1:53">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61"/>
      <c r="AS174" s="61"/>
      <c r="AT174" s="60"/>
      <c r="AX174" s="62"/>
      <c r="AY174" s="62"/>
      <c r="AZ174" s="62"/>
      <c r="BA174" s="62"/>
    </row>
    <row r="175" spans="1:53">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61"/>
      <c r="AS175" s="61"/>
      <c r="AT175" s="60"/>
      <c r="AX175" s="62"/>
      <c r="AY175" s="62"/>
      <c r="AZ175" s="62"/>
      <c r="BA175" s="62"/>
    </row>
    <row r="176" spans="1:53">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61"/>
      <c r="AS176" s="61"/>
      <c r="AT176" s="60"/>
      <c r="AX176" s="62"/>
      <c r="AY176" s="62"/>
      <c r="AZ176" s="62"/>
      <c r="BA176" s="62"/>
    </row>
    <row r="177" spans="1:81">
      <c r="A177" s="1"/>
      <c r="B177" s="1"/>
      <c r="C177" s="1"/>
      <c r="D177" s="61"/>
      <c r="E177" s="6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61"/>
      <c r="AS177" s="61"/>
      <c r="AT177" s="60"/>
    </row>
    <row r="178" spans="1:81">
      <c r="A178" s="1"/>
      <c r="B178" s="61"/>
      <c r="C178" s="61"/>
      <c r="D178" s="61"/>
      <c r="E178" s="6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61"/>
      <c r="AS178" s="61"/>
      <c r="AT178" s="60"/>
    </row>
    <row r="179" spans="1:81" s="59" customFormat="1">
      <c r="A179" s="1"/>
      <c r="B179" s="61"/>
      <c r="C179" s="61"/>
      <c r="D179" s="61"/>
      <c r="E179" s="6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61"/>
      <c r="AS179" s="61"/>
      <c r="AT179" s="60"/>
      <c r="AX179" s="57"/>
      <c r="AY179" s="57"/>
      <c r="AZ179" s="57"/>
      <c r="BA179" s="57"/>
      <c r="BB179" s="57"/>
      <c r="BC179" s="57"/>
      <c r="BD179" s="57"/>
      <c r="BE179" s="57"/>
      <c r="BF179" s="57"/>
      <c r="BG179" s="57"/>
      <c r="BH179" s="57"/>
      <c r="BI179" s="57"/>
      <c r="BJ179" s="57"/>
      <c r="BK179" s="57"/>
      <c r="BL179" s="57"/>
      <c r="BM179" s="57"/>
      <c r="BN179" s="57"/>
      <c r="BO179" s="57"/>
      <c r="BP179" s="57"/>
      <c r="BQ179" s="57"/>
      <c r="BR179" s="57"/>
      <c r="BS179" s="57"/>
      <c r="BT179" s="57"/>
      <c r="BU179" s="57"/>
      <c r="BV179" s="57"/>
      <c r="BW179" s="57"/>
      <c r="BX179" s="57"/>
      <c r="BY179" s="57"/>
      <c r="BZ179" s="57"/>
      <c r="CA179" s="57"/>
      <c r="CB179" s="57"/>
      <c r="CC179" s="57"/>
    </row>
    <row r="180" spans="1:81" s="59" customFormat="1">
      <c r="A180" s="1"/>
      <c r="B180" s="61"/>
      <c r="C180" s="61"/>
      <c r="D180" s="61"/>
      <c r="E180" s="6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61"/>
      <c r="AS180" s="61"/>
      <c r="AT180" s="60"/>
      <c r="AX180" s="57"/>
      <c r="AY180" s="57"/>
      <c r="AZ180" s="57"/>
      <c r="BA180" s="57"/>
      <c r="BB180" s="57"/>
      <c r="BC180" s="57"/>
      <c r="BD180" s="57"/>
      <c r="BE180" s="57"/>
      <c r="BF180" s="57"/>
      <c r="BG180" s="57"/>
      <c r="BH180" s="57"/>
      <c r="BI180" s="57"/>
      <c r="BJ180" s="57"/>
      <c r="BK180" s="57"/>
      <c r="BL180" s="57"/>
      <c r="BM180" s="57"/>
      <c r="BN180" s="57"/>
      <c r="BO180" s="57"/>
      <c r="BP180" s="57"/>
      <c r="BQ180" s="57"/>
      <c r="BR180" s="57"/>
      <c r="BS180" s="57"/>
      <c r="BT180" s="57"/>
      <c r="BU180" s="57"/>
      <c r="BV180" s="57"/>
      <c r="BW180" s="57"/>
      <c r="BX180" s="57"/>
      <c r="BY180" s="57"/>
      <c r="BZ180" s="57"/>
      <c r="CA180" s="57"/>
      <c r="CB180" s="57"/>
      <c r="CC180" s="57"/>
    </row>
    <row r="181" spans="1:81" s="59" customFormat="1">
      <c r="A181" s="1"/>
      <c r="B181" s="61"/>
      <c r="C181" s="61"/>
      <c r="D181" s="61"/>
      <c r="E181" s="6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61"/>
      <c r="AS181" s="61"/>
      <c r="AT181" s="60"/>
      <c r="AX181" s="57"/>
      <c r="AY181" s="57"/>
      <c r="AZ181" s="57"/>
      <c r="BA181" s="57"/>
      <c r="BB181" s="57"/>
      <c r="BC181" s="57"/>
      <c r="BD181" s="57"/>
      <c r="BE181" s="57"/>
      <c r="BF181" s="57"/>
      <c r="BG181" s="57"/>
      <c r="BH181" s="57"/>
      <c r="BI181" s="57"/>
      <c r="BJ181" s="57"/>
      <c r="BK181" s="57"/>
      <c r="BL181" s="57"/>
      <c r="BM181" s="57"/>
      <c r="BN181" s="57"/>
      <c r="BO181" s="57"/>
      <c r="BP181" s="57"/>
      <c r="BQ181" s="57"/>
      <c r="BR181" s="57"/>
      <c r="BS181" s="57"/>
      <c r="BT181" s="57"/>
      <c r="BU181" s="57"/>
      <c r="BV181" s="57"/>
      <c r="BW181" s="57"/>
      <c r="BX181" s="57"/>
      <c r="BY181" s="57"/>
      <c r="BZ181" s="57"/>
      <c r="CA181" s="57"/>
      <c r="CB181" s="57"/>
      <c r="CC181" s="57"/>
    </row>
    <row r="182" spans="1:81" s="59" customFormat="1">
      <c r="A182" s="1"/>
      <c r="B182" s="61"/>
      <c r="C182" s="61"/>
      <c r="D182" s="61"/>
      <c r="E182" s="6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61"/>
      <c r="AS182" s="61"/>
      <c r="AT182" s="60"/>
      <c r="AX182" s="57"/>
      <c r="AY182" s="57"/>
      <c r="AZ182" s="57"/>
      <c r="BA182" s="57"/>
      <c r="BB182" s="57"/>
      <c r="BC182" s="57"/>
      <c r="BD182" s="57"/>
      <c r="BE182" s="57"/>
      <c r="BF182" s="57"/>
      <c r="BG182" s="57"/>
      <c r="BH182" s="57"/>
      <c r="BI182" s="57"/>
      <c r="BJ182" s="57"/>
      <c r="BK182" s="57"/>
      <c r="BL182" s="57"/>
      <c r="BM182" s="57"/>
      <c r="BN182" s="57"/>
      <c r="BO182" s="57"/>
      <c r="BP182" s="57"/>
      <c r="BQ182" s="57"/>
      <c r="BR182" s="57"/>
      <c r="BS182" s="57"/>
      <c r="BT182" s="57"/>
      <c r="BU182" s="57"/>
      <c r="BV182" s="57"/>
      <c r="BW182" s="57"/>
      <c r="BX182" s="57"/>
      <c r="BY182" s="57"/>
      <c r="BZ182" s="57"/>
      <c r="CA182" s="57"/>
      <c r="CB182" s="57"/>
      <c r="CC182" s="57"/>
    </row>
    <row r="183" spans="1:81" s="59" customFormat="1">
      <c r="A183" s="1"/>
      <c r="B183" s="61"/>
      <c r="C183" s="61"/>
      <c r="D183" s="61"/>
      <c r="E183" s="6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61"/>
      <c r="AS183" s="61"/>
      <c r="AT183" s="60"/>
      <c r="AX183" s="57"/>
      <c r="AY183" s="57"/>
      <c r="AZ183" s="57"/>
      <c r="BA183" s="57"/>
      <c r="BB183" s="57"/>
      <c r="BC183" s="57"/>
      <c r="BD183" s="57"/>
      <c r="BE183" s="57"/>
      <c r="BF183" s="57"/>
      <c r="BG183" s="57"/>
      <c r="BH183" s="57"/>
      <c r="BI183" s="57"/>
      <c r="BJ183" s="57"/>
      <c r="BK183" s="57"/>
      <c r="BL183" s="57"/>
      <c r="BM183" s="57"/>
      <c r="BN183" s="57"/>
      <c r="BO183" s="57"/>
      <c r="BP183" s="57"/>
      <c r="BQ183" s="57"/>
      <c r="BR183" s="57"/>
      <c r="BS183" s="57"/>
      <c r="BT183" s="57"/>
      <c r="BU183" s="57"/>
      <c r="BV183" s="57"/>
      <c r="BW183" s="57"/>
      <c r="BX183" s="57"/>
      <c r="BY183" s="57"/>
      <c r="BZ183" s="57"/>
      <c r="CA183" s="57"/>
      <c r="CB183" s="57"/>
      <c r="CC183" s="57"/>
    </row>
    <row r="184" spans="1:81" s="59" customFormat="1">
      <c r="A184" s="1"/>
      <c r="B184" s="61"/>
      <c r="C184" s="61"/>
      <c r="D184" s="61"/>
      <c r="E184" s="6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61"/>
      <c r="AS184" s="61"/>
      <c r="AT184" s="60"/>
      <c r="AX184" s="57"/>
      <c r="AY184" s="57"/>
      <c r="AZ184" s="57"/>
      <c r="BA184" s="57"/>
      <c r="BB184" s="57"/>
      <c r="BC184" s="57"/>
      <c r="BD184" s="57"/>
      <c r="BE184" s="57"/>
      <c r="BF184" s="57"/>
      <c r="BG184" s="57"/>
      <c r="BH184" s="57"/>
      <c r="BI184" s="57"/>
      <c r="BJ184" s="57"/>
      <c r="BK184" s="57"/>
      <c r="BL184" s="57"/>
      <c r="BM184" s="57"/>
      <c r="BN184" s="57"/>
      <c r="BO184" s="57"/>
      <c r="BP184" s="57"/>
      <c r="BQ184" s="57"/>
      <c r="BR184" s="57"/>
      <c r="BS184" s="57"/>
      <c r="BT184" s="57"/>
      <c r="BU184" s="57"/>
      <c r="BV184" s="57"/>
      <c r="BW184" s="57"/>
      <c r="BX184" s="57"/>
      <c r="BY184" s="57"/>
      <c r="BZ184" s="57"/>
      <c r="CA184" s="57"/>
      <c r="CB184" s="57"/>
      <c r="CC184" s="57"/>
    </row>
    <row r="185" spans="1:81" s="59" customFormat="1">
      <c r="A185" s="1"/>
      <c r="B185" s="61"/>
      <c r="C185" s="61"/>
      <c r="D185" s="61"/>
      <c r="E185" s="6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61"/>
      <c r="AS185" s="61"/>
      <c r="AT185" s="60"/>
      <c r="AX185" s="57"/>
      <c r="AY185" s="57"/>
      <c r="AZ185" s="57"/>
      <c r="BA185" s="57"/>
      <c r="BB185" s="57"/>
      <c r="BC185" s="57"/>
      <c r="BD185" s="57"/>
      <c r="BE185" s="57"/>
      <c r="BF185" s="57"/>
      <c r="BG185" s="57"/>
      <c r="BH185" s="57"/>
      <c r="BI185" s="57"/>
      <c r="BJ185" s="57"/>
      <c r="BK185" s="57"/>
      <c r="BL185" s="57"/>
      <c r="BM185" s="57"/>
      <c r="BN185" s="57"/>
      <c r="BO185" s="57"/>
      <c r="BP185" s="57"/>
      <c r="BQ185" s="57"/>
      <c r="BR185" s="57"/>
      <c r="BS185" s="57"/>
      <c r="BT185" s="57"/>
      <c r="BU185" s="57"/>
      <c r="BV185" s="57"/>
      <c r="BW185" s="57"/>
      <c r="BX185" s="57"/>
      <c r="BY185" s="57"/>
      <c r="BZ185" s="57"/>
      <c r="CA185" s="57"/>
      <c r="CB185" s="57"/>
      <c r="CC185" s="57"/>
    </row>
    <row r="186" spans="1:81" s="59" customFormat="1">
      <c r="A186" s="1"/>
      <c r="B186" s="61"/>
      <c r="C186" s="61"/>
      <c r="D186" s="61"/>
      <c r="E186" s="6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61"/>
      <c r="AS186" s="61"/>
      <c r="AT186" s="60"/>
      <c r="AX186" s="57"/>
      <c r="AY186" s="57"/>
      <c r="AZ186" s="57"/>
      <c r="BA186" s="57"/>
      <c r="BB186" s="57"/>
      <c r="BC186" s="57"/>
      <c r="BD186" s="57"/>
      <c r="BE186" s="57"/>
      <c r="BF186" s="57"/>
      <c r="BG186" s="57"/>
      <c r="BH186" s="57"/>
      <c r="BI186" s="57"/>
      <c r="BJ186" s="57"/>
      <c r="BK186" s="57"/>
      <c r="BL186" s="57"/>
      <c r="BM186" s="57"/>
      <c r="BN186" s="57"/>
      <c r="BO186" s="57"/>
      <c r="BP186" s="57"/>
      <c r="BQ186" s="57"/>
      <c r="BR186" s="57"/>
      <c r="BS186" s="57"/>
      <c r="BT186" s="57"/>
      <c r="BU186" s="57"/>
      <c r="BV186" s="57"/>
      <c r="BW186" s="57"/>
      <c r="BX186" s="57"/>
      <c r="BY186" s="57"/>
      <c r="BZ186" s="57"/>
      <c r="CA186" s="57"/>
      <c r="CB186" s="57"/>
      <c r="CC186" s="57"/>
    </row>
    <row r="187" spans="1:81" s="59" customFormat="1">
      <c r="A187" s="1"/>
      <c r="B187" s="61"/>
      <c r="C187" s="61"/>
      <c r="D187" s="61"/>
      <c r="E187" s="6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61"/>
      <c r="AS187" s="61"/>
      <c r="AT187" s="60"/>
      <c r="AX187" s="57"/>
      <c r="AY187" s="57"/>
      <c r="AZ187" s="57"/>
      <c r="BA187" s="57"/>
      <c r="BB187" s="57"/>
      <c r="BC187" s="57"/>
      <c r="BD187" s="57"/>
      <c r="BE187" s="57"/>
      <c r="BF187" s="57"/>
      <c r="BG187" s="57"/>
      <c r="BH187" s="57"/>
      <c r="BI187" s="57"/>
      <c r="BJ187" s="57"/>
      <c r="BK187" s="57"/>
      <c r="BL187" s="57"/>
      <c r="BM187" s="57"/>
      <c r="BN187" s="57"/>
      <c r="BO187" s="57"/>
      <c r="BP187" s="57"/>
      <c r="BQ187" s="57"/>
      <c r="BR187" s="57"/>
      <c r="BS187" s="57"/>
      <c r="BT187" s="57"/>
      <c r="BU187" s="57"/>
      <c r="BV187" s="57"/>
      <c r="BW187" s="57"/>
      <c r="BX187" s="57"/>
      <c r="BY187" s="57"/>
      <c r="BZ187" s="57"/>
      <c r="CA187" s="57"/>
      <c r="CB187" s="57"/>
      <c r="CC187" s="57"/>
    </row>
    <row r="188" spans="1:81" s="59" customFormat="1">
      <c r="A188" s="1"/>
      <c r="B188" s="61"/>
      <c r="C188" s="61"/>
      <c r="D188" s="61"/>
      <c r="E188" s="6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61"/>
      <c r="AS188" s="61"/>
      <c r="AT188" s="60"/>
      <c r="AX188" s="57"/>
      <c r="AY188" s="57"/>
      <c r="AZ188" s="57"/>
      <c r="BA188" s="57"/>
      <c r="BB188" s="57"/>
      <c r="BC188" s="57"/>
      <c r="BD188" s="57"/>
      <c r="BE188" s="57"/>
      <c r="BF188" s="57"/>
      <c r="BG188" s="57"/>
      <c r="BH188" s="57"/>
      <c r="BI188" s="57"/>
      <c r="BJ188" s="57"/>
      <c r="BK188" s="57"/>
      <c r="BL188" s="57"/>
      <c r="BM188" s="57"/>
      <c r="BN188" s="57"/>
      <c r="BO188" s="57"/>
      <c r="BP188" s="57"/>
      <c r="BQ188" s="57"/>
      <c r="BR188" s="57"/>
      <c r="BS188" s="57"/>
      <c r="BT188" s="57"/>
      <c r="BU188" s="57"/>
      <c r="BV188" s="57"/>
      <c r="BW188" s="57"/>
      <c r="BX188" s="57"/>
      <c r="BY188" s="57"/>
      <c r="BZ188" s="57"/>
      <c r="CA188" s="57"/>
      <c r="CB188" s="57"/>
      <c r="CC188" s="57"/>
    </row>
    <row r="189" spans="1:81" s="59" customFormat="1">
      <c r="A189" s="1"/>
      <c r="B189" s="61"/>
      <c r="C189" s="61"/>
      <c r="D189" s="61"/>
      <c r="E189" s="6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61"/>
      <c r="AS189" s="61"/>
      <c r="AT189" s="60"/>
      <c r="AX189" s="57"/>
      <c r="AY189" s="57"/>
      <c r="AZ189" s="57"/>
      <c r="BA189" s="57"/>
      <c r="BB189" s="57"/>
      <c r="BC189" s="57"/>
      <c r="BD189" s="57"/>
      <c r="BE189" s="57"/>
      <c r="BF189" s="57"/>
      <c r="BG189" s="57"/>
      <c r="BH189" s="57"/>
      <c r="BI189" s="57"/>
      <c r="BJ189" s="57"/>
      <c r="BK189" s="57"/>
      <c r="BL189" s="57"/>
      <c r="BM189" s="57"/>
      <c r="BN189" s="57"/>
      <c r="BO189" s="57"/>
      <c r="BP189" s="57"/>
      <c r="BQ189" s="57"/>
      <c r="BR189" s="57"/>
      <c r="BS189" s="57"/>
      <c r="BT189" s="57"/>
      <c r="BU189" s="57"/>
      <c r="BV189" s="57"/>
      <c r="BW189" s="57"/>
      <c r="BX189" s="57"/>
      <c r="BY189" s="57"/>
      <c r="BZ189" s="57"/>
      <c r="CA189" s="57"/>
      <c r="CB189" s="57"/>
      <c r="CC189" s="57"/>
    </row>
    <row r="190" spans="1:81" s="59" customFormat="1">
      <c r="A190" s="1"/>
      <c r="B190" s="61"/>
      <c r="C190" s="61"/>
      <c r="D190" s="61"/>
      <c r="E190" s="6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61"/>
      <c r="AS190" s="61"/>
      <c r="AT190" s="60"/>
      <c r="AX190" s="57"/>
      <c r="AY190" s="57"/>
      <c r="AZ190" s="57"/>
      <c r="BA190" s="57"/>
      <c r="BB190" s="57"/>
      <c r="BC190" s="57"/>
      <c r="BD190" s="57"/>
      <c r="BE190" s="57"/>
      <c r="BF190" s="57"/>
      <c r="BG190" s="57"/>
      <c r="BH190" s="57"/>
      <c r="BI190" s="57"/>
      <c r="BJ190" s="57"/>
      <c r="BK190" s="57"/>
      <c r="BL190" s="57"/>
      <c r="BM190" s="57"/>
      <c r="BN190" s="57"/>
      <c r="BO190" s="57"/>
      <c r="BP190" s="57"/>
      <c r="BQ190" s="57"/>
      <c r="BR190" s="57"/>
      <c r="BS190" s="57"/>
      <c r="BT190" s="57"/>
      <c r="BU190" s="57"/>
      <c r="BV190" s="57"/>
      <c r="BW190" s="57"/>
      <c r="BX190" s="57"/>
      <c r="BY190" s="57"/>
      <c r="BZ190" s="57"/>
      <c r="CA190" s="57"/>
      <c r="CB190" s="57"/>
      <c r="CC190" s="57"/>
    </row>
    <row r="191" spans="1:81" s="59" customFormat="1">
      <c r="A191" s="1"/>
      <c r="B191" s="61"/>
      <c r="C191" s="61"/>
      <c r="D191" s="61"/>
      <c r="E191" s="6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61"/>
      <c r="AS191" s="61"/>
      <c r="AT191" s="60"/>
      <c r="AX191" s="57"/>
      <c r="AY191" s="57"/>
      <c r="AZ191" s="57"/>
      <c r="BA191" s="57"/>
      <c r="BB191" s="57"/>
      <c r="BC191" s="57"/>
      <c r="BD191" s="57"/>
      <c r="BE191" s="57"/>
      <c r="BF191" s="57"/>
      <c r="BG191" s="57"/>
      <c r="BH191" s="57"/>
      <c r="BI191" s="57"/>
      <c r="BJ191" s="57"/>
      <c r="BK191" s="57"/>
      <c r="BL191" s="57"/>
      <c r="BM191" s="57"/>
      <c r="BN191" s="57"/>
      <c r="BO191" s="57"/>
      <c r="BP191" s="57"/>
      <c r="BQ191" s="57"/>
      <c r="BR191" s="57"/>
      <c r="BS191" s="57"/>
      <c r="BT191" s="57"/>
      <c r="BU191" s="57"/>
      <c r="BV191" s="57"/>
      <c r="BW191" s="57"/>
      <c r="BX191" s="57"/>
      <c r="BY191" s="57"/>
      <c r="BZ191" s="57"/>
      <c r="CA191" s="57"/>
      <c r="CB191" s="57"/>
      <c r="CC191" s="57"/>
    </row>
    <row r="192" spans="1:81" s="59" customFormat="1">
      <c r="A192" s="1"/>
      <c r="B192" s="61"/>
      <c r="C192" s="61"/>
      <c r="D192" s="61"/>
      <c r="E192" s="6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61"/>
      <c r="AS192" s="61"/>
      <c r="AT192" s="60"/>
      <c r="AX192" s="57"/>
      <c r="AY192" s="57"/>
      <c r="AZ192" s="57"/>
      <c r="BA192" s="57"/>
      <c r="BB192" s="57"/>
      <c r="BC192" s="57"/>
      <c r="BD192" s="57"/>
      <c r="BE192" s="57"/>
      <c r="BF192" s="57"/>
      <c r="BG192" s="57"/>
      <c r="BH192" s="57"/>
      <c r="BI192" s="57"/>
      <c r="BJ192" s="57"/>
      <c r="BK192" s="57"/>
      <c r="BL192" s="57"/>
      <c r="BM192" s="57"/>
      <c r="BN192" s="57"/>
      <c r="BO192" s="57"/>
      <c r="BP192" s="57"/>
      <c r="BQ192" s="57"/>
      <c r="BR192" s="57"/>
      <c r="BS192" s="57"/>
      <c r="BT192" s="57"/>
      <c r="BU192" s="57"/>
      <c r="BV192" s="57"/>
      <c r="BW192" s="57"/>
      <c r="BX192" s="57"/>
      <c r="BY192" s="57"/>
      <c r="BZ192" s="57"/>
      <c r="CA192" s="57"/>
      <c r="CB192" s="57"/>
      <c r="CC192" s="57"/>
    </row>
    <row r="193" spans="1:81" s="59" customFormat="1">
      <c r="A193" s="1"/>
      <c r="B193" s="61"/>
      <c r="C193" s="61"/>
      <c r="D193" s="61"/>
      <c r="E193" s="6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61"/>
      <c r="AS193" s="61"/>
      <c r="AT193" s="60"/>
      <c r="AX193" s="57"/>
      <c r="AY193" s="57"/>
      <c r="AZ193" s="57"/>
      <c r="BA193" s="57"/>
      <c r="BB193" s="57"/>
      <c r="BC193" s="57"/>
      <c r="BD193" s="57"/>
      <c r="BE193" s="57"/>
      <c r="BF193" s="57"/>
      <c r="BG193" s="57"/>
      <c r="BH193" s="57"/>
      <c r="BI193" s="57"/>
      <c r="BJ193" s="57"/>
      <c r="BK193" s="57"/>
      <c r="BL193" s="57"/>
      <c r="BM193" s="57"/>
      <c r="BN193" s="57"/>
      <c r="BO193" s="57"/>
      <c r="BP193" s="57"/>
      <c r="BQ193" s="57"/>
      <c r="BR193" s="57"/>
      <c r="BS193" s="57"/>
      <c r="BT193" s="57"/>
      <c r="BU193" s="57"/>
      <c r="BV193" s="57"/>
      <c r="BW193" s="57"/>
      <c r="BX193" s="57"/>
      <c r="BY193" s="57"/>
      <c r="BZ193" s="57"/>
      <c r="CA193" s="57"/>
      <c r="CB193" s="57"/>
      <c r="CC193" s="57"/>
    </row>
    <row r="194" spans="1:81" s="59" customFormat="1">
      <c r="A194" s="1"/>
      <c r="B194" s="61"/>
      <c r="C194" s="61"/>
      <c r="D194" s="61"/>
      <c r="E194" s="6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61"/>
      <c r="AS194" s="61"/>
      <c r="AT194" s="60"/>
      <c r="AX194" s="57"/>
      <c r="AY194" s="57"/>
      <c r="AZ194" s="57"/>
      <c r="BA194" s="57"/>
      <c r="BB194" s="57"/>
      <c r="BC194" s="57"/>
      <c r="BD194" s="57"/>
      <c r="BE194" s="57"/>
      <c r="BF194" s="57"/>
      <c r="BG194" s="57"/>
      <c r="BH194" s="57"/>
      <c r="BI194" s="57"/>
      <c r="BJ194" s="57"/>
      <c r="BK194" s="57"/>
      <c r="BL194" s="57"/>
      <c r="BM194" s="57"/>
      <c r="BN194" s="57"/>
      <c r="BO194" s="57"/>
      <c r="BP194" s="57"/>
      <c r="BQ194" s="57"/>
      <c r="BR194" s="57"/>
      <c r="BS194" s="57"/>
      <c r="BT194" s="57"/>
      <c r="BU194" s="57"/>
      <c r="BV194" s="57"/>
      <c r="BW194" s="57"/>
      <c r="BX194" s="57"/>
      <c r="BY194" s="57"/>
      <c r="BZ194" s="57"/>
      <c r="CA194" s="57"/>
      <c r="CB194" s="57"/>
      <c r="CC194" s="57"/>
    </row>
    <row r="195" spans="1:81" s="59" customFormat="1">
      <c r="A195" s="1"/>
      <c r="B195" s="61"/>
      <c r="C195" s="61"/>
      <c r="D195" s="61"/>
      <c r="E195" s="6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61"/>
      <c r="AS195" s="61"/>
      <c r="AT195" s="60"/>
      <c r="AX195" s="57"/>
      <c r="AY195" s="57"/>
      <c r="AZ195" s="57"/>
      <c r="BA195" s="57"/>
      <c r="BB195" s="57"/>
      <c r="BC195" s="57"/>
      <c r="BD195" s="57"/>
      <c r="BE195" s="57"/>
      <c r="BF195" s="57"/>
      <c r="BG195" s="57"/>
      <c r="BH195" s="57"/>
      <c r="BI195" s="57"/>
      <c r="BJ195" s="57"/>
      <c r="BK195" s="57"/>
      <c r="BL195" s="57"/>
      <c r="BM195" s="57"/>
      <c r="BN195" s="57"/>
      <c r="BO195" s="57"/>
      <c r="BP195" s="57"/>
      <c r="BQ195" s="57"/>
      <c r="BR195" s="57"/>
      <c r="BS195" s="57"/>
      <c r="BT195" s="57"/>
      <c r="BU195" s="57"/>
      <c r="BV195" s="57"/>
      <c r="BW195" s="57"/>
      <c r="BX195" s="57"/>
      <c r="BY195" s="57"/>
      <c r="BZ195" s="57"/>
      <c r="CA195" s="57"/>
      <c r="CB195" s="57"/>
      <c r="CC195" s="57"/>
    </row>
    <row r="196" spans="1:81" s="59" customFormat="1">
      <c r="A196" s="1"/>
      <c r="B196" s="61"/>
      <c r="C196" s="61"/>
      <c r="D196" s="61"/>
      <c r="E196" s="6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61"/>
      <c r="AS196" s="61"/>
      <c r="AT196" s="60"/>
      <c r="AX196" s="57"/>
      <c r="AY196" s="57"/>
      <c r="AZ196" s="57"/>
      <c r="BA196" s="57"/>
      <c r="BB196" s="57"/>
      <c r="BC196" s="57"/>
      <c r="BD196" s="57"/>
      <c r="BE196" s="57"/>
      <c r="BF196" s="57"/>
      <c r="BG196" s="57"/>
      <c r="BH196" s="57"/>
      <c r="BI196" s="57"/>
      <c r="BJ196" s="57"/>
      <c r="BK196" s="57"/>
      <c r="BL196" s="57"/>
      <c r="BM196" s="57"/>
      <c r="BN196" s="57"/>
      <c r="BO196" s="57"/>
      <c r="BP196" s="57"/>
      <c r="BQ196" s="57"/>
      <c r="BR196" s="57"/>
      <c r="BS196" s="57"/>
      <c r="BT196" s="57"/>
      <c r="BU196" s="57"/>
      <c r="BV196" s="57"/>
      <c r="BW196" s="57"/>
      <c r="BX196" s="57"/>
      <c r="BY196" s="57"/>
      <c r="BZ196" s="57"/>
      <c r="CA196" s="57"/>
      <c r="CB196" s="57"/>
      <c r="CC196" s="57"/>
    </row>
    <row r="197" spans="1:81" s="59" customFormat="1">
      <c r="A197" s="61"/>
      <c r="B197" s="61"/>
      <c r="C197" s="61"/>
      <c r="D197" s="61"/>
      <c r="E197" s="61"/>
      <c r="F197" s="61"/>
      <c r="G197" s="61"/>
      <c r="H197" s="61"/>
      <c r="I197" s="61"/>
      <c r="J197" s="61"/>
      <c r="K197" s="61"/>
      <c r="L197" s="61"/>
      <c r="M197" s="61"/>
      <c r="N197" s="61"/>
      <c r="O197" s="61"/>
      <c r="P197" s="61"/>
      <c r="Q197" s="61"/>
      <c r="R197" s="61"/>
      <c r="S197" s="61"/>
      <c r="T197" s="61"/>
      <c r="U197" s="61"/>
      <c r="V197" s="61"/>
      <c r="W197" s="61"/>
      <c r="X197" s="61"/>
      <c r="Y197" s="61"/>
      <c r="Z197" s="61"/>
      <c r="AA197" s="61"/>
      <c r="AB197" s="61"/>
      <c r="AC197" s="61"/>
      <c r="AD197" s="61"/>
      <c r="AE197" s="61"/>
      <c r="AF197" s="61"/>
      <c r="AG197" s="61"/>
      <c r="AH197" s="61"/>
      <c r="AI197" s="61"/>
      <c r="AJ197" s="61"/>
      <c r="AK197" s="61"/>
      <c r="AL197" s="61"/>
      <c r="AM197" s="61"/>
      <c r="AN197" s="61"/>
      <c r="AO197" s="61"/>
      <c r="AP197" s="61"/>
      <c r="AQ197" s="61"/>
      <c r="AR197" s="61"/>
      <c r="AS197" s="61"/>
      <c r="AT197" s="60"/>
      <c r="AX197" s="57"/>
      <c r="AY197" s="57"/>
      <c r="AZ197" s="57"/>
      <c r="BA197" s="57"/>
      <c r="BB197" s="57"/>
      <c r="BC197" s="57"/>
      <c r="BD197" s="57"/>
      <c r="BE197" s="57"/>
      <c r="BF197" s="57"/>
      <c r="BG197" s="57"/>
      <c r="BH197" s="57"/>
      <c r="BI197" s="57"/>
      <c r="BJ197" s="57"/>
      <c r="BK197" s="57"/>
      <c r="BL197" s="57"/>
      <c r="BM197" s="57"/>
      <c r="BN197" s="57"/>
      <c r="BO197" s="57"/>
      <c r="BP197" s="57"/>
      <c r="BQ197" s="57"/>
      <c r="BR197" s="57"/>
      <c r="BS197" s="57"/>
      <c r="BT197" s="57"/>
      <c r="BU197" s="57"/>
      <c r="BV197" s="57"/>
      <c r="BW197" s="57"/>
      <c r="BX197" s="57"/>
      <c r="BY197" s="57"/>
      <c r="BZ197" s="57"/>
      <c r="CA197" s="57"/>
      <c r="CB197" s="57"/>
      <c r="CC197" s="57"/>
    </row>
    <row r="198" spans="1:81" s="59" customFormat="1">
      <c r="A198" s="61"/>
      <c r="B198" s="61"/>
      <c r="C198" s="61"/>
      <c r="D198" s="61"/>
      <c r="E198" s="61"/>
      <c r="F198" s="61"/>
      <c r="G198" s="61"/>
      <c r="H198" s="61"/>
      <c r="I198" s="61"/>
      <c r="J198" s="61"/>
      <c r="K198" s="61"/>
      <c r="L198" s="61"/>
      <c r="M198" s="61"/>
      <c r="N198" s="61"/>
      <c r="O198" s="61"/>
      <c r="P198" s="61"/>
      <c r="Q198" s="61"/>
      <c r="R198" s="61"/>
      <c r="S198" s="61"/>
      <c r="T198" s="61"/>
      <c r="U198" s="61"/>
      <c r="V198" s="61"/>
      <c r="W198" s="61"/>
      <c r="X198" s="61"/>
      <c r="Y198" s="61"/>
      <c r="Z198" s="61"/>
      <c r="AA198" s="61"/>
      <c r="AB198" s="61"/>
      <c r="AC198" s="61"/>
      <c r="AD198" s="61"/>
      <c r="AE198" s="61"/>
      <c r="AF198" s="61"/>
      <c r="AG198" s="61"/>
      <c r="AH198" s="61"/>
      <c r="AI198" s="61"/>
      <c r="AJ198" s="61"/>
      <c r="AK198" s="61"/>
      <c r="AL198" s="61"/>
      <c r="AM198" s="61"/>
      <c r="AN198" s="61"/>
      <c r="AO198" s="61"/>
      <c r="AP198" s="61"/>
      <c r="AQ198" s="61"/>
      <c r="AR198" s="61"/>
      <c r="AS198" s="61"/>
      <c r="AT198" s="60"/>
      <c r="AX198" s="57"/>
      <c r="AY198" s="57"/>
      <c r="AZ198" s="57"/>
      <c r="BA198" s="57"/>
      <c r="BB198" s="57"/>
      <c r="BC198" s="57"/>
      <c r="BD198" s="57"/>
      <c r="BE198" s="57"/>
      <c r="BF198" s="57"/>
      <c r="BG198" s="57"/>
      <c r="BH198" s="57"/>
      <c r="BI198" s="57"/>
      <c r="BJ198" s="57"/>
      <c r="BK198" s="57"/>
      <c r="BL198" s="57"/>
      <c r="BM198" s="57"/>
      <c r="BN198" s="57"/>
      <c r="BO198" s="57"/>
      <c r="BP198" s="57"/>
      <c r="BQ198" s="57"/>
      <c r="BR198" s="57"/>
      <c r="BS198" s="57"/>
      <c r="BT198" s="57"/>
      <c r="BU198" s="57"/>
      <c r="BV198" s="57"/>
      <c r="BW198" s="57"/>
      <c r="BX198" s="57"/>
      <c r="BY198" s="57"/>
      <c r="BZ198" s="57"/>
      <c r="CA198" s="57"/>
      <c r="CB198" s="57"/>
      <c r="CC198" s="57"/>
    </row>
    <row r="199" spans="1:81" s="59" customFormat="1">
      <c r="A199" s="61"/>
      <c r="B199" s="61"/>
      <c r="C199" s="61"/>
      <c r="D199" s="61"/>
      <c r="E199" s="61"/>
      <c r="F199" s="61"/>
      <c r="G199" s="61"/>
      <c r="H199" s="61"/>
      <c r="I199" s="61"/>
      <c r="J199" s="61"/>
      <c r="K199" s="61"/>
      <c r="L199" s="61"/>
      <c r="M199" s="61"/>
      <c r="N199" s="61"/>
      <c r="O199" s="61"/>
      <c r="P199" s="61"/>
      <c r="Q199" s="61"/>
      <c r="R199" s="61"/>
      <c r="S199" s="61"/>
      <c r="T199" s="61"/>
      <c r="U199" s="61"/>
      <c r="V199" s="61"/>
      <c r="W199" s="61"/>
      <c r="X199" s="61"/>
      <c r="Y199" s="61"/>
      <c r="Z199" s="61"/>
      <c r="AA199" s="61"/>
      <c r="AB199" s="61"/>
      <c r="AC199" s="61"/>
      <c r="AD199" s="61"/>
      <c r="AE199" s="61"/>
      <c r="AF199" s="61"/>
      <c r="AG199" s="61"/>
      <c r="AH199" s="61"/>
      <c r="AI199" s="61"/>
      <c r="AJ199" s="61"/>
      <c r="AK199" s="61"/>
      <c r="AL199" s="61"/>
      <c r="AM199" s="61"/>
      <c r="AN199" s="61"/>
      <c r="AO199" s="61"/>
      <c r="AP199" s="61"/>
      <c r="AQ199" s="61"/>
      <c r="AR199" s="61"/>
      <c r="AS199" s="61"/>
      <c r="AT199" s="60"/>
      <c r="AX199" s="57"/>
      <c r="AY199" s="57"/>
      <c r="AZ199" s="57"/>
      <c r="BA199" s="57"/>
      <c r="BB199" s="57"/>
      <c r="BC199" s="57"/>
      <c r="BD199" s="57"/>
      <c r="BE199" s="57"/>
      <c r="BF199" s="57"/>
      <c r="BG199" s="57"/>
      <c r="BH199" s="57"/>
      <c r="BI199" s="57"/>
      <c r="BJ199" s="57"/>
      <c r="BK199" s="57"/>
      <c r="BL199" s="57"/>
      <c r="BM199" s="57"/>
      <c r="BN199" s="57"/>
      <c r="BO199" s="57"/>
      <c r="BP199" s="57"/>
      <c r="BQ199" s="57"/>
      <c r="BR199" s="57"/>
      <c r="BS199" s="57"/>
      <c r="BT199" s="57"/>
      <c r="BU199" s="57"/>
      <c r="BV199" s="57"/>
      <c r="BW199" s="57"/>
      <c r="BX199" s="57"/>
      <c r="BY199" s="57"/>
      <c r="BZ199" s="57"/>
      <c r="CA199" s="57"/>
      <c r="CB199" s="57"/>
      <c r="CC199" s="57"/>
    </row>
    <row r="200" spans="1:81" s="59" customFormat="1">
      <c r="A200" s="61"/>
      <c r="B200" s="61"/>
      <c r="C200" s="61"/>
      <c r="D200" s="61"/>
      <c r="E200" s="61"/>
      <c r="F200" s="61"/>
      <c r="G200" s="61"/>
      <c r="H200" s="61"/>
      <c r="I200" s="61"/>
      <c r="J200" s="61"/>
      <c r="K200" s="61"/>
      <c r="L200" s="61"/>
      <c r="M200" s="61"/>
      <c r="N200" s="61"/>
      <c r="O200" s="61"/>
      <c r="P200" s="61"/>
      <c r="Q200" s="61"/>
      <c r="R200" s="61"/>
      <c r="S200" s="61"/>
      <c r="T200" s="61"/>
      <c r="U200" s="61"/>
      <c r="V200" s="61"/>
      <c r="W200" s="61"/>
      <c r="X200" s="61"/>
      <c r="Y200" s="61"/>
      <c r="Z200" s="61"/>
      <c r="AA200" s="61"/>
      <c r="AB200" s="61"/>
      <c r="AC200" s="61"/>
      <c r="AD200" s="61"/>
      <c r="AE200" s="61"/>
      <c r="AF200" s="61"/>
      <c r="AG200" s="61"/>
      <c r="AH200" s="61"/>
      <c r="AI200" s="61"/>
      <c r="AJ200" s="61"/>
      <c r="AK200" s="61"/>
      <c r="AL200" s="61"/>
      <c r="AM200" s="61"/>
      <c r="AN200" s="61"/>
      <c r="AO200" s="61"/>
      <c r="AP200" s="61"/>
      <c r="AQ200" s="61"/>
      <c r="AR200" s="61"/>
      <c r="AS200" s="61"/>
      <c r="AT200" s="60"/>
      <c r="AX200" s="57"/>
      <c r="AY200" s="57"/>
      <c r="AZ200" s="57"/>
      <c r="BA200" s="57"/>
      <c r="BB200" s="57"/>
      <c r="BC200" s="57"/>
      <c r="BD200" s="57"/>
      <c r="BE200" s="57"/>
      <c r="BF200" s="57"/>
      <c r="BG200" s="57"/>
      <c r="BH200" s="57"/>
      <c r="BI200" s="57"/>
      <c r="BJ200" s="57"/>
      <c r="BK200" s="57"/>
      <c r="BL200" s="57"/>
      <c r="BM200" s="57"/>
      <c r="BN200" s="57"/>
      <c r="BO200" s="57"/>
      <c r="BP200" s="57"/>
      <c r="BQ200" s="57"/>
      <c r="BR200" s="57"/>
      <c r="BS200" s="57"/>
      <c r="BT200" s="57"/>
      <c r="BU200" s="57"/>
      <c r="BV200" s="57"/>
      <c r="BW200" s="57"/>
      <c r="BX200" s="57"/>
      <c r="BY200" s="57"/>
      <c r="BZ200" s="57"/>
      <c r="CA200" s="57"/>
      <c r="CB200" s="57"/>
      <c r="CC200" s="57"/>
    </row>
    <row r="201" spans="1:81" s="59" customFormat="1">
      <c r="A201" s="61"/>
      <c r="B201" s="61"/>
      <c r="C201" s="61"/>
      <c r="D201" s="61"/>
      <c r="E201" s="61"/>
      <c r="F201" s="61"/>
      <c r="G201" s="61"/>
      <c r="H201" s="61"/>
      <c r="I201" s="61"/>
      <c r="J201" s="61"/>
      <c r="K201" s="61"/>
      <c r="L201" s="61"/>
      <c r="M201" s="61"/>
      <c r="N201" s="61"/>
      <c r="O201" s="61"/>
      <c r="P201" s="61"/>
      <c r="Q201" s="61"/>
      <c r="R201" s="61"/>
      <c r="S201" s="61"/>
      <c r="T201" s="61"/>
      <c r="U201" s="61"/>
      <c r="V201" s="61"/>
      <c r="W201" s="61"/>
      <c r="X201" s="61"/>
      <c r="Y201" s="61"/>
      <c r="Z201" s="61"/>
      <c r="AA201" s="61"/>
      <c r="AB201" s="61"/>
      <c r="AC201" s="61"/>
      <c r="AD201" s="61"/>
      <c r="AE201" s="61"/>
      <c r="AF201" s="61"/>
      <c r="AG201" s="61"/>
      <c r="AH201" s="61"/>
      <c r="AI201" s="61"/>
      <c r="AJ201" s="61"/>
      <c r="AK201" s="61"/>
      <c r="AL201" s="61"/>
      <c r="AM201" s="61"/>
      <c r="AN201" s="61"/>
      <c r="AO201" s="61"/>
      <c r="AP201" s="61"/>
      <c r="AQ201" s="61"/>
      <c r="AR201" s="61"/>
      <c r="AS201" s="61"/>
      <c r="AT201" s="60"/>
      <c r="AX201" s="57"/>
      <c r="AY201" s="57"/>
      <c r="AZ201" s="57"/>
      <c r="BA201" s="57"/>
      <c r="BB201" s="57"/>
      <c r="BC201" s="57"/>
      <c r="BD201" s="57"/>
      <c r="BE201" s="57"/>
      <c r="BF201" s="57"/>
      <c r="BG201" s="57"/>
      <c r="BH201" s="57"/>
      <c r="BI201" s="57"/>
      <c r="BJ201" s="57"/>
      <c r="BK201" s="57"/>
      <c r="BL201" s="57"/>
      <c r="BM201" s="57"/>
      <c r="BN201" s="57"/>
      <c r="BO201" s="57"/>
      <c r="BP201" s="57"/>
      <c r="BQ201" s="57"/>
      <c r="BR201" s="57"/>
      <c r="BS201" s="57"/>
      <c r="BT201" s="57"/>
      <c r="BU201" s="57"/>
      <c r="BV201" s="57"/>
      <c r="BW201" s="57"/>
      <c r="BX201" s="57"/>
      <c r="BY201" s="57"/>
      <c r="BZ201" s="57"/>
      <c r="CA201" s="57"/>
      <c r="CB201" s="57"/>
      <c r="CC201" s="57"/>
    </row>
    <row r="202" spans="1:81" s="59" customFormat="1">
      <c r="A202" s="61"/>
      <c r="B202" s="61"/>
      <c r="C202" s="61"/>
      <c r="D202" s="61"/>
      <c r="E202" s="61"/>
      <c r="F202" s="61"/>
      <c r="G202" s="61"/>
      <c r="H202" s="61"/>
      <c r="I202" s="61"/>
      <c r="J202" s="61"/>
      <c r="K202" s="61"/>
      <c r="L202" s="61"/>
      <c r="M202" s="61"/>
      <c r="N202" s="61"/>
      <c r="O202" s="61"/>
      <c r="P202" s="61"/>
      <c r="Q202" s="61"/>
      <c r="R202" s="61"/>
      <c r="S202" s="61"/>
      <c r="T202" s="61"/>
      <c r="U202" s="61"/>
      <c r="V202" s="61"/>
      <c r="W202" s="61"/>
      <c r="X202" s="61"/>
      <c r="Y202" s="61"/>
      <c r="Z202" s="61"/>
      <c r="AA202" s="61"/>
      <c r="AB202" s="61"/>
      <c r="AC202" s="61"/>
      <c r="AD202" s="61"/>
      <c r="AE202" s="61"/>
      <c r="AF202" s="61"/>
      <c r="AG202" s="61"/>
      <c r="AH202" s="61"/>
      <c r="AI202" s="61"/>
      <c r="AJ202" s="61"/>
      <c r="AK202" s="61"/>
      <c r="AL202" s="61"/>
      <c r="AM202" s="61"/>
      <c r="AN202" s="61"/>
      <c r="AO202" s="61"/>
      <c r="AP202" s="61"/>
      <c r="AQ202" s="61"/>
      <c r="AR202" s="61"/>
      <c r="AS202" s="61"/>
      <c r="AT202" s="60"/>
      <c r="AX202" s="57"/>
      <c r="AY202" s="57"/>
      <c r="AZ202" s="57"/>
      <c r="BA202" s="57"/>
      <c r="BB202" s="57"/>
      <c r="BC202" s="57"/>
      <c r="BD202" s="57"/>
      <c r="BE202" s="57"/>
      <c r="BF202" s="57"/>
      <c r="BG202" s="57"/>
      <c r="BH202" s="57"/>
      <c r="BI202" s="57"/>
      <c r="BJ202" s="57"/>
      <c r="BK202" s="57"/>
      <c r="BL202" s="57"/>
      <c r="BM202" s="57"/>
      <c r="BN202" s="57"/>
      <c r="BO202" s="57"/>
      <c r="BP202" s="57"/>
      <c r="BQ202" s="57"/>
      <c r="BR202" s="57"/>
      <c r="BS202" s="57"/>
      <c r="BT202" s="57"/>
      <c r="BU202" s="57"/>
      <c r="BV202" s="57"/>
      <c r="BW202" s="57"/>
      <c r="BX202" s="57"/>
      <c r="BY202" s="57"/>
      <c r="BZ202" s="57"/>
      <c r="CA202" s="57"/>
      <c r="CB202" s="57"/>
      <c r="CC202" s="57"/>
    </row>
    <row r="203" spans="1:81" s="59" customFormat="1">
      <c r="A203" s="61"/>
      <c r="B203" s="61"/>
      <c r="C203" s="61"/>
      <c r="D203" s="61"/>
      <c r="E203" s="61"/>
      <c r="F203" s="61"/>
      <c r="G203" s="61"/>
      <c r="H203" s="61"/>
      <c r="I203" s="61"/>
      <c r="J203" s="61"/>
      <c r="K203" s="61"/>
      <c r="L203" s="61"/>
      <c r="M203" s="61"/>
      <c r="N203" s="61"/>
      <c r="O203" s="61"/>
      <c r="P203" s="61"/>
      <c r="Q203" s="61"/>
      <c r="R203" s="61"/>
      <c r="S203" s="61"/>
      <c r="T203" s="61"/>
      <c r="U203" s="61"/>
      <c r="V203" s="61"/>
      <c r="W203" s="61"/>
      <c r="X203" s="61"/>
      <c r="Y203" s="61"/>
      <c r="Z203" s="61"/>
      <c r="AA203" s="61"/>
      <c r="AB203" s="61"/>
      <c r="AC203" s="61"/>
      <c r="AD203" s="61"/>
      <c r="AE203" s="61"/>
      <c r="AF203" s="61"/>
      <c r="AG203" s="61"/>
      <c r="AH203" s="61"/>
      <c r="AI203" s="61"/>
      <c r="AJ203" s="61"/>
      <c r="AK203" s="61"/>
      <c r="AL203" s="61"/>
      <c r="AM203" s="61"/>
      <c r="AN203" s="61"/>
      <c r="AO203" s="61"/>
      <c r="AP203" s="61"/>
      <c r="AQ203" s="61"/>
      <c r="AR203" s="61"/>
      <c r="AS203" s="61"/>
      <c r="AT203" s="60"/>
      <c r="AX203" s="57"/>
      <c r="AY203" s="57"/>
      <c r="AZ203" s="57"/>
      <c r="BA203" s="57"/>
      <c r="BB203" s="57"/>
      <c r="BC203" s="57"/>
      <c r="BD203" s="57"/>
      <c r="BE203" s="57"/>
      <c r="BF203" s="57"/>
      <c r="BG203" s="57"/>
      <c r="BH203" s="57"/>
      <c r="BI203" s="57"/>
      <c r="BJ203" s="57"/>
      <c r="BK203" s="57"/>
      <c r="BL203" s="57"/>
      <c r="BM203" s="57"/>
      <c r="BN203" s="57"/>
      <c r="BO203" s="57"/>
      <c r="BP203" s="57"/>
      <c r="BQ203" s="57"/>
      <c r="BR203" s="57"/>
      <c r="BS203" s="57"/>
      <c r="BT203" s="57"/>
      <c r="BU203" s="57"/>
      <c r="BV203" s="57"/>
      <c r="BW203" s="57"/>
      <c r="BX203" s="57"/>
      <c r="BY203" s="57"/>
      <c r="BZ203" s="57"/>
      <c r="CA203" s="57"/>
      <c r="CB203" s="57"/>
      <c r="CC203" s="57"/>
    </row>
    <row r="204" spans="1:81" s="59" customFormat="1">
      <c r="A204" s="61"/>
      <c r="B204" s="61"/>
      <c r="C204" s="61"/>
      <c r="D204" s="61"/>
      <c r="E204" s="61"/>
      <c r="F204" s="61"/>
      <c r="G204" s="61"/>
      <c r="H204" s="61"/>
      <c r="I204" s="61"/>
      <c r="J204" s="61"/>
      <c r="K204" s="61"/>
      <c r="L204" s="61"/>
      <c r="M204" s="61"/>
      <c r="N204" s="61"/>
      <c r="O204" s="61"/>
      <c r="P204" s="61"/>
      <c r="Q204" s="61"/>
      <c r="R204" s="61"/>
      <c r="S204" s="61"/>
      <c r="T204" s="61"/>
      <c r="U204" s="61"/>
      <c r="V204" s="61"/>
      <c r="W204" s="61"/>
      <c r="X204" s="61"/>
      <c r="Y204" s="61"/>
      <c r="Z204" s="61"/>
      <c r="AA204" s="61"/>
      <c r="AB204" s="61"/>
      <c r="AC204" s="61"/>
      <c r="AD204" s="61"/>
      <c r="AE204" s="61"/>
      <c r="AF204" s="61"/>
      <c r="AG204" s="61"/>
      <c r="AH204" s="61"/>
      <c r="AI204" s="61"/>
      <c r="AJ204" s="61"/>
      <c r="AK204" s="61"/>
      <c r="AL204" s="61"/>
      <c r="AM204" s="61"/>
      <c r="AN204" s="61"/>
      <c r="AO204" s="61"/>
      <c r="AP204" s="61"/>
      <c r="AQ204" s="61"/>
      <c r="AR204" s="61"/>
      <c r="AS204" s="61"/>
      <c r="AT204" s="60"/>
      <c r="AX204" s="57"/>
      <c r="AY204" s="57"/>
      <c r="AZ204" s="57"/>
      <c r="BA204" s="57"/>
      <c r="BB204" s="57"/>
      <c r="BC204" s="57"/>
      <c r="BD204" s="57"/>
      <c r="BE204" s="57"/>
      <c r="BF204" s="57"/>
      <c r="BG204" s="57"/>
      <c r="BH204" s="57"/>
      <c r="BI204" s="57"/>
      <c r="BJ204" s="57"/>
      <c r="BK204" s="57"/>
      <c r="BL204" s="57"/>
      <c r="BM204" s="57"/>
      <c r="BN204" s="57"/>
      <c r="BO204" s="57"/>
      <c r="BP204" s="57"/>
      <c r="BQ204" s="57"/>
      <c r="BR204" s="57"/>
      <c r="BS204" s="57"/>
      <c r="BT204" s="57"/>
      <c r="BU204" s="57"/>
      <c r="BV204" s="57"/>
      <c r="BW204" s="57"/>
      <c r="BX204" s="57"/>
      <c r="BY204" s="57"/>
      <c r="BZ204" s="57"/>
      <c r="CA204" s="57"/>
      <c r="CB204" s="57"/>
      <c r="CC204" s="57"/>
    </row>
    <row r="205" spans="1:81" s="59" customFormat="1">
      <c r="A205" s="61"/>
      <c r="B205" s="61"/>
      <c r="C205" s="61"/>
      <c r="D205" s="61"/>
      <c r="E205" s="61"/>
      <c r="F205" s="61"/>
      <c r="G205" s="61"/>
      <c r="H205" s="61"/>
      <c r="I205" s="61"/>
      <c r="J205" s="61"/>
      <c r="K205" s="61"/>
      <c r="L205" s="61"/>
      <c r="M205" s="61"/>
      <c r="N205" s="61"/>
      <c r="O205" s="61"/>
      <c r="P205" s="61"/>
      <c r="Q205" s="61"/>
      <c r="R205" s="61"/>
      <c r="S205" s="61"/>
      <c r="T205" s="61"/>
      <c r="U205" s="61"/>
      <c r="V205" s="61"/>
      <c r="W205" s="61"/>
      <c r="X205" s="61"/>
      <c r="Y205" s="61"/>
      <c r="Z205" s="61"/>
      <c r="AA205" s="61"/>
      <c r="AB205" s="61"/>
      <c r="AC205" s="61"/>
      <c r="AD205" s="61"/>
      <c r="AE205" s="61"/>
      <c r="AF205" s="61"/>
      <c r="AG205" s="61"/>
      <c r="AH205" s="61"/>
      <c r="AI205" s="61"/>
      <c r="AJ205" s="61"/>
      <c r="AK205" s="61"/>
      <c r="AL205" s="61"/>
      <c r="AM205" s="61"/>
      <c r="AN205" s="61"/>
      <c r="AO205" s="61"/>
      <c r="AP205" s="61"/>
      <c r="AQ205" s="61"/>
      <c r="AR205" s="61"/>
      <c r="AS205" s="61"/>
      <c r="AT205" s="60"/>
      <c r="AX205" s="57"/>
      <c r="AY205" s="57"/>
      <c r="AZ205" s="57"/>
      <c r="BA205" s="57"/>
      <c r="BB205" s="57"/>
      <c r="BC205" s="57"/>
      <c r="BD205" s="57"/>
      <c r="BE205" s="57"/>
      <c r="BF205" s="57"/>
      <c r="BG205" s="57"/>
      <c r="BH205" s="57"/>
      <c r="BI205" s="57"/>
      <c r="BJ205" s="57"/>
      <c r="BK205" s="57"/>
      <c r="BL205" s="57"/>
      <c r="BM205" s="57"/>
      <c r="BN205" s="57"/>
      <c r="BO205" s="57"/>
      <c r="BP205" s="57"/>
      <c r="BQ205" s="57"/>
      <c r="BR205" s="57"/>
      <c r="BS205" s="57"/>
      <c r="BT205" s="57"/>
      <c r="BU205" s="57"/>
      <c r="BV205" s="57"/>
      <c r="BW205" s="57"/>
      <c r="BX205" s="57"/>
      <c r="BY205" s="57"/>
      <c r="BZ205" s="57"/>
      <c r="CA205" s="57"/>
      <c r="CB205" s="57"/>
      <c r="CC205" s="57"/>
    </row>
    <row r="206" spans="1:81" s="59" customFormat="1">
      <c r="A206" s="61"/>
      <c r="B206" s="61"/>
      <c r="C206" s="61"/>
      <c r="D206" s="61"/>
      <c r="E206" s="61"/>
      <c r="F206" s="61"/>
      <c r="G206" s="61"/>
      <c r="H206" s="61"/>
      <c r="I206" s="61"/>
      <c r="J206" s="61"/>
      <c r="K206" s="61"/>
      <c r="L206" s="61"/>
      <c r="M206" s="61"/>
      <c r="N206" s="61"/>
      <c r="O206" s="61"/>
      <c r="P206" s="61"/>
      <c r="Q206" s="61"/>
      <c r="R206" s="61"/>
      <c r="S206" s="61"/>
      <c r="T206" s="61"/>
      <c r="U206" s="61"/>
      <c r="V206" s="61"/>
      <c r="W206" s="61"/>
      <c r="X206" s="61"/>
      <c r="Y206" s="61"/>
      <c r="Z206" s="61"/>
      <c r="AA206" s="61"/>
      <c r="AB206" s="61"/>
      <c r="AC206" s="61"/>
      <c r="AD206" s="61"/>
      <c r="AE206" s="61"/>
      <c r="AF206" s="61"/>
      <c r="AG206" s="61"/>
      <c r="AH206" s="61"/>
      <c r="AI206" s="61"/>
      <c r="AJ206" s="61"/>
      <c r="AK206" s="61"/>
      <c r="AL206" s="61"/>
      <c r="AM206" s="61"/>
      <c r="AN206" s="61"/>
      <c r="AO206" s="61"/>
      <c r="AP206" s="61"/>
      <c r="AQ206" s="61"/>
      <c r="AR206" s="61"/>
      <c r="AS206" s="61"/>
      <c r="AT206" s="60"/>
      <c r="AX206" s="57"/>
      <c r="AY206" s="57"/>
      <c r="AZ206" s="57"/>
      <c r="BA206" s="57"/>
      <c r="BB206" s="57"/>
      <c r="BC206" s="57"/>
      <c r="BD206" s="57"/>
      <c r="BE206" s="57"/>
      <c r="BF206" s="57"/>
      <c r="BG206" s="57"/>
      <c r="BH206" s="57"/>
      <c r="BI206" s="57"/>
      <c r="BJ206" s="57"/>
      <c r="BK206" s="57"/>
      <c r="BL206" s="57"/>
      <c r="BM206" s="57"/>
      <c r="BN206" s="57"/>
      <c r="BO206" s="57"/>
      <c r="BP206" s="57"/>
      <c r="BQ206" s="57"/>
      <c r="BR206" s="57"/>
      <c r="BS206" s="57"/>
      <c r="BT206" s="57"/>
      <c r="BU206" s="57"/>
      <c r="BV206" s="57"/>
      <c r="BW206" s="57"/>
      <c r="BX206" s="57"/>
      <c r="BY206" s="57"/>
      <c r="BZ206" s="57"/>
      <c r="CA206" s="57"/>
      <c r="CB206" s="57"/>
      <c r="CC206" s="57"/>
    </row>
    <row r="207" spans="1:81" s="59" customFormat="1">
      <c r="A207" s="61"/>
      <c r="B207" s="61"/>
      <c r="C207" s="61"/>
      <c r="D207" s="61"/>
      <c r="E207" s="61"/>
      <c r="F207" s="61"/>
      <c r="G207" s="61"/>
      <c r="H207" s="61"/>
      <c r="I207" s="61"/>
      <c r="J207" s="61"/>
      <c r="K207" s="61"/>
      <c r="L207" s="61"/>
      <c r="M207" s="61"/>
      <c r="N207" s="61"/>
      <c r="O207" s="61"/>
      <c r="P207" s="61"/>
      <c r="Q207" s="61"/>
      <c r="R207" s="61"/>
      <c r="S207" s="61"/>
      <c r="T207" s="61"/>
      <c r="U207" s="61"/>
      <c r="V207" s="61"/>
      <c r="W207" s="61"/>
      <c r="X207" s="61"/>
      <c r="Y207" s="61"/>
      <c r="Z207" s="61"/>
      <c r="AA207" s="61"/>
      <c r="AB207" s="61"/>
      <c r="AC207" s="61"/>
      <c r="AD207" s="61"/>
      <c r="AE207" s="61"/>
      <c r="AF207" s="61"/>
      <c r="AG207" s="61"/>
      <c r="AH207" s="61"/>
      <c r="AI207" s="61"/>
      <c r="AJ207" s="61"/>
      <c r="AK207" s="61"/>
      <c r="AL207" s="61"/>
      <c r="AM207" s="61"/>
      <c r="AN207" s="61"/>
      <c r="AO207" s="61"/>
      <c r="AP207" s="61"/>
      <c r="AQ207" s="61"/>
      <c r="AR207" s="61"/>
      <c r="AS207" s="61"/>
      <c r="AT207" s="60"/>
      <c r="AX207" s="57"/>
      <c r="AY207" s="57"/>
      <c r="AZ207" s="57"/>
      <c r="BA207" s="57"/>
      <c r="BB207" s="57"/>
      <c r="BC207" s="57"/>
      <c r="BD207" s="57"/>
      <c r="BE207" s="57"/>
      <c r="BF207" s="57"/>
      <c r="BG207" s="57"/>
      <c r="BH207" s="57"/>
      <c r="BI207" s="57"/>
      <c r="BJ207" s="57"/>
      <c r="BK207" s="57"/>
      <c r="BL207" s="57"/>
      <c r="BM207" s="57"/>
      <c r="BN207" s="57"/>
      <c r="BO207" s="57"/>
      <c r="BP207" s="57"/>
      <c r="BQ207" s="57"/>
      <c r="BR207" s="57"/>
      <c r="BS207" s="57"/>
      <c r="BT207" s="57"/>
      <c r="BU207" s="57"/>
      <c r="BV207" s="57"/>
      <c r="BW207" s="57"/>
      <c r="BX207" s="57"/>
      <c r="BY207" s="57"/>
      <c r="BZ207" s="57"/>
      <c r="CA207" s="57"/>
      <c r="CB207" s="57"/>
      <c r="CC207" s="57"/>
    </row>
    <row r="208" spans="1:81" s="59" customFormat="1">
      <c r="A208" s="61"/>
      <c r="B208" s="61"/>
      <c r="C208" s="61"/>
      <c r="D208" s="61"/>
      <c r="E208" s="61"/>
      <c r="F208" s="61"/>
      <c r="G208" s="61"/>
      <c r="H208" s="61"/>
      <c r="I208" s="61"/>
      <c r="J208" s="61"/>
      <c r="K208" s="61"/>
      <c r="L208" s="61"/>
      <c r="M208" s="61"/>
      <c r="N208" s="61"/>
      <c r="O208" s="61"/>
      <c r="P208" s="61"/>
      <c r="Q208" s="61"/>
      <c r="R208" s="61"/>
      <c r="S208" s="61"/>
      <c r="T208" s="61"/>
      <c r="U208" s="61"/>
      <c r="V208" s="61"/>
      <c r="W208" s="61"/>
      <c r="X208" s="61"/>
      <c r="Y208" s="61"/>
      <c r="Z208" s="61"/>
      <c r="AA208" s="61"/>
      <c r="AB208" s="61"/>
      <c r="AC208" s="61"/>
      <c r="AD208" s="61"/>
      <c r="AE208" s="61"/>
      <c r="AF208" s="61"/>
      <c r="AG208" s="61"/>
      <c r="AH208" s="61"/>
      <c r="AI208" s="61"/>
      <c r="AJ208" s="61"/>
      <c r="AK208" s="61"/>
      <c r="AL208" s="61"/>
      <c r="AM208" s="61"/>
      <c r="AN208" s="61"/>
      <c r="AO208" s="61"/>
      <c r="AP208" s="61"/>
      <c r="AQ208" s="61"/>
      <c r="AR208" s="61"/>
      <c r="AS208" s="61"/>
      <c r="AT208" s="60"/>
      <c r="AX208" s="57"/>
      <c r="AY208" s="57"/>
      <c r="AZ208" s="57"/>
      <c r="BA208" s="57"/>
      <c r="BB208" s="57"/>
      <c r="BC208" s="57"/>
      <c r="BD208" s="57"/>
      <c r="BE208" s="57"/>
      <c r="BF208" s="57"/>
      <c r="BG208" s="57"/>
      <c r="BH208" s="57"/>
      <c r="BI208" s="57"/>
      <c r="BJ208" s="57"/>
      <c r="BK208" s="57"/>
      <c r="BL208" s="57"/>
      <c r="BM208" s="57"/>
      <c r="BN208" s="57"/>
      <c r="BO208" s="57"/>
      <c r="BP208" s="57"/>
      <c r="BQ208" s="57"/>
      <c r="BR208" s="57"/>
      <c r="BS208" s="57"/>
      <c r="BT208" s="57"/>
      <c r="BU208" s="57"/>
      <c r="BV208" s="57"/>
      <c r="BW208" s="57"/>
      <c r="BX208" s="57"/>
      <c r="BY208" s="57"/>
      <c r="BZ208" s="57"/>
      <c r="CA208" s="57"/>
      <c r="CB208" s="57"/>
      <c r="CC208" s="57"/>
    </row>
    <row r="209" spans="1:81" s="59" customFormat="1">
      <c r="A209" s="61"/>
      <c r="B209" s="61"/>
      <c r="C209" s="61"/>
      <c r="D209" s="61"/>
      <c r="E209" s="61"/>
      <c r="F209" s="61"/>
      <c r="G209" s="61"/>
      <c r="H209" s="61"/>
      <c r="I209" s="61"/>
      <c r="J209" s="61"/>
      <c r="K209" s="61"/>
      <c r="L209" s="61"/>
      <c r="M209" s="61"/>
      <c r="N209" s="61"/>
      <c r="O209" s="61"/>
      <c r="P209" s="61"/>
      <c r="Q209" s="61"/>
      <c r="R209" s="61"/>
      <c r="S209" s="61"/>
      <c r="T209" s="61"/>
      <c r="U209" s="61"/>
      <c r="V209" s="61"/>
      <c r="W209" s="61"/>
      <c r="X209" s="61"/>
      <c r="Y209" s="61"/>
      <c r="Z209" s="61"/>
      <c r="AA209" s="61"/>
      <c r="AB209" s="61"/>
      <c r="AC209" s="61"/>
      <c r="AD209" s="61"/>
      <c r="AE209" s="61"/>
      <c r="AF209" s="61"/>
      <c r="AG209" s="61"/>
      <c r="AH209" s="61"/>
      <c r="AI209" s="61"/>
      <c r="AJ209" s="61"/>
      <c r="AK209" s="61"/>
      <c r="AL209" s="61"/>
      <c r="AM209" s="61"/>
      <c r="AN209" s="61"/>
      <c r="AO209" s="61"/>
      <c r="AP209" s="61"/>
      <c r="AQ209" s="61"/>
      <c r="AR209" s="61"/>
      <c r="AS209" s="61"/>
      <c r="AT209" s="60"/>
      <c r="AX209" s="57"/>
      <c r="AY209" s="57"/>
      <c r="AZ209" s="57"/>
      <c r="BA209" s="57"/>
      <c r="BB209" s="57"/>
      <c r="BC209" s="57"/>
      <c r="BD209" s="57"/>
      <c r="BE209" s="57"/>
      <c r="BF209" s="57"/>
      <c r="BG209" s="57"/>
      <c r="BH209" s="57"/>
      <c r="BI209" s="57"/>
      <c r="BJ209" s="57"/>
      <c r="BK209" s="57"/>
      <c r="BL209" s="57"/>
      <c r="BM209" s="57"/>
      <c r="BN209" s="57"/>
      <c r="BO209" s="57"/>
      <c r="BP209" s="57"/>
      <c r="BQ209" s="57"/>
      <c r="BR209" s="57"/>
      <c r="BS209" s="57"/>
      <c r="BT209" s="57"/>
      <c r="BU209" s="57"/>
      <c r="BV209" s="57"/>
      <c r="BW209" s="57"/>
      <c r="BX209" s="57"/>
      <c r="BY209" s="57"/>
      <c r="BZ209" s="57"/>
      <c r="CA209" s="57"/>
      <c r="CB209" s="57"/>
      <c r="CC209" s="57"/>
    </row>
    <row r="210" spans="1:81" s="59" customFormat="1">
      <c r="A210" s="61"/>
      <c r="B210" s="61"/>
      <c r="C210" s="61"/>
      <c r="D210" s="61"/>
      <c r="E210" s="61"/>
      <c r="F210" s="61"/>
      <c r="G210" s="61"/>
      <c r="H210" s="61"/>
      <c r="I210" s="61"/>
      <c r="J210" s="61"/>
      <c r="K210" s="61"/>
      <c r="L210" s="61"/>
      <c r="M210" s="61"/>
      <c r="N210" s="61"/>
      <c r="O210" s="61"/>
      <c r="P210" s="61"/>
      <c r="Q210" s="61"/>
      <c r="R210" s="61"/>
      <c r="S210" s="61"/>
      <c r="T210" s="61"/>
      <c r="U210" s="61"/>
      <c r="V210" s="61"/>
      <c r="W210" s="61"/>
      <c r="X210" s="61"/>
      <c r="Y210" s="61"/>
      <c r="Z210" s="61"/>
      <c r="AA210" s="61"/>
      <c r="AB210" s="61"/>
      <c r="AC210" s="61"/>
      <c r="AD210" s="61"/>
      <c r="AE210" s="61"/>
      <c r="AF210" s="61"/>
      <c r="AG210" s="61"/>
      <c r="AH210" s="61"/>
      <c r="AI210" s="61"/>
      <c r="AJ210" s="61"/>
      <c r="AK210" s="61"/>
      <c r="AL210" s="61"/>
      <c r="AM210" s="61"/>
      <c r="AN210" s="61"/>
      <c r="AO210" s="61"/>
      <c r="AP210" s="61"/>
      <c r="AQ210" s="61"/>
      <c r="AR210" s="61"/>
      <c r="AS210" s="61"/>
      <c r="AT210" s="60"/>
      <c r="AX210" s="57"/>
      <c r="AY210" s="57"/>
      <c r="AZ210" s="57"/>
      <c r="BA210" s="57"/>
      <c r="BB210" s="57"/>
      <c r="BC210" s="57"/>
      <c r="BD210" s="57"/>
      <c r="BE210" s="57"/>
      <c r="BF210" s="57"/>
      <c r="BG210" s="57"/>
      <c r="BH210" s="57"/>
      <c r="BI210" s="57"/>
      <c r="BJ210" s="57"/>
      <c r="BK210" s="57"/>
      <c r="BL210" s="57"/>
      <c r="BM210" s="57"/>
      <c r="BN210" s="57"/>
      <c r="BO210" s="57"/>
      <c r="BP210" s="57"/>
      <c r="BQ210" s="57"/>
      <c r="BR210" s="57"/>
      <c r="BS210" s="57"/>
      <c r="BT210" s="57"/>
      <c r="BU210" s="57"/>
      <c r="BV210" s="57"/>
      <c r="BW210" s="57"/>
      <c r="BX210" s="57"/>
      <c r="BY210" s="57"/>
      <c r="BZ210" s="57"/>
      <c r="CA210" s="57"/>
      <c r="CB210" s="57"/>
      <c r="CC210" s="57"/>
    </row>
    <row r="211" spans="1:81" s="59" customFormat="1">
      <c r="A211" s="61"/>
      <c r="B211" s="61"/>
      <c r="C211" s="61"/>
      <c r="D211" s="61"/>
      <c r="E211" s="61"/>
      <c r="F211" s="61"/>
      <c r="G211" s="61"/>
      <c r="H211" s="61"/>
      <c r="I211" s="61"/>
      <c r="J211" s="61"/>
      <c r="K211" s="61"/>
      <c r="L211" s="61"/>
      <c r="M211" s="61"/>
      <c r="N211" s="61"/>
      <c r="O211" s="61"/>
      <c r="P211" s="61"/>
      <c r="Q211" s="61"/>
      <c r="R211" s="61"/>
      <c r="S211" s="61"/>
      <c r="T211" s="61"/>
      <c r="U211" s="61"/>
      <c r="V211" s="61"/>
      <c r="W211" s="61"/>
      <c r="X211" s="61"/>
      <c r="Y211" s="61"/>
      <c r="Z211" s="61"/>
      <c r="AA211" s="61"/>
      <c r="AB211" s="61"/>
      <c r="AC211" s="61"/>
      <c r="AD211" s="61"/>
      <c r="AE211" s="61"/>
      <c r="AF211" s="61"/>
      <c r="AG211" s="61"/>
      <c r="AH211" s="61"/>
      <c r="AI211" s="61"/>
      <c r="AJ211" s="61"/>
      <c r="AK211" s="61"/>
      <c r="AL211" s="61"/>
      <c r="AM211" s="61"/>
      <c r="AN211" s="61"/>
      <c r="AO211" s="61"/>
      <c r="AP211" s="61"/>
      <c r="AQ211" s="61"/>
      <c r="AR211" s="61"/>
      <c r="AS211" s="61"/>
      <c r="AT211" s="60"/>
      <c r="AX211" s="57"/>
      <c r="AY211" s="57"/>
      <c r="AZ211" s="57"/>
      <c r="BA211" s="57"/>
      <c r="BB211" s="57"/>
      <c r="BC211" s="57"/>
      <c r="BD211" s="57"/>
      <c r="BE211" s="57"/>
      <c r="BF211" s="57"/>
      <c r="BG211" s="57"/>
      <c r="BH211" s="57"/>
      <c r="BI211" s="57"/>
      <c r="BJ211" s="57"/>
      <c r="BK211" s="57"/>
      <c r="BL211" s="57"/>
      <c r="BM211" s="57"/>
      <c r="BN211" s="57"/>
      <c r="BO211" s="57"/>
      <c r="BP211" s="57"/>
      <c r="BQ211" s="57"/>
      <c r="BR211" s="57"/>
      <c r="BS211" s="57"/>
      <c r="BT211" s="57"/>
      <c r="BU211" s="57"/>
      <c r="BV211" s="57"/>
      <c r="BW211" s="57"/>
      <c r="BX211" s="57"/>
      <c r="BY211" s="57"/>
      <c r="BZ211" s="57"/>
      <c r="CA211" s="57"/>
      <c r="CB211" s="57"/>
      <c r="CC211" s="57"/>
    </row>
    <row r="212" spans="1:81" s="59" customFormat="1">
      <c r="A212" s="61"/>
      <c r="B212" s="61"/>
      <c r="C212" s="61"/>
      <c r="D212" s="61"/>
      <c r="E212" s="61"/>
      <c r="F212" s="61"/>
      <c r="G212" s="61"/>
      <c r="H212" s="61"/>
      <c r="I212" s="61"/>
      <c r="J212" s="61"/>
      <c r="K212" s="61"/>
      <c r="L212" s="61"/>
      <c r="M212" s="61"/>
      <c r="N212" s="61"/>
      <c r="O212" s="61"/>
      <c r="P212" s="61"/>
      <c r="Q212" s="61"/>
      <c r="R212" s="61"/>
      <c r="S212" s="61"/>
      <c r="T212" s="61"/>
      <c r="U212" s="61"/>
      <c r="V212" s="61"/>
      <c r="W212" s="61"/>
      <c r="X212" s="61"/>
      <c r="Y212" s="61"/>
      <c r="Z212" s="61"/>
      <c r="AA212" s="61"/>
      <c r="AB212" s="61"/>
      <c r="AC212" s="61"/>
      <c r="AD212" s="61"/>
      <c r="AE212" s="61"/>
      <c r="AF212" s="61"/>
      <c r="AG212" s="61"/>
      <c r="AH212" s="61"/>
      <c r="AI212" s="61"/>
      <c r="AJ212" s="61"/>
      <c r="AK212" s="61"/>
      <c r="AL212" s="61"/>
      <c r="AM212" s="61"/>
      <c r="AN212" s="61"/>
      <c r="AO212" s="61"/>
      <c r="AP212" s="61"/>
      <c r="AQ212" s="61"/>
      <c r="AR212" s="61"/>
      <c r="AS212" s="61"/>
      <c r="AT212" s="60"/>
      <c r="AX212" s="57"/>
      <c r="AY212" s="57"/>
      <c r="AZ212" s="57"/>
      <c r="BA212" s="57"/>
      <c r="BB212" s="57"/>
      <c r="BC212" s="57"/>
      <c r="BD212" s="57"/>
      <c r="BE212" s="57"/>
      <c r="BF212" s="57"/>
      <c r="BG212" s="57"/>
      <c r="BH212" s="57"/>
      <c r="BI212" s="57"/>
      <c r="BJ212" s="57"/>
      <c r="BK212" s="57"/>
      <c r="BL212" s="57"/>
      <c r="BM212" s="57"/>
      <c r="BN212" s="57"/>
      <c r="BO212" s="57"/>
      <c r="BP212" s="57"/>
      <c r="BQ212" s="57"/>
      <c r="BR212" s="57"/>
      <c r="BS212" s="57"/>
      <c r="BT212" s="57"/>
      <c r="BU212" s="57"/>
      <c r="BV212" s="57"/>
      <c r="BW212" s="57"/>
      <c r="BX212" s="57"/>
      <c r="BY212" s="57"/>
      <c r="BZ212" s="57"/>
      <c r="CA212" s="57"/>
      <c r="CB212" s="57"/>
      <c r="CC212" s="57"/>
    </row>
    <row r="213" spans="1:81" s="59" customFormat="1">
      <c r="A213" s="61"/>
      <c r="B213" s="61"/>
      <c r="C213" s="61"/>
      <c r="D213" s="61"/>
      <c r="E213" s="61"/>
      <c r="F213" s="61"/>
      <c r="G213" s="61"/>
      <c r="H213" s="61"/>
      <c r="I213" s="61"/>
      <c r="J213" s="61"/>
      <c r="K213" s="61"/>
      <c r="L213" s="61"/>
      <c r="M213" s="61"/>
      <c r="N213" s="61"/>
      <c r="O213" s="61"/>
      <c r="P213" s="61"/>
      <c r="Q213" s="61"/>
      <c r="R213" s="61"/>
      <c r="S213" s="61"/>
      <c r="T213" s="61"/>
      <c r="U213" s="61"/>
      <c r="V213" s="61"/>
      <c r="W213" s="61"/>
      <c r="X213" s="61"/>
      <c r="Y213" s="61"/>
      <c r="Z213" s="61"/>
      <c r="AA213" s="61"/>
      <c r="AB213" s="61"/>
      <c r="AC213" s="61"/>
      <c r="AD213" s="61"/>
      <c r="AE213" s="61"/>
      <c r="AF213" s="61"/>
      <c r="AG213" s="61"/>
      <c r="AH213" s="61"/>
      <c r="AI213" s="61"/>
      <c r="AJ213" s="61"/>
      <c r="AK213" s="61"/>
      <c r="AL213" s="61"/>
      <c r="AM213" s="61"/>
      <c r="AN213" s="61"/>
      <c r="AO213" s="61"/>
      <c r="AP213" s="61"/>
      <c r="AQ213" s="61"/>
      <c r="AR213" s="61"/>
      <c r="AS213" s="61"/>
      <c r="AT213" s="60"/>
      <c r="AX213" s="57"/>
      <c r="AY213" s="57"/>
      <c r="AZ213" s="57"/>
      <c r="BA213" s="57"/>
      <c r="BB213" s="57"/>
      <c r="BC213" s="57"/>
      <c r="BD213" s="57"/>
      <c r="BE213" s="57"/>
      <c r="BF213" s="57"/>
      <c r="BG213" s="57"/>
      <c r="BH213" s="57"/>
      <c r="BI213" s="57"/>
      <c r="BJ213" s="57"/>
      <c r="BK213" s="57"/>
      <c r="BL213" s="57"/>
      <c r="BM213" s="57"/>
      <c r="BN213" s="57"/>
      <c r="BO213" s="57"/>
      <c r="BP213" s="57"/>
      <c r="BQ213" s="57"/>
      <c r="BR213" s="57"/>
      <c r="BS213" s="57"/>
      <c r="BT213" s="57"/>
      <c r="BU213" s="57"/>
      <c r="BV213" s="57"/>
      <c r="BW213" s="57"/>
      <c r="BX213" s="57"/>
      <c r="BY213" s="57"/>
      <c r="BZ213" s="57"/>
      <c r="CA213" s="57"/>
      <c r="CB213" s="57"/>
      <c r="CC213" s="57"/>
    </row>
    <row r="214" spans="1:81" s="59" customFormat="1">
      <c r="A214" s="61"/>
      <c r="B214" s="61"/>
      <c r="C214" s="61"/>
      <c r="D214" s="61"/>
      <c r="E214" s="61"/>
      <c r="F214" s="61"/>
      <c r="G214" s="61"/>
      <c r="H214" s="61"/>
      <c r="I214" s="61"/>
      <c r="J214" s="61"/>
      <c r="K214" s="61"/>
      <c r="L214" s="61"/>
      <c r="M214" s="61"/>
      <c r="N214" s="61"/>
      <c r="O214" s="61"/>
      <c r="P214" s="61"/>
      <c r="Q214" s="61"/>
      <c r="R214" s="61"/>
      <c r="S214" s="61"/>
      <c r="T214" s="61"/>
      <c r="U214" s="61"/>
      <c r="V214" s="61"/>
      <c r="W214" s="61"/>
      <c r="X214" s="61"/>
      <c r="Y214" s="61"/>
      <c r="Z214" s="61"/>
      <c r="AA214" s="61"/>
      <c r="AB214" s="61"/>
      <c r="AC214" s="61"/>
      <c r="AD214" s="61"/>
      <c r="AE214" s="61"/>
      <c r="AF214" s="61"/>
      <c r="AG214" s="61"/>
      <c r="AH214" s="61"/>
      <c r="AI214" s="61"/>
      <c r="AJ214" s="61"/>
      <c r="AK214" s="61"/>
      <c r="AL214" s="61"/>
      <c r="AM214" s="61"/>
      <c r="AN214" s="61"/>
      <c r="AO214" s="61"/>
      <c r="AP214" s="61"/>
      <c r="AQ214" s="61"/>
      <c r="AR214" s="61"/>
      <c r="AS214" s="61"/>
      <c r="AT214" s="60"/>
      <c r="AX214" s="57"/>
      <c r="AY214" s="57"/>
      <c r="AZ214" s="57"/>
      <c r="BA214" s="57"/>
      <c r="BB214" s="57"/>
      <c r="BC214" s="57"/>
      <c r="BD214" s="57"/>
      <c r="BE214" s="57"/>
      <c r="BF214" s="57"/>
      <c r="BG214" s="57"/>
      <c r="BH214" s="57"/>
      <c r="BI214" s="57"/>
      <c r="BJ214" s="57"/>
      <c r="BK214" s="57"/>
      <c r="BL214" s="57"/>
      <c r="BM214" s="57"/>
      <c r="BN214" s="57"/>
      <c r="BO214" s="57"/>
      <c r="BP214" s="57"/>
      <c r="BQ214" s="57"/>
      <c r="BR214" s="57"/>
      <c r="BS214" s="57"/>
      <c r="BT214" s="57"/>
      <c r="BU214" s="57"/>
      <c r="BV214" s="57"/>
      <c r="BW214" s="57"/>
      <c r="BX214" s="57"/>
      <c r="BY214" s="57"/>
      <c r="BZ214" s="57"/>
      <c r="CA214" s="57"/>
      <c r="CB214" s="57"/>
      <c r="CC214" s="57"/>
    </row>
    <row r="215" spans="1:81" s="59" customFormat="1">
      <c r="A215" s="61"/>
      <c r="B215" s="61"/>
      <c r="C215" s="61"/>
      <c r="D215" s="61"/>
      <c r="E215" s="61"/>
      <c r="F215" s="61"/>
      <c r="G215" s="61"/>
      <c r="H215" s="61"/>
      <c r="I215" s="61"/>
      <c r="J215" s="61"/>
      <c r="K215" s="61"/>
      <c r="L215" s="61"/>
      <c r="M215" s="61"/>
      <c r="N215" s="61"/>
      <c r="O215" s="61"/>
      <c r="P215" s="61"/>
      <c r="Q215" s="61"/>
      <c r="R215" s="61"/>
      <c r="S215" s="61"/>
      <c r="T215" s="61"/>
      <c r="U215" s="61"/>
      <c r="V215" s="61"/>
      <c r="W215" s="61"/>
      <c r="X215" s="61"/>
      <c r="Y215" s="61"/>
      <c r="Z215" s="61"/>
      <c r="AA215" s="61"/>
      <c r="AB215" s="61"/>
      <c r="AC215" s="61"/>
      <c r="AD215" s="61"/>
      <c r="AE215" s="61"/>
      <c r="AF215" s="61"/>
      <c r="AG215" s="61"/>
      <c r="AH215" s="61"/>
      <c r="AI215" s="61"/>
      <c r="AJ215" s="61"/>
      <c r="AK215" s="61"/>
      <c r="AL215" s="61"/>
      <c r="AM215" s="61"/>
      <c r="AN215" s="61"/>
      <c r="AO215" s="61"/>
      <c r="AP215" s="61"/>
      <c r="AQ215" s="61"/>
      <c r="AR215" s="61"/>
      <c r="AS215" s="61"/>
      <c r="AT215" s="60"/>
      <c r="AX215" s="57"/>
      <c r="AY215" s="57"/>
      <c r="AZ215" s="57"/>
      <c r="BA215" s="57"/>
      <c r="BB215" s="57"/>
      <c r="BC215" s="57"/>
      <c r="BD215" s="57"/>
      <c r="BE215" s="57"/>
      <c r="BF215" s="57"/>
      <c r="BG215" s="57"/>
      <c r="BH215" s="57"/>
      <c r="BI215" s="57"/>
      <c r="BJ215" s="57"/>
      <c r="BK215" s="57"/>
      <c r="BL215" s="57"/>
      <c r="BM215" s="57"/>
      <c r="BN215" s="57"/>
      <c r="BO215" s="57"/>
      <c r="BP215" s="57"/>
      <c r="BQ215" s="57"/>
      <c r="BR215" s="57"/>
      <c r="BS215" s="57"/>
      <c r="BT215" s="57"/>
      <c r="BU215" s="57"/>
      <c r="BV215" s="57"/>
      <c r="BW215" s="57"/>
      <c r="BX215" s="57"/>
      <c r="BY215" s="57"/>
      <c r="BZ215" s="57"/>
      <c r="CA215" s="57"/>
      <c r="CB215" s="57"/>
      <c r="CC215" s="57"/>
    </row>
    <row r="216" spans="1:81" s="59" customFormat="1">
      <c r="A216" s="61"/>
      <c r="B216" s="61"/>
      <c r="C216" s="61"/>
      <c r="D216" s="61"/>
      <c r="E216" s="61"/>
      <c r="F216" s="61"/>
      <c r="G216" s="61"/>
      <c r="H216" s="61"/>
      <c r="I216" s="61"/>
      <c r="J216" s="61"/>
      <c r="K216" s="61"/>
      <c r="L216" s="61"/>
      <c r="M216" s="61"/>
      <c r="N216" s="61"/>
      <c r="O216" s="61"/>
      <c r="P216" s="61"/>
      <c r="Q216" s="61"/>
      <c r="R216" s="61"/>
      <c r="S216" s="61"/>
      <c r="T216" s="61"/>
      <c r="U216" s="61"/>
      <c r="V216" s="61"/>
      <c r="W216" s="61"/>
      <c r="X216" s="61"/>
      <c r="Y216" s="61"/>
      <c r="Z216" s="61"/>
      <c r="AA216" s="61"/>
      <c r="AB216" s="61"/>
      <c r="AC216" s="61"/>
      <c r="AD216" s="61"/>
      <c r="AE216" s="61"/>
      <c r="AF216" s="61"/>
      <c r="AG216" s="61"/>
      <c r="AH216" s="61"/>
      <c r="AI216" s="61"/>
      <c r="AJ216" s="61"/>
      <c r="AK216" s="61"/>
      <c r="AL216" s="61"/>
      <c r="AM216" s="61"/>
      <c r="AN216" s="61"/>
      <c r="AO216" s="61"/>
      <c r="AP216" s="61"/>
      <c r="AQ216" s="61"/>
      <c r="AR216" s="61"/>
      <c r="AS216" s="61"/>
      <c r="AT216" s="60"/>
      <c r="AX216" s="57"/>
      <c r="AY216" s="57"/>
      <c r="AZ216" s="57"/>
      <c r="BA216" s="57"/>
      <c r="BB216" s="57"/>
      <c r="BC216" s="57"/>
      <c r="BD216" s="57"/>
      <c r="BE216" s="57"/>
      <c r="BF216" s="57"/>
      <c r="BG216" s="57"/>
      <c r="BH216" s="57"/>
      <c r="BI216" s="57"/>
      <c r="BJ216" s="57"/>
      <c r="BK216" s="57"/>
      <c r="BL216" s="57"/>
      <c r="BM216" s="57"/>
      <c r="BN216" s="57"/>
      <c r="BO216" s="57"/>
      <c r="BP216" s="57"/>
      <c r="BQ216" s="57"/>
      <c r="BR216" s="57"/>
      <c r="BS216" s="57"/>
      <c r="BT216" s="57"/>
      <c r="BU216" s="57"/>
      <c r="BV216" s="57"/>
      <c r="BW216" s="57"/>
      <c r="BX216" s="57"/>
      <c r="BY216" s="57"/>
      <c r="BZ216" s="57"/>
      <c r="CA216" s="57"/>
      <c r="CB216" s="57"/>
      <c r="CC216" s="57"/>
    </row>
    <row r="217" spans="1:81" s="59" customFormat="1">
      <c r="A217" s="61"/>
      <c r="B217" s="61"/>
      <c r="C217" s="61"/>
      <c r="D217" s="61"/>
      <c r="E217" s="61"/>
      <c r="F217" s="61"/>
      <c r="G217" s="61"/>
      <c r="H217" s="61"/>
      <c r="I217" s="61"/>
      <c r="J217" s="61"/>
      <c r="K217" s="61"/>
      <c r="L217" s="61"/>
      <c r="M217" s="61"/>
      <c r="N217" s="61"/>
      <c r="O217" s="61"/>
      <c r="P217" s="61"/>
      <c r="Q217" s="61"/>
      <c r="R217" s="61"/>
      <c r="S217" s="61"/>
      <c r="T217" s="61"/>
      <c r="U217" s="61"/>
      <c r="V217" s="61"/>
      <c r="W217" s="61"/>
      <c r="X217" s="61"/>
      <c r="Y217" s="61"/>
      <c r="Z217" s="61"/>
      <c r="AA217" s="61"/>
      <c r="AB217" s="61"/>
      <c r="AC217" s="61"/>
      <c r="AD217" s="61"/>
      <c r="AE217" s="61"/>
      <c r="AF217" s="61"/>
      <c r="AG217" s="61"/>
      <c r="AH217" s="61"/>
      <c r="AI217" s="61"/>
      <c r="AJ217" s="61"/>
      <c r="AK217" s="61"/>
      <c r="AL217" s="61"/>
      <c r="AM217" s="61"/>
      <c r="AN217" s="61"/>
      <c r="AO217" s="61"/>
      <c r="AP217" s="61"/>
      <c r="AQ217" s="61"/>
      <c r="AR217" s="61"/>
      <c r="AS217" s="61"/>
      <c r="AT217" s="60"/>
      <c r="AX217" s="57"/>
      <c r="AY217" s="57"/>
      <c r="AZ217" s="57"/>
      <c r="BA217" s="57"/>
      <c r="BB217" s="57"/>
      <c r="BC217" s="57"/>
      <c r="BD217" s="57"/>
      <c r="BE217" s="57"/>
      <c r="BF217" s="57"/>
      <c r="BG217" s="57"/>
      <c r="BH217" s="57"/>
      <c r="BI217" s="57"/>
      <c r="BJ217" s="57"/>
      <c r="BK217" s="57"/>
      <c r="BL217" s="57"/>
      <c r="BM217" s="57"/>
      <c r="BN217" s="57"/>
      <c r="BO217" s="57"/>
      <c r="BP217" s="57"/>
      <c r="BQ217" s="57"/>
      <c r="BR217" s="57"/>
      <c r="BS217" s="57"/>
      <c r="BT217" s="57"/>
      <c r="BU217" s="57"/>
      <c r="BV217" s="57"/>
      <c r="BW217" s="57"/>
      <c r="BX217" s="57"/>
      <c r="BY217" s="57"/>
      <c r="BZ217" s="57"/>
      <c r="CA217" s="57"/>
      <c r="CB217" s="57"/>
      <c r="CC217" s="57"/>
    </row>
    <row r="218" spans="1:81" s="59" customFormat="1">
      <c r="A218" s="61"/>
      <c r="B218" s="61"/>
      <c r="C218" s="61"/>
      <c r="D218" s="61"/>
      <c r="E218" s="61"/>
      <c r="F218" s="61"/>
      <c r="G218" s="61"/>
      <c r="H218" s="61"/>
      <c r="I218" s="61"/>
      <c r="J218" s="61"/>
      <c r="K218" s="61"/>
      <c r="L218" s="61"/>
      <c r="M218" s="61"/>
      <c r="N218" s="61"/>
      <c r="O218" s="61"/>
      <c r="P218" s="61"/>
      <c r="Q218" s="61"/>
      <c r="R218" s="61"/>
      <c r="S218" s="61"/>
      <c r="T218" s="61"/>
      <c r="U218" s="61"/>
      <c r="V218" s="61"/>
      <c r="W218" s="61"/>
      <c r="X218" s="61"/>
      <c r="Y218" s="61"/>
      <c r="Z218" s="61"/>
      <c r="AA218" s="61"/>
      <c r="AB218" s="61"/>
      <c r="AC218" s="61"/>
      <c r="AD218" s="61"/>
      <c r="AE218" s="61"/>
      <c r="AF218" s="61"/>
      <c r="AG218" s="61"/>
      <c r="AH218" s="61"/>
      <c r="AI218" s="61"/>
      <c r="AJ218" s="61"/>
      <c r="AK218" s="61"/>
      <c r="AL218" s="61"/>
      <c r="AM218" s="61"/>
      <c r="AN218" s="61"/>
      <c r="AO218" s="61"/>
      <c r="AP218" s="61"/>
      <c r="AQ218" s="61"/>
      <c r="AR218" s="61"/>
      <c r="AS218" s="61"/>
      <c r="AT218" s="60"/>
      <c r="AX218" s="57"/>
      <c r="AY218" s="57"/>
      <c r="AZ218" s="57"/>
      <c r="BA218" s="57"/>
      <c r="BB218" s="57"/>
      <c r="BC218" s="57"/>
      <c r="BD218" s="57"/>
      <c r="BE218" s="57"/>
      <c r="BF218" s="57"/>
      <c r="BG218" s="57"/>
      <c r="BH218" s="57"/>
      <c r="BI218" s="57"/>
      <c r="BJ218" s="57"/>
      <c r="BK218" s="57"/>
      <c r="BL218" s="57"/>
      <c r="BM218" s="57"/>
      <c r="BN218" s="57"/>
      <c r="BO218" s="57"/>
      <c r="BP218" s="57"/>
      <c r="BQ218" s="57"/>
      <c r="BR218" s="57"/>
      <c r="BS218" s="57"/>
      <c r="BT218" s="57"/>
      <c r="BU218" s="57"/>
      <c r="BV218" s="57"/>
      <c r="BW218" s="57"/>
      <c r="BX218" s="57"/>
      <c r="BY218" s="57"/>
      <c r="BZ218" s="57"/>
      <c r="CA218" s="57"/>
      <c r="CB218" s="57"/>
      <c r="CC218" s="57"/>
    </row>
    <row r="219" spans="1:81" s="59" customFormat="1">
      <c r="A219" s="61"/>
      <c r="B219" s="61"/>
      <c r="C219" s="61"/>
      <c r="D219" s="61"/>
      <c r="E219" s="61"/>
      <c r="F219" s="61"/>
      <c r="G219" s="61"/>
      <c r="H219" s="61"/>
      <c r="I219" s="61"/>
      <c r="J219" s="61"/>
      <c r="K219" s="61"/>
      <c r="L219" s="61"/>
      <c r="M219" s="61"/>
      <c r="N219" s="61"/>
      <c r="O219" s="61"/>
      <c r="P219" s="61"/>
      <c r="Q219" s="61"/>
      <c r="R219" s="61"/>
      <c r="S219" s="61"/>
      <c r="T219" s="61"/>
      <c r="U219" s="61"/>
      <c r="V219" s="61"/>
      <c r="W219" s="61"/>
      <c r="X219" s="61"/>
      <c r="Y219" s="61"/>
      <c r="Z219" s="61"/>
      <c r="AA219" s="61"/>
      <c r="AB219" s="61"/>
      <c r="AC219" s="61"/>
      <c r="AD219" s="61"/>
      <c r="AE219" s="61"/>
      <c r="AF219" s="61"/>
      <c r="AG219" s="61"/>
      <c r="AH219" s="61"/>
      <c r="AI219" s="61"/>
      <c r="AJ219" s="61"/>
      <c r="AK219" s="61"/>
      <c r="AL219" s="61"/>
      <c r="AM219" s="61"/>
      <c r="AN219" s="61"/>
      <c r="AO219" s="61"/>
      <c r="AP219" s="61"/>
      <c r="AQ219" s="61"/>
      <c r="AR219" s="61"/>
      <c r="AS219" s="61"/>
      <c r="AT219" s="60"/>
      <c r="AX219" s="57"/>
      <c r="AY219" s="57"/>
      <c r="AZ219" s="57"/>
      <c r="BA219" s="57"/>
      <c r="BB219" s="57"/>
      <c r="BC219" s="57"/>
      <c r="BD219" s="57"/>
      <c r="BE219" s="57"/>
      <c r="BF219" s="57"/>
      <c r="BG219" s="57"/>
      <c r="BH219" s="57"/>
      <c r="BI219" s="57"/>
      <c r="BJ219" s="57"/>
      <c r="BK219" s="57"/>
      <c r="BL219" s="57"/>
      <c r="BM219" s="57"/>
      <c r="BN219" s="57"/>
      <c r="BO219" s="57"/>
      <c r="BP219" s="57"/>
      <c r="BQ219" s="57"/>
      <c r="BR219" s="57"/>
      <c r="BS219" s="57"/>
      <c r="BT219" s="57"/>
      <c r="BU219" s="57"/>
      <c r="BV219" s="57"/>
      <c r="BW219" s="57"/>
      <c r="BX219" s="57"/>
      <c r="BY219" s="57"/>
      <c r="BZ219" s="57"/>
      <c r="CA219" s="57"/>
      <c r="CB219" s="57"/>
      <c r="CC219" s="57"/>
    </row>
    <row r="220" spans="1:81" s="59" customFormat="1">
      <c r="A220" s="61"/>
      <c r="B220" s="61"/>
      <c r="C220" s="61"/>
      <c r="D220" s="61"/>
      <c r="E220" s="61"/>
      <c r="F220" s="61"/>
      <c r="G220" s="61"/>
      <c r="H220" s="61"/>
      <c r="I220" s="61"/>
      <c r="J220" s="61"/>
      <c r="K220" s="61"/>
      <c r="L220" s="61"/>
      <c r="M220" s="61"/>
      <c r="N220" s="61"/>
      <c r="O220" s="61"/>
      <c r="P220" s="61"/>
      <c r="Q220" s="61"/>
      <c r="R220" s="61"/>
      <c r="S220" s="61"/>
      <c r="T220" s="61"/>
      <c r="U220" s="61"/>
      <c r="V220" s="61"/>
      <c r="W220" s="61"/>
      <c r="X220" s="61"/>
      <c r="Y220" s="61"/>
      <c r="Z220" s="61"/>
      <c r="AA220" s="61"/>
      <c r="AB220" s="61"/>
      <c r="AC220" s="61"/>
      <c r="AD220" s="61"/>
      <c r="AE220" s="61"/>
      <c r="AF220" s="61"/>
      <c r="AG220" s="61"/>
      <c r="AH220" s="61"/>
      <c r="AI220" s="61"/>
      <c r="AJ220" s="61"/>
      <c r="AK220" s="61"/>
      <c r="AL220" s="61"/>
      <c r="AM220" s="61"/>
      <c r="AN220" s="61"/>
      <c r="AO220" s="61"/>
      <c r="AP220" s="61"/>
      <c r="AQ220" s="61"/>
      <c r="AR220" s="61"/>
      <c r="AS220" s="61"/>
      <c r="AT220" s="60"/>
      <c r="AX220" s="57"/>
      <c r="AY220" s="57"/>
      <c r="AZ220" s="57"/>
      <c r="BA220" s="57"/>
      <c r="BB220" s="57"/>
      <c r="BC220" s="57"/>
      <c r="BD220" s="57"/>
      <c r="BE220" s="57"/>
      <c r="BF220" s="57"/>
      <c r="BG220" s="57"/>
      <c r="BH220" s="57"/>
      <c r="BI220" s="57"/>
      <c r="BJ220" s="57"/>
      <c r="BK220" s="57"/>
      <c r="BL220" s="57"/>
      <c r="BM220" s="57"/>
      <c r="BN220" s="57"/>
      <c r="BO220" s="57"/>
      <c r="BP220" s="57"/>
      <c r="BQ220" s="57"/>
      <c r="BR220" s="57"/>
      <c r="BS220" s="57"/>
      <c r="BT220" s="57"/>
      <c r="BU220" s="57"/>
      <c r="BV220" s="57"/>
      <c r="BW220" s="57"/>
      <c r="BX220" s="57"/>
      <c r="BY220" s="57"/>
      <c r="BZ220" s="57"/>
      <c r="CA220" s="57"/>
      <c r="CB220" s="57"/>
      <c r="CC220" s="57"/>
    </row>
    <row r="221" spans="1:81" s="59" customFormat="1">
      <c r="A221" s="61"/>
      <c r="B221" s="61"/>
      <c r="C221" s="61"/>
      <c r="D221" s="61"/>
      <c r="E221" s="61"/>
      <c r="F221" s="61"/>
      <c r="G221" s="61"/>
      <c r="H221" s="61"/>
      <c r="I221" s="61"/>
      <c r="J221" s="61"/>
      <c r="K221" s="61"/>
      <c r="L221" s="61"/>
      <c r="M221" s="61"/>
      <c r="N221" s="61"/>
      <c r="O221" s="61"/>
      <c r="P221" s="61"/>
      <c r="Q221" s="61"/>
      <c r="R221" s="61"/>
      <c r="S221" s="61"/>
      <c r="T221" s="61"/>
      <c r="U221" s="61"/>
      <c r="V221" s="61"/>
      <c r="W221" s="61"/>
      <c r="X221" s="61"/>
      <c r="Y221" s="61"/>
      <c r="Z221" s="61"/>
      <c r="AA221" s="61"/>
      <c r="AB221" s="61"/>
      <c r="AC221" s="61"/>
      <c r="AD221" s="61"/>
      <c r="AE221" s="61"/>
      <c r="AF221" s="61"/>
      <c r="AG221" s="61"/>
      <c r="AH221" s="61"/>
      <c r="AI221" s="61"/>
      <c r="AJ221" s="61"/>
      <c r="AK221" s="61"/>
      <c r="AL221" s="61"/>
      <c r="AM221" s="61"/>
      <c r="AN221" s="61"/>
      <c r="AO221" s="61"/>
      <c r="AP221" s="61"/>
      <c r="AQ221" s="61"/>
      <c r="AR221" s="61"/>
      <c r="AS221" s="61"/>
      <c r="AT221" s="60"/>
      <c r="AX221" s="57"/>
      <c r="AY221" s="57"/>
      <c r="AZ221" s="57"/>
      <c r="BA221" s="57"/>
      <c r="BB221" s="57"/>
      <c r="BC221" s="57"/>
      <c r="BD221" s="57"/>
      <c r="BE221" s="57"/>
      <c r="BF221" s="57"/>
      <c r="BG221" s="57"/>
      <c r="BH221" s="57"/>
      <c r="BI221" s="57"/>
      <c r="BJ221" s="57"/>
      <c r="BK221" s="57"/>
      <c r="BL221" s="57"/>
      <c r="BM221" s="57"/>
      <c r="BN221" s="57"/>
      <c r="BO221" s="57"/>
      <c r="BP221" s="57"/>
      <c r="BQ221" s="57"/>
      <c r="BR221" s="57"/>
      <c r="BS221" s="57"/>
      <c r="BT221" s="57"/>
      <c r="BU221" s="57"/>
      <c r="BV221" s="57"/>
      <c r="BW221" s="57"/>
      <c r="BX221" s="57"/>
      <c r="BY221" s="57"/>
      <c r="BZ221" s="57"/>
      <c r="CA221" s="57"/>
      <c r="CB221" s="57"/>
      <c r="CC221" s="57"/>
    </row>
    <row r="222" spans="1:81" s="59" customFormat="1">
      <c r="A222" s="61"/>
      <c r="B222" s="61"/>
      <c r="C222" s="61"/>
      <c r="D222" s="61"/>
      <c r="E222" s="61"/>
      <c r="F222" s="61"/>
      <c r="G222" s="61"/>
      <c r="H222" s="61"/>
      <c r="I222" s="61"/>
      <c r="J222" s="61"/>
      <c r="K222" s="61"/>
      <c r="L222" s="61"/>
      <c r="M222" s="61"/>
      <c r="N222" s="61"/>
      <c r="O222" s="61"/>
      <c r="P222" s="61"/>
      <c r="Q222" s="61"/>
      <c r="R222" s="61"/>
      <c r="S222" s="61"/>
      <c r="T222" s="61"/>
      <c r="U222" s="61"/>
      <c r="V222" s="61"/>
      <c r="W222" s="61"/>
      <c r="X222" s="61"/>
      <c r="Y222" s="61"/>
      <c r="Z222" s="61"/>
      <c r="AA222" s="61"/>
      <c r="AB222" s="61"/>
      <c r="AC222" s="61"/>
      <c r="AD222" s="61"/>
      <c r="AE222" s="61"/>
      <c r="AF222" s="61"/>
      <c r="AG222" s="61"/>
      <c r="AH222" s="61"/>
      <c r="AI222" s="61"/>
      <c r="AJ222" s="61"/>
      <c r="AK222" s="61"/>
      <c r="AL222" s="61"/>
      <c r="AM222" s="61"/>
      <c r="AN222" s="61"/>
      <c r="AO222" s="61"/>
      <c r="AP222" s="61"/>
      <c r="AQ222" s="61"/>
      <c r="AR222" s="61"/>
      <c r="AS222" s="61"/>
      <c r="AT222" s="60"/>
      <c r="AX222" s="57"/>
      <c r="AY222" s="57"/>
      <c r="AZ222" s="57"/>
      <c r="BA222" s="57"/>
      <c r="BB222" s="57"/>
      <c r="BC222" s="57"/>
      <c r="BD222" s="57"/>
      <c r="BE222" s="57"/>
      <c r="BF222" s="57"/>
      <c r="BG222" s="57"/>
      <c r="BH222" s="57"/>
      <c r="BI222" s="57"/>
      <c r="BJ222" s="57"/>
      <c r="BK222" s="57"/>
      <c r="BL222" s="57"/>
      <c r="BM222" s="57"/>
      <c r="BN222" s="57"/>
      <c r="BO222" s="57"/>
      <c r="BP222" s="57"/>
      <c r="BQ222" s="57"/>
      <c r="BR222" s="57"/>
      <c r="BS222" s="57"/>
      <c r="BT222" s="57"/>
      <c r="BU222" s="57"/>
      <c r="BV222" s="57"/>
      <c r="BW222" s="57"/>
      <c r="BX222" s="57"/>
      <c r="BY222" s="57"/>
      <c r="BZ222" s="57"/>
      <c r="CA222" s="57"/>
      <c r="CB222" s="57"/>
      <c r="CC222" s="57"/>
    </row>
    <row r="223" spans="1:81" s="59" customFormat="1">
      <c r="A223" s="61"/>
      <c r="B223" s="61"/>
      <c r="C223" s="61"/>
      <c r="D223" s="61"/>
      <c r="E223" s="61"/>
      <c r="F223" s="61"/>
      <c r="G223" s="61"/>
      <c r="H223" s="61"/>
      <c r="I223" s="61"/>
      <c r="J223" s="61"/>
      <c r="K223" s="61"/>
      <c r="L223" s="61"/>
      <c r="M223" s="61"/>
      <c r="N223" s="61"/>
      <c r="O223" s="61"/>
      <c r="P223" s="61"/>
      <c r="Q223" s="61"/>
      <c r="R223" s="61"/>
      <c r="S223" s="61"/>
      <c r="T223" s="61"/>
      <c r="U223" s="61"/>
      <c r="V223" s="61"/>
      <c r="W223" s="61"/>
      <c r="X223" s="61"/>
      <c r="Y223" s="61"/>
      <c r="Z223" s="61"/>
      <c r="AA223" s="61"/>
      <c r="AB223" s="61"/>
      <c r="AC223" s="61"/>
      <c r="AD223" s="61"/>
      <c r="AE223" s="61"/>
      <c r="AF223" s="61"/>
      <c r="AG223" s="61"/>
      <c r="AH223" s="61"/>
      <c r="AI223" s="61"/>
      <c r="AJ223" s="61"/>
      <c r="AK223" s="61"/>
      <c r="AL223" s="61"/>
      <c r="AM223" s="61"/>
      <c r="AN223" s="61"/>
      <c r="AO223" s="61"/>
      <c r="AP223" s="61"/>
      <c r="AQ223" s="61"/>
      <c r="AR223" s="61"/>
      <c r="AS223" s="61"/>
      <c r="AT223" s="60"/>
      <c r="AX223" s="57"/>
      <c r="AY223" s="57"/>
      <c r="AZ223" s="57"/>
      <c r="BA223" s="57"/>
      <c r="BB223" s="57"/>
      <c r="BC223" s="57"/>
      <c r="BD223" s="57"/>
      <c r="BE223" s="57"/>
      <c r="BF223" s="57"/>
      <c r="BG223" s="57"/>
      <c r="BH223" s="57"/>
      <c r="BI223" s="57"/>
      <c r="BJ223" s="57"/>
      <c r="BK223" s="57"/>
      <c r="BL223" s="57"/>
      <c r="BM223" s="57"/>
      <c r="BN223" s="57"/>
      <c r="BO223" s="57"/>
      <c r="BP223" s="57"/>
      <c r="BQ223" s="57"/>
      <c r="BR223" s="57"/>
      <c r="BS223" s="57"/>
      <c r="BT223" s="57"/>
      <c r="BU223" s="57"/>
      <c r="BV223" s="57"/>
      <c r="BW223" s="57"/>
      <c r="BX223" s="57"/>
      <c r="BY223" s="57"/>
      <c r="BZ223" s="57"/>
      <c r="CA223" s="57"/>
      <c r="CB223" s="57"/>
      <c r="CC223" s="57"/>
    </row>
    <row r="224" spans="1:81" s="59" customFormat="1">
      <c r="A224" s="61"/>
      <c r="B224" s="61"/>
      <c r="C224" s="61"/>
      <c r="D224" s="61"/>
      <c r="E224" s="61"/>
      <c r="F224" s="61"/>
      <c r="G224" s="61"/>
      <c r="H224" s="61"/>
      <c r="I224" s="61"/>
      <c r="J224" s="61"/>
      <c r="K224" s="61"/>
      <c r="L224" s="61"/>
      <c r="M224" s="61"/>
      <c r="N224" s="61"/>
      <c r="O224" s="61"/>
      <c r="P224" s="61"/>
      <c r="Q224" s="61"/>
      <c r="R224" s="61"/>
      <c r="S224" s="61"/>
      <c r="T224" s="61"/>
      <c r="U224" s="61"/>
      <c r="V224" s="61"/>
      <c r="W224" s="61"/>
      <c r="X224" s="61"/>
      <c r="Y224" s="61"/>
      <c r="Z224" s="61"/>
      <c r="AA224" s="61"/>
      <c r="AB224" s="61"/>
      <c r="AC224" s="61"/>
      <c r="AD224" s="61"/>
      <c r="AE224" s="61"/>
      <c r="AF224" s="61"/>
      <c r="AG224" s="61"/>
      <c r="AH224" s="61"/>
      <c r="AI224" s="61"/>
      <c r="AJ224" s="61"/>
      <c r="AK224" s="61"/>
      <c r="AL224" s="61"/>
      <c r="AM224" s="61"/>
      <c r="AN224" s="61"/>
      <c r="AO224" s="61"/>
      <c r="AP224" s="61"/>
      <c r="AQ224" s="61"/>
      <c r="AR224" s="61"/>
      <c r="AS224" s="61"/>
      <c r="AT224" s="60"/>
      <c r="AX224" s="57"/>
      <c r="AY224" s="57"/>
      <c r="AZ224" s="57"/>
      <c r="BA224" s="57"/>
      <c r="BB224" s="57"/>
      <c r="BC224" s="57"/>
      <c r="BD224" s="57"/>
      <c r="BE224" s="57"/>
      <c r="BF224" s="57"/>
      <c r="BG224" s="57"/>
      <c r="BH224" s="57"/>
      <c r="BI224" s="57"/>
      <c r="BJ224" s="57"/>
      <c r="BK224" s="57"/>
      <c r="BL224" s="57"/>
      <c r="BM224" s="57"/>
      <c r="BN224" s="57"/>
      <c r="BO224" s="57"/>
      <c r="BP224" s="57"/>
      <c r="BQ224" s="57"/>
      <c r="BR224" s="57"/>
      <c r="BS224" s="57"/>
      <c r="BT224" s="57"/>
      <c r="BU224" s="57"/>
      <c r="BV224" s="57"/>
      <c r="BW224" s="57"/>
      <c r="BX224" s="57"/>
      <c r="BY224" s="57"/>
      <c r="BZ224" s="57"/>
      <c r="CA224" s="57"/>
      <c r="CB224" s="57"/>
      <c r="CC224" s="57"/>
    </row>
    <row r="225" spans="1:81" s="59" customFormat="1">
      <c r="A225" s="61"/>
      <c r="B225" s="61"/>
      <c r="C225" s="61"/>
      <c r="D225" s="57"/>
      <c r="E225" s="57"/>
      <c r="F225" s="61"/>
      <c r="G225" s="61"/>
      <c r="H225" s="61"/>
      <c r="I225" s="61"/>
      <c r="J225" s="61"/>
      <c r="K225" s="61"/>
      <c r="L225" s="61"/>
      <c r="M225" s="61"/>
      <c r="N225" s="61"/>
      <c r="O225" s="61"/>
      <c r="P225" s="61"/>
      <c r="Q225" s="61"/>
      <c r="R225" s="61"/>
      <c r="S225" s="61"/>
      <c r="T225" s="61"/>
      <c r="U225" s="61"/>
      <c r="V225" s="61"/>
      <c r="W225" s="61"/>
      <c r="X225" s="61"/>
      <c r="Y225" s="61"/>
      <c r="Z225" s="61"/>
      <c r="AA225" s="61"/>
      <c r="AB225" s="61"/>
      <c r="AC225" s="61"/>
      <c r="AD225" s="61"/>
      <c r="AE225" s="61"/>
      <c r="AF225" s="61"/>
      <c r="AG225" s="61"/>
      <c r="AH225" s="61"/>
      <c r="AI225" s="61"/>
      <c r="AJ225" s="61"/>
      <c r="AK225" s="61"/>
      <c r="AL225" s="61"/>
      <c r="AM225" s="61"/>
      <c r="AN225" s="61"/>
      <c r="AO225" s="61"/>
      <c r="AP225" s="61"/>
      <c r="AQ225" s="61"/>
      <c r="AR225" s="61"/>
      <c r="AS225" s="61"/>
      <c r="AT225" s="60"/>
      <c r="AX225" s="57"/>
      <c r="AY225" s="57"/>
      <c r="AZ225" s="57"/>
      <c r="BA225" s="57"/>
      <c r="BB225" s="57"/>
      <c r="BC225" s="57"/>
      <c r="BD225" s="57"/>
      <c r="BE225" s="57"/>
      <c r="BF225" s="57"/>
      <c r="BG225" s="57"/>
      <c r="BH225" s="57"/>
      <c r="BI225" s="57"/>
      <c r="BJ225" s="57"/>
      <c r="BK225" s="57"/>
      <c r="BL225" s="57"/>
      <c r="BM225" s="57"/>
      <c r="BN225" s="57"/>
      <c r="BO225" s="57"/>
      <c r="BP225" s="57"/>
      <c r="BQ225" s="57"/>
      <c r="BR225" s="57"/>
      <c r="BS225" s="57"/>
      <c r="BT225" s="57"/>
      <c r="BU225" s="57"/>
      <c r="BV225" s="57"/>
      <c r="BW225" s="57"/>
      <c r="BX225" s="57"/>
      <c r="BY225" s="57"/>
      <c r="BZ225" s="57"/>
      <c r="CA225" s="57"/>
      <c r="CB225" s="57"/>
      <c r="CC225" s="57"/>
    </row>
    <row r="226" spans="1:81" s="59" customFormat="1">
      <c r="A226" s="61"/>
      <c r="B226" s="57"/>
      <c r="C226" s="57"/>
      <c r="D226" s="57"/>
      <c r="E226" s="57"/>
      <c r="F226" s="61"/>
      <c r="G226" s="61"/>
      <c r="H226" s="61"/>
      <c r="I226" s="61"/>
      <c r="J226" s="61"/>
      <c r="K226" s="61"/>
      <c r="L226" s="61"/>
      <c r="M226" s="61"/>
      <c r="N226" s="61"/>
      <c r="O226" s="61"/>
      <c r="P226" s="61"/>
      <c r="Q226" s="61"/>
      <c r="R226" s="61"/>
      <c r="S226" s="61"/>
      <c r="T226" s="61"/>
      <c r="U226" s="61"/>
      <c r="V226" s="61"/>
      <c r="W226" s="61"/>
      <c r="X226" s="61"/>
      <c r="Y226" s="61"/>
      <c r="Z226" s="61"/>
      <c r="AA226" s="61"/>
      <c r="AB226" s="61"/>
      <c r="AC226" s="61"/>
      <c r="AD226" s="61"/>
      <c r="AE226" s="61"/>
      <c r="AF226" s="61"/>
      <c r="AG226" s="61"/>
      <c r="AH226" s="61"/>
      <c r="AI226" s="61"/>
      <c r="AJ226" s="61"/>
      <c r="AK226" s="61"/>
      <c r="AL226" s="61"/>
      <c r="AM226" s="61"/>
      <c r="AN226" s="61"/>
      <c r="AO226" s="61"/>
      <c r="AP226" s="61"/>
      <c r="AQ226" s="61"/>
      <c r="AR226" s="61"/>
      <c r="AS226" s="61"/>
      <c r="AT226" s="60"/>
      <c r="AX226" s="57"/>
      <c r="AY226" s="57"/>
      <c r="AZ226" s="57"/>
      <c r="BA226" s="57"/>
      <c r="BB226" s="57"/>
      <c r="BC226" s="57"/>
      <c r="BD226" s="57"/>
      <c r="BE226" s="57"/>
      <c r="BF226" s="57"/>
      <c r="BG226" s="57"/>
      <c r="BH226" s="57"/>
      <c r="BI226" s="57"/>
      <c r="BJ226" s="57"/>
      <c r="BK226" s="57"/>
      <c r="BL226" s="57"/>
      <c r="BM226" s="57"/>
      <c r="BN226" s="57"/>
      <c r="BO226" s="57"/>
      <c r="BP226" s="57"/>
      <c r="BQ226" s="57"/>
      <c r="BR226" s="57"/>
      <c r="BS226" s="57"/>
      <c r="BT226" s="57"/>
      <c r="BU226" s="57"/>
      <c r="BV226" s="57"/>
      <c r="BW226" s="57"/>
      <c r="BX226" s="57"/>
      <c r="BY226" s="57"/>
      <c r="BZ226" s="57"/>
      <c r="CA226" s="57"/>
      <c r="CB226" s="57"/>
      <c r="CC226" s="57"/>
    </row>
    <row r="227" spans="1:81" s="59" customFormat="1">
      <c r="A227" s="61"/>
      <c r="B227" s="57"/>
      <c r="C227" s="57"/>
      <c r="D227" s="57"/>
      <c r="E227" s="57"/>
      <c r="F227" s="61"/>
      <c r="G227" s="61"/>
      <c r="H227" s="61"/>
      <c r="I227" s="61"/>
      <c r="J227" s="61"/>
      <c r="K227" s="61"/>
      <c r="L227" s="61"/>
      <c r="M227" s="61"/>
      <c r="N227" s="61"/>
      <c r="O227" s="61"/>
      <c r="P227" s="61"/>
      <c r="Q227" s="61"/>
      <c r="R227" s="61"/>
      <c r="S227" s="61"/>
      <c r="T227" s="61"/>
      <c r="U227" s="61"/>
      <c r="V227" s="61"/>
      <c r="W227" s="61"/>
      <c r="X227" s="61"/>
      <c r="Y227" s="61"/>
      <c r="Z227" s="61"/>
      <c r="AA227" s="61"/>
      <c r="AB227" s="61"/>
      <c r="AC227" s="61"/>
      <c r="AD227" s="61"/>
      <c r="AE227" s="61"/>
      <c r="AF227" s="61"/>
      <c r="AG227" s="61"/>
      <c r="AH227" s="61"/>
      <c r="AI227" s="61"/>
      <c r="AJ227" s="61"/>
      <c r="AK227" s="61"/>
      <c r="AL227" s="61"/>
      <c r="AM227" s="61"/>
      <c r="AN227" s="61"/>
      <c r="AO227" s="61"/>
      <c r="AP227" s="61"/>
      <c r="AQ227" s="61"/>
      <c r="AR227" s="61"/>
      <c r="AS227" s="61"/>
      <c r="AT227" s="60"/>
      <c r="AX227" s="57"/>
      <c r="AY227" s="57"/>
      <c r="AZ227" s="57"/>
      <c r="BA227" s="57"/>
      <c r="BB227" s="57"/>
      <c r="BC227" s="57"/>
      <c r="BD227" s="57"/>
      <c r="BE227" s="57"/>
      <c r="BF227" s="57"/>
      <c r="BG227" s="57"/>
      <c r="BH227" s="57"/>
      <c r="BI227" s="57"/>
      <c r="BJ227" s="57"/>
      <c r="BK227" s="57"/>
      <c r="BL227" s="57"/>
      <c r="BM227" s="57"/>
      <c r="BN227" s="57"/>
      <c r="BO227" s="57"/>
      <c r="BP227" s="57"/>
      <c r="BQ227" s="57"/>
      <c r="BR227" s="57"/>
      <c r="BS227" s="57"/>
      <c r="BT227" s="57"/>
      <c r="BU227" s="57"/>
      <c r="BV227" s="57"/>
      <c r="BW227" s="57"/>
      <c r="BX227" s="57"/>
      <c r="BY227" s="57"/>
      <c r="BZ227" s="57"/>
      <c r="CA227" s="57"/>
      <c r="CB227" s="57"/>
      <c r="CC227" s="57"/>
    </row>
    <row r="228" spans="1:81" s="59" customFormat="1">
      <c r="A228" s="61"/>
      <c r="B228" s="57"/>
      <c r="C228" s="57"/>
      <c r="D228" s="57"/>
      <c r="E228" s="57"/>
      <c r="F228" s="61"/>
      <c r="G228" s="61"/>
      <c r="H228" s="61"/>
      <c r="I228" s="61"/>
      <c r="J228" s="61"/>
      <c r="K228" s="61"/>
      <c r="L228" s="61"/>
      <c r="M228" s="61"/>
      <c r="N228" s="61"/>
      <c r="O228" s="61"/>
      <c r="P228" s="61"/>
      <c r="Q228" s="61"/>
      <c r="R228" s="61"/>
      <c r="S228" s="61"/>
      <c r="T228" s="61"/>
      <c r="U228" s="61"/>
      <c r="V228" s="61"/>
      <c r="W228" s="61"/>
      <c r="X228" s="61"/>
      <c r="Y228" s="61"/>
      <c r="Z228" s="61"/>
      <c r="AA228" s="61"/>
      <c r="AB228" s="61"/>
      <c r="AC228" s="61"/>
      <c r="AD228" s="61"/>
      <c r="AE228" s="61"/>
      <c r="AF228" s="61"/>
      <c r="AG228" s="61"/>
      <c r="AH228" s="61"/>
      <c r="AI228" s="61"/>
      <c r="AJ228" s="61"/>
      <c r="AK228" s="61"/>
      <c r="AL228" s="61"/>
      <c r="AM228" s="61"/>
      <c r="AN228" s="61"/>
      <c r="AO228" s="61"/>
      <c r="AP228" s="61"/>
      <c r="AQ228" s="61"/>
      <c r="AR228" s="61"/>
      <c r="AS228" s="61"/>
      <c r="AT228" s="60"/>
      <c r="AX228" s="57"/>
      <c r="AY228" s="57"/>
      <c r="AZ228" s="57"/>
      <c r="BA228" s="57"/>
      <c r="BB228" s="57"/>
      <c r="BC228" s="57"/>
      <c r="BD228" s="57"/>
      <c r="BE228" s="57"/>
      <c r="BF228" s="57"/>
      <c r="BG228" s="57"/>
      <c r="BH228" s="57"/>
      <c r="BI228" s="57"/>
      <c r="BJ228" s="57"/>
      <c r="BK228" s="57"/>
      <c r="BL228" s="57"/>
      <c r="BM228" s="57"/>
      <c r="BN228" s="57"/>
      <c r="BO228" s="57"/>
      <c r="BP228" s="57"/>
      <c r="BQ228" s="57"/>
      <c r="BR228" s="57"/>
      <c r="BS228" s="57"/>
      <c r="BT228" s="57"/>
      <c r="BU228" s="57"/>
      <c r="BV228" s="57"/>
      <c r="BW228" s="57"/>
      <c r="BX228" s="57"/>
      <c r="BY228" s="57"/>
      <c r="BZ228" s="57"/>
      <c r="CA228" s="57"/>
      <c r="CB228" s="57"/>
      <c r="CC228" s="57"/>
    </row>
    <row r="229" spans="1:81" s="59" customFormat="1">
      <c r="A229" s="61"/>
      <c r="B229" s="57"/>
      <c r="C229" s="57"/>
      <c r="D229" s="57"/>
      <c r="E229" s="57"/>
      <c r="F229" s="61"/>
      <c r="G229" s="61"/>
      <c r="H229" s="61"/>
      <c r="I229" s="61"/>
      <c r="J229" s="61"/>
      <c r="K229" s="61"/>
      <c r="L229" s="61"/>
      <c r="M229" s="61"/>
      <c r="N229" s="61"/>
      <c r="O229" s="61"/>
      <c r="P229" s="61"/>
      <c r="Q229" s="61"/>
      <c r="R229" s="61"/>
      <c r="S229" s="61"/>
      <c r="T229" s="61"/>
      <c r="U229" s="61"/>
      <c r="V229" s="61"/>
      <c r="W229" s="61"/>
      <c r="X229" s="61"/>
      <c r="Y229" s="61"/>
      <c r="Z229" s="61"/>
      <c r="AA229" s="61"/>
      <c r="AB229" s="61"/>
      <c r="AC229" s="61"/>
      <c r="AD229" s="61"/>
      <c r="AE229" s="61"/>
      <c r="AF229" s="61"/>
      <c r="AG229" s="61"/>
      <c r="AH229" s="61"/>
      <c r="AI229" s="61"/>
      <c r="AJ229" s="61"/>
      <c r="AK229" s="61"/>
      <c r="AL229" s="61"/>
      <c r="AM229" s="61"/>
      <c r="AN229" s="61"/>
      <c r="AO229" s="61"/>
      <c r="AP229" s="61"/>
      <c r="AQ229" s="61"/>
      <c r="AR229" s="61"/>
      <c r="AS229" s="61"/>
      <c r="AT229" s="60"/>
      <c r="AX229" s="57"/>
      <c r="AY229" s="57"/>
      <c r="AZ229" s="57"/>
      <c r="BA229" s="57"/>
      <c r="BB229" s="57"/>
      <c r="BC229" s="57"/>
      <c r="BD229" s="57"/>
      <c r="BE229" s="57"/>
      <c r="BF229" s="57"/>
      <c r="BG229" s="57"/>
      <c r="BH229" s="57"/>
      <c r="BI229" s="57"/>
      <c r="BJ229" s="57"/>
      <c r="BK229" s="57"/>
      <c r="BL229" s="57"/>
      <c r="BM229" s="57"/>
      <c r="BN229" s="57"/>
      <c r="BO229" s="57"/>
      <c r="BP229" s="57"/>
      <c r="BQ229" s="57"/>
      <c r="BR229" s="57"/>
      <c r="BS229" s="57"/>
      <c r="BT229" s="57"/>
      <c r="BU229" s="57"/>
      <c r="BV229" s="57"/>
      <c r="BW229" s="57"/>
      <c r="BX229" s="57"/>
      <c r="BY229" s="57"/>
      <c r="BZ229" s="57"/>
      <c r="CA229" s="57"/>
      <c r="CB229" s="57"/>
      <c r="CC229" s="57"/>
    </row>
    <row r="230" spans="1:81" s="59" customFormat="1">
      <c r="A230" s="61"/>
      <c r="B230" s="57"/>
      <c r="C230" s="57"/>
      <c r="D230" s="57"/>
      <c r="E230" s="57"/>
      <c r="F230" s="61"/>
      <c r="G230" s="61"/>
      <c r="H230" s="61"/>
      <c r="I230" s="61"/>
      <c r="J230" s="61"/>
      <c r="K230" s="61"/>
      <c r="L230" s="61"/>
      <c r="M230" s="61"/>
      <c r="N230" s="61"/>
      <c r="O230" s="61"/>
      <c r="P230" s="61"/>
      <c r="Q230" s="61"/>
      <c r="R230" s="61"/>
      <c r="S230" s="61"/>
      <c r="T230" s="61"/>
      <c r="U230" s="61"/>
      <c r="V230" s="61"/>
      <c r="W230" s="61"/>
      <c r="X230" s="61"/>
      <c r="Y230" s="61"/>
      <c r="Z230" s="61"/>
      <c r="AA230" s="61"/>
      <c r="AB230" s="61"/>
      <c r="AC230" s="61"/>
      <c r="AD230" s="61"/>
      <c r="AE230" s="61"/>
      <c r="AF230" s="61"/>
      <c r="AG230" s="61"/>
      <c r="AH230" s="61"/>
      <c r="AI230" s="61"/>
      <c r="AJ230" s="61"/>
      <c r="AK230" s="61"/>
      <c r="AL230" s="61"/>
      <c r="AM230" s="61"/>
      <c r="AN230" s="61"/>
      <c r="AO230" s="61"/>
      <c r="AP230" s="61"/>
      <c r="AQ230" s="61"/>
      <c r="AR230" s="61"/>
      <c r="AS230" s="61"/>
      <c r="AT230" s="60"/>
      <c r="AX230" s="57"/>
      <c r="AY230" s="57"/>
      <c r="AZ230" s="57"/>
      <c r="BA230" s="57"/>
      <c r="BB230" s="57"/>
      <c r="BC230" s="57"/>
      <c r="BD230" s="57"/>
      <c r="BE230" s="57"/>
      <c r="BF230" s="57"/>
      <c r="BG230" s="57"/>
      <c r="BH230" s="57"/>
      <c r="BI230" s="57"/>
      <c r="BJ230" s="57"/>
      <c r="BK230" s="57"/>
      <c r="BL230" s="57"/>
      <c r="BM230" s="57"/>
      <c r="BN230" s="57"/>
      <c r="BO230" s="57"/>
      <c r="BP230" s="57"/>
      <c r="BQ230" s="57"/>
      <c r="BR230" s="57"/>
      <c r="BS230" s="57"/>
      <c r="BT230" s="57"/>
      <c r="BU230" s="57"/>
      <c r="BV230" s="57"/>
      <c r="BW230" s="57"/>
      <c r="BX230" s="57"/>
      <c r="BY230" s="57"/>
      <c r="BZ230" s="57"/>
      <c r="CA230" s="57"/>
      <c r="CB230" s="57"/>
      <c r="CC230" s="57"/>
    </row>
    <row r="231" spans="1:81" s="59" customFormat="1">
      <c r="A231" s="61"/>
      <c r="B231" s="57"/>
      <c r="C231" s="57"/>
      <c r="D231" s="57"/>
      <c r="E231" s="57"/>
      <c r="F231" s="61"/>
      <c r="G231" s="61"/>
      <c r="H231" s="61"/>
      <c r="I231" s="61"/>
      <c r="J231" s="61"/>
      <c r="K231" s="61"/>
      <c r="L231" s="61"/>
      <c r="M231" s="61"/>
      <c r="N231" s="61"/>
      <c r="O231" s="61"/>
      <c r="P231" s="61"/>
      <c r="Q231" s="61"/>
      <c r="R231" s="61"/>
      <c r="S231" s="61"/>
      <c r="T231" s="61"/>
      <c r="U231" s="61"/>
      <c r="V231" s="61"/>
      <c r="W231" s="61"/>
      <c r="X231" s="61"/>
      <c r="Y231" s="61"/>
      <c r="Z231" s="61"/>
      <c r="AA231" s="61"/>
      <c r="AB231" s="61"/>
      <c r="AC231" s="61"/>
      <c r="AD231" s="61"/>
      <c r="AE231" s="61"/>
      <c r="AF231" s="61"/>
      <c r="AG231" s="61"/>
      <c r="AH231" s="61"/>
      <c r="AI231" s="61"/>
      <c r="AJ231" s="61"/>
      <c r="AK231" s="61"/>
      <c r="AL231" s="61"/>
      <c r="AM231" s="61"/>
      <c r="AN231" s="61"/>
      <c r="AO231" s="61"/>
      <c r="AP231" s="61"/>
      <c r="AQ231" s="61"/>
      <c r="AR231" s="61"/>
      <c r="AS231" s="61"/>
      <c r="AT231" s="60"/>
      <c r="AX231" s="57"/>
      <c r="AY231" s="57"/>
      <c r="AZ231" s="57"/>
      <c r="BA231" s="57"/>
      <c r="BB231" s="57"/>
      <c r="BC231" s="57"/>
      <c r="BD231" s="57"/>
      <c r="BE231" s="57"/>
      <c r="BF231" s="57"/>
      <c r="BG231" s="57"/>
      <c r="BH231" s="57"/>
      <c r="BI231" s="57"/>
      <c r="BJ231" s="57"/>
      <c r="BK231" s="57"/>
      <c r="BL231" s="57"/>
      <c r="BM231" s="57"/>
      <c r="BN231" s="57"/>
      <c r="BO231" s="57"/>
      <c r="BP231" s="57"/>
      <c r="BQ231" s="57"/>
      <c r="BR231" s="57"/>
      <c r="BS231" s="57"/>
      <c r="BT231" s="57"/>
      <c r="BU231" s="57"/>
      <c r="BV231" s="57"/>
      <c r="BW231" s="57"/>
      <c r="BX231" s="57"/>
      <c r="BY231" s="57"/>
      <c r="BZ231" s="57"/>
      <c r="CA231" s="57"/>
      <c r="CB231" s="57"/>
      <c r="CC231" s="57"/>
    </row>
    <row r="232" spans="1:81" s="59" customFormat="1">
      <c r="A232" s="61"/>
      <c r="B232" s="57"/>
      <c r="C232" s="57"/>
      <c r="D232" s="57"/>
      <c r="E232" s="57"/>
      <c r="F232" s="61"/>
      <c r="G232" s="61"/>
      <c r="H232" s="61"/>
      <c r="I232" s="61"/>
      <c r="J232" s="61"/>
      <c r="K232" s="61"/>
      <c r="L232" s="61"/>
      <c r="M232" s="61"/>
      <c r="N232" s="61"/>
      <c r="O232" s="61"/>
      <c r="P232" s="61"/>
      <c r="Q232" s="61"/>
      <c r="R232" s="61"/>
      <c r="S232" s="61"/>
      <c r="T232" s="61"/>
      <c r="U232" s="61"/>
      <c r="V232" s="61"/>
      <c r="W232" s="61"/>
      <c r="X232" s="61"/>
      <c r="Y232" s="61"/>
      <c r="Z232" s="61"/>
      <c r="AA232" s="61"/>
      <c r="AB232" s="61"/>
      <c r="AC232" s="61"/>
      <c r="AD232" s="61"/>
      <c r="AE232" s="61"/>
      <c r="AF232" s="61"/>
      <c r="AG232" s="61"/>
      <c r="AH232" s="61"/>
      <c r="AI232" s="61"/>
      <c r="AJ232" s="61"/>
      <c r="AK232" s="61"/>
      <c r="AL232" s="61"/>
      <c r="AM232" s="61"/>
      <c r="AN232" s="61"/>
      <c r="AO232" s="61"/>
      <c r="AP232" s="61"/>
      <c r="AQ232" s="61"/>
      <c r="AR232" s="61"/>
      <c r="AS232" s="61"/>
      <c r="AT232" s="60"/>
      <c r="AX232" s="57"/>
      <c r="AY232" s="57"/>
      <c r="AZ232" s="57"/>
      <c r="BA232" s="57"/>
      <c r="BB232" s="57"/>
      <c r="BC232" s="57"/>
      <c r="BD232" s="57"/>
      <c r="BE232" s="57"/>
      <c r="BF232" s="57"/>
      <c r="BG232" s="57"/>
      <c r="BH232" s="57"/>
      <c r="BI232" s="57"/>
      <c r="BJ232" s="57"/>
      <c r="BK232" s="57"/>
      <c r="BL232" s="57"/>
      <c r="BM232" s="57"/>
      <c r="BN232" s="57"/>
      <c r="BO232" s="57"/>
      <c r="BP232" s="57"/>
      <c r="BQ232" s="57"/>
      <c r="BR232" s="57"/>
      <c r="BS232" s="57"/>
      <c r="BT232" s="57"/>
      <c r="BU232" s="57"/>
      <c r="BV232" s="57"/>
      <c r="BW232" s="57"/>
      <c r="BX232" s="57"/>
      <c r="BY232" s="57"/>
      <c r="BZ232" s="57"/>
      <c r="CA232" s="57"/>
      <c r="CB232" s="57"/>
      <c r="CC232" s="57"/>
    </row>
    <row r="233" spans="1:81" s="59" customFormat="1">
      <c r="A233" s="61"/>
      <c r="B233" s="57"/>
      <c r="C233" s="57"/>
      <c r="D233" s="57"/>
      <c r="E233" s="57"/>
      <c r="F233" s="61"/>
      <c r="G233" s="61"/>
      <c r="H233" s="61"/>
      <c r="I233" s="61"/>
      <c r="J233" s="61"/>
      <c r="K233" s="61"/>
      <c r="L233" s="61"/>
      <c r="M233" s="61"/>
      <c r="N233" s="61"/>
      <c r="O233" s="61"/>
      <c r="P233" s="61"/>
      <c r="Q233" s="61"/>
      <c r="R233" s="61"/>
      <c r="S233" s="61"/>
      <c r="T233" s="61"/>
      <c r="U233" s="61"/>
      <c r="V233" s="61"/>
      <c r="W233" s="61"/>
      <c r="X233" s="61"/>
      <c r="Y233" s="61"/>
      <c r="Z233" s="61"/>
      <c r="AA233" s="61"/>
      <c r="AB233" s="61"/>
      <c r="AC233" s="61"/>
      <c r="AD233" s="61"/>
      <c r="AE233" s="61"/>
      <c r="AF233" s="61"/>
      <c r="AG233" s="61"/>
      <c r="AH233" s="61"/>
      <c r="AI233" s="61"/>
      <c r="AJ233" s="61"/>
      <c r="AK233" s="61"/>
      <c r="AL233" s="61"/>
      <c r="AM233" s="61"/>
      <c r="AN233" s="61"/>
      <c r="AO233" s="61"/>
      <c r="AP233" s="61"/>
      <c r="AQ233" s="61"/>
      <c r="AR233" s="61"/>
      <c r="AS233" s="61"/>
      <c r="AT233" s="60"/>
      <c r="AX233" s="57"/>
      <c r="AY233" s="57"/>
      <c r="AZ233" s="57"/>
      <c r="BA233" s="57"/>
      <c r="BB233" s="57"/>
      <c r="BC233" s="57"/>
      <c r="BD233" s="57"/>
      <c r="BE233" s="57"/>
      <c r="BF233" s="57"/>
      <c r="BG233" s="57"/>
      <c r="BH233" s="57"/>
      <c r="BI233" s="57"/>
      <c r="BJ233" s="57"/>
      <c r="BK233" s="57"/>
      <c r="BL233" s="57"/>
      <c r="BM233" s="57"/>
      <c r="BN233" s="57"/>
      <c r="BO233" s="57"/>
      <c r="BP233" s="57"/>
      <c r="BQ233" s="57"/>
      <c r="BR233" s="57"/>
      <c r="BS233" s="57"/>
      <c r="BT233" s="57"/>
      <c r="BU233" s="57"/>
      <c r="BV233" s="57"/>
      <c r="BW233" s="57"/>
      <c r="BX233" s="57"/>
      <c r="BY233" s="57"/>
      <c r="BZ233" s="57"/>
      <c r="CA233" s="57"/>
      <c r="CB233" s="57"/>
      <c r="CC233" s="57"/>
    </row>
    <row r="234" spans="1:81" s="59" customFormat="1">
      <c r="A234" s="61"/>
      <c r="B234" s="57"/>
      <c r="C234" s="57"/>
      <c r="D234" s="57"/>
      <c r="E234" s="57"/>
      <c r="F234" s="61"/>
      <c r="G234" s="61"/>
      <c r="H234" s="61"/>
      <c r="I234" s="61"/>
      <c r="J234" s="61"/>
      <c r="K234" s="61"/>
      <c r="L234" s="61"/>
      <c r="M234" s="61"/>
      <c r="N234" s="61"/>
      <c r="O234" s="61"/>
      <c r="P234" s="61"/>
      <c r="Q234" s="61"/>
      <c r="R234" s="61"/>
      <c r="S234" s="61"/>
      <c r="T234" s="61"/>
      <c r="U234" s="61"/>
      <c r="V234" s="61"/>
      <c r="W234" s="61"/>
      <c r="X234" s="61"/>
      <c r="Y234" s="61"/>
      <c r="Z234" s="61"/>
      <c r="AA234" s="61"/>
      <c r="AB234" s="61"/>
      <c r="AC234" s="61"/>
      <c r="AD234" s="61"/>
      <c r="AE234" s="61"/>
      <c r="AF234" s="61"/>
      <c r="AG234" s="61"/>
      <c r="AH234" s="61"/>
      <c r="AI234" s="61"/>
      <c r="AJ234" s="61"/>
      <c r="AK234" s="61"/>
      <c r="AL234" s="61"/>
      <c r="AM234" s="61"/>
      <c r="AN234" s="61"/>
      <c r="AO234" s="61"/>
      <c r="AP234" s="61"/>
      <c r="AQ234" s="61"/>
      <c r="AR234" s="61"/>
      <c r="AS234" s="61"/>
      <c r="AT234" s="60"/>
      <c r="AX234" s="57"/>
      <c r="AY234" s="57"/>
      <c r="AZ234" s="57"/>
      <c r="BA234" s="57"/>
      <c r="BB234" s="57"/>
      <c r="BC234" s="57"/>
      <c r="BD234" s="57"/>
      <c r="BE234" s="57"/>
      <c r="BF234" s="57"/>
      <c r="BG234" s="57"/>
      <c r="BH234" s="57"/>
      <c r="BI234" s="57"/>
      <c r="BJ234" s="57"/>
      <c r="BK234" s="57"/>
      <c r="BL234" s="57"/>
      <c r="BM234" s="57"/>
      <c r="BN234" s="57"/>
      <c r="BO234" s="57"/>
      <c r="BP234" s="57"/>
      <c r="BQ234" s="57"/>
      <c r="BR234" s="57"/>
      <c r="BS234" s="57"/>
      <c r="BT234" s="57"/>
      <c r="BU234" s="57"/>
      <c r="BV234" s="57"/>
      <c r="BW234" s="57"/>
      <c r="BX234" s="57"/>
      <c r="BY234" s="57"/>
      <c r="BZ234" s="57"/>
      <c r="CA234" s="57"/>
      <c r="CB234" s="57"/>
      <c r="CC234" s="57"/>
    </row>
    <row r="235" spans="1:81" s="59" customFormat="1">
      <c r="A235" s="61"/>
      <c r="B235" s="57"/>
      <c r="C235" s="57"/>
      <c r="D235" s="57"/>
      <c r="E235" s="57"/>
      <c r="F235" s="61"/>
      <c r="G235" s="61"/>
      <c r="H235" s="61"/>
      <c r="I235" s="61"/>
      <c r="J235" s="61"/>
      <c r="K235" s="61"/>
      <c r="L235" s="61"/>
      <c r="M235" s="61"/>
      <c r="N235" s="61"/>
      <c r="O235" s="61"/>
      <c r="P235" s="61"/>
      <c r="Q235" s="61"/>
      <c r="R235" s="61"/>
      <c r="S235" s="61"/>
      <c r="T235" s="61"/>
      <c r="U235" s="61"/>
      <c r="V235" s="61"/>
      <c r="W235" s="61"/>
      <c r="X235" s="61"/>
      <c r="Y235" s="61"/>
      <c r="Z235" s="61"/>
      <c r="AA235" s="61"/>
      <c r="AB235" s="61"/>
      <c r="AC235" s="61"/>
      <c r="AD235" s="61"/>
      <c r="AE235" s="61"/>
      <c r="AF235" s="61"/>
      <c r="AG235" s="61"/>
      <c r="AH235" s="61"/>
      <c r="AI235" s="61"/>
      <c r="AJ235" s="61"/>
      <c r="AK235" s="61"/>
      <c r="AL235" s="61"/>
      <c r="AM235" s="61"/>
      <c r="AN235" s="61"/>
      <c r="AO235" s="61"/>
      <c r="AP235" s="61"/>
      <c r="AQ235" s="61"/>
      <c r="AR235" s="61"/>
      <c r="AS235" s="61"/>
      <c r="AT235" s="60"/>
      <c r="AX235" s="57"/>
      <c r="AY235" s="57"/>
      <c r="AZ235" s="57"/>
      <c r="BA235" s="57"/>
      <c r="BB235" s="57"/>
      <c r="BC235" s="57"/>
      <c r="BD235" s="57"/>
      <c r="BE235" s="57"/>
      <c r="BF235" s="57"/>
      <c r="BG235" s="57"/>
      <c r="BH235" s="57"/>
      <c r="BI235" s="57"/>
      <c r="BJ235" s="57"/>
      <c r="BK235" s="57"/>
      <c r="BL235" s="57"/>
      <c r="BM235" s="57"/>
      <c r="BN235" s="57"/>
      <c r="BO235" s="57"/>
      <c r="BP235" s="57"/>
      <c r="BQ235" s="57"/>
      <c r="BR235" s="57"/>
      <c r="BS235" s="57"/>
      <c r="BT235" s="57"/>
      <c r="BU235" s="57"/>
      <c r="BV235" s="57"/>
      <c r="BW235" s="57"/>
      <c r="BX235" s="57"/>
      <c r="BY235" s="57"/>
      <c r="BZ235" s="57"/>
      <c r="CA235" s="57"/>
      <c r="CB235" s="57"/>
      <c r="CC235" s="57"/>
    </row>
    <row r="236" spans="1:81" s="59" customFormat="1">
      <c r="A236" s="61"/>
      <c r="B236" s="57"/>
      <c r="C236" s="57"/>
      <c r="D236" s="57"/>
      <c r="E236" s="57"/>
      <c r="F236" s="61"/>
      <c r="G236" s="61"/>
      <c r="H236" s="61"/>
      <c r="I236" s="61"/>
      <c r="J236" s="61"/>
      <c r="K236" s="61"/>
      <c r="L236" s="61"/>
      <c r="M236" s="61"/>
      <c r="N236" s="61"/>
      <c r="O236" s="61"/>
      <c r="P236" s="61"/>
      <c r="Q236" s="61"/>
      <c r="R236" s="61"/>
      <c r="S236" s="61"/>
      <c r="T236" s="61"/>
      <c r="U236" s="61"/>
      <c r="V236" s="61"/>
      <c r="W236" s="61"/>
      <c r="X236" s="61"/>
      <c r="Y236" s="61"/>
      <c r="Z236" s="61"/>
      <c r="AA236" s="61"/>
      <c r="AB236" s="61"/>
      <c r="AC236" s="61"/>
      <c r="AD236" s="61"/>
      <c r="AE236" s="61"/>
      <c r="AF236" s="61"/>
      <c r="AG236" s="61"/>
      <c r="AH236" s="61"/>
      <c r="AI236" s="61"/>
      <c r="AJ236" s="61"/>
      <c r="AK236" s="61"/>
      <c r="AL236" s="61"/>
      <c r="AM236" s="61"/>
      <c r="AN236" s="61"/>
      <c r="AO236" s="61"/>
      <c r="AP236" s="61"/>
      <c r="AQ236" s="61"/>
      <c r="AR236" s="61"/>
      <c r="AS236" s="61"/>
      <c r="AT236" s="60"/>
      <c r="AX236" s="57"/>
      <c r="AY236" s="57"/>
      <c r="AZ236" s="57"/>
      <c r="BA236" s="57"/>
      <c r="BB236" s="57"/>
      <c r="BC236" s="57"/>
      <c r="BD236" s="57"/>
      <c r="BE236" s="57"/>
      <c r="BF236" s="57"/>
      <c r="BG236" s="57"/>
      <c r="BH236" s="57"/>
      <c r="BI236" s="57"/>
      <c r="BJ236" s="57"/>
      <c r="BK236" s="57"/>
      <c r="BL236" s="57"/>
      <c r="BM236" s="57"/>
      <c r="BN236" s="57"/>
      <c r="BO236" s="57"/>
      <c r="BP236" s="57"/>
      <c r="BQ236" s="57"/>
      <c r="BR236" s="57"/>
      <c r="BS236" s="57"/>
      <c r="BT236" s="57"/>
      <c r="BU236" s="57"/>
      <c r="BV236" s="57"/>
      <c r="BW236" s="57"/>
      <c r="BX236" s="57"/>
      <c r="BY236" s="57"/>
      <c r="BZ236" s="57"/>
      <c r="CA236" s="57"/>
      <c r="CB236" s="57"/>
      <c r="CC236" s="57"/>
    </row>
    <row r="237" spans="1:81" s="59" customFormat="1">
      <c r="A237" s="61"/>
      <c r="B237" s="57"/>
      <c r="C237" s="57"/>
      <c r="D237" s="57"/>
      <c r="E237" s="57"/>
      <c r="F237" s="61"/>
      <c r="G237" s="61"/>
      <c r="H237" s="61"/>
      <c r="I237" s="61"/>
      <c r="J237" s="61"/>
      <c r="K237" s="61"/>
      <c r="L237" s="61"/>
      <c r="M237" s="61"/>
      <c r="N237" s="61"/>
      <c r="O237" s="61"/>
      <c r="P237" s="61"/>
      <c r="Q237" s="61"/>
      <c r="R237" s="61"/>
      <c r="S237" s="61"/>
      <c r="T237" s="61"/>
      <c r="U237" s="61"/>
      <c r="V237" s="61"/>
      <c r="W237" s="61"/>
      <c r="X237" s="61"/>
      <c r="Y237" s="61"/>
      <c r="Z237" s="61"/>
      <c r="AA237" s="61"/>
      <c r="AB237" s="61"/>
      <c r="AC237" s="61"/>
      <c r="AD237" s="61"/>
      <c r="AE237" s="61"/>
      <c r="AF237" s="61"/>
      <c r="AG237" s="61"/>
      <c r="AH237" s="61"/>
      <c r="AI237" s="61"/>
      <c r="AJ237" s="61"/>
      <c r="AK237" s="61"/>
      <c r="AL237" s="61"/>
      <c r="AM237" s="61"/>
      <c r="AN237" s="61"/>
      <c r="AO237" s="61"/>
      <c r="AP237" s="61"/>
      <c r="AQ237" s="61"/>
      <c r="AR237" s="61"/>
      <c r="AS237" s="61"/>
      <c r="AT237" s="60"/>
      <c r="AX237" s="57"/>
      <c r="AY237" s="57"/>
      <c r="AZ237" s="57"/>
      <c r="BA237" s="57"/>
      <c r="BB237" s="57"/>
      <c r="BC237" s="57"/>
      <c r="BD237" s="57"/>
      <c r="BE237" s="57"/>
      <c r="BF237" s="57"/>
      <c r="BG237" s="57"/>
      <c r="BH237" s="57"/>
      <c r="BI237" s="57"/>
      <c r="BJ237" s="57"/>
      <c r="BK237" s="57"/>
      <c r="BL237" s="57"/>
      <c r="BM237" s="57"/>
      <c r="BN237" s="57"/>
      <c r="BO237" s="57"/>
      <c r="BP237" s="57"/>
      <c r="BQ237" s="57"/>
      <c r="BR237" s="57"/>
      <c r="BS237" s="57"/>
      <c r="BT237" s="57"/>
      <c r="BU237" s="57"/>
      <c r="BV237" s="57"/>
      <c r="BW237" s="57"/>
      <c r="BX237" s="57"/>
      <c r="BY237" s="57"/>
      <c r="BZ237" s="57"/>
      <c r="CA237" s="57"/>
      <c r="CB237" s="57"/>
      <c r="CC237" s="57"/>
    </row>
    <row r="238" spans="1:81" s="59" customFormat="1">
      <c r="A238" s="61"/>
      <c r="B238" s="57"/>
      <c r="C238" s="57"/>
      <c r="D238" s="57"/>
      <c r="E238" s="57"/>
      <c r="F238" s="61"/>
      <c r="G238" s="61"/>
      <c r="H238" s="61"/>
      <c r="I238" s="61"/>
      <c r="J238" s="61"/>
      <c r="K238" s="61"/>
      <c r="L238" s="61"/>
      <c r="M238" s="61"/>
      <c r="N238" s="61"/>
      <c r="O238" s="61"/>
      <c r="P238" s="61"/>
      <c r="Q238" s="61"/>
      <c r="R238" s="61"/>
      <c r="S238" s="61"/>
      <c r="T238" s="61"/>
      <c r="U238" s="61"/>
      <c r="V238" s="61"/>
      <c r="W238" s="61"/>
      <c r="X238" s="61"/>
      <c r="Y238" s="61"/>
      <c r="Z238" s="61"/>
      <c r="AA238" s="61"/>
      <c r="AB238" s="61"/>
      <c r="AC238" s="61"/>
      <c r="AD238" s="61"/>
      <c r="AE238" s="61"/>
      <c r="AF238" s="61"/>
      <c r="AG238" s="61"/>
      <c r="AH238" s="61"/>
      <c r="AI238" s="61"/>
      <c r="AJ238" s="61"/>
      <c r="AK238" s="61"/>
      <c r="AL238" s="61"/>
      <c r="AM238" s="61"/>
      <c r="AN238" s="61"/>
      <c r="AO238" s="61"/>
      <c r="AP238" s="61"/>
      <c r="AQ238" s="61"/>
      <c r="AR238" s="61"/>
      <c r="AS238" s="61"/>
      <c r="AT238" s="60"/>
      <c r="AX238" s="57"/>
      <c r="AY238" s="57"/>
      <c r="AZ238" s="57"/>
      <c r="BA238" s="57"/>
      <c r="BB238" s="57"/>
      <c r="BC238" s="57"/>
      <c r="BD238" s="57"/>
      <c r="BE238" s="57"/>
      <c r="BF238" s="57"/>
      <c r="BG238" s="57"/>
      <c r="BH238" s="57"/>
      <c r="BI238" s="57"/>
      <c r="BJ238" s="57"/>
      <c r="BK238" s="57"/>
      <c r="BL238" s="57"/>
      <c r="BM238" s="57"/>
      <c r="BN238" s="57"/>
      <c r="BO238" s="57"/>
      <c r="BP238" s="57"/>
      <c r="BQ238" s="57"/>
      <c r="BR238" s="57"/>
      <c r="BS238" s="57"/>
      <c r="BT238" s="57"/>
      <c r="BU238" s="57"/>
      <c r="BV238" s="57"/>
      <c r="BW238" s="57"/>
      <c r="BX238" s="57"/>
      <c r="BY238" s="57"/>
      <c r="BZ238" s="57"/>
      <c r="CA238" s="57"/>
      <c r="CB238" s="57"/>
      <c r="CC238" s="57"/>
    </row>
    <row r="239" spans="1:81" s="59" customFormat="1">
      <c r="A239" s="61"/>
      <c r="B239" s="57"/>
      <c r="C239" s="57"/>
      <c r="D239" s="57"/>
      <c r="E239" s="57"/>
      <c r="F239" s="61"/>
      <c r="G239" s="61"/>
      <c r="H239" s="61"/>
      <c r="I239" s="61"/>
      <c r="J239" s="61"/>
      <c r="K239" s="61"/>
      <c r="L239" s="61"/>
      <c r="M239" s="61"/>
      <c r="N239" s="61"/>
      <c r="O239" s="61"/>
      <c r="P239" s="61"/>
      <c r="Q239" s="61"/>
      <c r="R239" s="61"/>
      <c r="S239" s="61"/>
      <c r="T239" s="61"/>
      <c r="U239" s="61"/>
      <c r="V239" s="61"/>
      <c r="W239" s="61"/>
      <c r="X239" s="61"/>
      <c r="Y239" s="61"/>
      <c r="Z239" s="61"/>
      <c r="AA239" s="61"/>
      <c r="AB239" s="61"/>
      <c r="AC239" s="61"/>
      <c r="AD239" s="61"/>
      <c r="AE239" s="61"/>
      <c r="AF239" s="61"/>
      <c r="AG239" s="61"/>
      <c r="AH239" s="61"/>
      <c r="AI239" s="61"/>
      <c r="AJ239" s="61"/>
      <c r="AK239" s="61"/>
      <c r="AL239" s="61"/>
      <c r="AM239" s="61"/>
      <c r="AN239" s="61"/>
      <c r="AO239" s="61"/>
      <c r="AP239" s="61"/>
      <c r="AQ239" s="61"/>
      <c r="AR239" s="61"/>
      <c r="AS239" s="61"/>
      <c r="AT239" s="60"/>
      <c r="AX239" s="57"/>
      <c r="AY239" s="57"/>
      <c r="AZ239" s="57"/>
      <c r="BA239" s="57"/>
      <c r="BB239" s="57"/>
      <c r="BC239" s="57"/>
      <c r="BD239" s="57"/>
      <c r="BE239" s="57"/>
      <c r="BF239" s="57"/>
      <c r="BG239" s="57"/>
      <c r="BH239" s="57"/>
      <c r="BI239" s="57"/>
      <c r="BJ239" s="57"/>
      <c r="BK239" s="57"/>
      <c r="BL239" s="57"/>
      <c r="BM239" s="57"/>
      <c r="BN239" s="57"/>
      <c r="BO239" s="57"/>
      <c r="BP239" s="57"/>
      <c r="BQ239" s="57"/>
      <c r="BR239" s="57"/>
      <c r="BS239" s="57"/>
      <c r="BT239" s="57"/>
      <c r="BU239" s="57"/>
      <c r="BV239" s="57"/>
      <c r="BW239" s="57"/>
      <c r="BX239" s="57"/>
      <c r="BY239" s="57"/>
      <c r="BZ239" s="57"/>
      <c r="CA239" s="57"/>
      <c r="CB239" s="57"/>
      <c r="CC239" s="57"/>
    </row>
    <row r="240" spans="1:81" s="59" customFormat="1">
      <c r="A240" s="61"/>
      <c r="B240" s="57"/>
      <c r="C240" s="57"/>
      <c r="D240" s="57"/>
      <c r="E240" s="57"/>
      <c r="F240" s="61"/>
      <c r="G240" s="61"/>
      <c r="H240" s="61"/>
      <c r="I240" s="61"/>
      <c r="J240" s="61"/>
      <c r="K240" s="61"/>
      <c r="L240" s="61"/>
      <c r="M240" s="61"/>
      <c r="N240" s="61"/>
      <c r="O240" s="61"/>
      <c r="P240" s="61"/>
      <c r="Q240" s="61"/>
      <c r="R240" s="61"/>
      <c r="S240" s="61"/>
      <c r="T240" s="61"/>
      <c r="U240" s="61"/>
      <c r="V240" s="61"/>
      <c r="W240" s="61"/>
      <c r="X240" s="61"/>
      <c r="Y240" s="61"/>
      <c r="Z240" s="61"/>
      <c r="AA240" s="61"/>
      <c r="AB240" s="61"/>
      <c r="AC240" s="61"/>
      <c r="AD240" s="61"/>
      <c r="AE240" s="61"/>
      <c r="AF240" s="61"/>
      <c r="AG240" s="61"/>
      <c r="AH240" s="61"/>
      <c r="AI240" s="61"/>
      <c r="AJ240" s="61"/>
      <c r="AK240" s="61"/>
      <c r="AL240" s="61"/>
      <c r="AM240" s="61"/>
      <c r="AN240" s="61"/>
      <c r="AO240" s="61"/>
      <c r="AP240" s="61"/>
      <c r="AQ240" s="61"/>
      <c r="AR240" s="61"/>
      <c r="AS240" s="61"/>
      <c r="AT240" s="60"/>
      <c r="AX240" s="57"/>
      <c r="AY240" s="57"/>
      <c r="AZ240" s="57"/>
      <c r="BA240" s="57"/>
      <c r="BB240" s="57"/>
      <c r="BC240" s="57"/>
      <c r="BD240" s="57"/>
      <c r="BE240" s="57"/>
      <c r="BF240" s="57"/>
      <c r="BG240" s="57"/>
      <c r="BH240" s="57"/>
      <c r="BI240" s="57"/>
      <c r="BJ240" s="57"/>
      <c r="BK240" s="57"/>
      <c r="BL240" s="57"/>
      <c r="BM240" s="57"/>
      <c r="BN240" s="57"/>
      <c r="BO240" s="57"/>
      <c r="BP240" s="57"/>
      <c r="BQ240" s="57"/>
      <c r="BR240" s="57"/>
      <c r="BS240" s="57"/>
      <c r="BT240" s="57"/>
      <c r="BU240" s="57"/>
      <c r="BV240" s="57"/>
      <c r="BW240" s="57"/>
      <c r="BX240" s="57"/>
      <c r="BY240" s="57"/>
      <c r="BZ240" s="57"/>
      <c r="CA240" s="57"/>
      <c r="CB240" s="57"/>
      <c r="CC240" s="57"/>
    </row>
    <row r="241" spans="1:81" s="59" customFormat="1">
      <c r="A241" s="61"/>
      <c r="B241" s="57"/>
      <c r="C241" s="57"/>
      <c r="D241" s="57"/>
      <c r="E241" s="57"/>
      <c r="F241" s="61"/>
      <c r="G241" s="61"/>
      <c r="H241" s="61"/>
      <c r="I241" s="61"/>
      <c r="J241" s="61"/>
      <c r="K241" s="61"/>
      <c r="L241" s="61"/>
      <c r="M241" s="61"/>
      <c r="N241" s="61"/>
      <c r="O241" s="61"/>
      <c r="P241" s="61"/>
      <c r="Q241" s="61"/>
      <c r="R241" s="61"/>
      <c r="S241" s="61"/>
      <c r="T241" s="61"/>
      <c r="U241" s="61"/>
      <c r="V241" s="61"/>
      <c r="W241" s="61"/>
      <c r="X241" s="61"/>
      <c r="Y241" s="61"/>
      <c r="Z241" s="61"/>
      <c r="AA241" s="61"/>
      <c r="AB241" s="61"/>
      <c r="AC241" s="61"/>
      <c r="AD241" s="61"/>
      <c r="AE241" s="61"/>
      <c r="AF241" s="61"/>
      <c r="AG241" s="61"/>
      <c r="AH241" s="61"/>
      <c r="AI241" s="61"/>
      <c r="AJ241" s="61"/>
      <c r="AK241" s="61"/>
      <c r="AL241" s="61"/>
      <c r="AM241" s="61"/>
      <c r="AN241" s="61"/>
      <c r="AO241" s="61"/>
      <c r="AP241" s="61"/>
      <c r="AQ241" s="61"/>
      <c r="AR241" s="61"/>
      <c r="AS241" s="61"/>
      <c r="AT241" s="60"/>
      <c r="AX241" s="57"/>
      <c r="AY241" s="57"/>
      <c r="AZ241" s="57"/>
      <c r="BA241" s="57"/>
      <c r="BB241" s="57"/>
      <c r="BC241" s="57"/>
      <c r="BD241" s="57"/>
      <c r="BE241" s="57"/>
      <c r="BF241" s="57"/>
      <c r="BG241" s="57"/>
      <c r="BH241" s="57"/>
      <c r="BI241" s="57"/>
      <c r="BJ241" s="57"/>
      <c r="BK241" s="57"/>
      <c r="BL241" s="57"/>
      <c r="BM241" s="57"/>
      <c r="BN241" s="57"/>
      <c r="BO241" s="57"/>
      <c r="BP241" s="57"/>
      <c r="BQ241" s="57"/>
      <c r="BR241" s="57"/>
      <c r="BS241" s="57"/>
      <c r="BT241" s="57"/>
      <c r="BU241" s="57"/>
      <c r="BV241" s="57"/>
      <c r="BW241" s="57"/>
      <c r="BX241" s="57"/>
      <c r="BY241" s="57"/>
      <c r="BZ241" s="57"/>
      <c r="CA241" s="57"/>
      <c r="CB241" s="57"/>
      <c r="CC241" s="57"/>
    </row>
    <row r="242" spans="1:81" s="59" customFormat="1">
      <c r="A242" s="61"/>
      <c r="B242" s="57"/>
      <c r="C242" s="57"/>
      <c r="D242" s="57"/>
      <c r="E242" s="57"/>
      <c r="F242" s="61"/>
      <c r="G242" s="61"/>
      <c r="H242" s="61"/>
      <c r="I242" s="61"/>
      <c r="J242" s="61"/>
      <c r="K242" s="61"/>
      <c r="L242" s="61"/>
      <c r="M242" s="61"/>
      <c r="N242" s="61"/>
      <c r="O242" s="61"/>
      <c r="P242" s="61"/>
      <c r="Q242" s="61"/>
      <c r="R242" s="61"/>
      <c r="S242" s="61"/>
      <c r="T242" s="61"/>
      <c r="U242" s="61"/>
      <c r="V242" s="61"/>
      <c r="W242" s="61"/>
      <c r="X242" s="61"/>
      <c r="Y242" s="61"/>
      <c r="Z242" s="61"/>
      <c r="AA242" s="61"/>
      <c r="AB242" s="61"/>
      <c r="AC242" s="61"/>
      <c r="AD242" s="61"/>
      <c r="AE242" s="61"/>
      <c r="AF242" s="61"/>
      <c r="AG242" s="61"/>
      <c r="AH242" s="61"/>
      <c r="AI242" s="61"/>
      <c r="AJ242" s="61"/>
      <c r="AK242" s="61"/>
      <c r="AL242" s="61"/>
      <c r="AM242" s="61"/>
      <c r="AN242" s="61"/>
      <c r="AO242" s="61"/>
      <c r="AP242" s="61"/>
      <c r="AQ242" s="61"/>
      <c r="AR242" s="61"/>
      <c r="AS242" s="61"/>
      <c r="AT242" s="60"/>
      <c r="AX242" s="57"/>
      <c r="AY242" s="57"/>
      <c r="AZ242" s="57"/>
      <c r="BA242" s="57"/>
      <c r="BB242" s="57"/>
      <c r="BC242" s="57"/>
      <c r="BD242" s="57"/>
      <c r="BE242" s="57"/>
      <c r="BF242" s="57"/>
      <c r="BG242" s="57"/>
      <c r="BH242" s="57"/>
      <c r="BI242" s="57"/>
      <c r="BJ242" s="57"/>
      <c r="BK242" s="57"/>
      <c r="BL242" s="57"/>
      <c r="BM242" s="57"/>
      <c r="BN242" s="57"/>
      <c r="BO242" s="57"/>
      <c r="BP242" s="57"/>
      <c r="BQ242" s="57"/>
      <c r="BR242" s="57"/>
      <c r="BS242" s="57"/>
      <c r="BT242" s="57"/>
      <c r="BU242" s="57"/>
      <c r="BV242" s="57"/>
      <c r="BW242" s="57"/>
      <c r="BX242" s="57"/>
      <c r="BY242" s="57"/>
      <c r="BZ242" s="57"/>
      <c r="CA242" s="57"/>
      <c r="CB242" s="57"/>
      <c r="CC242" s="57"/>
    </row>
    <row r="243" spans="1:81" s="59" customFormat="1">
      <c r="A243" s="61"/>
      <c r="B243" s="57"/>
      <c r="C243" s="57"/>
      <c r="D243" s="57"/>
      <c r="E243" s="57"/>
      <c r="F243" s="61"/>
      <c r="G243" s="61"/>
      <c r="H243" s="61"/>
      <c r="I243" s="61"/>
      <c r="J243" s="61"/>
      <c r="K243" s="61"/>
      <c r="L243" s="61"/>
      <c r="M243" s="61"/>
      <c r="N243" s="61"/>
      <c r="O243" s="61"/>
      <c r="P243" s="61"/>
      <c r="Q243" s="61"/>
      <c r="R243" s="61"/>
      <c r="S243" s="61"/>
      <c r="T243" s="61"/>
      <c r="U243" s="61"/>
      <c r="V243" s="61"/>
      <c r="W243" s="61"/>
      <c r="X243" s="61"/>
      <c r="Y243" s="61"/>
      <c r="Z243" s="61"/>
      <c r="AA243" s="61"/>
      <c r="AB243" s="61"/>
      <c r="AC243" s="61"/>
      <c r="AD243" s="61"/>
      <c r="AE243" s="61"/>
      <c r="AF243" s="61"/>
      <c r="AG243" s="61"/>
      <c r="AH243" s="61"/>
      <c r="AI243" s="61"/>
      <c r="AJ243" s="61"/>
      <c r="AK243" s="61"/>
      <c r="AL243" s="61"/>
      <c r="AM243" s="61"/>
      <c r="AN243" s="61"/>
      <c r="AO243" s="61"/>
      <c r="AP243" s="61"/>
      <c r="AQ243" s="61"/>
      <c r="AR243" s="61"/>
      <c r="AS243" s="61"/>
      <c r="AT243" s="60"/>
      <c r="AX243" s="57"/>
      <c r="AY243" s="57"/>
      <c r="AZ243" s="57"/>
      <c r="BA243" s="57"/>
      <c r="BB243" s="57"/>
      <c r="BC243" s="57"/>
      <c r="BD243" s="57"/>
      <c r="BE243" s="57"/>
      <c r="BF243" s="57"/>
      <c r="BG243" s="57"/>
      <c r="BH243" s="57"/>
      <c r="BI243" s="57"/>
      <c r="BJ243" s="57"/>
      <c r="BK243" s="57"/>
      <c r="BL243" s="57"/>
      <c r="BM243" s="57"/>
      <c r="BN243" s="57"/>
      <c r="BO243" s="57"/>
      <c r="BP243" s="57"/>
      <c r="BQ243" s="57"/>
      <c r="BR243" s="57"/>
      <c r="BS243" s="57"/>
      <c r="BT243" s="57"/>
      <c r="BU243" s="57"/>
      <c r="BV243" s="57"/>
      <c r="BW243" s="57"/>
      <c r="BX243" s="57"/>
      <c r="BY243" s="57"/>
      <c r="BZ243" s="57"/>
      <c r="CA243" s="57"/>
      <c r="CB243" s="57"/>
      <c r="CC243" s="57"/>
    </row>
    <row r="244" spans="1:81" s="59" customFormat="1">
      <c r="A244" s="61"/>
      <c r="B244" s="57"/>
      <c r="C244" s="57"/>
      <c r="D244" s="57"/>
      <c r="E244" s="57"/>
      <c r="F244" s="61"/>
      <c r="G244" s="61"/>
      <c r="H244" s="61"/>
      <c r="I244" s="61"/>
      <c r="J244" s="61"/>
      <c r="K244" s="61"/>
      <c r="L244" s="61"/>
      <c r="M244" s="61"/>
      <c r="N244" s="61"/>
      <c r="O244" s="61"/>
      <c r="P244" s="61"/>
      <c r="Q244" s="61"/>
      <c r="R244" s="61"/>
      <c r="S244" s="61"/>
      <c r="T244" s="61"/>
      <c r="U244" s="61"/>
      <c r="V244" s="61"/>
      <c r="W244" s="61"/>
      <c r="X244" s="61"/>
      <c r="Y244" s="61"/>
      <c r="Z244" s="61"/>
      <c r="AA244" s="61"/>
      <c r="AB244" s="61"/>
      <c r="AC244" s="61"/>
      <c r="AD244" s="61"/>
      <c r="AE244" s="61"/>
      <c r="AF244" s="61"/>
      <c r="AG244" s="61"/>
      <c r="AH244" s="61"/>
      <c r="AI244" s="61"/>
      <c r="AJ244" s="61"/>
      <c r="AK244" s="61"/>
      <c r="AL244" s="61"/>
      <c r="AM244" s="61"/>
      <c r="AN244" s="61"/>
      <c r="AO244" s="61"/>
      <c r="AP244" s="61"/>
      <c r="AQ244" s="61"/>
      <c r="AR244" s="61"/>
      <c r="AS244" s="61"/>
      <c r="AT244" s="60"/>
      <c r="AX244" s="57"/>
      <c r="AY244" s="57"/>
      <c r="AZ244" s="57"/>
      <c r="BA244" s="57"/>
      <c r="BB244" s="57"/>
      <c r="BC244" s="57"/>
      <c r="BD244" s="57"/>
      <c r="BE244" s="57"/>
      <c r="BF244" s="57"/>
      <c r="BG244" s="57"/>
      <c r="BH244" s="57"/>
      <c r="BI244" s="57"/>
      <c r="BJ244" s="57"/>
      <c r="BK244" s="57"/>
      <c r="BL244" s="57"/>
      <c r="BM244" s="57"/>
      <c r="BN244" s="57"/>
      <c r="BO244" s="57"/>
      <c r="BP244" s="57"/>
      <c r="BQ244" s="57"/>
      <c r="BR244" s="57"/>
      <c r="BS244" s="57"/>
      <c r="BT244" s="57"/>
      <c r="BU244" s="57"/>
      <c r="BV244" s="57"/>
      <c r="BW244" s="57"/>
      <c r="BX244" s="57"/>
      <c r="BY244" s="57"/>
      <c r="BZ244" s="57"/>
      <c r="CA244" s="57"/>
      <c r="CB244" s="57"/>
      <c r="CC244" s="57"/>
    </row>
  </sheetData>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tabColor theme="0"/>
  </sheetPr>
  <dimension ref="A2:S218"/>
  <sheetViews>
    <sheetView tabSelected="1" workbookViewId="0">
      <selection activeCell="F41" sqref="F41"/>
    </sheetView>
  </sheetViews>
  <sheetFormatPr baseColWidth="10" defaultColWidth="10.83203125" defaultRowHeight="12" x14ac:dyDescent="0"/>
  <cols>
    <col min="1" max="1" width="10.83203125" style="149"/>
    <col min="2" max="2" width="15.1640625" style="149" customWidth="1"/>
    <col min="3" max="3" width="32.5" style="149" customWidth="1"/>
    <col min="4" max="4" width="10.83203125" style="149"/>
    <col min="5" max="5" width="6.1640625" style="149" bestFit="1" customWidth="1"/>
    <col min="6" max="9" width="15.5" style="149" customWidth="1"/>
    <col min="10" max="10" width="14.6640625" style="149" customWidth="1"/>
    <col min="11" max="17" width="15.5" style="149" customWidth="1"/>
    <col min="18" max="18" width="15" style="149" customWidth="1"/>
    <col min="19" max="19" width="15.33203125" style="149" customWidth="1"/>
    <col min="20" max="20" width="7.1640625" style="149" customWidth="1"/>
    <col min="21" max="21" width="47.33203125" style="149" customWidth="1"/>
    <col min="22" max="23" width="20.33203125" style="149" customWidth="1"/>
    <col min="24" max="16384" width="10.83203125" style="149"/>
  </cols>
  <sheetData>
    <row r="2" spans="2:19" ht="32">
      <c r="B2" s="148" t="s">
        <v>215</v>
      </c>
    </row>
    <row r="5" spans="2:19" ht="18" customHeight="1">
      <c r="B5" s="150" t="s">
        <v>216</v>
      </c>
      <c r="C5" s="151" t="s">
        <v>2</v>
      </c>
      <c r="H5" s="152"/>
    </row>
    <row r="6" spans="2:19" ht="18">
      <c r="E6" s="150" t="str">
        <f>C5 &amp; " Scenario"</f>
        <v>BAU Scenario</v>
      </c>
    </row>
    <row r="7" spans="2:19" ht="27" thickBot="1">
      <c r="B7" s="150" t="s">
        <v>217</v>
      </c>
      <c r="C7" s="153"/>
      <c r="F7" s="154" t="s">
        <v>196</v>
      </c>
      <c r="G7" s="155"/>
      <c r="H7" s="155"/>
      <c r="I7" s="156"/>
      <c r="J7" s="154" t="s">
        <v>218</v>
      </c>
      <c r="K7" s="155"/>
      <c r="L7" s="155"/>
      <c r="M7" s="156"/>
      <c r="N7" s="154" t="s">
        <v>219</v>
      </c>
      <c r="O7" s="155"/>
      <c r="P7" s="155"/>
      <c r="Q7" s="156"/>
    </row>
    <row r="8" spans="2:19" ht="50" customHeight="1" thickTop="1" thickBot="1">
      <c r="B8" s="157" t="s">
        <v>220</v>
      </c>
      <c r="C8" s="158" t="s">
        <v>221</v>
      </c>
      <c r="E8" s="159" t="s">
        <v>200</v>
      </c>
      <c r="F8" s="159" t="s">
        <v>222</v>
      </c>
      <c r="G8" s="160" t="s">
        <v>223</v>
      </c>
      <c r="H8" s="160" t="s">
        <v>224</v>
      </c>
      <c r="I8" s="161" t="s">
        <v>225</v>
      </c>
      <c r="J8" s="159" t="s">
        <v>222</v>
      </c>
      <c r="K8" s="160" t="s">
        <v>223</v>
      </c>
      <c r="L8" s="160" t="s">
        <v>224</v>
      </c>
      <c r="M8" s="161" t="s">
        <v>225</v>
      </c>
      <c r="N8" s="159" t="s">
        <v>222</v>
      </c>
      <c r="O8" s="160" t="s">
        <v>223</v>
      </c>
      <c r="P8" s="160" t="s">
        <v>224</v>
      </c>
      <c r="Q8" s="161" t="s">
        <v>225</v>
      </c>
      <c r="R8" s="159" t="s">
        <v>226</v>
      </c>
      <c r="S8" s="161" t="s">
        <v>227</v>
      </c>
    </row>
    <row r="9" spans="2:19" ht="18">
      <c r="B9" s="162" t="s">
        <v>228</v>
      </c>
      <c r="C9" s="163" t="b">
        <v>1</v>
      </c>
      <c r="E9" s="164" t="s">
        <v>192</v>
      </c>
      <c r="F9" s="165">
        <v>25</v>
      </c>
      <c r="G9" s="166">
        <v>0</v>
      </c>
      <c r="H9" s="167">
        <v>0</v>
      </c>
      <c r="I9" s="168">
        <v>0</v>
      </c>
      <c r="J9" s="165">
        <v>25</v>
      </c>
      <c r="K9" s="166">
        <v>0</v>
      </c>
      <c r="L9" s="167">
        <v>0</v>
      </c>
      <c r="M9" s="169">
        <v>0</v>
      </c>
      <c r="N9" s="170">
        <v>25</v>
      </c>
      <c r="O9" s="166">
        <v>0</v>
      </c>
      <c r="P9" s="167">
        <v>0</v>
      </c>
      <c r="Q9" s="169">
        <v>0</v>
      </c>
      <c r="R9" s="171">
        <v>2014</v>
      </c>
      <c r="S9" s="172">
        <v>2050</v>
      </c>
    </row>
    <row r="10" spans="2:19" ht="18">
      <c r="B10" s="173" t="s">
        <v>229</v>
      </c>
      <c r="C10" s="174" t="b">
        <v>1</v>
      </c>
      <c r="E10" s="175" t="s">
        <v>190</v>
      </c>
      <c r="F10" s="176">
        <v>0</v>
      </c>
      <c r="G10" s="177">
        <v>0</v>
      </c>
      <c r="H10" s="177">
        <v>0</v>
      </c>
      <c r="I10" s="178">
        <v>0</v>
      </c>
      <c r="J10" s="176">
        <v>0</v>
      </c>
      <c r="K10" s="177">
        <v>0</v>
      </c>
      <c r="L10" s="177">
        <v>0</v>
      </c>
      <c r="M10" s="179">
        <v>0</v>
      </c>
      <c r="N10" s="180">
        <v>0</v>
      </c>
      <c r="O10" s="177">
        <v>0</v>
      </c>
      <c r="P10" s="177">
        <v>0</v>
      </c>
      <c r="Q10" s="179">
        <v>0</v>
      </c>
      <c r="R10" s="181">
        <v>2014</v>
      </c>
      <c r="S10" s="182">
        <v>2050</v>
      </c>
    </row>
    <row r="11" spans="2:19" ht="18">
      <c r="B11" s="173" t="s">
        <v>230</v>
      </c>
      <c r="C11" s="174" t="b">
        <v>1</v>
      </c>
      <c r="E11" s="175" t="s">
        <v>188</v>
      </c>
      <c r="F11" s="176">
        <v>25</v>
      </c>
      <c r="G11" s="177">
        <v>0</v>
      </c>
      <c r="H11" s="183">
        <v>0</v>
      </c>
      <c r="I11" s="184">
        <v>0</v>
      </c>
      <c r="J11" s="176">
        <v>300</v>
      </c>
      <c r="K11" s="177">
        <v>0</v>
      </c>
      <c r="L11" s="183">
        <v>0</v>
      </c>
      <c r="M11" s="185">
        <v>0</v>
      </c>
      <c r="N11" s="180">
        <v>300</v>
      </c>
      <c r="O11" s="177">
        <v>0</v>
      </c>
      <c r="P11" s="183">
        <v>0</v>
      </c>
      <c r="Q11" s="185">
        <v>0</v>
      </c>
      <c r="R11" s="181">
        <v>2014</v>
      </c>
      <c r="S11" s="182">
        <v>2050</v>
      </c>
    </row>
    <row r="12" spans="2:19" ht="19" thickBot="1">
      <c r="B12" s="186" t="s">
        <v>231</v>
      </c>
      <c r="C12" s="187" t="b">
        <v>1</v>
      </c>
      <c r="E12" s="175" t="s">
        <v>186</v>
      </c>
      <c r="F12" s="176" t="s">
        <v>232</v>
      </c>
      <c r="G12" s="177">
        <v>0</v>
      </c>
      <c r="H12" s="183">
        <v>0</v>
      </c>
      <c r="I12" s="184">
        <v>0</v>
      </c>
      <c r="J12" s="176" t="s">
        <v>232</v>
      </c>
      <c r="K12" s="177">
        <v>0</v>
      </c>
      <c r="L12" s="183">
        <v>0</v>
      </c>
      <c r="M12" s="185">
        <v>0</v>
      </c>
      <c r="N12" s="180" t="s">
        <v>232</v>
      </c>
      <c r="O12" s="177">
        <v>0</v>
      </c>
      <c r="P12" s="183">
        <v>0</v>
      </c>
      <c r="Q12" s="185">
        <v>0</v>
      </c>
      <c r="R12" s="181">
        <v>2014</v>
      </c>
      <c r="S12" s="182">
        <v>2050</v>
      </c>
    </row>
    <row r="13" spans="2:19" ht="13" thickTop="1">
      <c r="E13" s="175" t="s">
        <v>184</v>
      </c>
      <c r="F13" s="176">
        <v>1000</v>
      </c>
      <c r="G13" s="177">
        <v>0</v>
      </c>
      <c r="H13" s="183">
        <v>0</v>
      </c>
      <c r="I13" s="184">
        <v>0</v>
      </c>
      <c r="J13" s="176">
        <v>1000</v>
      </c>
      <c r="K13" s="177">
        <v>0</v>
      </c>
      <c r="L13" s="183">
        <v>0</v>
      </c>
      <c r="M13" s="185">
        <v>0</v>
      </c>
      <c r="N13" s="180">
        <v>1000</v>
      </c>
      <c r="O13" s="177">
        <v>0</v>
      </c>
      <c r="P13" s="183">
        <v>0</v>
      </c>
      <c r="Q13" s="185">
        <v>0</v>
      </c>
      <c r="R13" s="181">
        <v>2014</v>
      </c>
      <c r="S13" s="182">
        <v>2050</v>
      </c>
    </row>
    <row r="14" spans="2:19" ht="12" customHeight="1">
      <c r="B14" s="188" t="s">
        <v>233</v>
      </c>
      <c r="C14" s="188"/>
      <c r="E14" s="175" t="s">
        <v>182</v>
      </c>
      <c r="F14" s="176" t="s">
        <v>232</v>
      </c>
      <c r="G14" s="177">
        <v>0</v>
      </c>
      <c r="H14" s="183">
        <v>0</v>
      </c>
      <c r="I14" s="184">
        <v>0</v>
      </c>
      <c r="J14" s="176" t="s">
        <v>232</v>
      </c>
      <c r="K14" s="177">
        <v>0</v>
      </c>
      <c r="L14" s="183">
        <v>0</v>
      </c>
      <c r="M14" s="185">
        <v>0</v>
      </c>
      <c r="N14" s="180" t="s">
        <v>232</v>
      </c>
      <c r="O14" s="177">
        <v>0</v>
      </c>
      <c r="P14" s="183">
        <v>0</v>
      </c>
      <c r="Q14" s="185">
        <v>0</v>
      </c>
      <c r="R14" s="181">
        <v>2014</v>
      </c>
      <c r="S14" s="182">
        <v>2050</v>
      </c>
    </row>
    <row r="15" spans="2:19" ht="12" customHeight="1">
      <c r="B15" s="188"/>
      <c r="C15" s="188"/>
      <c r="E15" s="175" t="s">
        <v>180</v>
      </c>
      <c r="F15" s="176">
        <v>2000</v>
      </c>
      <c r="G15" s="177">
        <v>0</v>
      </c>
      <c r="H15" s="183">
        <v>0</v>
      </c>
      <c r="I15" s="184">
        <v>0</v>
      </c>
      <c r="J15" s="176">
        <v>2000</v>
      </c>
      <c r="K15" s="177">
        <v>0</v>
      </c>
      <c r="L15" s="183">
        <v>0</v>
      </c>
      <c r="M15" s="185">
        <v>0</v>
      </c>
      <c r="N15" s="180">
        <v>2000</v>
      </c>
      <c r="O15" s="177">
        <v>0</v>
      </c>
      <c r="P15" s="183">
        <v>0</v>
      </c>
      <c r="Q15" s="185">
        <v>0</v>
      </c>
      <c r="R15" s="181">
        <v>2014</v>
      </c>
      <c r="S15" s="182">
        <v>2050</v>
      </c>
    </row>
    <row r="16" spans="2:19" ht="12" customHeight="1">
      <c r="B16" s="188"/>
      <c r="C16" s="188"/>
      <c r="E16" s="175" t="s">
        <v>178</v>
      </c>
      <c r="F16" s="176">
        <v>1000</v>
      </c>
      <c r="G16" s="177">
        <v>0</v>
      </c>
      <c r="H16" s="183">
        <v>0</v>
      </c>
      <c r="I16" s="184">
        <v>0</v>
      </c>
      <c r="J16" s="176">
        <v>1000</v>
      </c>
      <c r="K16" s="177">
        <v>0</v>
      </c>
      <c r="L16" s="183">
        <v>0</v>
      </c>
      <c r="M16" s="185">
        <v>0</v>
      </c>
      <c r="N16" s="180">
        <v>0</v>
      </c>
      <c r="O16" s="177">
        <v>0</v>
      </c>
      <c r="P16" s="177">
        <v>0</v>
      </c>
      <c r="Q16" s="179">
        <v>0</v>
      </c>
      <c r="R16" s="181">
        <v>2014</v>
      </c>
      <c r="S16" s="182">
        <v>2050</v>
      </c>
    </row>
    <row r="17" spans="2:19" ht="12" customHeight="1">
      <c r="B17" s="188"/>
      <c r="C17" s="188"/>
      <c r="E17" s="175" t="s">
        <v>176</v>
      </c>
      <c r="F17" s="176">
        <v>25</v>
      </c>
      <c r="G17" s="177">
        <v>0</v>
      </c>
      <c r="H17" s="183">
        <v>0</v>
      </c>
      <c r="I17" s="184">
        <v>0</v>
      </c>
      <c r="J17" s="176">
        <v>2000</v>
      </c>
      <c r="K17" s="177">
        <v>0</v>
      </c>
      <c r="L17" s="183">
        <v>0</v>
      </c>
      <c r="M17" s="185">
        <v>0</v>
      </c>
      <c r="N17" s="180">
        <v>2000</v>
      </c>
      <c r="O17" s="177">
        <v>0</v>
      </c>
      <c r="P17" s="183">
        <v>0</v>
      </c>
      <c r="Q17" s="185">
        <v>0</v>
      </c>
      <c r="R17" s="181">
        <v>2014</v>
      </c>
      <c r="S17" s="182">
        <v>2050</v>
      </c>
    </row>
    <row r="18" spans="2:19" ht="13" customHeight="1">
      <c r="B18" s="188"/>
      <c r="C18" s="188"/>
      <c r="E18" s="175" t="s">
        <v>174</v>
      </c>
      <c r="F18" s="176">
        <v>2000</v>
      </c>
      <c r="G18" s="177">
        <v>0</v>
      </c>
      <c r="H18" s="183">
        <v>0</v>
      </c>
      <c r="I18" s="184">
        <v>0</v>
      </c>
      <c r="J18" s="176">
        <v>2000</v>
      </c>
      <c r="K18" s="177">
        <v>0</v>
      </c>
      <c r="L18" s="183">
        <v>0</v>
      </c>
      <c r="M18" s="185">
        <v>0</v>
      </c>
      <c r="N18" s="180">
        <v>2000</v>
      </c>
      <c r="O18" s="177">
        <v>0</v>
      </c>
      <c r="P18" s="183">
        <v>0</v>
      </c>
      <c r="Q18" s="185">
        <v>0</v>
      </c>
      <c r="R18" s="181">
        <v>2014</v>
      </c>
      <c r="S18" s="182">
        <v>2050</v>
      </c>
    </row>
    <row r="19" spans="2:19" ht="12" customHeight="1">
      <c r="B19" s="188"/>
      <c r="C19" s="188"/>
      <c r="E19" s="175" t="s">
        <v>172</v>
      </c>
      <c r="F19" s="176">
        <v>10</v>
      </c>
      <c r="G19" s="177">
        <v>0</v>
      </c>
      <c r="H19" s="183">
        <v>0</v>
      </c>
      <c r="I19" s="184">
        <v>0</v>
      </c>
      <c r="J19" s="176">
        <v>100</v>
      </c>
      <c r="K19" s="177">
        <v>0</v>
      </c>
      <c r="L19" s="183">
        <v>0</v>
      </c>
      <c r="M19" s="185">
        <v>0</v>
      </c>
      <c r="N19" s="180">
        <v>100</v>
      </c>
      <c r="O19" s="177">
        <v>0</v>
      </c>
      <c r="P19" s="183">
        <v>0</v>
      </c>
      <c r="Q19" s="185">
        <v>0</v>
      </c>
      <c r="R19" s="181">
        <v>2014</v>
      </c>
      <c r="S19" s="182">
        <v>2050</v>
      </c>
    </row>
    <row r="20" spans="2:19" ht="12" customHeight="1">
      <c r="B20" s="188"/>
      <c r="C20" s="188"/>
      <c r="E20" s="175" t="s">
        <v>171</v>
      </c>
      <c r="F20" s="176">
        <v>100</v>
      </c>
      <c r="G20" s="177">
        <v>0</v>
      </c>
      <c r="H20" s="183">
        <v>0</v>
      </c>
      <c r="I20" s="184">
        <v>0</v>
      </c>
      <c r="J20" s="176">
        <v>100</v>
      </c>
      <c r="K20" s="177">
        <v>0</v>
      </c>
      <c r="L20" s="183">
        <v>0</v>
      </c>
      <c r="M20" s="185">
        <v>0</v>
      </c>
      <c r="N20" s="180">
        <v>100</v>
      </c>
      <c r="O20" s="177">
        <v>0</v>
      </c>
      <c r="P20" s="183">
        <v>0</v>
      </c>
      <c r="Q20" s="185">
        <v>0</v>
      </c>
      <c r="R20" s="181">
        <v>2014</v>
      </c>
      <c r="S20" s="182">
        <v>2050</v>
      </c>
    </row>
    <row r="21" spans="2:19" ht="12" customHeight="1">
      <c r="B21" s="188"/>
      <c r="C21" s="188"/>
      <c r="E21" s="175" t="s">
        <v>170</v>
      </c>
      <c r="F21" s="176">
        <v>500</v>
      </c>
      <c r="G21" s="177">
        <v>0</v>
      </c>
      <c r="H21" s="183">
        <v>0</v>
      </c>
      <c r="I21" s="184">
        <v>0</v>
      </c>
      <c r="J21" s="176">
        <v>500</v>
      </c>
      <c r="K21" s="177">
        <v>0</v>
      </c>
      <c r="L21" s="183">
        <v>0</v>
      </c>
      <c r="M21" s="185">
        <v>0</v>
      </c>
      <c r="N21" s="180">
        <v>500</v>
      </c>
      <c r="O21" s="177">
        <v>0</v>
      </c>
      <c r="P21" s="183">
        <v>0</v>
      </c>
      <c r="Q21" s="185">
        <v>0</v>
      </c>
      <c r="R21" s="181">
        <v>2014</v>
      </c>
      <c r="S21" s="182">
        <v>2050</v>
      </c>
    </row>
    <row r="22" spans="2:19" ht="12" customHeight="1">
      <c r="B22" s="188"/>
      <c r="C22" s="188"/>
      <c r="E22" s="175" t="s">
        <v>169</v>
      </c>
      <c r="F22" s="176">
        <v>0</v>
      </c>
      <c r="G22" s="177">
        <v>0</v>
      </c>
      <c r="H22" s="177">
        <v>0</v>
      </c>
      <c r="I22" s="178">
        <v>0</v>
      </c>
      <c r="J22" s="176">
        <v>0</v>
      </c>
      <c r="K22" s="177">
        <v>0</v>
      </c>
      <c r="L22" s="177">
        <v>0</v>
      </c>
      <c r="M22" s="179">
        <v>0</v>
      </c>
      <c r="N22" s="180">
        <v>0</v>
      </c>
      <c r="O22" s="177">
        <v>0</v>
      </c>
      <c r="P22" s="177">
        <v>0</v>
      </c>
      <c r="Q22" s="179">
        <v>0</v>
      </c>
      <c r="R22" s="181">
        <v>2014</v>
      </c>
      <c r="S22" s="182">
        <v>2050</v>
      </c>
    </row>
    <row r="23" spans="2:19" ht="12" customHeight="1">
      <c r="B23" s="188"/>
      <c r="C23" s="188"/>
      <c r="E23" s="175" t="s">
        <v>168</v>
      </c>
      <c r="F23" s="176">
        <v>40</v>
      </c>
      <c r="G23" s="177">
        <v>0</v>
      </c>
      <c r="H23" s="183">
        <v>0</v>
      </c>
      <c r="I23" s="184">
        <v>0</v>
      </c>
      <c r="J23" s="176">
        <v>40</v>
      </c>
      <c r="K23" s="177">
        <v>0</v>
      </c>
      <c r="L23" s="183">
        <v>0</v>
      </c>
      <c r="M23" s="185">
        <v>0</v>
      </c>
      <c r="N23" s="180">
        <v>40</v>
      </c>
      <c r="O23" s="177">
        <v>0</v>
      </c>
      <c r="P23" s="183">
        <v>0</v>
      </c>
      <c r="Q23" s="185">
        <v>0</v>
      </c>
      <c r="R23" s="181">
        <v>2014</v>
      </c>
      <c r="S23" s="182">
        <v>2050</v>
      </c>
    </row>
    <row r="24" spans="2:19" ht="12" customHeight="1">
      <c r="B24" s="188"/>
      <c r="C24" s="188"/>
      <c r="E24" s="175" t="s">
        <v>167</v>
      </c>
      <c r="F24" s="176">
        <v>1000</v>
      </c>
      <c r="G24" s="177">
        <v>0</v>
      </c>
      <c r="H24" s="183">
        <v>0</v>
      </c>
      <c r="I24" s="184">
        <v>0</v>
      </c>
      <c r="J24" s="176">
        <v>1000</v>
      </c>
      <c r="K24" s="177">
        <v>0</v>
      </c>
      <c r="L24" s="183">
        <v>0</v>
      </c>
      <c r="M24" s="185">
        <v>0</v>
      </c>
      <c r="N24" s="180">
        <v>1000</v>
      </c>
      <c r="O24" s="177">
        <v>0</v>
      </c>
      <c r="P24" s="183">
        <v>0</v>
      </c>
      <c r="Q24" s="185">
        <v>0</v>
      </c>
      <c r="R24" s="181">
        <v>2014</v>
      </c>
      <c r="S24" s="182">
        <v>2050</v>
      </c>
    </row>
    <row r="25" spans="2:19" ht="12" customHeight="1">
      <c r="B25" s="188"/>
      <c r="C25" s="188"/>
      <c r="E25" s="175" t="s">
        <v>166</v>
      </c>
      <c r="F25" s="176">
        <v>25</v>
      </c>
      <c r="G25" s="177">
        <v>0</v>
      </c>
      <c r="H25" s="183">
        <v>0</v>
      </c>
      <c r="I25" s="184">
        <v>0</v>
      </c>
      <c r="J25" s="176">
        <v>200</v>
      </c>
      <c r="K25" s="177">
        <v>0</v>
      </c>
      <c r="L25" s="183">
        <v>0</v>
      </c>
      <c r="M25" s="185">
        <v>0</v>
      </c>
      <c r="N25" s="180">
        <v>200</v>
      </c>
      <c r="O25" s="177">
        <v>0</v>
      </c>
      <c r="P25" s="183">
        <v>0</v>
      </c>
      <c r="Q25" s="185">
        <v>0</v>
      </c>
      <c r="R25" s="181">
        <v>2014</v>
      </c>
      <c r="S25" s="182">
        <v>2050</v>
      </c>
    </row>
    <row r="26" spans="2:19" ht="12" customHeight="1">
      <c r="B26" s="188"/>
      <c r="C26" s="188"/>
      <c r="E26" s="175" t="s">
        <v>165</v>
      </c>
      <c r="F26" s="176">
        <v>30</v>
      </c>
      <c r="G26" s="177">
        <v>0</v>
      </c>
      <c r="H26" s="183">
        <v>0</v>
      </c>
      <c r="I26" s="184">
        <v>0</v>
      </c>
      <c r="J26" s="176">
        <v>30</v>
      </c>
      <c r="K26" s="177">
        <v>0</v>
      </c>
      <c r="L26" s="183">
        <v>0</v>
      </c>
      <c r="M26" s="185">
        <v>0</v>
      </c>
      <c r="N26" s="180">
        <v>30</v>
      </c>
      <c r="O26" s="177">
        <v>0</v>
      </c>
      <c r="P26" s="183">
        <v>0</v>
      </c>
      <c r="Q26" s="185">
        <v>0</v>
      </c>
      <c r="R26" s="181">
        <v>2014</v>
      </c>
      <c r="S26" s="182">
        <v>2050</v>
      </c>
    </row>
    <row r="27" spans="2:19" ht="12" customHeight="1">
      <c r="B27" s="188"/>
      <c r="C27" s="188"/>
      <c r="E27" s="175" t="s">
        <v>164</v>
      </c>
      <c r="F27" s="176">
        <v>25</v>
      </c>
      <c r="G27" s="177">
        <v>0</v>
      </c>
      <c r="H27" s="183">
        <v>0</v>
      </c>
      <c r="I27" s="184">
        <v>0</v>
      </c>
      <c r="J27" s="176">
        <v>300</v>
      </c>
      <c r="K27" s="177">
        <v>0</v>
      </c>
      <c r="L27" s="183">
        <v>0</v>
      </c>
      <c r="M27" s="185">
        <v>0</v>
      </c>
      <c r="N27" s="180">
        <v>0</v>
      </c>
      <c r="O27" s="177">
        <v>0</v>
      </c>
      <c r="P27" s="177">
        <v>0</v>
      </c>
      <c r="Q27" s="179">
        <v>0</v>
      </c>
      <c r="R27" s="181">
        <v>2014</v>
      </c>
      <c r="S27" s="182">
        <v>2050</v>
      </c>
    </row>
    <row r="28" spans="2:19" ht="12" customHeight="1">
      <c r="B28" s="188"/>
      <c r="C28" s="188"/>
      <c r="E28" s="175" t="s">
        <v>163</v>
      </c>
      <c r="F28" s="176">
        <v>2000</v>
      </c>
      <c r="G28" s="177">
        <v>0</v>
      </c>
      <c r="H28" s="183">
        <v>0</v>
      </c>
      <c r="I28" s="184">
        <v>0</v>
      </c>
      <c r="J28" s="176">
        <v>2000</v>
      </c>
      <c r="K28" s="177">
        <v>0</v>
      </c>
      <c r="L28" s="183">
        <v>0</v>
      </c>
      <c r="M28" s="185">
        <v>0</v>
      </c>
      <c r="N28" s="180">
        <v>2000</v>
      </c>
      <c r="O28" s="177">
        <v>0</v>
      </c>
      <c r="P28" s="183">
        <v>0</v>
      </c>
      <c r="Q28" s="185">
        <v>0</v>
      </c>
      <c r="R28" s="181">
        <v>2014</v>
      </c>
      <c r="S28" s="182">
        <v>2050</v>
      </c>
    </row>
    <row r="29" spans="2:19" ht="12" customHeight="1">
      <c r="B29" s="188"/>
      <c r="C29" s="188"/>
      <c r="E29" s="175" t="s">
        <v>162</v>
      </c>
      <c r="F29" s="176">
        <v>2000</v>
      </c>
      <c r="G29" s="177">
        <v>0</v>
      </c>
      <c r="H29" s="183">
        <v>0</v>
      </c>
      <c r="I29" s="184">
        <v>0</v>
      </c>
      <c r="J29" s="176">
        <v>2000</v>
      </c>
      <c r="K29" s="177">
        <v>0</v>
      </c>
      <c r="L29" s="183">
        <v>0</v>
      </c>
      <c r="M29" s="185">
        <v>0</v>
      </c>
      <c r="N29" s="180">
        <v>2000</v>
      </c>
      <c r="O29" s="177">
        <v>0</v>
      </c>
      <c r="P29" s="183">
        <v>0</v>
      </c>
      <c r="Q29" s="185">
        <v>0</v>
      </c>
      <c r="R29" s="181">
        <v>2014</v>
      </c>
      <c r="S29" s="182">
        <v>2050</v>
      </c>
    </row>
    <row r="30" spans="2:19" ht="12" customHeight="1">
      <c r="B30" s="188"/>
      <c r="C30" s="188"/>
      <c r="E30" s="175" t="s">
        <v>161</v>
      </c>
      <c r="F30" s="176">
        <v>660</v>
      </c>
      <c r="G30" s="177">
        <v>0</v>
      </c>
      <c r="H30" s="183">
        <v>0</v>
      </c>
      <c r="I30" s="184">
        <v>0</v>
      </c>
      <c r="J30" s="176">
        <v>660</v>
      </c>
      <c r="K30" s="177">
        <v>0</v>
      </c>
      <c r="L30" s="183">
        <v>0</v>
      </c>
      <c r="M30" s="185">
        <v>0</v>
      </c>
      <c r="N30" s="180">
        <v>660</v>
      </c>
      <c r="O30" s="177">
        <v>0</v>
      </c>
      <c r="P30" s="183">
        <v>0</v>
      </c>
      <c r="Q30" s="185">
        <v>0</v>
      </c>
      <c r="R30" s="181">
        <v>2014</v>
      </c>
      <c r="S30" s="182">
        <v>2050</v>
      </c>
    </row>
    <row r="31" spans="2:19" ht="12" customHeight="1">
      <c r="B31" s="188"/>
      <c r="C31" s="188"/>
      <c r="E31" s="175" t="s">
        <v>160</v>
      </c>
      <c r="F31" s="176">
        <v>150</v>
      </c>
      <c r="G31" s="177">
        <v>0</v>
      </c>
      <c r="H31" s="183">
        <v>0</v>
      </c>
      <c r="I31" s="184">
        <v>0</v>
      </c>
      <c r="J31" s="176">
        <v>150</v>
      </c>
      <c r="K31" s="177">
        <v>0</v>
      </c>
      <c r="L31" s="183">
        <v>0</v>
      </c>
      <c r="M31" s="185">
        <v>0</v>
      </c>
      <c r="N31" s="180">
        <v>150</v>
      </c>
      <c r="O31" s="177">
        <v>0</v>
      </c>
      <c r="P31" s="183">
        <v>0</v>
      </c>
      <c r="Q31" s="185">
        <v>0</v>
      </c>
      <c r="R31" s="181">
        <v>2014</v>
      </c>
      <c r="S31" s="182">
        <v>2050</v>
      </c>
    </row>
    <row r="32" spans="2:19" ht="12" customHeight="1">
      <c r="B32" s="188"/>
      <c r="C32" s="188"/>
      <c r="E32" s="175" t="s">
        <v>159</v>
      </c>
      <c r="F32" s="176">
        <v>1000</v>
      </c>
      <c r="G32" s="177">
        <v>0</v>
      </c>
      <c r="H32" s="183">
        <v>0</v>
      </c>
      <c r="I32" s="184">
        <v>0</v>
      </c>
      <c r="J32" s="176">
        <v>1000</v>
      </c>
      <c r="K32" s="177">
        <v>0</v>
      </c>
      <c r="L32" s="183">
        <v>0</v>
      </c>
      <c r="M32" s="185">
        <v>0</v>
      </c>
      <c r="N32" s="180">
        <v>1000</v>
      </c>
      <c r="O32" s="177">
        <v>0</v>
      </c>
      <c r="P32" s="183">
        <v>0</v>
      </c>
      <c r="Q32" s="185">
        <v>0</v>
      </c>
      <c r="R32" s="181">
        <v>2014</v>
      </c>
      <c r="S32" s="182">
        <v>2050</v>
      </c>
    </row>
    <row r="33" spans="2:19" ht="12" customHeight="1">
      <c r="B33" s="188"/>
      <c r="C33" s="188"/>
      <c r="E33" s="175" t="s">
        <v>158</v>
      </c>
      <c r="F33" s="176">
        <v>100</v>
      </c>
      <c r="G33" s="177">
        <v>0</v>
      </c>
      <c r="H33" s="183">
        <v>0</v>
      </c>
      <c r="I33" s="184">
        <v>0</v>
      </c>
      <c r="J33" s="176">
        <v>100</v>
      </c>
      <c r="K33" s="177">
        <v>0</v>
      </c>
      <c r="L33" s="183">
        <v>0</v>
      </c>
      <c r="M33" s="185">
        <v>0</v>
      </c>
      <c r="N33" s="180">
        <v>100</v>
      </c>
      <c r="O33" s="177">
        <v>0</v>
      </c>
      <c r="P33" s="183">
        <v>0</v>
      </c>
      <c r="Q33" s="185">
        <v>0</v>
      </c>
      <c r="R33" s="181">
        <v>2014</v>
      </c>
      <c r="S33" s="182">
        <v>2050</v>
      </c>
    </row>
    <row r="34" spans="2:19" ht="12" customHeight="1">
      <c r="B34" s="188"/>
      <c r="C34" s="188"/>
      <c r="E34" s="175" t="s">
        <v>157</v>
      </c>
      <c r="F34" s="176">
        <v>0</v>
      </c>
      <c r="G34" s="177">
        <v>0</v>
      </c>
      <c r="H34" s="177">
        <v>0</v>
      </c>
      <c r="I34" s="178">
        <v>0</v>
      </c>
      <c r="J34" s="176">
        <v>0</v>
      </c>
      <c r="K34" s="177">
        <v>0</v>
      </c>
      <c r="L34" s="177">
        <v>0</v>
      </c>
      <c r="M34" s="179">
        <v>0</v>
      </c>
      <c r="N34" s="180">
        <v>0</v>
      </c>
      <c r="O34" s="177">
        <v>0</v>
      </c>
      <c r="P34" s="177">
        <v>0</v>
      </c>
      <c r="Q34" s="179">
        <v>0</v>
      </c>
      <c r="R34" s="181">
        <v>2014</v>
      </c>
      <c r="S34" s="182">
        <v>2050</v>
      </c>
    </row>
    <row r="35" spans="2:19" ht="12" customHeight="1">
      <c r="B35" s="188"/>
      <c r="C35" s="188"/>
      <c r="E35" s="175" t="s">
        <v>156</v>
      </c>
      <c r="F35" s="176">
        <v>50</v>
      </c>
      <c r="G35" s="177">
        <v>0</v>
      </c>
      <c r="H35" s="183">
        <v>0</v>
      </c>
      <c r="I35" s="184">
        <v>0</v>
      </c>
      <c r="J35" s="176">
        <v>50</v>
      </c>
      <c r="K35" s="177">
        <v>0</v>
      </c>
      <c r="L35" s="183">
        <v>0</v>
      </c>
      <c r="M35" s="185">
        <v>0</v>
      </c>
      <c r="N35" s="180">
        <v>50</v>
      </c>
      <c r="O35" s="177">
        <v>0</v>
      </c>
      <c r="P35" s="183">
        <v>0</v>
      </c>
      <c r="Q35" s="185">
        <v>0</v>
      </c>
      <c r="R35" s="181">
        <v>2014</v>
      </c>
      <c r="S35" s="182">
        <v>2050</v>
      </c>
    </row>
    <row r="36" spans="2:19" ht="12" customHeight="1">
      <c r="B36" s="188"/>
      <c r="C36" s="188"/>
      <c r="E36" s="175" t="s">
        <v>155</v>
      </c>
      <c r="F36" s="176">
        <v>1000</v>
      </c>
      <c r="G36" s="177">
        <v>0</v>
      </c>
      <c r="H36" s="183">
        <v>0</v>
      </c>
      <c r="I36" s="184">
        <v>0</v>
      </c>
      <c r="J36" s="176">
        <v>1000</v>
      </c>
      <c r="K36" s="177">
        <v>0</v>
      </c>
      <c r="L36" s="183">
        <v>0</v>
      </c>
      <c r="M36" s="185">
        <v>0</v>
      </c>
      <c r="N36" s="180">
        <v>1000</v>
      </c>
      <c r="O36" s="177">
        <v>0</v>
      </c>
      <c r="P36" s="183">
        <v>0</v>
      </c>
      <c r="Q36" s="185">
        <v>0</v>
      </c>
      <c r="R36" s="181">
        <v>2014</v>
      </c>
      <c r="S36" s="182">
        <v>2050</v>
      </c>
    </row>
    <row r="37" spans="2:19" ht="12" customHeight="1">
      <c r="B37" s="188"/>
      <c r="C37" s="188"/>
      <c r="E37" s="175" t="s">
        <v>154</v>
      </c>
      <c r="F37" s="176">
        <v>100</v>
      </c>
      <c r="G37" s="177">
        <v>0</v>
      </c>
      <c r="H37" s="183">
        <v>0</v>
      </c>
      <c r="I37" s="184">
        <v>0</v>
      </c>
      <c r="J37" s="176">
        <v>100</v>
      </c>
      <c r="K37" s="177">
        <v>0</v>
      </c>
      <c r="L37" s="183">
        <v>0</v>
      </c>
      <c r="M37" s="185">
        <v>0</v>
      </c>
      <c r="N37" s="180">
        <v>100</v>
      </c>
      <c r="O37" s="177">
        <v>0</v>
      </c>
      <c r="P37" s="183">
        <v>0</v>
      </c>
      <c r="Q37" s="185">
        <v>0</v>
      </c>
      <c r="R37" s="181">
        <v>2014</v>
      </c>
      <c r="S37" s="182">
        <v>2050</v>
      </c>
    </row>
    <row r="38" spans="2:19" ht="12" customHeight="1">
      <c r="B38" s="188"/>
      <c r="C38" s="188"/>
      <c r="E38" s="175" t="s">
        <v>153</v>
      </c>
      <c r="F38" s="176">
        <v>25</v>
      </c>
      <c r="G38" s="177">
        <v>0</v>
      </c>
      <c r="H38" s="183">
        <v>0</v>
      </c>
      <c r="I38" s="184">
        <v>0</v>
      </c>
      <c r="J38" s="176">
        <v>25</v>
      </c>
      <c r="K38" s="177">
        <v>0</v>
      </c>
      <c r="L38" s="183">
        <v>0</v>
      </c>
      <c r="M38" s="185">
        <v>0</v>
      </c>
      <c r="N38" s="180">
        <v>25</v>
      </c>
      <c r="O38" s="177">
        <v>0</v>
      </c>
      <c r="P38" s="183">
        <v>0</v>
      </c>
      <c r="Q38" s="185">
        <v>0</v>
      </c>
      <c r="R38" s="181">
        <v>2014</v>
      </c>
      <c r="S38" s="182">
        <v>2050</v>
      </c>
    </row>
    <row r="39" spans="2:19">
      <c r="B39" s="188"/>
      <c r="C39" s="188"/>
      <c r="E39" s="175" t="s">
        <v>152</v>
      </c>
      <c r="F39" s="176">
        <v>100</v>
      </c>
      <c r="G39" s="177">
        <v>0</v>
      </c>
      <c r="H39" s="183">
        <v>0</v>
      </c>
      <c r="I39" s="184">
        <v>0</v>
      </c>
      <c r="J39" s="176">
        <v>100</v>
      </c>
      <c r="K39" s="177">
        <v>0</v>
      </c>
      <c r="L39" s="183">
        <v>0</v>
      </c>
      <c r="M39" s="185">
        <v>0</v>
      </c>
      <c r="N39" s="180">
        <v>100</v>
      </c>
      <c r="O39" s="177">
        <v>0</v>
      </c>
      <c r="P39" s="183">
        <v>0</v>
      </c>
      <c r="Q39" s="185">
        <v>0</v>
      </c>
      <c r="R39" s="181">
        <v>2014</v>
      </c>
      <c r="S39" s="182">
        <v>2050</v>
      </c>
    </row>
    <row r="40" spans="2:19">
      <c r="B40" s="188"/>
      <c r="C40" s="188"/>
      <c r="E40" s="175" t="s">
        <v>151</v>
      </c>
      <c r="F40" s="176" t="s">
        <v>232</v>
      </c>
      <c r="G40" s="177">
        <v>0</v>
      </c>
      <c r="H40" s="183">
        <v>0</v>
      </c>
      <c r="I40" s="184">
        <v>0</v>
      </c>
      <c r="J40" s="176" t="s">
        <v>232</v>
      </c>
      <c r="K40" s="177">
        <v>0</v>
      </c>
      <c r="L40" s="183">
        <v>0</v>
      </c>
      <c r="M40" s="185">
        <v>0</v>
      </c>
      <c r="N40" s="180" t="s">
        <v>232</v>
      </c>
      <c r="O40" s="177">
        <v>0</v>
      </c>
      <c r="P40" s="183">
        <v>0</v>
      </c>
      <c r="Q40" s="185">
        <v>0</v>
      </c>
      <c r="R40" s="181">
        <v>2014</v>
      </c>
      <c r="S40" s="182">
        <v>2050</v>
      </c>
    </row>
    <row r="41" spans="2:19">
      <c r="B41" s="188"/>
      <c r="C41" s="188"/>
      <c r="E41" s="175" t="s">
        <v>150</v>
      </c>
      <c r="F41" s="176">
        <v>80000</v>
      </c>
      <c r="G41" s="177">
        <v>0</v>
      </c>
      <c r="H41" s="183">
        <v>0</v>
      </c>
      <c r="I41" s="184">
        <v>0</v>
      </c>
      <c r="J41" s="176">
        <v>80000</v>
      </c>
      <c r="K41" s="177">
        <v>0</v>
      </c>
      <c r="L41" s="183">
        <v>0</v>
      </c>
      <c r="M41" s="185">
        <v>0</v>
      </c>
      <c r="N41" s="180">
        <v>80000</v>
      </c>
      <c r="O41" s="177">
        <v>0</v>
      </c>
      <c r="P41" s="183">
        <v>0</v>
      </c>
      <c r="Q41" s="185">
        <v>0</v>
      </c>
      <c r="R41" s="181">
        <v>2014</v>
      </c>
      <c r="S41" s="182">
        <v>2050</v>
      </c>
    </row>
    <row r="42" spans="2:19">
      <c r="B42" s="188"/>
      <c r="C42" s="188"/>
      <c r="E42" s="175" t="s">
        <v>149</v>
      </c>
      <c r="F42" s="176">
        <v>1000</v>
      </c>
      <c r="G42" s="177">
        <v>0</v>
      </c>
      <c r="H42" s="183">
        <v>0</v>
      </c>
      <c r="I42" s="184">
        <v>0</v>
      </c>
      <c r="J42" s="176">
        <v>1000</v>
      </c>
      <c r="K42" s="177">
        <v>0</v>
      </c>
      <c r="L42" s="183">
        <v>0</v>
      </c>
      <c r="M42" s="185">
        <v>0</v>
      </c>
      <c r="N42" s="180">
        <v>1000</v>
      </c>
      <c r="O42" s="177">
        <v>0</v>
      </c>
      <c r="P42" s="183">
        <v>0</v>
      </c>
      <c r="Q42" s="185">
        <v>0</v>
      </c>
      <c r="R42" s="181">
        <v>2014</v>
      </c>
      <c r="S42" s="182">
        <v>2050</v>
      </c>
    </row>
    <row r="43" spans="2:19">
      <c r="B43" s="188"/>
      <c r="C43" s="188"/>
      <c r="E43" s="175" t="s">
        <v>148</v>
      </c>
      <c r="F43" s="176">
        <v>25</v>
      </c>
      <c r="G43" s="177">
        <v>0</v>
      </c>
      <c r="H43" s="183">
        <v>0</v>
      </c>
      <c r="I43" s="184">
        <v>0</v>
      </c>
      <c r="J43" s="176">
        <v>2000</v>
      </c>
      <c r="K43" s="177">
        <v>0</v>
      </c>
      <c r="L43" s="183">
        <v>0</v>
      </c>
      <c r="M43" s="185">
        <v>0</v>
      </c>
      <c r="N43" s="180">
        <v>2000</v>
      </c>
      <c r="O43" s="177">
        <v>0</v>
      </c>
      <c r="P43" s="183">
        <v>0</v>
      </c>
      <c r="Q43" s="185">
        <v>0</v>
      </c>
      <c r="R43" s="181">
        <v>2014</v>
      </c>
      <c r="S43" s="182">
        <v>2050</v>
      </c>
    </row>
    <row r="44" spans="2:19">
      <c r="B44" s="188"/>
      <c r="C44" s="188"/>
      <c r="E44" s="175" t="s">
        <v>147</v>
      </c>
      <c r="F44" s="176" t="s">
        <v>232</v>
      </c>
      <c r="G44" s="177">
        <v>0</v>
      </c>
      <c r="H44" s="183">
        <v>0</v>
      </c>
      <c r="I44" s="184">
        <v>0</v>
      </c>
      <c r="J44" s="176" t="s">
        <v>232</v>
      </c>
      <c r="K44" s="177">
        <v>0</v>
      </c>
      <c r="L44" s="183">
        <v>0</v>
      </c>
      <c r="M44" s="185">
        <v>0</v>
      </c>
      <c r="N44" s="180" t="s">
        <v>232</v>
      </c>
      <c r="O44" s="177">
        <v>0</v>
      </c>
      <c r="P44" s="183">
        <v>0</v>
      </c>
      <c r="Q44" s="185">
        <v>0</v>
      </c>
      <c r="R44" s="181">
        <v>2014</v>
      </c>
      <c r="S44" s="182">
        <v>2050</v>
      </c>
    </row>
    <row r="45" spans="2:19">
      <c r="B45" s="188"/>
      <c r="C45" s="188"/>
      <c r="E45" s="175" t="s">
        <v>146</v>
      </c>
      <c r="F45" s="176">
        <v>15</v>
      </c>
      <c r="G45" s="177">
        <v>0</v>
      </c>
      <c r="H45" s="183">
        <v>0</v>
      </c>
      <c r="I45" s="184">
        <v>0</v>
      </c>
      <c r="J45" s="176">
        <v>15</v>
      </c>
      <c r="K45" s="177">
        <v>0</v>
      </c>
      <c r="L45" s="183">
        <v>0</v>
      </c>
      <c r="M45" s="185">
        <v>0</v>
      </c>
      <c r="N45" s="180">
        <v>15</v>
      </c>
      <c r="O45" s="177">
        <v>0</v>
      </c>
      <c r="P45" s="183">
        <v>0</v>
      </c>
      <c r="Q45" s="185">
        <v>0</v>
      </c>
      <c r="R45" s="181">
        <v>2014</v>
      </c>
      <c r="S45" s="182">
        <v>2050</v>
      </c>
    </row>
    <row r="46" spans="2:19">
      <c r="B46" s="188"/>
      <c r="C46" s="188"/>
      <c r="E46" s="175" t="s">
        <v>145</v>
      </c>
      <c r="F46" s="176">
        <v>25</v>
      </c>
      <c r="G46" s="177">
        <v>0</v>
      </c>
      <c r="H46" s="183">
        <v>0</v>
      </c>
      <c r="I46" s="184">
        <v>0</v>
      </c>
      <c r="J46" s="176">
        <v>2000</v>
      </c>
      <c r="K46" s="177">
        <v>0</v>
      </c>
      <c r="L46" s="183">
        <v>0</v>
      </c>
      <c r="M46" s="185">
        <v>0</v>
      </c>
      <c r="N46" s="180">
        <v>2000</v>
      </c>
      <c r="O46" s="177">
        <v>0</v>
      </c>
      <c r="P46" s="183">
        <v>0</v>
      </c>
      <c r="Q46" s="185">
        <v>0</v>
      </c>
      <c r="R46" s="181">
        <v>2014</v>
      </c>
      <c r="S46" s="182">
        <v>2050</v>
      </c>
    </row>
    <row r="47" spans="2:19">
      <c r="B47" s="188"/>
      <c r="C47" s="188"/>
      <c r="E47" s="175" t="s">
        <v>144</v>
      </c>
      <c r="F47" s="176">
        <v>50</v>
      </c>
      <c r="G47" s="177">
        <v>0</v>
      </c>
      <c r="H47" s="183">
        <v>0</v>
      </c>
      <c r="I47" s="184">
        <v>0</v>
      </c>
      <c r="J47" s="176">
        <v>3000</v>
      </c>
      <c r="K47" s="177">
        <v>0</v>
      </c>
      <c r="L47" s="183">
        <v>0</v>
      </c>
      <c r="M47" s="185">
        <v>0</v>
      </c>
      <c r="N47" s="180">
        <v>3000</v>
      </c>
      <c r="O47" s="177">
        <v>0</v>
      </c>
      <c r="P47" s="183">
        <v>0</v>
      </c>
      <c r="Q47" s="185">
        <v>0</v>
      </c>
      <c r="R47" s="181">
        <v>2014</v>
      </c>
      <c r="S47" s="182">
        <v>2050</v>
      </c>
    </row>
    <row r="48" spans="2:19">
      <c r="B48" s="188"/>
      <c r="C48" s="188"/>
      <c r="E48" s="175" t="s">
        <v>143</v>
      </c>
      <c r="F48" s="176">
        <v>5000</v>
      </c>
      <c r="G48" s="177">
        <v>0</v>
      </c>
      <c r="H48" s="183">
        <v>0</v>
      </c>
      <c r="I48" s="184">
        <v>0</v>
      </c>
      <c r="J48" s="176">
        <v>5000</v>
      </c>
      <c r="K48" s="177">
        <v>0</v>
      </c>
      <c r="L48" s="183">
        <v>0</v>
      </c>
      <c r="M48" s="185">
        <v>0</v>
      </c>
      <c r="N48" s="180">
        <v>5000</v>
      </c>
      <c r="O48" s="177">
        <v>0</v>
      </c>
      <c r="P48" s="183">
        <v>0</v>
      </c>
      <c r="Q48" s="185">
        <v>0</v>
      </c>
      <c r="R48" s="181">
        <v>2014</v>
      </c>
      <c r="S48" s="182">
        <v>2050</v>
      </c>
    </row>
    <row r="49" spans="2:19">
      <c r="B49" s="188"/>
      <c r="C49" s="188"/>
      <c r="E49" s="175" t="s">
        <v>142</v>
      </c>
      <c r="F49" s="176">
        <v>20</v>
      </c>
      <c r="G49" s="177">
        <v>0</v>
      </c>
      <c r="H49" s="183">
        <v>0</v>
      </c>
      <c r="I49" s="184">
        <v>0</v>
      </c>
      <c r="J49" s="176">
        <v>100</v>
      </c>
      <c r="K49" s="177">
        <v>0</v>
      </c>
      <c r="L49" s="183">
        <v>0</v>
      </c>
      <c r="M49" s="185">
        <v>0</v>
      </c>
      <c r="N49" s="180">
        <v>100</v>
      </c>
      <c r="O49" s="177">
        <v>0</v>
      </c>
      <c r="P49" s="183">
        <v>0</v>
      </c>
      <c r="Q49" s="185">
        <v>0</v>
      </c>
      <c r="R49" s="181">
        <v>2014</v>
      </c>
      <c r="S49" s="182">
        <v>2050</v>
      </c>
    </row>
    <row r="50" spans="2:19">
      <c r="B50" s="188"/>
      <c r="C50" s="188"/>
      <c r="E50" s="175" t="s">
        <v>141</v>
      </c>
      <c r="F50" s="176">
        <v>0</v>
      </c>
      <c r="G50" s="177">
        <v>0</v>
      </c>
      <c r="H50" s="177">
        <v>0</v>
      </c>
      <c r="I50" s="178">
        <v>0</v>
      </c>
      <c r="J50" s="176">
        <v>0</v>
      </c>
      <c r="K50" s="177">
        <v>0</v>
      </c>
      <c r="L50" s="177">
        <v>0</v>
      </c>
      <c r="M50" s="179">
        <v>0</v>
      </c>
      <c r="N50" s="180">
        <v>0</v>
      </c>
      <c r="O50" s="177">
        <v>0</v>
      </c>
      <c r="P50" s="177">
        <v>0</v>
      </c>
      <c r="Q50" s="179">
        <v>0</v>
      </c>
      <c r="R50" s="181">
        <v>2014</v>
      </c>
      <c r="S50" s="182">
        <v>2050</v>
      </c>
    </row>
    <row r="51" spans="2:19">
      <c r="B51" s="188"/>
      <c r="C51" s="188"/>
      <c r="E51" s="175" t="s">
        <v>140</v>
      </c>
      <c r="F51" s="176">
        <v>0</v>
      </c>
      <c r="G51" s="177">
        <v>0</v>
      </c>
      <c r="H51" s="177">
        <v>0</v>
      </c>
      <c r="I51" s="178">
        <v>0</v>
      </c>
      <c r="J51" s="176">
        <v>0</v>
      </c>
      <c r="K51" s="177">
        <v>0</v>
      </c>
      <c r="L51" s="177">
        <v>0</v>
      </c>
      <c r="M51" s="179">
        <v>0</v>
      </c>
      <c r="N51" s="180">
        <v>0</v>
      </c>
      <c r="O51" s="177">
        <v>0</v>
      </c>
      <c r="P51" s="177">
        <v>0</v>
      </c>
      <c r="Q51" s="179">
        <v>0</v>
      </c>
      <c r="R51" s="181">
        <v>2014</v>
      </c>
      <c r="S51" s="182">
        <v>2050</v>
      </c>
    </row>
    <row r="52" spans="2:19">
      <c r="E52" s="175" t="s">
        <v>139</v>
      </c>
      <c r="F52" s="176">
        <v>0</v>
      </c>
      <c r="G52" s="177">
        <v>0</v>
      </c>
      <c r="H52" s="177">
        <v>0</v>
      </c>
      <c r="I52" s="178">
        <v>0</v>
      </c>
      <c r="J52" s="176">
        <v>0</v>
      </c>
      <c r="K52" s="177">
        <v>0</v>
      </c>
      <c r="L52" s="177">
        <v>0</v>
      </c>
      <c r="M52" s="179">
        <v>0</v>
      </c>
      <c r="N52" s="180">
        <v>0</v>
      </c>
      <c r="O52" s="177">
        <v>0</v>
      </c>
      <c r="P52" s="177">
        <v>0</v>
      </c>
      <c r="Q52" s="179">
        <v>0</v>
      </c>
      <c r="R52" s="181">
        <v>2014</v>
      </c>
      <c r="S52" s="182">
        <v>2050</v>
      </c>
    </row>
    <row r="53" spans="2:19">
      <c r="B53" s="189" t="s">
        <v>234</v>
      </c>
      <c r="C53" s="189"/>
      <c r="E53" s="175" t="s">
        <v>138</v>
      </c>
      <c r="F53" s="176">
        <v>25</v>
      </c>
      <c r="G53" s="177">
        <v>0</v>
      </c>
      <c r="H53" s="183">
        <v>0</v>
      </c>
      <c r="I53" s="184">
        <v>0</v>
      </c>
      <c r="J53" s="176">
        <v>2000</v>
      </c>
      <c r="K53" s="177">
        <v>0</v>
      </c>
      <c r="L53" s="183">
        <v>0</v>
      </c>
      <c r="M53" s="185">
        <v>0</v>
      </c>
      <c r="N53" s="180">
        <v>2000</v>
      </c>
      <c r="O53" s="177">
        <v>0</v>
      </c>
      <c r="P53" s="183">
        <v>0</v>
      </c>
      <c r="Q53" s="185">
        <v>0</v>
      </c>
      <c r="R53" s="181">
        <v>2014</v>
      </c>
      <c r="S53" s="182">
        <v>2050</v>
      </c>
    </row>
    <row r="54" spans="2:19">
      <c r="B54" s="189"/>
      <c r="C54" s="189"/>
      <c r="E54" s="175" t="s">
        <v>137</v>
      </c>
      <c r="F54" s="176">
        <v>10</v>
      </c>
      <c r="G54" s="177">
        <v>0</v>
      </c>
      <c r="H54" s="183">
        <v>0</v>
      </c>
      <c r="I54" s="184">
        <v>0</v>
      </c>
      <c r="J54" s="176">
        <v>500</v>
      </c>
      <c r="K54" s="177">
        <v>0</v>
      </c>
      <c r="L54" s="183">
        <v>0</v>
      </c>
      <c r="M54" s="185">
        <v>0</v>
      </c>
      <c r="N54" s="180">
        <v>500</v>
      </c>
      <c r="O54" s="177">
        <v>0</v>
      </c>
      <c r="P54" s="183">
        <v>0</v>
      </c>
      <c r="Q54" s="185">
        <v>0</v>
      </c>
      <c r="R54" s="181">
        <v>2014</v>
      </c>
      <c r="S54" s="182">
        <v>2050</v>
      </c>
    </row>
    <row r="55" spans="2:19">
      <c r="B55" s="189"/>
      <c r="C55" s="189"/>
      <c r="E55" s="175" t="s">
        <v>136</v>
      </c>
      <c r="F55" s="176">
        <v>500</v>
      </c>
      <c r="G55" s="177">
        <v>0</v>
      </c>
      <c r="H55" s="183">
        <v>0</v>
      </c>
      <c r="I55" s="184">
        <v>0</v>
      </c>
      <c r="J55" s="176">
        <v>500</v>
      </c>
      <c r="K55" s="177">
        <v>0</v>
      </c>
      <c r="L55" s="183">
        <v>0</v>
      </c>
      <c r="M55" s="185">
        <v>0</v>
      </c>
      <c r="N55" s="180">
        <v>500</v>
      </c>
      <c r="O55" s="177">
        <v>0</v>
      </c>
      <c r="P55" s="183">
        <v>0</v>
      </c>
      <c r="Q55" s="185">
        <v>0</v>
      </c>
      <c r="R55" s="181">
        <v>2014</v>
      </c>
      <c r="S55" s="182">
        <v>2050</v>
      </c>
    </row>
    <row r="56" spans="2:19">
      <c r="E56" s="175" t="s">
        <v>135</v>
      </c>
      <c r="F56" s="176">
        <v>100</v>
      </c>
      <c r="G56" s="177">
        <v>0</v>
      </c>
      <c r="H56" s="183">
        <v>0</v>
      </c>
      <c r="I56" s="184">
        <v>0</v>
      </c>
      <c r="J56" s="176">
        <v>100</v>
      </c>
      <c r="K56" s="177">
        <v>0</v>
      </c>
      <c r="L56" s="183">
        <v>0</v>
      </c>
      <c r="M56" s="185">
        <v>0</v>
      </c>
      <c r="N56" s="180">
        <v>100</v>
      </c>
      <c r="O56" s="177">
        <v>0</v>
      </c>
      <c r="P56" s="183">
        <v>0</v>
      </c>
      <c r="Q56" s="185">
        <v>0</v>
      </c>
      <c r="R56" s="181">
        <v>2014</v>
      </c>
      <c r="S56" s="182">
        <v>2050</v>
      </c>
    </row>
    <row r="57" spans="2:19">
      <c r="B57" s="190" t="s">
        <v>235</v>
      </c>
      <c r="C57" s="190"/>
      <c r="E57" s="175" t="s">
        <v>134</v>
      </c>
      <c r="F57" s="176">
        <v>100</v>
      </c>
      <c r="G57" s="177">
        <v>0</v>
      </c>
      <c r="H57" s="183">
        <v>0</v>
      </c>
      <c r="I57" s="184">
        <v>0</v>
      </c>
      <c r="J57" s="176">
        <v>100</v>
      </c>
      <c r="K57" s="177">
        <v>0</v>
      </c>
      <c r="L57" s="183">
        <v>0</v>
      </c>
      <c r="M57" s="185">
        <v>0</v>
      </c>
      <c r="N57" s="180">
        <v>100</v>
      </c>
      <c r="O57" s="177">
        <v>0</v>
      </c>
      <c r="P57" s="183">
        <v>0</v>
      </c>
      <c r="Q57" s="185">
        <v>0</v>
      </c>
      <c r="R57" s="181">
        <v>2014</v>
      </c>
      <c r="S57" s="182">
        <v>2050</v>
      </c>
    </row>
    <row r="58" spans="2:19">
      <c r="B58" s="190"/>
      <c r="C58" s="190"/>
      <c r="E58" s="175" t="s">
        <v>133</v>
      </c>
      <c r="F58" s="176">
        <v>25</v>
      </c>
      <c r="G58" s="177">
        <v>0</v>
      </c>
      <c r="H58" s="183">
        <v>0</v>
      </c>
      <c r="I58" s="184">
        <v>0</v>
      </c>
      <c r="J58" s="176">
        <v>500</v>
      </c>
      <c r="K58" s="177">
        <v>0</v>
      </c>
      <c r="L58" s="183">
        <v>0</v>
      </c>
      <c r="M58" s="185">
        <v>0</v>
      </c>
      <c r="N58" s="180">
        <v>2000</v>
      </c>
      <c r="O58" s="177">
        <v>0</v>
      </c>
      <c r="P58" s="183">
        <v>0</v>
      </c>
      <c r="Q58" s="185">
        <v>0</v>
      </c>
      <c r="R58" s="181">
        <v>2014</v>
      </c>
      <c r="S58" s="182">
        <v>2050</v>
      </c>
    </row>
    <row r="59" spans="2:19" ht="13" thickBot="1">
      <c r="B59" s="190"/>
      <c r="C59" s="190"/>
      <c r="E59" s="191" t="s">
        <v>132</v>
      </c>
      <c r="F59" s="192">
        <v>25</v>
      </c>
      <c r="G59" s="193">
        <v>0</v>
      </c>
      <c r="H59" s="194">
        <v>0</v>
      </c>
      <c r="I59" s="195">
        <v>0</v>
      </c>
      <c r="J59" s="192">
        <v>25</v>
      </c>
      <c r="K59" s="193">
        <v>0</v>
      </c>
      <c r="L59" s="194">
        <v>0</v>
      </c>
      <c r="M59" s="196">
        <v>0</v>
      </c>
      <c r="N59" s="197">
        <v>25</v>
      </c>
      <c r="O59" s="193">
        <v>0</v>
      </c>
      <c r="P59" s="194">
        <v>0</v>
      </c>
      <c r="Q59" s="196">
        <v>0</v>
      </c>
      <c r="R59" s="198">
        <v>2014</v>
      </c>
      <c r="S59" s="199">
        <v>2050</v>
      </c>
    </row>
    <row r="60" spans="2:19">
      <c r="B60" s="190"/>
      <c r="C60" s="190"/>
      <c r="M60" s="152"/>
    </row>
    <row r="125" spans="2:2">
      <c r="B125" s="200" t="s">
        <v>2</v>
      </c>
    </row>
    <row r="126" spans="2:2">
      <c r="B126" s="200" t="s">
        <v>236</v>
      </c>
    </row>
    <row r="127" spans="2:2">
      <c r="B127" s="200" t="s">
        <v>237</v>
      </c>
    </row>
    <row r="128" spans="2:2">
      <c r="B128" s="200" t="s">
        <v>238</v>
      </c>
    </row>
    <row r="129" spans="2:2">
      <c r="B129" s="200" t="s">
        <v>239</v>
      </c>
    </row>
    <row r="132" spans="2:2">
      <c r="B132" s="201">
        <v>2014</v>
      </c>
    </row>
    <row r="133" spans="2:2">
      <c r="B133" s="201">
        <v>2016</v>
      </c>
    </row>
    <row r="134" spans="2:2">
      <c r="B134" s="201">
        <v>2018</v>
      </c>
    </row>
    <row r="135" spans="2:2">
      <c r="B135" s="201">
        <v>2020</v>
      </c>
    </row>
    <row r="136" spans="2:2">
      <c r="B136" s="201">
        <v>2022</v>
      </c>
    </row>
    <row r="137" spans="2:2">
      <c r="B137" s="201">
        <v>2024</v>
      </c>
    </row>
    <row r="138" spans="2:2">
      <c r="B138" s="201">
        <v>2026</v>
      </c>
    </row>
    <row r="139" spans="2:2">
      <c r="B139" s="201">
        <v>2028</v>
      </c>
    </row>
    <row r="140" spans="2:2">
      <c r="B140" s="201">
        <v>2030</v>
      </c>
    </row>
    <row r="141" spans="2:2">
      <c r="B141" s="201">
        <v>2032</v>
      </c>
    </row>
    <row r="142" spans="2:2">
      <c r="B142" s="201">
        <v>2034</v>
      </c>
    </row>
    <row r="143" spans="2:2">
      <c r="B143" s="201">
        <v>2036</v>
      </c>
    </row>
    <row r="144" spans="2:2">
      <c r="B144" s="201">
        <v>2038</v>
      </c>
    </row>
    <row r="145" spans="2:2">
      <c r="B145" s="201">
        <v>2040</v>
      </c>
    </row>
    <row r="146" spans="2:2">
      <c r="B146" s="201">
        <v>2042</v>
      </c>
    </row>
    <row r="147" spans="2:2">
      <c r="B147" s="201">
        <v>2044</v>
      </c>
    </row>
    <row r="148" spans="2:2">
      <c r="B148" s="201">
        <v>2046</v>
      </c>
    </row>
    <row r="149" spans="2:2">
      <c r="B149" s="201">
        <v>2048</v>
      </c>
    </row>
    <row r="150" spans="2:2">
      <c r="B150" s="201">
        <v>2050</v>
      </c>
    </row>
    <row r="153" spans="2:2">
      <c r="B153" s="202" t="b">
        <v>1</v>
      </c>
    </row>
    <row r="154" spans="2:2">
      <c r="B154" s="202" t="b">
        <v>0</v>
      </c>
    </row>
    <row r="166" spans="1:4">
      <c r="A166" s="201"/>
      <c r="B166" s="201" t="s">
        <v>240</v>
      </c>
      <c r="C166" s="201" t="s">
        <v>241</v>
      </c>
      <c r="D166" s="201" t="s">
        <v>242</v>
      </c>
    </row>
    <row r="167" spans="1:4">
      <c r="A167" s="201" t="s">
        <v>192</v>
      </c>
      <c r="B167" s="201">
        <v>25</v>
      </c>
      <c r="C167" s="201">
        <v>25</v>
      </c>
      <c r="D167" s="201">
        <v>25</v>
      </c>
    </row>
    <row r="168" spans="1:4">
      <c r="A168" s="201" t="s">
        <v>190</v>
      </c>
      <c r="B168" s="201">
        <v>0</v>
      </c>
      <c r="C168" s="201">
        <v>0</v>
      </c>
      <c r="D168" s="201">
        <v>0</v>
      </c>
    </row>
    <row r="169" spans="1:4">
      <c r="A169" s="201" t="s">
        <v>188</v>
      </c>
      <c r="B169" s="201">
        <v>25</v>
      </c>
      <c r="C169" s="201">
        <v>300</v>
      </c>
      <c r="D169" s="201">
        <v>300</v>
      </c>
    </row>
    <row r="170" spans="1:4">
      <c r="A170" s="201" t="s">
        <v>186</v>
      </c>
      <c r="B170" s="201" t="s">
        <v>232</v>
      </c>
      <c r="C170" s="201" t="s">
        <v>232</v>
      </c>
      <c r="D170" s="201" t="s">
        <v>232</v>
      </c>
    </row>
    <row r="171" spans="1:4">
      <c r="A171" s="201" t="s">
        <v>184</v>
      </c>
      <c r="B171" s="201">
        <v>1000</v>
      </c>
      <c r="C171" s="201">
        <v>1000</v>
      </c>
      <c r="D171" s="201">
        <v>1000</v>
      </c>
    </row>
    <row r="172" spans="1:4">
      <c r="A172" s="201" t="s">
        <v>182</v>
      </c>
      <c r="B172" s="201" t="s">
        <v>232</v>
      </c>
      <c r="C172" s="201" t="s">
        <v>232</v>
      </c>
      <c r="D172" s="201" t="s">
        <v>232</v>
      </c>
    </row>
    <row r="173" spans="1:4">
      <c r="A173" s="201" t="s">
        <v>180</v>
      </c>
      <c r="B173" s="201">
        <v>2000</v>
      </c>
      <c r="C173" s="201">
        <v>2000</v>
      </c>
      <c r="D173" s="201">
        <v>2000</v>
      </c>
    </row>
    <row r="174" spans="1:4">
      <c r="A174" s="201" t="s">
        <v>178</v>
      </c>
      <c r="B174" s="201">
        <v>1000</v>
      </c>
      <c r="C174" s="201">
        <v>1000</v>
      </c>
      <c r="D174" s="201">
        <v>0</v>
      </c>
    </row>
    <row r="175" spans="1:4">
      <c r="A175" s="201" t="s">
        <v>176</v>
      </c>
      <c r="B175" s="201">
        <v>25</v>
      </c>
      <c r="C175" s="201">
        <v>2000</v>
      </c>
      <c r="D175" s="201">
        <v>2000</v>
      </c>
    </row>
    <row r="176" spans="1:4">
      <c r="A176" s="201" t="s">
        <v>174</v>
      </c>
      <c r="B176" s="201">
        <v>2000</v>
      </c>
      <c r="C176" s="201">
        <v>2000</v>
      </c>
      <c r="D176" s="201">
        <v>2000</v>
      </c>
    </row>
    <row r="177" spans="1:4">
      <c r="A177" s="201" t="s">
        <v>172</v>
      </c>
      <c r="B177" s="201">
        <v>10</v>
      </c>
      <c r="C177" s="201">
        <v>100</v>
      </c>
      <c r="D177" s="201">
        <v>100</v>
      </c>
    </row>
    <row r="178" spans="1:4">
      <c r="A178" s="201" t="s">
        <v>171</v>
      </c>
      <c r="B178" s="201">
        <v>100</v>
      </c>
      <c r="C178" s="201">
        <v>100</v>
      </c>
      <c r="D178" s="201">
        <v>100</v>
      </c>
    </row>
    <row r="179" spans="1:4">
      <c r="A179" s="201" t="s">
        <v>170</v>
      </c>
      <c r="B179" s="201">
        <v>500</v>
      </c>
      <c r="C179" s="201">
        <v>500</v>
      </c>
      <c r="D179" s="201">
        <v>500</v>
      </c>
    </row>
    <row r="180" spans="1:4">
      <c r="A180" s="201" t="s">
        <v>169</v>
      </c>
      <c r="B180" s="201">
        <v>0</v>
      </c>
      <c r="C180" s="201">
        <v>0</v>
      </c>
      <c r="D180" s="201">
        <v>0</v>
      </c>
    </row>
    <row r="181" spans="1:4">
      <c r="A181" s="201" t="s">
        <v>168</v>
      </c>
      <c r="B181" s="201">
        <v>40</v>
      </c>
      <c r="C181" s="201">
        <v>40</v>
      </c>
      <c r="D181" s="201">
        <v>40</v>
      </c>
    </row>
    <row r="182" spans="1:4">
      <c r="A182" s="201" t="s">
        <v>167</v>
      </c>
      <c r="B182" s="201">
        <v>1000</v>
      </c>
      <c r="C182" s="201">
        <v>1000</v>
      </c>
      <c r="D182" s="201">
        <v>1000</v>
      </c>
    </row>
    <row r="183" spans="1:4">
      <c r="A183" s="201" t="s">
        <v>166</v>
      </c>
      <c r="B183" s="201">
        <v>25</v>
      </c>
      <c r="C183" s="201">
        <v>200</v>
      </c>
      <c r="D183" s="201">
        <v>200</v>
      </c>
    </row>
    <row r="184" spans="1:4">
      <c r="A184" s="201" t="s">
        <v>165</v>
      </c>
      <c r="B184" s="201">
        <v>30</v>
      </c>
      <c r="C184" s="201">
        <v>30</v>
      </c>
      <c r="D184" s="201">
        <v>30</v>
      </c>
    </row>
    <row r="185" spans="1:4">
      <c r="A185" s="201" t="s">
        <v>164</v>
      </c>
      <c r="B185" s="201">
        <v>25</v>
      </c>
      <c r="C185" s="201">
        <v>300</v>
      </c>
      <c r="D185" s="201">
        <v>0</v>
      </c>
    </row>
    <row r="186" spans="1:4">
      <c r="A186" s="201" t="s">
        <v>163</v>
      </c>
      <c r="B186" s="201">
        <v>2000</v>
      </c>
      <c r="C186" s="201">
        <v>2000</v>
      </c>
      <c r="D186" s="201">
        <v>2000</v>
      </c>
    </row>
    <row r="187" spans="1:4">
      <c r="A187" s="201" t="s">
        <v>162</v>
      </c>
      <c r="B187" s="201">
        <v>2000</v>
      </c>
      <c r="C187" s="201">
        <v>2000</v>
      </c>
      <c r="D187" s="201">
        <v>2000</v>
      </c>
    </row>
    <row r="188" spans="1:4">
      <c r="A188" s="201" t="s">
        <v>161</v>
      </c>
      <c r="B188" s="201">
        <v>660</v>
      </c>
      <c r="C188" s="201">
        <v>660</v>
      </c>
      <c r="D188" s="201">
        <v>660</v>
      </c>
    </row>
    <row r="189" spans="1:4">
      <c r="A189" s="201" t="s">
        <v>160</v>
      </c>
      <c r="B189" s="201">
        <v>150</v>
      </c>
      <c r="C189" s="201">
        <v>150</v>
      </c>
      <c r="D189" s="201">
        <v>150</v>
      </c>
    </row>
    <row r="190" spans="1:4">
      <c r="A190" s="201" t="s">
        <v>159</v>
      </c>
      <c r="B190" s="201">
        <v>1000</v>
      </c>
      <c r="C190" s="201">
        <v>1000</v>
      </c>
      <c r="D190" s="201">
        <v>1000</v>
      </c>
    </row>
    <row r="191" spans="1:4">
      <c r="A191" s="201" t="s">
        <v>158</v>
      </c>
      <c r="B191" s="201">
        <v>100</v>
      </c>
      <c r="C191" s="201">
        <v>100</v>
      </c>
      <c r="D191" s="201">
        <v>100</v>
      </c>
    </row>
    <row r="192" spans="1:4">
      <c r="A192" s="201" t="s">
        <v>157</v>
      </c>
      <c r="B192" s="201">
        <v>0</v>
      </c>
      <c r="C192" s="201">
        <v>0</v>
      </c>
      <c r="D192" s="201">
        <v>0</v>
      </c>
    </row>
    <row r="193" spans="1:4">
      <c r="A193" s="201" t="s">
        <v>156</v>
      </c>
      <c r="B193" s="201">
        <v>50</v>
      </c>
      <c r="C193" s="201">
        <v>50</v>
      </c>
      <c r="D193" s="201">
        <v>50</v>
      </c>
    </row>
    <row r="194" spans="1:4">
      <c r="A194" s="201" t="s">
        <v>155</v>
      </c>
      <c r="B194" s="201">
        <v>1000</v>
      </c>
      <c r="C194" s="201">
        <v>1000</v>
      </c>
      <c r="D194" s="201">
        <v>1000</v>
      </c>
    </row>
    <row r="195" spans="1:4">
      <c r="A195" s="201" t="s">
        <v>154</v>
      </c>
      <c r="B195" s="201">
        <v>100</v>
      </c>
      <c r="C195" s="201">
        <v>100</v>
      </c>
      <c r="D195" s="201">
        <v>100</v>
      </c>
    </row>
    <row r="196" spans="1:4">
      <c r="A196" s="201" t="s">
        <v>153</v>
      </c>
      <c r="B196" s="201">
        <v>25</v>
      </c>
      <c r="C196" s="201">
        <v>25</v>
      </c>
      <c r="D196" s="201">
        <v>25</v>
      </c>
    </row>
    <row r="197" spans="1:4">
      <c r="A197" s="201" t="s">
        <v>152</v>
      </c>
      <c r="B197" s="201">
        <v>100</v>
      </c>
      <c r="C197" s="201">
        <v>100</v>
      </c>
      <c r="D197" s="201">
        <v>100</v>
      </c>
    </row>
    <row r="198" spans="1:4">
      <c r="A198" s="201" t="s">
        <v>151</v>
      </c>
      <c r="B198" s="201" t="s">
        <v>232</v>
      </c>
      <c r="C198" s="201" t="s">
        <v>232</v>
      </c>
      <c r="D198" s="201" t="s">
        <v>232</v>
      </c>
    </row>
    <row r="199" spans="1:4">
      <c r="A199" s="201" t="s">
        <v>150</v>
      </c>
      <c r="B199" s="201">
        <v>80000</v>
      </c>
      <c r="C199" s="201">
        <v>80000</v>
      </c>
      <c r="D199" s="201">
        <v>80000</v>
      </c>
    </row>
    <row r="200" spans="1:4">
      <c r="A200" s="201" t="s">
        <v>149</v>
      </c>
      <c r="B200" s="201">
        <v>1000</v>
      </c>
      <c r="C200" s="201">
        <v>1000</v>
      </c>
      <c r="D200" s="201">
        <v>1000</v>
      </c>
    </row>
    <row r="201" spans="1:4">
      <c r="A201" s="201" t="s">
        <v>148</v>
      </c>
      <c r="B201" s="201">
        <v>25</v>
      </c>
      <c r="C201" s="201">
        <v>2000</v>
      </c>
      <c r="D201" s="201">
        <v>2000</v>
      </c>
    </row>
    <row r="202" spans="1:4">
      <c r="A202" s="201" t="s">
        <v>147</v>
      </c>
      <c r="B202" s="201" t="s">
        <v>232</v>
      </c>
      <c r="C202" s="201" t="s">
        <v>232</v>
      </c>
      <c r="D202" s="201" t="s">
        <v>232</v>
      </c>
    </row>
    <row r="203" spans="1:4">
      <c r="A203" s="201" t="s">
        <v>146</v>
      </c>
      <c r="B203" s="201">
        <v>15</v>
      </c>
      <c r="C203" s="201">
        <v>15</v>
      </c>
      <c r="D203" s="201">
        <v>15</v>
      </c>
    </row>
    <row r="204" spans="1:4">
      <c r="A204" s="201" t="s">
        <v>145</v>
      </c>
      <c r="B204" s="201">
        <v>25</v>
      </c>
      <c r="C204" s="201">
        <v>2000</v>
      </c>
      <c r="D204" s="201">
        <v>2000</v>
      </c>
    </row>
    <row r="205" spans="1:4">
      <c r="A205" s="201" t="s">
        <v>144</v>
      </c>
      <c r="B205" s="201">
        <v>50</v>
      </c>
      <c r="C205" s="201">
        <v>3000</v>
      </c>
      <c r="D205" s="201">
        <v>3000</v>
      </c>
    </row>
    <row r="206" spans="1:4">
      <c r="A206" s="201" t="s">
        <v>143</v>
      </c>
      <c r="B206" s="201">
        <v>5000</v>
      </c>
      <c r="C206" s="201">
        <v>5000</v>
      </c>
      <c r="D206" s="201">
        <v>5000</v>
      </c>
    </row>
    <row r="207" spans="1:4">
      <c r="A207" s="201" t="s">
        <v>142</v>
      </c>
      <c r="B207" s="201">
        <v>20</v>
      </c>
      <c r="C207" s="201">
        <v>100</v>
      </c>
      <c r="D207" s="201">
        <v>100</v>
      </c>
    </row>
    <row r="208" spans="1:4">
      <c r="A208" s="201" t="s">
        <v>141</v>
      </c>
      <c r="B208" s="201">
        <v>0</v>
      </c>
      <c r="C208" s="201">
        <v>0</v>
      </c>
      <c r="D208" s="201">
        <v>0</v>
      </c>
    </row>
    <row r="209" spans="1:4">
      <c r="A209" s="201" t="s">
        <v>140</v>
      </c>
      <c r="B209" s="201">
        <v>0</v>
      </c>
      <c r="C209" s="201">
        <v>0</v>
      </c>
      <c r="D209" s="201">
        <v>0</v>
      </c>
    </row>
    <row r="210" spans="1:4">
      <c r="A210" s="201" t="s">
        <v>139</v>
      </c>
      <c r="B210" s="201">
        <v>0</v>
      </c>
      <c r="C210" s="201">
        <v>0</v>
      </c>
      <c r="D210" s="201">
        <v>0</v>
      </c>
    </row>
    <row r="211" spans="1:4">
      <c r="A211" s="201" t="s">
        <v>138</v>
      </c>
      <c r="B211" s="201">
        <v>25</v>
      </c>
      <c r="C211" s="201">
        <v>2000</v>
      </c>
      <c r="D211" s="201">
        <v>2000</v>
      </c>
    </row>
    <row r="212" spans="1:4">
      <c r="A212" s="201" t="s">
        <v>137</v>
      </c>
      <c r="B212" s="201">
        <v>10</v>
      </c>
      <c r="C212" s="201">
        <v>500</v>
      </c>
      <c r="D212" s="201">
        <v>500</v>
      </c>
    </row>
    <row r="213" spans="1:4">
      <c r="A213" s="201" t="s">
        <v>136</v>
      </c>
      <c r="B213" s="201">
        <v>500</v>
      </c>
      <c r="C213" s="201">
        <v>500</v>
      </c>
      <c r="D213" s="201">
        <v>500</v>
      </c>
    </row>
    <row r="214" spans="1:4">
      <c r="A214" s="201" t="s">
        <v>135</v>
      </c>
      <c r="B214" s="201">
        <v>100</v>
      </c>
      <c r="C214" s="201">
        <v>100</v>
      </c>
      <c r="D214" s="201">
        <v>100</v>
      </c>
    </row>
    <row r="215" spans="1:4">
      <c r="A215" s="201" t="s">
        <v>134</v>
      </c>
      <c r="B215" s="201">
        <v>100</v>
      </c>
      <c r="C215" s="201">
        <v>100</v>
      </c>
      <c r="D215" s="201">
        <v>100</v>
      </c>
    </row>
    <row r="216" spans="1:4">
      <c r="A216" s="201" t="s">
        <v>133</v>
      </c>
      <c r="B216" s="201">
        <v>25</v>
      </c>
      <c r="C216" s="201">
        <v>500</v>
      </c>
      <c r="D216" s="201">
        <v>2000</v>
      </c>
    </row>
    <row r="217" spans="1:4">
      <c r="A217" s="201" t="s">
        <v>132</v>
      </c>
      <c r="B217" s="201">
        <v>25</v>
      </c>
      <c r="C217" s="201">
        <v>25</v>
      </c>
      <c r="D217" s="201">
        <v>25</v>
      </c>
    </row>
    <row r="218" spans="1:4">
      <c r="B218" s="203"/>
    </row>
  </sheetData>
  <sheetProtection sheet="1" formatCells="0" formatColumns="0" formatRows="0"/>
  <mergeCells count="6">
    <mergeCell ref="F7:I7"/>
    <mergeCell ref="J7:M7"/>
    <mergeCell ref="N7:Q7"/>
    <mergeCell ref="B14:C51"/>
    <mergeCell ref="B53:C55"/>
    <mergeCell ref="B57:C60"/>
  </mergeCells>
  <dataValidations count="3">
    <dataValidation type="list" allowBlank="1" showInputMessage="1" showErrorMessage="1" error="Year must be an even year in the range 2014 - 2050" sqref="R9:S59">
      <formula1>$B$132:$B$150</formula1>
    </dataValidation>
    <dataValidation type="list" allowBlank="1" showInputMessage="1" showErrorMessage="1" sqref="C5">
      <formula1>$B$125:$B$129</formula1>
    </dataValidation>
    <dataValidation type="list" allowBlank="1" showInputMessage="1" showErrorMessage="1" sqref="C9:C12">
      <formula1>$B$153:$B$154</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Main</vt:lpstr>
      <vt:lpstr>Market Projections</vt:lpstr>
      <vt:lpstr>Net Metering</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Michael Gleason</cp:lastModifiedBy>
  <dcterms:created xsi:type="dcterms:W3CDTF">2015-07-08T20:27:56Z</dcterms:created>
  <dcterms:modified xsi:type="dcterms:W3CDTF">2015-07-08T20:29:08Z</dcterms:modified>
</cp:coreProperties>
</file>