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400" yWindow="0" windowWidth="38400" windowHeight="13176" tabRatio="782"/>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E6" i="38"/>
  <c r="AA44" i="34"/>
  <c r="AB44" i="34"/>
  <c r="AC44" i="34"/>
  <c r="AD44" i="34"/>
  <c r="AE44" i="34"/>
  <c r="AF44" i="34"/>
  <c r="AG44" i="34"/>
  <c r="AH44" i="34"/>
  <c r="AI44" i="34"/>
  <c r="AJ44" i="34"/>
  <c r="AK44" i="34"/>
  <c r="AL44" i="34"/>
  <c r="AM44" i="34"/>
  <c r="AN44" i="34"/>
  <c r="AO44" i="34"/>
  <c r="AP44" i="34"/>
  <c r="AQ44" i="34"/>
  <c r="AR44" i="34"/>
  <c r="AA43" i="34"/>
  <c r="AB43" i="34"/>
  <c r="AC43" i="34"/>
  <c r="AD43" i="34"/>
  <c r="AE43" i="34"/>
  <c r="AF43" i="34"/>
  <c r="AG43" i="34"/>
  <c r="AH43" i="34"/>
  <c r="AI43" i="34"/>
  <c r="AJ43" i="34"/>
  <c r="AK43" i="34"/>
  <c r="AL43" i="34"/>
  <c r="AM43" i="34"/>
  <c r="AN43" i="34"/>
  <c r="AO43" i="34"/>
  <c r="AP43" i="34"/>
  <c r="AQ43" i="34"/>
  <c r="AR43" i="34"/>
  <c r="AA37" i="34"/>
  <c r="AB37" i="34"/>
  <c r="AC37" i="34"/>
  <c r="AD37" i="34"/>
  <c r="AE37" i="34"/>
  <c r="AF37" i="34"/>
  <c r="AG37" i="34"/>
  <c r="AH37" i="34"/>
  <c r="AI37" i="34"/>
  <c r="AJ37" i="34"/>
  <c r="AK37" i="34"/>
  <c r="AL37" i="34"/>
  <c r="AM37" i="34"/>
  <c r="AN37" i="34"/>
  <c r="AO37" i="34"/>
  <c r="AP37" i="34"/>
  <c r="AQ37" i="34"/>
  <c r="AR37" i="34"/>
  <c r="AA36" i="34"/>
  <c r="AB36" i="34"/>
  <c r="AC36" i="34"/>
  <c r="AD36" i="34"/>
  <c r="AE36" i="34"/>
  <c r="AF36" i="34"/>
  <c r="AG36" i="34"/>
  <c r="AH36" i="34"/>
  <c r="AI36" i="34"/>
  <c r="AJ36" i="34"/>
  <c r="AK36" i="34"/>
  <c r="AL36" i="34"/>
  <c r="AM36" i="34"/>
  <c r="AN36" i="34"/>
  <c r="AO36" i="34"/>
  <c r="AP36" i="34"/>
  <c r="AQ36" i="34"/>
  <c r="AR36" i="34"/>
  <c r="AA30" i="34"/>
  <c r="AB30" i="34"/>
  <c r="AC30" i="34"/>
  <c r="AD30" i="34"/>
  <c r="AE30" i="34"/>
  <c r="AF30" i="34"/>
  <c r="AG30" i="34"/>
  <c r="AH30" i="34"/>
  <c r="AI30" i="34"/>
  <c r="AJ30" i="34"/>
  <c r="AK30" i="34"/>
  <c r="AL30" i="34"/>
  <c r="AM30" i="34"/>
  <c r="AN30" i="34"/>
  <c r="AO30" i="34"/>
  <c r="AP30" i="34"/>
  <c r="AQ30" i="34"/>
  <c r="AR30" i="34"/>
  <c r="AA29" i="34"/>
  <c r="AB29" i="34"/>
  <c r="AC29" i="34"/>
  <c r="AD29" i="34"/>
  <c r="AE29" i="34"/>
  <c r="AF29" i="34"/>
  <c r="AG29" i="34"/>
  <c r="AH29" i="34"/>
  <c r="AI29" i="34"/>
  <c r="AJ29" i="34"/>
  <c r="AK29" i="34"/>
  <c r="AL29" i="34"/>
  <c r="AM29" i="34"/>
  <c r="AN29" i="34"/>
  <c r="AO29" i="34"/>
  <c r="AP29" i="34"/>
  <c r="AQ29" i="34"/>
  <c r="AR29" i="34"/>
  <c r="AA23" i="34"/>
  <c r="AB23" i="34"/>
  <c r="AC23" i="34"/>
  <c r="AD23" i="34"/>
  <c r="AE23" i="34"/>
  <c r="AF23" i="34"/>
  <c r="AG23" i="34"/>
  <c r="AH23" i="34"/>
  <c r="AI23" i="34"/>
  <c r="AJ23" i="34"/>
  <c r="AK23" i="34"/>
  <c r="AL23" i="34"/>
  <c r="AM23" i="34"/>
  <c r="AN23" i="34"/>
  <c r="AO23" i="34"/>
  <c r="AP23" i="34"/>
  <c r="AQ23" i="34"/>
  <c r="AR23" i="34"/>
  <c r="AA22" i="34"/>
  <c r="AB22" i="34"/>
  <c r="AC22" i="34"/>
  <c r="AD22" i="34"/>
  <c r="AE22" i="34"/>
  <c r="AF22" i="34"/>
  <c r="AG22" i="34"/>
  <c r="AH22" i="34"/>
  <c r="AI22" i="34"/>
  <c r="AJ22" i="34"/>
  <c r="AK22" i="34"/>
  <c r="AL22" i="34"/>
  <c r="AM22" i="34"/>
  <c r="AN22" i="34"/>
  <c r="AO22" i="34"/>
  <c r="AP22" i="34"/>
  <c r="AQ22" i="34"/>
  <c r="AR22" i="34"/>
  <c r="AA16" i="34"/>
  <c r="AB16" i="34"/>
  <c r="AC16" i="34"/>
  <c r="AD16" i="34"/>
  <c r="AE16" i="34"/>
  <c r="AF16" i="34"/>
  <c r="AG16" i="34"/>
  <c r="AH16" i="34"/>
  <c r="AI16" i="34"/>
  <c r="AJ16" i="34"/>
  <c r="AK16" i="34"/>
  <c r="AL16" i="34"/>
  <c r="AM16" i="34"/>
  <c r="AN16" i="34"/>
  <c r="AO16" i="34"/>
  <c r="AP16" i="34"/>
  <c r="AQ16" i="34"/>
  <c r="AR16" i="34"/>
  <c r="AA15" i="34"/>
  <c r="AB15" i="34"/>
  <c r="AC15" i="34"/>
  <c r="AD15" i="34"/>
  <c r="AE15" i="34"/>
  <c r="AF15" i="34"/>
  <c r="AG15" i="34"/>
  <c r="AH15" i="34"/>
  <c r="AI15" i="34"/>
  <c r="AJ15" i="34"/>
  <c r="AK15" i="34"/>
  <c r="AL15" i="34"/>
  <c r="AM15" i="34"/>
  <c r="AN15" i="34"/>
  <c r="AO15" i="34"/>
  <c r="AP15" i="34"/>
  <c r="AQ15" i="34"/>
  <c r="AR15" i="34"/>
  <c r="E51" i="34"/>
  <c r="F51" i="34"/>
  <c r="G51" i="34"/>
  <c r="H51" i="34"/>
  <c r="I51" i="34"/>
  <c r="J51" i="34"/>
  <c r="K51" i="34"/>
  <c r="L51" i="34"/>
  <c r="M51" i="34"/>
  <c r="N51" i="34"/>
  <c r="O51" i="34"/>
  <c r="P51" i="34"/>
  <c r="Q51" i="34"/>
  <c r="R51" i="34"/>
  <c r="S51" i="34"/>
  <c r="T51" i="34"/>
  <c r="U51" i="34"/>
  <c r="V51" i="34"/>
  <c r="E50" i="34"/>
  <c r="F50" i="34"/>
  <c r="G50" i="34"/>
  <c r="H50" i="34"/>
  <c r="I50" i="34"/>
  <c r="J50" i="34"/>
  <c r="K50" i="34"/>
  <c r="L50" i="34"/>
  <c r="M50" i="34"/>
  <c r="N50" i="34"/>
  <c r="O50" i="34"/>
  <c r="P50" i="34"/>
  <c r="Q50" i="34"/>
  <c r="R50" i="34"/>
  <c r="S50" i="34"/>
  <c r="T50" i="34"/>
  <c r="U50" i="34"/>
  <c r="V50" i="34"/>
  <c r="E44" i="34"/>
  <c r="F44" i="34"/>
  <c r="G44" i="34"/>
  <c r="H44" i="34"/>
  <c r="I44" i="34"/>
  <c r="J44" i="34"/>
  <c r="K44" i="34"/>
  <c r="L44" i="34"/>
  <c r="M44" i="34"/>
  <c r="N44" i="34"/>
  <c r="O44" i="34"/>
  <c r="P44" i="34"/>
  <c r="Q44" i="34"/>
  <c r="R44" i="34"/>
  <c r="S44" i="34"/>
  <c r="T44" i="34"/>
  <c r="U44" i="34"/>
  <c r="V44" i="34"/>
  <c r="E43" i="34"/>
  <c r="F43" i="34"/>
  <c r="G43" i="34"/>
  <c r="H43" i="34"/>
  <c r="I43" i="34"/>
  <c r="J43" i="34"/>
  <c r="K43" i="34"/>
  <c r="L43" i="34"/>
  <c r="M43" i="34"/>
  <c r="N43" i="34"/>
  <c r="O43" i="34"/>
  <c r="P43" i="34"/>
  <c r="Q43" i="34"/>
  <c r="R43" i="34"/>
  <c r="S43" i="34"/>
  <c r="T43" i="34"/>
  <c r="U43" i="34"/>
  <c r="V43" i="34"/>
  <c r="E37" i="34"/>
  <c r="F37" i="34"/>
  <c r="G37" i="34"/>
  <c r="H37" i="34"/>
  <c r="I37" i="34"/>
  <c r="J37" i="34"/>
  <c r="K37" i="34"/>
  <c r="L37" i="34"/>
  <c r="M37" i="34"/>
  <c r="N37" i="34"/>
  <c r="O37" i="34"/>
  <c r="P37" i="34"/>
  <c r="Q37" i="34"/>
  <c r="R37" i="34"/>
  <c r="S37" i="34"/>
  <c r="T37" i="34"/>
  <c r="U37" i="34"/>
  <c r="V37" i="34"/>
  <c r="E36" i="34"/>
  <c r="F36" i="34"/>
  <c r="G36" i="34"/>
  <c r="H36" i="34"/>
  <c r="I36" i="34"/>
  <c r="J36" i="34"/>
  <c r="K36" i="34"/>
  <c r="L36" i="34"/>
  <c r="M36" i="34"/>
  <c r="N36" i="34"/>
  <c r="O36" i="34"/>
  <c r="P36" i="34"/>
  <c r="Q36" i="34"/>
  <c r="R36" i="34"/>
  <c r="S36" i="34"/>
  <c r="T36" i="34"/>
  <c r="U36" i="34"/>
  <c r="V36" i="34"/>
  <c r="E30" i="34"/>
  <c r="F30" i="34"/>
  <c r="G30" i="34"/>
  <c r="H30" i="34"/>
  <c r="I30" i="34"/>
  <c r="J30" i="34"/>
  <c r="K30" i="34"/>
  <c r="L30" i="34"/>
  <c r="M30" i="34"/>
  <c r="N30" i="34"/>
  <c r="O30" i="34"/>
  <c r="P30" i="34"/>
  <c r="Q30" i="34"/>
  <c r="R30" i="34"/>
  <c r="S30" i="34"/>
  <c r="T30" i="34"/>
  <c r="U30" i="34"/>
  <c r="V30" i="34"/>
  <c r="E29" i="34"/>
  <c r="F29" i="34"/>
  <c r="G29" i="34"/>
  <c r="H29" i="34"/>
  <c r="I29" i="34"/>
  <c r="J29" i="34"/>
  <c r="K29" i="34"/>
  <c r="L29" i="34"/>
  <c r="M29" i="34"/>
  <c r="N29" i="34"/>
  <c r="O29" i="34"/>
  <c r="P29" i="34"/>
  <c r="Q29" i="34"/>
  <c r="R29" i="34"/>
  <c r="S29" i="34"/>
  <c r="T29" i="34"/>
  <c r="U29" i="34"/>
  <c r="V29" i="34"/>
  <c r="E23" i="34"/>
  <c r="F23" i="34"/>
  <c r="G23" i="34"/>
  <c r="H23" i="34"/>
  <c r="I23" i="34"/>
  <c r="J23" i="34"/>
  <c r="K23" i="34"/>
  <c r="L23" i="34"/>
  <c r="M23" i="34"/>
  <c r="N23" i="34"/>
  <c r="O23" i="34"/>
  <c r="P23" i="34"/>
  <c r="Q23" i="34"/>
  <c r="R23" i="34"/>
  <c r="S23" i="34"/>
  <c r="T23" i="34"/>
  <c r="U23" i="34"/>
  <c r="V23" i="34"/>
  <c r="E22" i="34"/>
  <c r="F22" i="34"/>
  <c r="G22" i="34"/>
  <c r="H22" i="34"/>
  <c r="I22" i="34"/>
  <c r="J22" i="34"/>
  <c r="K22" i="34"/>
  <c r="L22" i="34"/>
  <c r="M22" i="34"/>
  <c r="N22" i="34"/>
  <c r="O22" i="34"/>
  <c r="P22" i="34"/>
  <c r="Q22" i="34"/>
  <c r="R22" i="34"/>
  <c r="S22" i="34"/>
  <c r="T22" i="34"/>
  <c r="U22" i="34"/>
  <c r="V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<sst xmlns="http://schemas.openxmlformats.org/spreadsheetml/2006/main" count="1174" uniqueCount="360">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</sst>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
      <patternFill patternType="solid">
        <fgColor theme="1"/>
        <bgColor indexed="64"/>
      </patternFill>
    </fill>
  </fills>
  <borders count="140">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s>
  <cellStyleXfs count="4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90">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0" fontId="11" fillId="22" borderId="48" xfId="3" applyFont="1" applyFill="1" applyBorder="1" applyAlignment="1">
      <alignment horizontal="center"/>
    </xf>
    <xf numFmtId="0" fontId="31" fillId="22" borderId="81" xfId="0" applyFont="1" applyFill="1" applyBorder="1" applyAlignment="1">
      <alignment horizontal="left"/>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4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154160512"/>
        <c:axId val="154166784"/>
      </c:scatterChart>
      <c:valAx>
        <c:axId val="154160512"/>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54166784"/>
        <c:crosses val="autoZero"/>
        <c:crossBetween val="midCat"/>
      </c:valAx>
      <c:valAx>
        <c:axId val="15416678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54160512"/>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53991808"/>
        <c:axId val="153997696"/>
      </c:scatterChart>
      <c:valAx>
        <c:axId val="15399180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3997696"/>
        <c:crosses val="autoZero"/>
        <c:crossBetween val="midCat"/>
      </c:valAx>
      <c:valAx>
        <c:axId val="1539976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399180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57634944"/>
        <c:axId val="157636480"/>
      </c:scatterChart>
      <c:valAx>
        <c:axId val="15763494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7636480"/>
        <c:crosses val="autoZero"/>
        <c:crossBetween val="midCat"/>
      </c:valAx>
      <c:valAx>
        <c:axId val="15763648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76349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1501140</xdr:colOff>
          <xdr:row>6</xdr:row>
          <xdr:rowOff>53340</xdr:rowOff>
        </xdr:from>
        <xdr:to>
          <xdr:col>9</xdr:col>
          <xdr:colOff>60960</xdr:colOff>
          <xdr:row>7</xdr:row>
          <xdr:rowOff>99060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workbookViewId="0">
      <selection activeCell="C24" sqref="C24"/>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406"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10"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11" t="s">
        <v>69</v>
      </c>
      <c r="D11" s="241" t="s">
        <v>4</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12" t="s">
        <v>101</v>
      </c>
      <c r="D12" s="242">
        <v>2050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12" t="s">
        <v>153</v>
      </c>
      <c r="D13" s="287"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13"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13"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13" t="s">
        <v>65</v>
      </c>
      <c r="D16" s="242" t="s">
        <v>310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13"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14"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13" t="s">
        <v>66</v>
      </c>
      <c r="D19" s="242" t="s">
        <v>310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13"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14"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13" t="s">
        <v>183</v>
      </c>
      <c r="D22" s="242" t="s">
        <v>310</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14"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314"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557" t="s">
        <v>62</v>
      </c>
      <c r="D25" s="556"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313"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427"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8" thickBot="1" x14ac:dyDescent="0.4">
      <c r="A28" s="21"/>
      <c r="B28" s="21"/>
      <c r="C28" s="315" t="s">
        <v>298</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0.1</v>
      </c>
      <c r="F225" s="61"/>
      <c r="G225" s="61"/>
      <c r="H225" s="61"/>
      <c r="I225" s="61"/>
      <c r="J225" s="61" t="s">
        <v>310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0.2</v>
      </c>
      <c r="F226" s="61"/>
      <c r="G226" s="61"/>
      <c r="H226" s="61"/>
      <c r="I226" s="61"/>
      <c r="J226" s="61" t="s">
        <v>311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0.3</v>
      </c>
      <c r="F227" s="61"/>
      <c r="G227" s="61"/>
      <c r="H227" s="61"/>
      <c r="I227" s="61"/>
      <c r="J227" s="61" t="s">
        <v>312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5">
      <c r="A1243" s="1"/>
      <c r="C1243" s="1"/>
      <c r="D1243" s="1"/>
      <c r="E1243" s="1"/>
      <c r="G1243" s="33"/>
      <c r="H1243" s="33"/>
    </row>
    <row r="1244" spans="1:50" x14ac:dyDescent="0.35">
      <c r="A1244" s="1"/>
      <c r="E1244" s="1"/>
      <c r="G1244" s="33"/>
      <c r="H1244" s="33"/>
    </row>
    <row r="1245" spans="1:50" x14ac:dyDescent="0.35">
      <c r="A1245" s="1"/>
      <c r="E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opLeftCell="A4" zoomScale="70" zoomScaleNormal="70" zoomScalePageLayoutView="70" workbookViewId="0">
      <selection activeCell="Q10" sqref="Q10"/>
    </sheetView>
  </sheetViews>
  <sheetFormatPr defaultColWidth="9.109375" defaultRowHeight="15" x14ac:dyDescent="0.35"/>
  <cols>
    <col min="1" max="1" width="4.77734375" style="91" customWidth="1"/>
    <col min="2" max="2" width="23.44140625" style="91" customWidth="1"/>
    <col min="3" max="3" width="33.109375" style="91" customWidth="1"/>
    <col min="4" max="4" width="9.109375" style="91" bestFit="1" customWidth="1"/>
    <col min="5"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6.44140625" style="9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88"/>
      <c r="B2" s="88"/>
      <c r="C2" s="371" t="s">
        <v>109</v>
      </c>
      <c r="D2" s="89"/>
      <c r="E2" s="88"/>
      <c r="F2" s="88"/>
      <c r="G2" s="88"/>
      <c r="H2" s="88"/>
      <c r="I2" s="88"/>
      <c r="J2" s="88"/>
      <c r="K2" s="88"/>
      <c r="L2" s="88"/>
      <c r="M2" s="88"/>
      <c r="N2" s="88"/>
      <c r="O2" s="88"/>
      <c r="P2" s="88"/>
      <c r="Q2" s="88"/>
      <c r="R2" s="88"/>
      <c r="S2" s="88"/>
      <c r="T2" s="88"/>
      <c r="U2" s="88"/>
      <c r="V2" s="88"/>
      <c r="W2" s="530"/>
      <c r="X2" s="530"/>
      <c r="Y2" s="555"/>
      <c r="Z2" s="555"/>
      <c r="AA2" s="555"/>
      <c r="AB2" s="555"/>
      <c r="AC2" s="555"/>
      <c r="AD2" s="555"/>
      <c r="AE2" s="555"/>
      <c r="AF2" s="555"/>
      <c r="AG2" s="555"/>
      <c r="AH2" s="555"/>
      <c r="AI2" s="555"/>
      <c r="AJ2" s="555"/>
      <c r="AK2" s="555"/>
      <c r="AL2" s="555"/>
      <c r="AM2" s="555"/>
      <c r="AN2" s="555"/>
      <c r="AO2" s="555"/>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88"/>
      <c r="B3" s="88"/>
      <c r="C3" s="88"/>
      <c r="D3" s="88"/>
      <c r="E3" s="88"/>
      <c r="F3" s="88"/>
      <c r="G3" s="88"/>
      <c r="H3" s="88"/>
      <c r="I3" s="88"/>
      <c r="J3" s="88"/>
      <c r="K3" s="88"/>
      <c r="L3" s="88"/>
      <c r="M3" s="88"/>
      <c r="N3" s="88"/>
      <c r="O3" s="88"/>
      <c r="P3" s="88"/>
      <c r="Q3" s="88"/>
      <c r="R3" s="88"/>
      <c r="S3" s="88"/>
      <c r="T3" s="88"/>
      <c r="U3" s="88"/>
      <c r="V3" s="88"/>
      <c r="W3" s="530"/>
      <c r="X3" s="530"/>
      <c r="Y3" s="555"/>
      <c r="Z3" s="555"/>
      <c r="AA3" s="555"/>
      <c r="AB3" s="555"/>
      <c r="AC3" s="555"/>
      <c r="AD3" s="555"/>
      <c r="AE3" s="555"/>
      <c r="AF3" s="555"/>
      <c r="AG3" s="555"/>
      <c r="AH3" s="555"/>
      <c r="AI3" s="555"/>
      <c r="AJ3" s="555"/>
      <c r="AK3" s="555"/>
      <c r="AL3" s="555"/>
      <c r="AM3" s="555"/>
      <c r="AN3" s="555"/>
      <c r="AO3" s="555"/>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88"/>
      <c r="B4" s="254"/>
      <c r="C4" s="408"/>
      <c r="D4" s="409"/>
      <c r="E4" s="409"/>
      <c r="F4" s="410"/>
      <c r="G4" s="411" t="s">
        <v>296</v>
      </c>
      <c r="H4" s="410"/>
      <c r="I4" s="409"/>
      <c r="J4" s="412"/>
      <c r="K4" s="88"/>
      <c r="L4" s="88"/>
      <c r="M4" s="88"/>
      <c r="N4" s="88"/>
      <c r="O4" s="88"/>
      <c r="P4" s="88"/>
      <c r="Q4" s="88"/>
      <c r="R4" s="88"/>
      <c r="S4" s="88"/>
      <c r="T4" s="88"/>
      <c r="U4" s="88"/>
      <c r="V4" s="88"/>
      <c r="W4" s="530"/>
      <c r="X4" s="530"/>
      <c r="Y4" s="555"/>
      <c r="Z4" s="555"/>
      <c r="AA4" s="555"/>
      <c r="AB4" s="555"/>
      <c r="AC4" s="555"/>
      <c r="AD4" s="555"/>
      <c r="AE4" s="555"/>
      <c r="AF4" s="555"/>
      <c r="AG4" s="555"/>
      <c r="AH4" s="555"/>
      <c r="AI4" s="555"/>
      <c r="AJ4" s="555"/>
      <c r="AK4" s="555"/>
      <c r="AL4" s="555"/>
      <c r="AM4" s="555"/>
      <c r="AN4" s="555"/>
      <c r="AO4" s="555"/>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88"/>
      <c r="B5" s="254"/>
      <c r="C5" s="423" t="s">
        <v>160</v>
      </c>
      <c r="D5" s="421">
        <v>0.03</v>
      </c>
      <c r="E5" s="413" t="s">
        <v>161</v>
      </c>
      <c r="F5" s="414"/>
      <c r="G5" s="415" t="s">
        <v>293</v>
      </c>
      <c r="H5" s="414"/>
      <c r="I5" s="420" t="s">
        <v>297</v>
      </c>
      <c r="J5" s="416"/>
      <c r="K5" s="88"/>
      <c r="L5" s="88"/>
      <c r="M5" s="88"/>
      <c r="N5" s="88"/>
      <c r="O5" s="88"/>
      <c r="P5" s="88"/>
      <c r="Q5" s="88"/>
      <c r="R5" s="88"/>
      <c r="S5" s="88"/>
      <c r="T5" s="88"/>
      <c r="U5" s="88"/>
      <c r="V5" s="88"/>
      <c r="W5" s="530"/>
      <c r="X5" s="530"/>
      <c r="Y5" s="555"/>
      <c r="Z5" s="555"/>
      <c r="AA5" s="555"/>
      <c r="AB5" s="555"/>
      <c r="AC5" s="555"/>
      <c r="AD5" s="555"/>
      <c r="AE5" s="555"/>
      <c r="AF5" s="555"/>
      <c r="AG5" s="555"/>
      <c r="AH5" s="555"/>
      <c r="AI5" s="555"/>
      <c r="AJ5" s="555"/>
      <c r="AK5" s="555"/>
      <c r="AL5" s="555"/>
      <c r="AM5" s="555"/>
      <c r="AN5" s="555"/>
      <c r="AO5" s="555"/>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88"/>
      <c r="B6" s="422"/>
      <c r="C6" s="424"/>
      <c r="D6" s="421">
        <v>1.2999999999999999E-2</v>
      </c>
      <c r="E6" s="413" t="s">
        <v>161</v>
      </c>
      <c r="F6" s="414"/>
      <c r="G6" s="415" t="s">
        <v>294</v>
      </c>
      <c r="H6" s="417"/>
      <c r="I6" s="426" t="s">
        <v>359</v>
      </c>
      <c r="J6" s="416"/>
      <c r="K6" s="88"/>
      <c r="L6" s="88"/>
      <c r="M6" s="88"/>
      <c r="N6" s="88"/>
      <c r="O6" s="88"/>
      <c r="P6" s="88"/>
      <c r="Q6" s="88"/>
      <c r="R6" s="88"/>
      <c r="S6" s="88"/>
      <c r="T6" s="88"/>
      <c r="U6" s="88"/>
      <c r="V6" s="88"/>
      <c r="W6" s="530"/>
      <c r="X6" s="530"/>
      <c r="Y6" s="555"/>
      <c r="Z6" s="555"/>
      <c r="AA6" s="555"/>
      <c r="AB6" s="555"/>
      <c r="AC6" s="555"/>
      <c r="AD6" s="555"/>
      <c r="AE6" s="555"/>
      <c r="AF6" s="555"/>
      <c r="AG6" s="555"/>
      <c r="AH6" s="555"/>
      <c r="AI6" s="555"/>
      <c r="AJ6" s="555"/>
      <c r="AK6" s="555"/>
      <c r="AL6" s="555"/>
      <c r="AM6" s="555"/>
      <c r="AN6" s="555"/>
      <c r="AO6" s="555"/>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88"/>
      <c r="B7" s="422"/>
      <c r="C7" s="424"/>
      <c r="D7" s="421">
        <v>7.0000000000000001E-3</v>
      </c>
      <c r="E7" s="413" t="s">
        <v>161</v>
      </c>
      <c r="F7" s="417"/>
      <c r="G7" s="415" t="s">
        <v>295</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4">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x14ac:dyDescent="0.35">
      <c r="A11" s="100"/>
      <c r="B11" s="553"/>
      <c r="C11" s="554">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54">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x14ac:dyDescent="0.35">
      <c r="A12" s="100"/>
      <c r="B12" s="255"/>
      <c r="C12" s="256" t="s">
        <v>110</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110</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x14ac:dyDescent="0.4">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x14ac:dyDescent="0.4">
      <c r="A14" s="100"/>
      <c r="B14" s="259" t="s">
        <v>157</v>
      </c>
      <c r="C14" s="258" t="s">
        <v>162</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157</v>
      </c>
      <c r="Y14" s="258" t="s">
        <v>162</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x14ac:dyDescent="0.35">
      <c r="A15" s="100"/>
      <c r="B15" s="261"/>
      <c r="C15" s="258" t="s">
        <v>111</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111</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x14ac:dyDescent="0.4">
      <c r="A16" s="88"/>
      <c r="B16" s="129"/>
      <c r="C16" s="262" t="s">
        <v>194</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194</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6" thickBot="1" x14ac:dyDescent="0.4">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6.2" x14ac:dyDescent="0.35">
      <c r="A18" s="88"/>
      <c r="B18" s="254"/>
      <c r="C18" s="554">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54">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6.2" x14ac:dyDescent="0.35">
      <c r="A19" s="88"/>
      <c r="B19" s="255"/>
      <c r="C19" s="256" t="s">
        <v>110</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110</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21" x14ac:dyDescent="0.4">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21" x14ac:dyDescent="0.4">
      <c r="A21" s="88"/>
      <c r="B21" s="259" t="s">
        <v>157</v>
      </c>
      <c r="C21" s="258" t="s">
        <v>162</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157</v>
      </c>
      <c r="Y21" s="258" t="s">
        <v>162</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6.2" x14ac:dyDescent="0.35">
      <c r="A22" s="88"/>
      <c r="B22" s="261"/>
      <c r="C22" s="258" t="s">
        <v>111</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111</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6" thickBot="1" x14ac:dyDescent="0.4">
      <c r="A23" s="88"/>
      <c r="B23" s="129"/>
      <c r="C23" s="262" t="s">
        <v>194</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194</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6" thickBot="1" x14ac:dyDescent="0.4">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6.2" x14ac:dyDescent="0.35">
      <c r="A25" s="88"/>
      <c r="B25" s="254"/>
      <c r="C25" s="554">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54">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6.2" x14ac:dyDescent="0.35">
      <c r="A26" s="88"/>
      <c r="B26" s="255"/>
      <c r="C26" s="256" t="s">
        <v>110</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110</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21" x14ac:dyDescent="0.4">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21" x14ac:dyDescent="0.4">
      <c r="A28" s="88"/>
      <c r="B28" s="259" t="s">
        <v>157</v>
      </c>
      <c r="C28" s="258" t="s">
        <v>162</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157</v>
      </c>
      <c r="Y28" s="258" t="s">
        <v>162</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6.2" x14ac:dyDescent="0.35">
      <c r="A29" s="88"/>
      <c r="B29" s="261"/>
      <c r="C29" s="258" t="s">
        <v>111</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111</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6" thickBot="1" x14ac:dyDescent="0.4">
      <c r="A30" s="88"/>
      <c r="B30" s="129"/>
      <c r="C30" s="262" t="s">
        <v>194</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194</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6" thickBot="1" x14ac:dyDescent="0.4">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6.2" x14ac:dyDescent="0.35">
      <c r="A32" s="88"/>
      <c r="B32" s="254"/>
      <c r="C32" s="554">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54">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6.2" x14ac:dyDescent="0.35">
      <c r="A33" s="88"/>
      <c r="B33" s="255"/>
      <c r="C33" s="256" t="s">
        <v>110</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110</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21" x14ac:dyDescent="0.4">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21" x14ac:dyDescent="0.4">
      <c r="A35" s="88"/>
      <c r="B35" s="259" t="s">
        <v>157</v>
      </c>
      <c r="C35" s="258" t="s">
        <v>162</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157</v>
      </c>
      <c r="Y35" s="258" t="s">
        <v>162</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6.2" x14ac:dyDescent="0.35">
      <c r="A36" s="88"/>
      <c r="B36" s="261"/>
      <c r="C36" s="258" t="s">
        <v>111</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111</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6" thickBot="1" x14ac:dyDescent="0.4">
      <c r="A37" s="88"/>
      <c r="B37" s="129"/>
      <c r="C37" s="262" t="s">
        <v>194</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194</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6" thickBot="1" x14ac:dyDescent="0.4">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6.2" x14ac:dyDescent="0.35">
      <c r="A39" s="88"/>
      <c r="B39" s="254"/>
      <c r="C39" s="554">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54">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6.2" x14ac:dyDescent="0.35">
      <c r="A40" s="88"/>
      <c r="B40" s="255"/>
      <c r="C40" s="256" t="s">
        <v>110</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110</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21" x14ac:dyDescent="0.4">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21" x14ac:dyDescent="0.4">
      <c r="A42" s="88"/>
      <c r="B42" s="259" t="s">
        <v>157</v>
      </c>
      <c r="C42" s="258" t="s">
        <v>162</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157</v>
      </c>
      <c r="Y42" s="258" t="s">
        <v>162</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6.2" x14ac:dyDescent="0.35">
      <c r="A43" s="88"/>
      <c r="B43" s="261"/>
      <c r="C43" s="258" t="s">
        <v>111</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111</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6" thickBot="1" x14ac:dyDescent="0.4">
      <c r="A44" s="88"/>
      <c r="B44" s="129"/>
      <c r="C44" s="262" t="s">
        <v>194</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194</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6" thickBot="1" x14ac:dyDescent="0.4">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x14ac:dyDescent="0.35">
      <c r="A46" s="88"/>
      <c r="B46" s="254"/>
      <c r="C46" s="554">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58" t="s">
        <v>285</v>
      </c>
      <c r="Y46" s="558"/>
      <c r="Z46" s="558"/>
      <c r="AA46" s="558"/>
      <c r="AB46" s="558"/>
      <c r="AC46" s="558"/>
      <c r="AD46" s="558"/>
      <c r="AE46" s="558"/>
      <c r="AF46" s="558"/>
      <c r="AG46" s="558"/>
      <c r="AH46" s="558"/>
      <c r="AI46" s="558"/>
      <c r="AJ46" s="558"/>
      <c r="AK46" s="558"/>
      <c r="AL46" s="558"/>
      <c r="AM46" s="558"/>
      <c r="AN46" s="558"/>
      <c r="AO46" s="558"/>
      <c r="AP46" s="558"/>
      <c r="AQ46" s="558"/>
      <c r="AR46" s="558"/>
      <c r="AS46" s="89"/>
      <c r="AT46" s="93"/>
      <c r="AU46" s="94"/>
      <c r="AV46" s="95"/>
      <c r="AW46" s="94"/>
      <c r="AX46" s="96"/>
      <c r="AY46" s="94"/>
      <c r="AZ46" s="95"/>
      <c r="BA46" s="96"/>
      <c r="BB46" s="93"/>
      <c r="BC46" s="89"/>
      <c r="BD46" s="89"/>
      <c r="BE46" s="89"/>
      <c r="BF46" s="89"/>
      <c r="BG46" s="89"/>
      <c r="BH46" s="89"/>
      <c r="BI46" s="89"/>
      <c r="BJ46" s="89"/>
    </row>
    <row r="47" spans="1:62" ht="16.2" x14ac:dyDescent="0.35">
      <c r="A47" s="88"/>
      <c r="B47" s="255"/>
      <c r="C47" s="256" t="s">
        <v>110</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58"/>
      <c r="Y47" s="558"/>
      <c r="Z47" s="558"/>
      <c r="AA47" s="558"/>
      <c r="AB47" s="558"/>
      <c r="AC47" s="558"/>
      <c r="AD47" s="558"/>
      <c r="AE47" s="558"/>
      <c r="AF47" s="558"/>
      <c r="AG47" s="558"/>
      <c r="AH47" s="558"/>
      <c r="AI47" s="558"/>
      <c r="AJ47" s="558"/>
      <c r="AK47" s="558"/>
      <c r="AL47" s="558"/>
      <c r="AM47" s="558"/>
      <c r="AN47" s="558"/>
      <c r="AO47" s="558"/>
      <c r="AP47" s="558"/>
      <c r="AQ47" s="558"/>
      <c r="AR47" s="558"/>
      <c r="AS47" s="89"/>
      <c r="AT47" s="93"/>
      <c r="AU47" s="94"/>
      <c r="AV47" s="95"/>
      <c r="AW47" s="94"/>
      <c r="AX47" s="96"/>
      <c r="AY47" s="94"/>
      <c r="AZ47" s="95"/>
      <c r="BA47" s="96"/>
      <c r="BB47" s="93"/>
      <c r="BC47" s="89"/>
      <c r="BD47" s="89"/>
      <c r="BE47" s="89"/>
      <c r="BF47" s="89"/>
      <c r="BG47" s="89"/>
      <c r="BH47" s="89"/>
      <c r="BI47" s="89"/>
      <c r="BJ47" s="89"/>
    </row>
    <row r="48" spans="1:62" ht="21" x14ac:dyDescent="0.4">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58"/>
      <c r="Y48" s="558"/>
      <c r="Z48" s="558"/>
      <c r="AA48" s="558"/>
      <c r="AB48" s="558"/>
      <c r="AC48" s="558"/>
      <c r="AD48" s="558"/>
      <c r="AE48" s="558"/>
      <c r="AF48" s="558"/>
      <c r="AG48" s="558"/>
      <c r="AH48" s="558"/>
      <c r="AI48" s="558"/>
      <c r="AJ48" s="558"/>
      <c r="AK48" s="558"/>
      <c r="AL48" s="558"/>
      <c r="AM48" s="558"/>
      <c r="AN48" s="558"/>
      <c r="AO48" s="558"/>
      <c r="AP48" s="558"/>
      <c r="AQ48" s="558"/>
      <c r="AR48" s="558"/>
      <c r="AS48" s="89"/>
      <c r="AT48" s="93"/>
      <c r="AU48" s="94"/>
      <c r="AV48" s="95"/>
      <c r="AW48" s="94"/>
      <c r="AX48" s="96"/>
      <c r="AY48" s="94"/>
      <c r="AZ48" s="97"/>
      <c r="BA48" s="96"/>
      <c r="BB48" s="93"/>
      <c r="BC48" s="89"/>
      <c r="BD48" s="89"/>
      <c r="BE48" s="89"/>
      <c r="BF48" s="89"/>
      <c r="BG48" s="89"/>
      <c r="BH48" s="89"/>
      <c r="BI48" s="89"/>
      <c r="BJ48" s="89"/>
    </row>
    <row r="49" spans="1:62" ht="21" x14ac:dyDescent="0.4">
      <c r="A49" s="88"/>
      <c r="B49" s="259" t="s">
        <v>157</v>
      </c>
      <c r="C49" s="258" t="s">
        <v>162</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58"/>
      <c r="Y49" s="558"/>
      <c r="Z49" s="558"/>
      <c r="AA49" s="558"/>
      <c r="AB49" s="558"/>
      <c r="AC49" s="558"/>
      <c r="AD49" s="558"/>
      <c r="AE49" s="558"/>
      <c r="AF49" s="558"/>
      <c r="AG49" s="558"/>
      <c r="AH49" s="558"/>
      <c r="AI49" s="558"/>
      <c r="AJ49" s="558"/>
      <c r="AK49" s="558"/>
      <c r="AL49" s="558"/>
      <c r="AM49" s="558"/>
      <c r="AN49" s="558"/>
      <c r="AO49" s="558"/>
      <c r="AP49" s="558"/>
      <c r="AQ49" s="558"/>
      <c r="AR49" s="558"/>
      <c r="AS49" s="89"/>
      <c r="AT49" s="93"/>
      <c r="AU49" s="94"/>
      <c r="AV49" s="95"/>
      <c r="AW49" s="94"/>
      <c r="AX49" s="96"/>
      <c r="AY49" s="94"/>
      <c r="AZ49" s="97"/>
      <c r="BA49" s="96"/>
      <c r="BB49" s="93"/>
      <c r="BC49" s="89"/>
      <c r="BD49" s="89"/>
      <c r="BE49" s="89"/>
      <c r="BF49" s="89"/>
      <c r="BG49" s="89"/>
      <c r="BH49" s="89"/>
      <c r="BI49" s="89"/>
      <c r="BJ49" s="89"/>
    </row>
    <row r="50" spans="1:62" ht="16.2" x14ac:dyDescent="0.35">
      <c r="A50" s="88"/>
      <c r="B50" s="261"/>
      <c r="C50" s="258" t="s">
        <v>111</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58"/>
      <c r="Y50" s="558"/>
      <c r="Z50" s="558"/>
      <c r="AA50" s="558"/>
      <c r="AB50" s="558"/>
      <c r="AC50" s="558"/>
      <c r="AD50" s="558"/>
      <c r="AE50" s="558"/>
      <c r="AF50" s="558"/>
      <c r="AG50" s="558"/>
      <c r="AH50" s="558"/>
      <c r="AI50" s="558"/>
      <c r="AJ50" s="558"/>
      <c r="AK50" s="558"/>
      <c r="AL50" s="558"/>
      <c r="AM50" s="558"/>
      <c r="AN50" s="558"/>
      <c r="AO50" s="558"/>
      <c r="AP50" s="558"/>
      <c r="AQ50" s="558"/>
      <c r="AR50" s="558"/>
      <c r="AS50" s="89"/>
      <c r="AT50" s="93"/>
      <c r="AU50" s="94"/>
      <c r="AV50" s="95"/>
      <c r="AW50" s="94"/>
      <c r="AX50" s="96"/>
      <c r="AY50" s="94"/>
      <c r="AZ50" s="95"/>
      <c r="BA50" s="96"/>
      <c r="BB50" s="93"/>
      <c r="BC50" s="89"/>
      <c r="BD50" s="89"/>
      <c r="BE50" s="89"/>
      <c r="BF50" s="89"/>
      <c r="BG50" s="89"/>
      <c r="BH50" s="89"/>
      <c r="BI50" s="89"/>
      <c r="BJ50" s="89"/>
    </row>
    <row r="51" spans="1:62" ht="15.6" thickBot="1" x14ac:dyDescent="0.4">
      <c r="A51" s="88"/>
      <c r="B51" s="129"/>
      <c r="C51" s="262" t="s">
        <v>194</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58"/>
      <c r="Y51" s="558"/>
      <c r="Z51" s="558"/>
      <c r="AA51" s="558"/>
      <c r="AB51" s="558"/>
      <c r="AC51" s="558"/>
      <c r="AD51" s="558"/>
      <c r="AE51" s="558"/>
      <c r="AF51" s="558"/>
      <c r="AG51" s="558"/>
      <c r="AH51" s="558"/>
      <c r="AI51" s="558"/>
      <c r="AJ51" s="558"/>
      <c r="AK51" s="558"/>
      <c r="AL51" s="558"/>
      <c r="AM51" s="558"/>
      <c r="AN51" s="558"/>
      <c r="AO51" s="558"/>
      <c r="AP51" s="558"/>
      <c r="AQ51" s="558"/>
      <c r="AR51" s="558"/>
      <c r="AS51" s="89"/>
      <c r="AT51" s="93"/>
      <c r="AU51" s="94"/>
      <c r="AV51" s="95"/>
      <c r="AW51" s="94"/>
      <c r="AX51" s="96"/>
      <c r="AY51" s="94"/>
      <c r="AZ51" s="95"/>
      <c r="BA51" s="96"/>
      <c r="BB51" s="93"/>
      <c r="BC51" s="89"/>
      <c r="BD51" s="89"/>
      <c r="BE51" s="89"/>
      <c r="BF51" s="89"/>
      <c r="BG51" s="89"/>
      <c r="BH51" s="89"/>
      <c r="BI51" s="89"/>
      <c r="BJ51" s="89"/>
    </row>
    <row r="52" spans="1:62" x14ac:dyDescent="0.35">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5">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5">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5">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1501140</xdr:colOff>
                    <xdr:row>6</xdr:row>
                    <xdr:rowOff>53340</xdr:rowOff>
                  </from>
                  <to>
                    <xdr:col>9</xdr:col>
                    <xdr:colOff>60960</xdr:colOff>
                    <xdr:row>7</xdr:row>
                    <xdr:rowOff>99060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zoomScalePageLayoutView="145" workbookViewId="0">
      <selection activeCell="F67" sqref="F67"/>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3" width="5.44140625" style="91" customWidth="1"/>
    <col min="34" max="44" width="9.44140625" style="91" bestFit="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5">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4">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4">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x14ac:dyDescent="0.35">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4">
      <c r="A6" s="100"/>
      <c r="B6" s="101"/>
      <c r="C6" s="100"/>
      <c r="D6" s="164" t="s">
        <v>138</v>
      </c>
      <c r="E6" s="88"/>
      <c r="F6" s="88"/>
      <c r="G6" s="88"/>
      <c r="H6" s="88"/>
      <c r="I6" s="88"/>
      <c r="J6" s="88"/>
      <c r="K6" s="88"/>
      <c r="L6" s="88"/>
      <c r="M6" s="88"/>
      <c r="N6" s="88"/>
      <c r="O6" s="88"/>
      <c r="P6" s="88"/>
      <c r="Q6" s="88"/>
      <c r="R6" s="88"/>
      <c r="S6" s="88"/>
      <c r="T6" s="88"/>
      <c r="U6" s="88"/>
      <c r="V6" s="88"/>
      <c r="W6" s="88"/>
      <c r="X6" s="164" t="s">
        <v>206</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4">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207</v>
      </c>
      <c r="Y7" s="336" t="s">
        <v>208</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4">
      <c r="A8" s="100"/>
      <c r="B8" s="275" t="s">
        <v>173</v>
      </c>
      <c r="C8" s="281"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302</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x14ac:dyDescent="0.35">
      <c r="A9" s="100"/>
      <c r="B9" s="275" t="s">
        <v>114</v>
      </c>
      <c r="C9" s="281"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303</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6.2" x14ac:dyDescent="0.35">
      <c r="A10" s="100"/>
      <c r="B10" s="277" t="s">
        <v>133</v>
      </c>
      <c r="C10" s="282"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304</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6.2" x14ac:dyDescent="0.35">
      <c r="A11" s="100"/>
      <c r="B11" s="277" t="s">
        <v>132</v>
      </c>
      <c r="C11" s="282"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305</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6.2" x14ac:dyDescent="0.35">
      <c r="A12" s="100"/>
      <c r="B12" s="277" t="s">
        <v>134</v>
      </c>
      <c r="C12" s="282"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306</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6.2" x14ac:dyDescent="0.35">
      <c r="A13" s="100"/>
      <c r="B13" s="277" t="s">
        <v>135</v>
      </c>
      <c r="C13" s="282"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307</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6.2" x14ac:dyDescent="0.35">
      <c r="A14" s="100"/>
      <c r="B14" s="277" t="s">
        <v>174</v>
      </c>
      <c r="C14" s="282"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308</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8" thickBot="1" x14ac:dyDescent="0.4">
      <c r="A15" s="100"/>
      <c r="B15" s="277" t="s">
        <v>136</v>
      </c>
      <c r="C15" s="282"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309</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x14ac:dyDescent="0.35">
      <c r="A16" s="100"/>
      <c r="B16" s="277" t="s">
        <v>175</v>
      </c>
      <c r="C16" s="282"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8" x14ac:dyDescent="0.35">
      <c r="A17" s="100"/>
      <c r="B17" s="277" t="s">
        <v>176</v>
      </c>
      <c r="C17" s="282"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286</v>
      </c>
      <c r="Y17" s="398"/>
      <c r="Z17" s="398"/>
      <c r="AA17" s="398"/>
      <c r="AB17" s="399"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8" thickBot="1" x14ac:dyDescent="0.4">
      <c r="A18" s="88"/>
      <c r="B18" s="278" t="s">
        <v>177</v>
      </c>
      <c r="C18" s="283" t="s">
        <v>139</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5">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5">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4">
      <c r="A22" s="163"/>
      <c r="B22" s="355"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4">
      <c r="A23" s="163"/>
      <c r="B23" s="187"/>
      <c r="C23" s="296"/>
      <c r="D23" s="297" t="s">
        <v>164</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3.6" thickBot="1" x14ac:dyDescent="0.4">
      <c r="A24" s="163"/>
      <c r="B24" s="300" t="s">
        <v>137</v>
      </c>
      <c r="C24" s="301">
        <v>1</v>
      </c>
      <c r="D24" s="302">
        <v>2</v>
      </c>
      <c r="E24" s="302">
        <v>3</v>
      </c>
      <c r="F24" s="302">
        <v>4</v>
      </c>
      <c r="G24" s="302">
        <v>5</v>
      </c>
      <c r="H24" s="302">
        <v>6</v>
      </c>
      <c r="I24" s="302">
        <v>7</v>
      </c>
      <c r="J24" s="303">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6" thickTop="1" x14ac:dyDescent="0.35">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5">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5">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5">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5">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5">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5">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5">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5">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5">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6" thickBot="1" x14ac:dyDescent="0.4">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4">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6" thickBot="1" x14ac:dyDescent="0.4">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399999999999999" thickTop="1" thickBot="1" x14ac:dyDescent="0.4">
      <c r="A47" s="163"/>
      <c r="B47" s="88"/>
      <c r="C47" s="385" t="s">
        <v>173</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8" thickTop="1" x14ac:dyDescent="0.35">
      <c r="A48" s="163"/>
      <c r="B48" s="88"/>
      <c r="C48" s="385" t="s">
        <v>114</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2" x14ac:dyDescent="0.35">
      <c r="A49" s="88"/>
      <c r="B49" s="88"/>
      <c r="C49" s="388" t="s">
        <v>133</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2" x14ac:dyDescent="0.35">
      <c r="A50" s="88"/>
      <c r="B50" s="88"/>
      <c r="C50" s="388" t="s">
        <v>132</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2" x14ac:dyDescent="0.35">
      <c r="A51" s="88"/>
      <c r="B51" s="88"/>
      <c r="C51" s="388" t="s">
        <v>134</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2" x14ac:dyDescent="0.35">
      <c r="A52" s="88"/>
      <c r="B52" s="88"/>
      <c r="C52" s="388" t="s">
        <v>135</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2" x14ac:dyDescent="0.35">
      <c r="A53" s="88"/>
      <c r="B53" s="88"/>
      <c r="C53" s="388" t="s">
        <v>174</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2" x14ac:dyDescent="0.35">
      <c r="A54" s="88"/>
      <c r="B54" s="88"/>
      <c r="C54" s="388" t="s">
        <v>136</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2" x14ac:dyDescent="0.35">
      <c r="A55" s="88"/>
      <c r="B55" s="88"/>
      <c r="C55" s="388" t="s">
        <v>175</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2" x14ac:dyDescent="0.35">
      <c r="A56" s="88"/>
      <c r="B56" s="88"/>
      <c r="C56" s="388" t="s">
        <v>176</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8" thickBot="1" x14ac:dyDescent="0.4">
      <c r="A57" s="88"/>
      <c r="B57" s="88"/>
      <c r="C57" s="390" t="s">
        <v>177</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20.399999999999999" x14ac:dyDescent="0.35">
      <c r="A60" s="88"/>
      <c r="B60" s="164" t="s">
        <v>352</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6" thickBot="1" x14ac:dyDescent="0.4">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3.95" customHeight="1" x14ac:dyDescent="0.35">
      <c r="A62" s="88"/>
      <c r="B62" s="202"/>
      <c r="C62" s="559" t="s">
        <v>354</v>
      </c>
      <c r="D62" s="560"/>
      <c r="E62" s="560" t="s">
        <v>355</v>
      </c>
      <c r="F62" s="561"/>
      <c r="G62" s="530"/>
      <c r="H62" s="562" t="s">
        <v>353</v>
      </c>
      <c r="I62" s="562"/>
      <c r="J62" s="562"/>
      <c r="K62" s="562"/>
      <c r="L62" s="562"/>
      <c r="M62" s="562"/>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x14ac:dyDescent="0.4">
      <c r="A63" s="88"/>
      <c r="B63" s="88"/>
      <c r="C63" s="542" t="s">
        <v>356</v>
      </c>
      <c r="D63" s="543" t="s">
        <v>357</v>
      </c>
      <c r="E63" s="542" t="s">
        <v>356</v>
      </c>
      <c r="F63" s="544" t="s">
        <v>357</v>
      </c>
      <c r="G63" s="202"/>
      <c r="H63" s="562"/>
      <c r="I63" s="562"/>
      <c r="J63" s="562"/>
      <c r="K63" s="562"/>
      <c r="L63" s="562"/>
      <c r="M63" s="562"/>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6.2" x14ac:dyDescent="0.35">
      <c r="A64" s="88"/>
      <c r="B64" s="537" t="s">
        <v>125</v>
      </c>
      <c r="C64" s="539">
        <v>0.85</v>
      </c>
      <c r="D64" s="540">
        <v>1.1499999999999999</v>
      </c>
      <c r="E64" s="540">
        <v>0.5</v>
      </c>
      <c r="F64" s="541">
        <v>1</v>
      </c>
      <c r="G64" s="202"/>
      <c r="H64" s="562"/>
      <c r="I64" s="562"/>
      <c r="J64" s="562"/>
      <c r="K64" s="562"/>
      <c r="L64" s="562"/>
      <c r="M64" s="562"/>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6.2" x14ac:dyDescent="0.35">
      <c r="A65" s="88"/>
      <c r="B65" s="427" t="s">
        <v>126</v>
      </c>
      <c r="C65" s="531">
        <v>0.25</v>
      </c>
      <c r="D65" s="532">
        <v>1.1499999999999999</v>
      </c>
      <c r="E65" s="532">
        <v>0.1</v>
      </c>
      <c r="F65" s="533">
        <v>1</v>
      </c>
      <c r="G65" s="202"/>
      <c r="H65" s="562"/>
      <c r="I65" s="562"/>
      <c r="J65" s="562"/>
      <c r="K65" s="562"/>
      <c r="L65" s="562"/>
      <c r="M65" s="562"/>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8" thickBot="1" x14ac:dyDescent="0.4">
      <c r="A66" s="88"/>
      <c r="B66" s="538" t="s">
        <v>127</v>
      </c>
      <c r="C66" s="534">
        <v>0.25</v>
      </c>
      <c r="D66" s="535">
        <v>1.1499999999999999</v>
      </c>
      <c r="E66" s="535">
        <v>0.1</v>
      </c>
      <c r="F66" s="536">
        <v>1</v>
      </c>
      <c r="G66" s="202"/>
      <c r="H66" s="562"/>
      <c r="I66" s="562"/>
      <c r="J66" s="562"/>
      <c r="K66" s="562"/>
      <c r="L66" s="562"/>
      <c r="M66" s="562"/>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5">
      <c r="A67" s="378"/>
      <c r="B67" s="378"/>
      <c r="C67" s="378"/>
      <c r="D67" s="378"/>
      <c r="E67" s="378"/>
      <c r="F67" s="202"/>
      <c r="G67" s="202"/>
      <c r="H67" s="562"/>
      <c r="I67" s="562"/>
      <c r="J67" s="562"/>
      <c r="K67" s="562"/>
      <c r="L67" s="562"/>
      <c r="M67" s="562"/>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5">
      <c r="A68" s="378"/>
      <c r="B68" s="378"/>
      <c r="C68" s="378"/>
      <c r="D68" s="378"/>
      <c r="E68" s="378"/>
      <c r="F68" s="202"/>
      <c r="G68" s="202"/>
      <c r="H68" s="562"/>
      <c r="I68" s="562"/>
      <c r="J68" s="562"/>
      <c r="K68" s="562"/>
      <c r="L68" s="562"/>
      <c r="M68" s="562"/>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5">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5">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5">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5">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5">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5">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5">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30" sqref="E30"/>
    </sheetView>
  </sheetViews>
  <sheetFormatPr defaultColWidth="9.109375" defaultRowHeight="15" x14ac:dyDescent="0.35"/>
  <cols>
    <col min="1" max="2" width="4.44140625" style="1" customWidth="1"/>
    <col min="3" max="3" width="21.33203125" style="1" customWidth="1"/>
    <col min="4" max="4" width="21"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72" t="s">
        <v>53</v>
      </c>
      <c r="D9" s="573"/>
      <c r="E9" s="380" t="s">
        <v>168</v>
      </c>
      <c r="F9" s="228" t="s">
        <v>169</v>
      </c>
      <c r="G9" s="158"/>
      <c r="H9" s="332"/>
      <c r="I9" s="332"/>
      <c r="J9" s="563" t="s">
        <v>148</v>
      </c>
      <c r="K9" s="564"/>
      <c r="L9" s="565"/>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4" t="s">
        <v>143</v>
      </c>
      <c r="D10" s="224"/>
      <c r="E10" s="381">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4" t="s">
        <v>144</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4" t="s">
        <v>145</v>
      </c>
      <c r="D12" s="224"/>
      <c r="E12" s="382">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4" t="s">
        <v>146</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8"/>
      <c r="C17" s="574" t="s">
        <v>54</v>
      </c>
      <c r="D17" s="575"/>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8"/>
      <c r="C20" s="226" t="s">
        <v>145</v>
      </c>
      <c r="D20" s="227"/>
      <c r="E20" s="230">
        <v>0.4</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7"/>
      <c r="C26" s="576" t="s">
        <v>149</v>
      </c>
      <c r="D26" s="577"/>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6" t="s">
        <v>145</v>
      </c>
      <c r="D29" s="227"/>
      <c r="E29" s="230">
        <v>0.4</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22"/>
      <c r="D35" s="566" t="s">
        <v>125</v>
      </c>
      <c r="E35" s="567"/>
      <c r="F35" s="568" t="s">
        <v>126</v>
      </c>
      <c r="G35" s="569"/>
      <c r="H35" s="570" t="s">
        <v>127</v>
      </c>
      <c r="I35" s="57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23" t="s">
        <v>2</v>
      </c>
      <c r="D36" s="324" t="s">
        <v>192</v>
      </c>
      <c r="E36" s="324" t="s">
        <v>193</v>
      </c>
      <c r="F36" s="324" t="s">
        <v>192</v>
      </c>
      <c r="G36" s="324" t="s">
        <v>193</v>
      </c>
      <c r="H36" s="324" t="s">
        <v>192</v>
      </c>
      <c r="I36" s="325"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90"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80" t="s">
        <v>140</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7" t="s">
        <v>165</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80" t="s">
        <v>184</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80" t="s">
        <v>185</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80" t="s">
        <v>186</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11" t="s">
        <v>290</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260</v>
      </c>
      <c r="Z16" s="360"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9"/>
      <c r="C31" s="31" t="s">
        <v>299</v>
      </c>
      <c r="D31" s="131"/>
      <c r="E31" s="131"/>
      <c r="F31" s="131"/>
      <c r="G31" s="428"/>
      <c r="H31" s="428"/>
      <c r="I31" s="429"/>
      <c r="J31" s="429"/>
      <c r="K31" s="358"/>
      <c r="L31" s="358"/>
      <c r="M31" s="358"/>
      <c r="N31" s="430"/>
      <c r="O31" s="158" t="s">
        <v>300</v>
      </c>
      <c r="P31" s="358"/>
      <c r="Q31" s="358"/>
      <c r="R31" s="358"/>
      <c r="S31" s="358"/>
      <c r="T31" s="358"/>
      <c r="U31" s="358"/>
      <c r="V31" s="358"/>
      <c r="W31" s="28"/>
      <c r="X31" s="180" t="s">
        <v>225</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9"/>
      <c r="C32" s="578" t="s">
        <v>301</v>
      </c>
      <c r="D32" s="578"/>
      <c r="E32" s="578"/>
      <c r="F32" s="579"/>
      <c r="G32" s="252">
        <v>2020</v>
      </c>
      <c r="H32" s="428"/>
      <c r="I32" s="429"/>
      <c r="J32" s="429"/>
      <c r="K32" s="358"/>
      <c r="L32" s="358"/>
      <c r="M32" s="358"/>
      <c r="N32" s="358"/>
      <c r="O32" s="358"/>
      <c r="P32" s="358"/>
      <c r="Q32" s="358"/>
      <c r="R32" s="358"/>
      <c r="S32" s="358"/>
      <c r="T32" s="358"/>
      <c r="U32" s="358"/>
      <c r="V32" s="358"/>
      <c r="W32" s="80"/>
      <c r="X32" s="180" t="s">
        <v>226</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9"/>
      <c r="C33" s="431"/>
      <c r="D33" s="432"/>
      <c r="E33" s="431"/>
      <c r="F33" s="86"/>
      <c r="G33" s="86"/>
      <c r="H33" s="86"/>
      <c r="I33" s="82"/>
      <c r="J33" s="82"/>
      <c r="K33" s="28"/>
      <c r="L33" s="28"/>
      <c r="M33" s="28"/>
      <c r="N33" s="28"/>
      <c r="O33" s="28"/>
      <c r="P33" s="28"/>
      <c r="Q33" s="28"/>
      <c r="R33" s="28"/>
      <c r="S33" s="28"/>
      <c r="T33" s="28"/>
      <c r="U33" s="28"/>
      <c r="V33" s="28"/>
      <c r="W33" s="37"/>
      <c r="X33" s="180" t="s">
        <v>227</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230</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9"/>
      <c r="C35" s="434" t="s">
        <v>210</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229</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9"/>
      <c r="C36" s="434" t="s">
        <v>212</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228</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9"/>
      <c r="C37" s="440" t="s">
        <v>213</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231</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9"/>
      <c r="C38" s="440" t="s">
        <v>214</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232</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9"/>
      <c r="C39" s="440" t="s">
        <v>215</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234</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9"/>
      <c r="C40" s="440" t="s">
        <v>216</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233</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9"/>
      <c r="C41" s="440" t="s">
        <v>217</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235</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242</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9"/>
      <c r="C43" s="434" t="s">
        <v>218</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243</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9"/>
      <c r="C44" s="434" t="s">
        <v>219</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236</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9"/>
      <c r="C45" s="434" t="s">
        <v>221</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238</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9"/>
      <c r="C46" s="434" t="s">
        <v>222</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239</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9"/>
      <c r="C47" s="440" t="s">
        <v>223</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240</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9"/>
      <c r="C48" s="434" t="s">
        <v>224</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237</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9"/>
      <c r="C49" s="434" t="s">
        <v>225</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241</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9"/>
      <c r="C50" s="434" t="s">
        <v>226</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244</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9"/>
      <c r="C51" s="434" t="s">
        <v>227</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245</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9"/>
      <c r="C52" s="440" t="s">
        <v>228</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246</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9"/>
      <c r="C53" s="440" t="s">
        <v>229</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247</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9"/>
      <c r="C54" s="434" t="s">
        <v>230</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248</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9"/>
      <c r="C55" s="440" t="s">
        <v>231</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249</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9"/>
      <c r="C56" s="434" t="s">
        <v>232</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250</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9"/>
      <c r="C57" s="434" t="s">
        <v>233</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251</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9"/>
      <c r="C58" s="434" t="s">
        <v>234</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252</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9"/>
      <c r="C59" s="434" t="s">
        <v>235</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253</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9"/>
      <c r="C60" s="434" t="s">
        <v>236</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255</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9"/>
      <c r="C61" s="434" t="s">
        <v>237</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254</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9"/>
      <c r="C62" s="434" t="s">
        <v>238</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256</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9"/>
      <c r="C63" s="440" t="s">
        <v>239</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258</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9"/>
      <c r="C64" s="440" t="s">
        <v>240</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257</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9"/>
      <c r="C65" s="440" t="s">
        <v>241</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259</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9"/>
      <c r="C66" s="440" t="s">
        <v>242</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9"/>
      <c r="C67" s="440" t="s">
        <v>243</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4"/>
      <c r="C68" s="440" t="s">
        <v>244</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434" t="s">
        <v>245</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440" t="s">
        <v>246</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440" t="s">
        <v>247</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440" t="s">
        <v>248</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434" t="s">
        <v>249</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434" t="s">
        <v>250</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434" t="s">
        <v>251</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440" t="s">
        <v>252</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440" t="s">
        <v>253</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434" t="s">
        <v>254</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440" t="s">
        <v>255</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434" t="s">
        <v>256</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434" t="s">
        <v>257</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434" t="s">
        <v>258</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47" t="s">
        <v>259</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313</v>
      </c>
      <c r="D86" s="452"/>
      <c r="E86" s="452"/>
      <c r="F86" s="452"/>
      <c r="G86" s="35"/>
      <c r="H86" s="35"/>
      <c r="I86" s="35"/>
      <c r="J86" s="31" t="s">
        <v>318</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53" t="s">
        <v>314</v>
      </c>
      <c r="D87" s="454" t="s">
        <v>315</v>
      </c>
      <c r="E87" s="454" t="s">
        <v>316</v>
      </c>
      <c r="F87" s="454" t="s">
        <v>317</v>
      </c>
      <c r="G87" s="35"/>
      <c r="H87" s="35"/>
      <c r="I87" s="35"/>
      <c r="J87" s="464"/>
      <c r="K87" s="465" t="s">
        <v>125</v>
      </c>
      <c r="L87" s="466" t="s">
        <v>319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55" t="s">
        <v>211</v>
      </c>
      <c r="D88" s="456">
        <v>0.18</v>
      </c>
      <c r="E88" s="456">
        <v>0.15</v>
      </c>
      <c r="F88" s="457">
        <v>0.17</v>
      </c>
      <c r="G88" s="35"/>
      <c r="H88" s="35"/>
      <c r="I88" s="35"/>
      <c r="J88" s="467" t="s">
        <v>320</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58" t="s">
        <v>210</v>
      </c>
      <c r="D89" s="459">
        <v>0.11</v>
      </c>
      <c r="E89" s="459">
        <v>0.11</v>
      </c>
      <c r="F89" s="460">
        <v>0.06</v>
      </c>
      <c r="G89" s="35"/>
      <c r="H89" s="35"/>
      <c r="I89" s="35"/>
      <c r="J89" s="467" t="s">
        <v>321</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58" t="s">
        <v>213</v>
      </c>
      <c r="D90" s="459">
        <v>0.09</v>
      </c>
      <c r="E90" s="459">
        <v>0.08</v>
      </c>
      <c r="F90" s="460">
        <v>0.06</v>
      </c>
      <c r="G90" s="35"/>
      <c r="H90" s="35"/>
      <c r="I90" s="35"/>
      <c r="J90" s="467" t="s">
        <v>322</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58" t="s">
        <v>212</v>
      </c>
      <c r="D91" s="459">
        <v>0.11</v>
      </c>
      <c r="E91" s="459">
        <v>0.1</v>
      </c>
      <c r="F91" s="460">
        <v>7.0000000000000007E-2</v>
      </c>
      <c r="G91" s="35"/>
      <c r="H91" s="35"/>
      <c r="I91" s="35"/>
      <c r="J91" s="467" t="s">
        <v>323</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58" t="s">
        <v>214</v>
      </c>
      <c r="D92" s="459">
        <v>0.15</v>
      </c>
      <c r="E92" s="459">
        <v>0.13</v>
      </c>
      <c r="F92" s="460">
        <v>0.1</v>
      </c>
      <c r="G92" s="35"/>
      <c r="H92" s="35"/>
      <c r="I92" s="35"/>
      <c r="J92" s="467" t="s">
        <v>324</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58" t="s">
        <v>215</v>
      </c>
      <c r="D93" s="459">
        <v>0.11</v>
      </c>
      <c r="E93" s="459">
        <v>0.09</v>
      </c>
      <c r="F93" s="460">
        <v>7.0000000000000007E-2</v>
      </c>
      <c r="G93" s="35"/>
      <c r="H93" s="35"/>
      <c r="I93" s="35"/>
      <c r="J93" s="467" t="s">
        <v>325</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58" t="s">
        <v>216</v>
      </c>
      <c r="D94" s="459">
        <v>0.17</v>
      </c>
      <c r="E94" s="459">
        <v>0.15</v>
      </c>
      <c r="F94" s="460">
        <v>0.13</v>
      </c>
      <c r="G94" s="35"/>
      <c r="H94" s="35"/>
      <c r="I94" s="35"/>
      <c r="J94" s="467" t="s">
        <v>326</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58" t="s">
        <v>11</v>
      </c>
      <c r="D95" s="459">
        <v>0.12</v>
      </c>
      <c r="E95" s="459">
        <v>0.12</v>
      </c>
      <c r="F95" s="460">
        <v>0.05</v>
      </c>
      <c r="G95" s="35"/>
      <c r="H95" s="35"/>
      <c r="I95" s="35"/>
      <c r="J95" s="467" t="s">
        <v>327</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58" t="s">
        <v>217</v>
      </c>
      <c r="D96" s="459">
        <v>0.14000000000000001</v>
      </c>
      <c r="E96" s="459">
        <v>0.1</v>
      </c>
      <c r="F96" s="460">
        <v>0.08</v>
      </c>
      <c r="G96" s="35"/>
      <c r="H96" s="35"/>
      <c r="I96" s="35"/>
      <c r="J96" s="470" t="s">
        <v>329</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58" t="s">
        <v>218</v>
      </c>
      <c r="D97" s="459">
        <v>0.11</v>
      </c>
      <c r="E97" s="459">
        <v>0.1</v>
      </c>
      <c r="F97" s="460">
        <v>0.08</v>
      </c>
      <c r="G97" s="35"/>
      <c r="H97" s="35"/>
      <c r="I97" s="35"/>
      <c r="J97" s="473" t="s">
        <v>328</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58" t="s">
        <v>219</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58" t="s">
        <v>220</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58" t="s">
        <v>224</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58" t="s">
        <v>221</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58" t="s">
        <v>222</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58" t="s">
        <v>223</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58" t="s">
        <v>225</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58" t="s">
        <v>226</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58" t="s">
        <v>227</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58" t="s">
        <v>230</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58" t="s">
        <v>229</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58" t="s">
        <v>228</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58" t="s">
        <v>231</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58" t="s">
        <v>232</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58" t="s">
        <v>234</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58" t="s">
        <v>233</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58" t="s">
        <v>235</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58" t="s">
        <v>242</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58" t="s">
        <v>243</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58" t="s">
        <v>236</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58" t="s">
        <v>238</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58" t="s">
        <v>239</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58" t="s">
        <v>240</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58" t="s">
        <v>237</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58" t="s">
        <v>241</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58" t="s">
        <v>244</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58" t="s">
        <v>245</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58" t="s">
        <v>246</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58" t="s">
        <v>247</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58" t="s">
        <v>248</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58" t="s">
        <v>249</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58" t="s">
        <v>250</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58" t="s">
        <v>251</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58" t="s">
        <v>252</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58" t="s">
        <v>253</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58" t="s">
        <v>255</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58" t="s">
        <v>254</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58" t="s">
        <v>256</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58" t="s">
        <v>258</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58" t="s">
        <v>257</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61" t="s">
        <v>259</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70" workbookViewId="0">
      <selection activeCell="C67" sqref="C67:AC67"/>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31"/>
      <c r="B2" s="33"/>
      <c r="C2" s="33"/>
      <c r="D2" s="374" t="s">
        <v>122</v>
      </c>
      <c r="E2" s="131"/>
      <c r="F2" s="131"/>
      <c r="G2" s="131"/>
      <c r="H2" s="131"/>
      <c r="I2" s="33"/>
      <c r="J2" s="33"/>
      <c r="K2" s="30"/>
      <c r="L2" s="33"/>
      <c r="M2" s="374" t="s">
        <v>170</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31"/>
      <c r="B3" s="33"/>
      <c r="C3" s="33"/>
      <c r="D3" s="33"/>
      <c r="E3" s="131"/>
      <c r="F3" s="33"/>
      <c r="G3" s="131"/>
      <c r="H3" s="131"/>
      <c r="I3" s="30"/>
      <c r="J3" s="33"/>
      <c r="K3" s="131"/>
      <c r="L3" s="33"/>
      <c r="M3" s="128" t="s">
        <v>171</v>
      </c>
      <c r="N3" s="128"/>
      <c r="O3" s="128"/>
      <c r="P3" s="252" t="b">
        <v>0</v>
      </c>
      <c r="Q3" s="379" t="s">
        <v>279</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31"/>
      <c r="B4" s="33"/>
      <c r="C4" s="189" t="s">
        <v>287</v>
      </c>
      <c r="D4" s="33"/>
      <c r="E4" s="131"/>
      <c r="F4" s="33"/>
      <c r="G4" s="131"/>
      <c r="H4" s="131"/>
      <c r="I4" s="30"/>
      <c r="J4" s="33"/>
      <c r="K4" s="131"/>
      <c r="L4" s="33"/>
      <c r="M4" s="244" t="s">
        <v>276</v>
      </c>
      <c r="N4" s="128"/>
      <c r="O4" s="128"/>
      <c r="P4" s="245">
        <v>2014</v>
      </c>
      <c r="Q4" s="373" t="s">
        <v>172</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31"/>
      <c r="B5" s="33"/>
      <c r="C5" s="189" t="s">
        <v>288</v>
      </c>
      <c r="D5" s="33"/>
      <c r="E5" s="131"/>
      <c r="F5" s="33"/>
      <c r="G5" s="131"/>
      <c r="H5" s="131"/>
      <c r="I5" s="30"/>
      <c r="J5" s="33"/>
      <c r="K5" s="131"/>
      <c r="L5" s="33"/>
      <c r="M5" s="244" t="s">
        <v>277</v>
      </c>
      <c r="N5" s="128"/>
      <c r="O5" s="375"/>
      <c r="P5" s="252" t="s">
        <v>262</v>
      </c>
      <c r="Q5" s="377" t="s">
        <v>278</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31"/>
      <c r="B6" s="33"/>
      <c r="C6" s="189" t="s">
        <v>289</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5" customHeight="1" thickBot="1" x14ac:dyDescent="0.55000000000000004">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x14ac:dyDescent="0.4">
      <c r="A14" s="131"/>
      <c r="B14" s="361"/>
      <c r="C14" s="362" t="s">
        <v>123</v>
      </c>
      <c r="D14" s="363"/>
      <c r="E14" s="363"/>
      <c r="F14" s="363"/>
      <c r="G14" s="363"/>
      <c r="H14" s="363"/>
      <c r="I14" s="363"/>
      <c r="J14" s="363"/>
      <c r="K14" s="363"/>
      <c r="L14" s="362" t="s">
        <v>128</v>
      </c>
      <c r="M14" s="363"/>
      <c r="N14" s="363"/>
      <c r="O14" s="363"/>
      <c r="P14" s="363"/>
      <c r="Q14" s="363"/>
      <c r="R14" s="363"/>
      <c r="S14" s="363"/>
      <c r="T14" s="363"/>
      <c r="U14" s="362" t="s">
        <v>124</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31"/>
      <c r="B15" s="364"/>
      <c r="C15" s="582" t="s">
        <v>125</v>
      </c>
      <c r="D15" s="580"/>
      <c r="E15" s="580"/>
      <c r="F15" s="580" t="s">
        <v>126</v>
      </c>
      <c r="G15" s="580"/>
      <c r="H15" s="580"/>
      <c r="I15" s="580" t="s">
        <v>127</v>
      </c>
      <c r="J15" s="583"/>
      <c r="K15" s="583"/>
      <c r="L15" s="582" t="s">
        <v>125</v>
      </c>
      <c r="M15" s="580"/>
      <c r="N15" s="580"/>
      <c r="O15" s="580" t="s">
        <v>126</v>
      </c>
      <c r="P15" s="580"/>
      <c r="Q15" s="580"/>
      <c r="R15" s="580" t="s">
        <v>127</v>
      </c>
      <c r="S15" s="583"/>
      <c r="T15" s="583"/>
      <c r="U15" s="582" t="s">
        <v>125</v>
      </c>
      <c r="V15" s="580"/>
      <c r="W15" s="580"/>
      <c r="X15" s="580" t="s">
        <v>126</v>
      </c>
      <c r="Y15" s="580"/>
      <c r="Z15" s="580"/>
      <c r="AA15" s="580" t="s">
        <v>127</v>
      </c>
      <c r="AB15" s="580"/>
      <c r="AC15" s="581"/>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31"/>
      <c r="B16" s="365" t="s">
        <v>115</v>
      </c>
      <c r="C16" s="316" t="s">
        <v>116</v>
      </c>
      <c r="D16" s="317" t="s">
        <v>117</v>
      </c>
      <c r="E16" s="317" t="s">
        <v>118</v>
      </c>
      <c r="F16" s="318" t="s">
        <v>116</v>
      </c>
      <c r="G16" s="317" t="s">
        <v>117</v>
      </c>
      <c r="H16" s="317" t="s">
        <v>118</v>
      </c>
      <c r="I16" s="318" t="s">
        <v>116</v>
      </c>
      <c r="J16" s="317" t="s">
        <v>117</v>
      </c>
      <c r="K16" s="317" t="s">
        <v>118</v>
      </c>
      <c r="L16" s="319" t="s">
        <v>119</v>
      </c>
      <c r="M16" s="317" t="s">
        <v>120</v>
      </c>
      <c r="N16" s="320" t="s">
        <v>118</v>
      </c>
      <c r="O16" s="321" t="s">
        <v>119</v>
      </c>
      <c r="P16" s="317" t="s">
        <v>120</v>
      </c>
      <c r="Q16" s="317" t="s">
        <v>118</v>
      </c>
      <c r="R16" s="318" t="s">
        <v>119</v>
      </c>
      <c r="S16" s="317" t="s">
        <v>120</v>
      </c>
      <c r="T16" s="320" t="s">
        <v>118</v>
      </c>
      <c r="U16" s="319" t="s">
        <v>121</v>
      </c>
      <c r="V16" s="317" t="s">
        <v>117</v>
      </c>
      <c r="W16" s="320" t="s">
        <v>118</v>
      </c>
      <c r="X16" s="321" t="s">
        <v>121</v>
      </c>
      <c r="Y16" s="317" t="s">
        <v>117</v>
      </c>
      <c r="Z16" s="317" t="s">
        <v>118</v>
      </c>
      <c r="AA16" s="318" t="s">
        <v>121</v>
      </c>
      <c r="AB16" s="317" t="s">
        <v>117</v>
      </c>
      <c r="AC16" s="52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31"/>
      <c r="B17" s="366"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31"/>
      <c r="B18" s="366"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31"/>
      <c r="B19" s="366"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31"/>
      <c r="B20" s="366"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31"/>
      <c r="B21" s="366"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31"/>
      <c r="B22" s="366"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31"/>
      <c r="B23" s="366"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31"/>
      <c r="B24" s="366"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31"/>
      <c r="B26" s="366"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31"/>
      <c r="B27" s="366"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31"/>
      <c r="B28" s="366"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159</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31"/>
      <c r="B29" s="366"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31"/>
      <c r="B30" s="366"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31"/>
      <c r="B31" s="366"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31"/>
      <c r="B32" s="366"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31"/>
      <c r="B33" s="366"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31"/>
      <c r="B34" s="366"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31"/>
      <c r="B35" s="366"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31"/>
      <c r="B36" s="366"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31"/>
      <c r="B37" s="366"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31"/>
      <c r="B38" s="366"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31"/>
      <c r="B39" s="366"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31"/>
      <c r="B40" s="366"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31"/>
      <c r="B41" s="366"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31"/>
      <c r="B42" s="366"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31"/>
      <c r="B43" s="366"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31"/>
      <c r="B44" s="366"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31"/>
      <c r="B45" s="366"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31"/>
      <c r="B46" s="366"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31"/>
      <c r="B47" s="366"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31"/>
      <c r="B48" s="366"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31"/>
      <c r="B49" s="366"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31"/>
      <c r="B50" s="366"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31"/>
      <c r="B51" s="366"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31"/>
      <c r="B52" s="366"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31"/>
      <c r="B53" s="366"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31"/>
      <c r="B54" s="366"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31"/>
      <c r="B55" s="366"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31"/>
      <c r="B56" s="366"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31"/>
      <c r="B57" s="366"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31"/>
      <c r="B58" s="366"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31"/>
      <c r="B59" s="366"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31"/>
      <c r="B60" s="366"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31"/>
      <c r="B61" s="366"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31"/>
      <c r="B62" s="366"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31"/>
      <c r="B63" s="366"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31"/>
      <c r="B64" s="366"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31"/>
      <c r="B65" s="366"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4"/>
      <c r="B66" s="366"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4"/>
      <c r="B67" s="368" t="s">
        <v>259</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31"/>
      <c r="B173" s="141"/>
      <c r="C173" s="141"/>
      <c r="D173" s="141"/>
      <c r="E173" s="525" t="b">
        <v>1</v>
      </c>
      <c r="F173" s="52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4"/>
      <c r="B174" s="141"/>
      <c r="C174" s="141"/>
      <c r="D174" s="141"/>
      <c r="E174" s="525" t="b">
        <v>0</v>
      </c>
      <c r="F174" s="524"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31"/>
      <c r="B175" s="141"/>
      <c r="C175" s="141"/>
      <c r="D175" s="141"/>
      <c r="E175" s="525"/>
      <c r="F175" s="524"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31"/>
      <c r="B176" s="141"/>
      <c r="C176" s="141"/>
      <c r="D176" s="141"/>
      <c r="E176" s="141"/>
      <c r="F176" s="524"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31"/>
      <c r="B177" s="141"/>
      <c r="C177" s="141"/>
      <c r="D177" s="141"/>
      <c r="E177" s="141"/>
      <c r="F177" s="524"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31"/>
      <c r="B178" s="141"/>
      <c r="C178" s="141"/>
      <c r="D178" s="141"/>
      <c r="E178" s="141"/>
      <c r="F178" s="524"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31"/>
      <c r="B179" s="141"/>
      <c r="C179" s="141"/>
      <c r="D179" s="141"/>
      <c r="E179" s="141"/>
      <c r="F179" s="524"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4"/>
      <c r="B180" s="141"/>
      <c r="C180" s="141"/>
      <c r="D180" s="141"/>
      <c r="E180" s="141"/>
      <c r="F180" s="524"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31"/>
      <c r="B181" s="141"/>
      <c r="C181" s="141"/>
      <c r="D181" s="141"/>
      <c r="E181" s="141"/>
      <c r="F181" s="524"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31"/>
      <c r="B182" s="141"/>
      <c r="C182" s="141"/>
      <c r="D182" s="141"/>
      <c r="E182" s="141"/>
      <c r="F182" s="524"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opLeftCell="A10" workbookViewId="0">
      <selection activeCell="D17" sqref="D17"/>
    </sheetView>
  </sheetViews>
  <sheetFormatPr defaultColWidth="10.77734375" defaultRowHeight="13.2" x14ac:dyDescent="0.25"/>
  <cols>
    <col min="1" max="1" width="10.77734375" style="396"/>
    <col min="2" max="2" width="15.109375" style="396" customWidth="1"/>
    <col min="3" max="3" width="32.44140625" style="396" customWidth="1"/>
    <col min="4" max="4" width="10.77734375" style="396"/>
    <col min="5" max="5" width="6.109375" style="396" bestFit="1" customWidth="1"/>
    <col min="6" max="9" width="15.44140625" style="396" customWidth="1"/>
    <col min="10" max="10" width="14.6640625" style="396" customWidth="1"/>
    <col min="11" max="17" width="15.44140625" style="396" customWidth="1"/>
    <col min="18" max="18" width="15" style="396" customWidth="1"/>
    <col min="19" max="19" width="15.33203125" style="396" customWidth="1"/>
    <col min="20" max="20" width="7.109375" style="396" customWidth="1"/>
    <col min="21" max="21" width="47.33203125" style="396" customWidth="1"/>
    <col min="22" max="23" width="20.33203125" style="396" customWidth="1"/>
    <col min="24" max="16384" width="10.77734375" style="396"/>
  </cols>
  <sheetData>
    <row r="2" spans="2:19" ht="35.4" x14ac:dyDescent="0.6">
      <c r="B2" s="475" t="s">
        <v>330</v>
      </c>
    </row>
    <row r="5" spans="2:19" ht="18" customHeight="1" x14ac:dyDescent="0.4">
      <c r="B5" s="476" t="s">
        <v>331</v>
      </c>
      <c r="C5" s="477" t="s">
        <v>332</v>
      </c>
      <c r="H5" s="478"/>
    </row>
    <row r="6" spans="2:19" ht="21" x14ac:dyDescent="0.4">
      <c r="E6" s="476" t="str">
        <f>C5 &amp; " Scenario"</f>
        <v>Full Everywhere Scenario</v>
      </c>
    </row>
    <row r="7" spans="2:19" ht="28.8" thickBot="1" x14ac:dyDescent="0.55000000000000004">
      <c r="B7" s="476" t="s">
        <v>333</v>
      </c>
      <c r="C7" s="479"/>
      <c r="F7" s="585" t="s">
        <v>125</v>
      </c>
      <c r="G7" s="586"/>
      <c r="H7" s="586"/>
      <c r="I7" s="587"/>
      <c r="J7" s="585" t="s">
        <v>126</v>
      </c>
      <c r="K7" s="586"/>
      <c r="L7" s="586"/>
      <c r="M7" s="587"/>
      <c r="N7" s="585" t="s">
        <v>127</v>
      </c>
      <c r="O7" s="586"/>
      <c r="P7" s="586"/>
      <c r="Q7" s="587"/>
    </row>
    <row r="8" spans="2:19" ht="49.95" customHeight="1" thickTop="1" thickBot="1" x14ac:dyDescent="0.5">
      <c r="B8" s="480" t="s">
        <v>129</v>
      </c>
      <c r="C8" s="481" t="s">
        <v>334</v>
      </c>
      <c r="E8" s="482" t="s">
        <v>314</v>
      </c>
      <c r="F8" s="482" t="s">
        <v>335</v>
      </c>
      <c r="G8" s="483" t="s">
        <v>336</v>
      </c>
      <c r="H8" s="483" t="s">
        <v>337</v>
      </c>
      <c r="I8" s="484" t="s">
        <v>338</v>
      </c>
      <c r="J8" s="482" t="s">
        <v>335</v>
      </c>
      <c r="K8" s="483" t="s">
        <v>336</v>
      </c>
      <c r="L8" s="483" t="s">
        <v>337</v>
      </c>
      <c r="M8" s="484" t="s">
        <v>338</v>
      </c>
      <c r="N8" s="482" t="s">
        <v>335</v>
      </c>
      <c r="O8" s="483" t="s">
        <v>336</v>
      </c>
      <c r="P8" s="483" t="s">
        <v>337</v>
      </c>
      <c r="Q8" s="484" t="s">
        <v>338</v>
      </c>
      <c r="R8" s="482" t="s">
        <v>339</v>
      </c>
      <c r="S8" s="484" t="s">
        <v>340</v>
      </c>
    </row>
    <row r="9" spans="2:19" ht="17.399999999999999" x14ac:dyDescent="0.4">
      <c r="B9" s="485" t="s">
        <v>130</v>
      </c>
      <c r="C9" s="486" t="b">
        <v>1</v>
      </c>
      <c r="E9" s="487" t="s">
        <v>211</v>
      </c>
      <c r="F9" s="488" t="s">
        <v>341</v>
      </c>
      <c r="G9" s="489" t="s">
        <v>341</v>
      </c>
      <c r="H9" s="489">
        <v>0</v>
      </c>
      <c r="I9" s="490">
        <v>0</v>
      </c>
      <c r="J9" s="488" t="s">
        <v>341</v>
      </c>
      <c r="K9" s="489" t="s">
        <v>341</v>
      </c>
      <c r="L9" s="489">
        <v>0</v>
      </c>
      <c r="M9" s="491">
        <v>0</v>
      </c>
      <c r="N9" s="492" t="s">
        <v>341</v>
      </c>
      <c r="O9" s="489" t="s">
        <v>341</v>
      </c>
      <c r="P9" s="489">
        <v>0</v>
      </c>
      <c r="Q9" s="491">
        <v>0</v>
      </c>
      <c r="R9" s="493">
        <v>2014</v>
      </c>
      <c r="S9" s="494">
        <v>2050</v>
      </c>
    </row>
    <row r="10" spans="2:19" ht="17.399999999999999" x14ac:dyDescent="0.4">
      <c r="B10" s="495" t="s">
        <v>131</v>
      </c>
      <c r="C10" s="496" t="b">
        <v>1</v>
      </c>
      <c r="E10" s="497" t="s">
        <v>210</v>
      </c>
      <c r="F10" s="498" t="s">
        <v>341</v>
      </c>
      <c r="G10" s="499" t="s">
        <v>341</v>
      </c>
      <c r="H10" s="499">
        <v>0</v>
      </c>
      <c r="I10" s="500">
        <v>0</v>
      </c>
      <c r="J10" s="498" t="s">
        <v>341</v>
      </c>
      <c r="K10" s="499" t="s">
        <v>341</v>
      </c>
      <c r="L10" s="499">
        <v>0</v>
      </c>
      <c r="M10" s="501">
        <v>0</v>
      </c>
      <c r="N10" s="502" t="s">
        <v>341</v>
      </c>
      <c r="O10" s="499" t="s">
        <v>341</v>
      </c>
      <c r="P10" s="499">
        <v>0</v>
      </c>
      <c r="Q10" s="501">
        <v>0</v>
      </c>
      <c r="R10" s="503">
        <v>2014</v>
      </c>
      <c r="S10" s="504">
        <v>2050</v>
      </c>
    </row>
    <row r="11" spans="2:19" ht="17.399999999999999" x14ac:dyDescent="0.4">
      <c r="B11" s="495" t="s">
        <v>358</v>
      </c>
      <c r="C11" s="496" t="b">
        <v>1</v>
      </c>
      <c r="E11" s="497" t="s">
        <v>213</v>
      </c>
      <c r="F11" s="498" t="s">
        <v>341</v>
      </c>
      <c r="G11" s="499" t="s">
        <v>341</v>
      </c>
      <c r="H11" s="499">
        <v>0</v>
      </c>
      <c r="I11" s="500">
        <v>0</v>
      </c>
      <c r="J11" s="498" t="s">
        <v>341</v>
      </c>
      <c r="K11" s="499" t="s">
        <v>341</v>
      </c>
      <c r="L11" s="499">
        <v>0</v>
      </c>
      <c r="M11" s="501">
        <v>0</v>
      </c>
      <c r="N11" s="502" t="s">
        <v>341</v>
      </c>
      <c r="O11" s="499" t="s">
        <v>341</v>
      </c>
      <c r="P11" s="499">
        <v>0</v>
      </c>
      <c r="Q11" s="501">
        <v>0</v>
      </c>
      <c r="R11" s="503">
        <v>2014</v>
      </c>
      <c r="S11" s="504">
        <v>2050</v>
      </c>
    </row>
    <row r="12" spans="2:19" ht="18" thickBot="1" x14ac:dyDescent="0.45">
      <c r="B12" s="505" t="s">
        <v>152</v>
      </c>
      <c r="C12" s="506" t="b">
        <v>1</v>
      </c>
      <c r="E12" s="497" t="s">
        <v>212</v>
      </c>
      <c r="F12" s="498" t="s">
        <v>341</v>
      </c>
      <c r="G12" s="499" t="s">
        <v>341</v>
      </c>
      <c r="H12" s="499">
        <v>0</v>
      </c>
      <c r="I12" s="500">
        <v>0</v>
      </c>
      <c r="J12" s="498" t="s">
        <v>341</v>
      </c>
      <c r="K12" s="499" t="s">
        <v>341</v>
      </c>
      <c r="L12" s="499">
        <v>0</v>
      </c>
      <c r="M12" s="501">
        <v>0</v>
      </c>
      <c r="N12" s="502" t="s">
        <v>341</v>
      </c>
      <c r="O12" s="499" t="s">
        <v>341</v>
      </c>
      <c r="P12" s="499">
        <v>0</v>
      </c>
      <c r="Q12" s="501">
        <v>0</v>
      </c>
      <c r="R12" s="503">
        <v>2014</v>
      </c>
      <c r="S12" s="504">
        <v>2050</v>
      </c>
    </row>
    <row r="13" spans="2:19" ht="13.8" thickTop="1" x14ac:dyDescent="0.25">
      <c r="E13" s="497" t="s">
        <v>214</v>
      </c>
      <c r="F13" s="498" t="s">
        <v>341</v>
      </c>
      <c r="G13" s="499" t="s">
        <v>341</v>
      </c>
      <c r="H13" s="499">
        <v>0</v>
      </c>
      <c r="I13" s="500">
        <v>0</v>
      </c>
      <c r="J13" s="498" t="s">
        <v>341</v>
      </c>
      <c r="K13" s="499" t="s">
        <v>341</v>
      </c>
      <c r="L13" s="499">
        <v>0</v>
      </c>
      <c r="M13" s="501">
        <v>0</v>
      </c>
      <c r="N13" s="502" t="s">
        <v>341</v>
      </c>
      <c r="O13" s="499" t="s">
        <v>341</v>
      </c>
      <c r="P13" s="499">
        <v>0</v>
      </c>
      <c r="Q13" s="501">
        <v>0</v>
      </c>
      <c r="R13" s="503">
        <v>2014</v>
      </c>
      <c r="S13" s="504">
        <v>2050</v>
      </c>
    </row>
    <row r="14" spans="2:19" ht="12" customHeight="1" x14ac:dyDescent="0.25">
      <c r="B14" s="588" t="s">
        <v>342</v>
      </c>
      <c r="C14" s="588"/>
      <c r="E14" s="497" t="s">
        <v>215</v>
      </c>
      <c r="F14" s="498" t="s">
        <v>341</v>
      </c>
      <c r="G14" s="499" t="s">
        <v>341</v>
      </c>
      <c r="H14" s="499">
        <v>0</v>
      </c>
      <c r="I14" s="500">
        <v>0</v>
      </c>
      <c r="J14" s="498" t="s">
        <v>341</v>
      </c>
      <c r="K14" s="499" t="s">
        <v>341</v>
      </c>
      <c r="L14" s="499">
        <v>0</v>
      </c>
      <c r="M14" s="501">
        <v>0</v>
      </c>
      <c r="N14" s="502" t="s">
        <v>341</v>
      </c>
      <c r="O14" s="499" t="s">
        <v>341</v>
      </c>
      <c r="P14" s="499">
        <v>0</v>
      </c>
      <c r="Q14" s="501">
        <v>0</v>
      </c>
      <c r="R14" s="503">
        <v>2014</v>
      </c>
      <c r="S14" s="504">
        <v>2050</v>
      </c>
    </row>
    <row r="15" spans="2:19" ht="12" customHeight="1" x14ac:dyDescent="0.25">
      <c r="B15" s="588"/>
      <c r="C15" s="588"/>
      <c r="E15" s="497" t="s">
        <v>216</v>
      </c>
      <c r="F15" s="498" t="s">
        <v>341</v>
      </c>
      <c r="G15" s="499" t="s">
        <v>341</v>
      </c>
      <c r="H15" s="499">
        <v>0</v>
      </c>
      <c r="I15" s="500">
        <v>0</v>
      </c>
      <c r="J15" s="498" t="s">
        <v>341</v>
      </c>
      <c r="K15" s="499" t="s">
        <v>341</v>
      </c>
      <c r="L15" s="499">
        <v>0</v>
      </c>
      <c r="M15" s="501">
        <v>0</v>
      </c>
      <c r="N15" s="502" t="s">
        <v>341</v>
      </c>
      <c r="O15" s="499" t="s">
        <v>341</v>
      </c>
      <c r="P15" s="499">
        <v>0</v>
      </c>
      <c r="Q15" s="501">
        <v>0</v>
      </c>
      <c r="R15" s="503">
        <v>2014</v>
      </c>
      <c r="S15" s="504">
        <v>2050</v>
      </c>
    </row>
    <row r="16" spans="2:19" ht="12" customHeight="1" x14ac:dyDescent="0.25">
      <c r="B16" s="588"/>
      <c r="C16" s="588"/>
      <c r="E16" s="497" t="s">
        <v>11</v>
      </c>
      <c r="F16" s="498" t="s">
        <v>341</v>
      </c>
      <c r="G16" s="499" t="s">
        <v>341</v>
      </c>
      <c r="H16" s="499">
        <v>0</v>
      </c>
      <c r="I16" s="500">
        <v>0</v>
      </c>
      <c r="J16" s="498" t="s">
        <v>341</v>
      </c>
      <c r="K16" s="499" t="s">
        <v>341</v>
      </c>
      <c r="L16" s="499">
        <v>0</v>
      </c>
      <c r="M16" s="501">
        <v>0</v>
      </c>
      <c r="N16" s="502" t="s">
        <v>341</v>
      </c>
      <c r="O16" s="499" t="s">
        <v>341</v>
      </c>
      <c r="P16" s="499">
        <v>0</v>
      </c>
      <c r="Q16" s="501">
        <v>0</v>
      </c>
      <c r="R16" s="503">
        <v>2014</v>
      </c>
      <c r="S16" s="504">
        <v>2050</v>
      </c>
    </row>
    <row r="17" spans="2:19" ht="12" customHeight="1" x14ac:dyDescent="0.25">
      <c r="B17" s="588"/>
      <c r="C17" s="588"/>
      <c r="E17" s="497" t="s">
        <v>217</v>
      </c>
      <c r="F17" s="498" t="s">
        <v>341</v>
      </c>
      <c r="G17" s="499" t="s">
        <v>341</v>
      </c>
      <c r="H17" s="499">
        <v>0</v>
      </c>
      <c r="I17" s="500">
        <v>0</v>
      </c>
      <c r="J17" s="498" t="s">
        <v>341</v>
      </c>
      <c r="K17" s="499" t="s">
        <v>341</v>
      </c>
      <c r="L17" s="499">
        <v>0</v>
      </c>
      <c r="M17" s="501">
        <v>0</v>
      </c>
      <c r="N17" s="502" t="s">
        <v>341</v>
      </c>
      <c r="O17" s="499" t="s">
        <v>341</v>
      </c>
      <c r="P17" s="499">
        <v>0</v>
      </c>
      <c r="Q17" s="501">
        <v>0</v>
      </c>
      <c r="R17" s="503">
        <v>2014</v>
      </c>
      <c r="S17" s="504">
        <v>2050</v>
      </c>
    </row>
    <row r="18" spans="2:19" ht="13.05" customHeight="1" x14ac:dyDescent="0.25">
      <c r="B18" s="588"/>
      <c r="C18" s="588"/>
      <c r="E18" s="497" t="s">
        <v>218</v>
      </c>
      <c r="F18" s="498" t="s">
        <v>341</v>
      </c>
      <c r="G18" s="499" t="s">
        <v>341</v>
      </c>
      <c r="H18" s="499">
        <v>0</v>
      </c>
      <c r="I18" s="500">
        <v>0</v>
      </c>
      <c r="J18" s="498" t="s">
        <v>341</v>
      </c>
      <c r="K18" s="499" t="s">
        <v>341</v>
      </c>
      <c r="L18" s="499">
        <v>0</v>
      </c>
      <c r="M18" s="501">
        <v>0</v>
      </c>
      <c r="N18" s="502" t="s">
        <v>341</v>
      </c>
      <c r="O18" s="499" t="s">
        <v>341</v>
      </c>
      <c r="P18" s="499">
        <v>0</v>
      </c>
      <c r="Q18" s="501">
        <v>0</v>
      </c>
      <c r="R18" s="503">
        <v>2014</v>
      </c>
      <c r="S18" s="504">
        <v>2050</v>
      </c>
    </row>
    <row r="19" spans="2:19" ht="12" customHeight="1" x14ac:dyDescent="0.25">
      <c r="B19" s="588"/>
      <c r="C19" s="588"/>
      <c r="E19" s="497" t="s">
        <v>219</v>
      </c>
      <c r="F19" s="498" t="s">
        <v>341</v>
      </c>
      <c r="G19" s="499" t="s">
        <v>341</v>
      </c>
      <c r="H19" s="499">
        <v>0</v>
      </c>
      <c r="I19" s="500">
        <v>0</v>
      </c>
      <c r="J19" s="498" t="s">
        <v>341</v>
      </c>
      <c r="K19" s="499" t="s">
        <v>341</v>
      </c>
      <c r="L19" s="499">
        <v>0</v>
      </c>
      <c r="M19" s="501">
        <v>0</v>
      </c>
      <c r="N19" s="502" t="s">
        <v>341</v>
      </c>
      <c r="O19" s="499" t="s">
        <v>341</v>
      </c>
      <c r="P19" s="499">
        <v>0</v>
      </c>
      <c r="Q19" s="501">
        <v>0</v>
      </c>
      <c r="R19" s="503">
        <v>2014</v>
      </c>
      <c r="S19" s="504">
        <v>2050</v>
      </c>
    </row>
    <row r="20" spans="2:19" ht="12" customHeight="1" x14ac:dyDescent="0.25">
      <c r="B20" s="588"/>
      <c r="C20" s="588"/>
      <c r="E20" s="497" t="s">
        <v>220</v>
      </c>
      <c r="F20" s="498" t="s">
        <v>341</v>
      </c>
      <c r="G20" s="499" t="s">
        <v>341</v>
      </c>
      <c r="H20" s="499">
        <v>0</v>
      </c>
      <c r="I20" s="500">
        <v>0</v>
      </c>
      <c r="J20" s="498" t="s">
        <v>341</v>
      </c>
      <c r="K20" s="499" t="s">
        <v>341</v>
      </c>
      <c r="L20" s="499">
        <v>0</v>
      </c>
      <c r="M20" s="501">
        <v>0</v>
      </c>
      <c r="N20" s="502" t="s">
        <v>341</v>
      </c>
      <c r="O20" s="499" t="s">
        <v>341</v>
      </c>
      <c r="P20" s="499">
        <v>0</v>
      </c>
      <c r="Q20" s="501">
        <v>0</v>
      </c>
      <c r="R20" s="503">
        <v>2014</v>
      </c>
      <c r="S20" s="504">
        <v>2050</v>
      </c>
    </row>
    <row r="21" spans="2:19" ht="12" customHeight="1" x14ac:dyDescent="0.25">
      <c r="B21" s="588"/>
      <c r="C21" s="588"/>
      <c r="E21" s="497" t="s">
        <v>224</v>
      </c>
      <c r="F21" s="498" t="s">
        <v>341</v>
      </c>
      <c r="G21" s="499" t="s">
        <v>341</v>
      </c>
      <c r="H21" s="499">
        <v>0</v>
      </c>
      <c r="I21" s="500">
        <v>0</v>
      </c>
      <c r="J21" s="498" t="s">
        <v>341</v>
      </c>
      <c r="K21" s="499" t="s">
        <v>341</v>
      </c>
      <c r="L21" s="499">
        <v>0</v>
      </c>
      <c r="M21" s="501">
        <v>0</v>
      </c>
      <c r="N21" s="502" t="s">
        <v>341</v>
      </c>
      <c r="O21" s="499" t="s">
        <v>341</v>
      </c>
      <c r="P21" s="499">
        <v>0</v>
      </c>
      <c r="Q21" s="501">
        <v>0</v>
      </c>
      <c r="R21" s="503">
        <v>2014</v>
      </c>
      <c r="S21" s="504">
        <v>2050</v>
      </c>
    </row>
    <row r="22" spans="2:19" ht="12" customHeight="1" x14ac:dyDescent="0.25">
      <c r="B22" s="588"/>
      <c r="C22" s="588"/>
      <c r="E22" s="497" t="s">
        <v>221</v>
      </c>
      <c r="F22" s="498" t="s">
        <v>341</v>
      </c>
      <c r="G22" s="499" t="s">
        <v>341</v>
      </c>
      <c r="H22" s="499">
        <v>0</v>
      </c>
      <c r="I22" s="500">
        <v>0</v>
      </c>
      <c r="J22" s="498" t="s">
        <v>341</v>
      </c>
      <c r="K22" s="499" t="s">
        <v>341</v>
      </c>
      <c r="L22" s="499">
        <v>0</v>
      </c>
      <c r="M22" s="501">
        <v>0</v>
      </c>
      <c r="N22" s="502" t="s">
        <v>341</v>
      </c>
      <c r="O22" s="499" t="s">
        <v>341</v>
      </c>
      <c r="P22" s="499">
        <v>0</v>
      </c>
      <c r="Q22" s="501">
        <v>0</v>
      </c>
      <c r="R22" s="503">
        <v>2014</v>
      </c>
      <c r="S22" s="504">
        <v>2050</v>
      </c>
    </row>
    <row r="23" spans="2:19" ht="12" customHeight="1" x14ac:dyDescent="0.25">
      <c r="B23" s="588"/>
      <c r="C23" s="588"/>
      <c r="E23" s="497" t="s">
        <v>222</v>
      </c>
      <c r="F23" s="498" t="s">
        <v>341</v>
      </c>
      <c r="G23" s="499" t="s">
        <v>341</v>
      </c>
      <c r="H23" s="499">
        <v>0</v>
      </c>
      <c r="I23" s="500">
        <v>0</v>
      </c>
      <c r="J23" s="498" t="s">
        <v>341</v>
      </c>
      <c r="K23" s="499" t="s">
        <v>341</v>
      </c>
      <c r="L23" s="499">
        <v>0</v>
      </c>
      <c r="M23" s="501">
        <v>0</v>
      </c>
      <c r="N23" s="502" t="s">
        <v>341</v>
      </c>
      <c r="O23" s="499" t="s">
        <v>341</v>
      </c>
      <c r="P23" s="499">
        <v>0</v>
      </c>
      <c r="Q23" s="501">
        <v>0</v>
      </c>
      <c r="R23" s="503">
        <v>2014</v>
      </c>
      <c r="S23" s="504">
        <v>2050</v>
      </c>
    </row>
    <row r="24" spans="2:19" ht="12" customHeight="1" x14ac:dyDescent="0.25">
      <c r="B24" s="588"/>
      <c r="C24" s="588"/>
      <c r="E24" s="497" t="s">
        <v>223</v>
      </c>
      <c r="F24" s="498" t="s">
        <v>341</v>
      </c>
      <c r="G24" s="499" t="s">
        <v>341</v>
      </c>
      <c r="H24" s="499">
        <v>0</v>
      </c>
      <c r="I24" s="500">
        <v>0</v>
      </c>
      <c r="J24" s="498" t="s">
        <v>341</v>
      </c>
      <c r="K24" s="499" t="s">
        <v>341</v>
      </c>
      <c r="L24" s="499">
        <v>0</v>
      </c>
      <c r="M24" s="501">
        <v>0</v>
      </c>
      <c r="N24" s="502" t="s">
        <v>341</v>
      </c>
      <c r="O24" s="499" t="s">
        <v>341</v>
      </c>
      <c r="P24" s="499">
        <v>0</v>
      </c>
      <c r="Q24" s="501">
        <v>0</v>
      </c>
      <c r="R24" s="503">
        <v>2014</v>
      </c>
      <c r="S24" s="504">
        <v>2050</v>
      </c>
    </row>
    <row r="25" spans="2:19" ht="12" customHeight="1" x14ac:dyDescent="0.25">
      <c r="B25" s="588"/>
      <c r="C25" s="588"/>
      <c r="E25" s="497" t="s">
        <v>225</v>
      </c>
      <c r="F25" s="498" t="s">
        <v>341</v>
      </c>
      <c r="G25" s="499" t="s">
        <v>341</v>
      </c>
      <c r="H25" s="499">
        <v>0</v>
      </c>
      <c r="I25" s="500">
        <v>0</v>
      </c>
      <c r="J25" s="498" t="s">
        <v>341</v>
      </c>
      <c r="K25" s="499" t="s">
        <v>341</v>
      </c>
      <c r="L25" s="499">
        <v>0</v>
      </c>
      <c r="M25" s="501">
        <v>0</v>
      </c>
      <c r="N25" s="502" t="s">
        <v>341</v>
      </c>
      <c r="O25" s="499" t="s">
        <v>341</v>
      </c>
      <c r="P25" s="499">
        <v>0</v>
      </c>
      <c r="Q25" s="501">
        <v>0</v>
      </c>
      <c r="R25" s="503">
        <v>2014</v>
      </c>
      <c r="S25" s="504">
        <v>2050</v>
      </c>
    </row>
    <row r="26" spans="2:19" ht="12" customHeight="1" x14ac:dyDescent="0.25">
      <c r="B26" s="588"/>
      <c r="C26" s="588"/>
      <c r="E26" s="497" t="s">
        <v>226</v>
      </c>
      <c r="F26" s="498" t="s">
        <v>341</v>
      </c>
      <c r="G26" s="499" t="s">
        <v>341</v>
      </c>
      <c r="H26" s="499">
        <v>0</v>
      </c>
      <c r="I26" s="500">
        <v>0</v>
      </c>
      <c r="J26" s="498" t="s">
        <v>341</v>
      </c>
      <c r="K26" s="499" t="s">
        <v>341</v>
      </c>
      <c r="L26" s="499">
        <v>0</v>
      </c>
      <c r="M26" s="501">
        <v>0</v>
      </c>
      <c r="N26" s="502" t="s">
        <v>341</v>
      </c>
      <c r="O26" s="499" t="s">
        <v>341</v>
      </c>
      <c r="P26" s="499">
        <v>0</v>
      </c>
      <c r="Q26" s="501">
        <v>0</v>
      </c>
      <c r="R26" s="503">
        <v>2014</v>
      </c>
      <c r="S26" s="504">
        <v>2050</v>
      </c>
    </row>
    <row r="27" spans="2:19" ht="12" customHeight="1" x14ac:dyDescent="0.25">
      <c r="B27" s="588"/>
      <c r="C27" s="588"/>
      <c r="E27" s="497" t="s">
        <v>227</v>
      </c>
      <c r="F27" s="498" t="s">
        <v>341</v>
      </c>
      <c r="G27" s="499" t="s">
        <v>341</v>
      </c>
      <c r="H27" s="499">
        <v>0</v>
      </c>
      <c r="I27" s="500">
        <v>0</v>
      </c>
      <c r="J27" s="498" t="s">
        <v>341</v>
      </c>
      <c r="K27" s="499" t="s">
        <v>341</v>
      </c>
      <c r="L27" s="499">
        <v>0</v>
      </c>
      <c r="M27" s="501">
        <v>0</v>
      </c>
      <c r="N27" s="502" t="s">
        <v>341</v>
      </c>
      <c r="O27" s="499" t="s">
        <v>341</v>
      </c>
      <c r="P27" s="499">
        <v>0</v>
      </c>
      <c r="Q27" s="501">
        <v>0</v>
      </c>
      <c r="R27" s="503">
        <v>2014</v>
      </c>
      <c r="S27" s="504">
        <v>2050</v>
      </c>
    </row>
    <row r="28" spans="2:19" ht="12" customHeight="1" x14ac:dyDescent="0.25">
      <c r="B28" s="588"/>
      <c r="C28" s="588"/>
      <c r="E28" s="497" t="s">
        <v>230</v>
      </c>
      <c r="F28" s="498" t="s">
        <v>341</v>
      </c>
      <c r="G28" s="499" t="s">
        <v>341</v>
      </c>
      <c r="H28" s="499">
        <v>0</v>
      </c>
      <c r="I28" s="500">
        <v>0</v>
      </c>
      <c r="J28" s="498" t="s">
        <v>341</v>
      </c>
      <c r="K28" s="499" t="s">
        <v>341</v>
      </c>
      <c r="L28" s="499">
        <v>0</v>
      </c>
      <c r="M28" s="501">
        <v>0</v>
      </c>
      <c r="N28" s="502" t="s">
        <v>341</v>
      </c>
      <c r="O28" s="499" t="s">
        <v>341</v>
      </c>
      <c r="P28" s="499">
        <v>0</v>
      </c>
      <c r="Q28" s="501">
        <v>0</v>
      </c>
      <c r="R28" s="503">
        <v>2014</v>
      </c>
      <c r="S28" s="504">
        <v>2050</v>
      </c>
    </row>
    <row r="29" spans="2:19" ht="12" customHeight="1" x14ac:dyDescent="0.25">
      <c r="B29" s="588"/>
      <c r="C29" s="588"/>
      <c r="E29" s="497" t="s">
        <v>229</v>
      </c>
      <c r="F29" s="498" t="s">
        <v>341</v>
      </c>
      <c r="G29" s="499" t="s">
        <v>341</v>
      </c>
      <c r="H29" s="499">
        <v>0</v>
      </c>
      <c r="I29" s="500">
        <v>0</v>
      </c>
      <c r="J29" s="498" t="s">
        <v>341</v>
      </c>
      <c r="K29" s="499" t="s">
        <v>341</v>
      </c>
      <c r="L29" s="499">
        <v>0</v>
      </c>
      <c r="M29" s="501">
        <v>0</v>
      </c>
      <c r="N29" s="502" t="s">
        <v>341</v>
      </c>
      <c r="O29" s="499" t="s">
        <v>341</v>
      </c>
      <c r="P29" s="499">
        <v>0</v>
      </c>
      <c r="Q29" s="501">
        <v>0</v>
      </c>
      <c r="R29" s="503">
        <v>2014</v>
      </c>
      <c r="S29" s="504">
        <v>2050</v>
      </c>
    </row>
    <row r="30" spans="2:19" ht="12" customHeight="1" x14ac:dyDescent="0.25">
      <c r="B30" s="588"/>
      <c r="C30" s="588"/>
      <c r="E30" s="497" t="s">
        <v>228</v>
      </c>
      <c r="F30" s="498" t="s">
        <v>341</v>
      </c>
      <c r="G30" s="499" t="s">
        <v>341</v>
      </c>
      <c r="H30" s="499">
        <v>0</v>
      </c>
      <c r="I30" s="500">
        <v>0</v>
      </c>
      <c r="J30" s="498" t="s">
        <v>341</v>
      </c>
      <c r="K30" s="499" t="s">
        <v>341</v>
      </c>
      <c r="L30" s="499">
        <v>0</v>
      </c>
      <c r="M30" s="501">
        <v>0</v>
      </c>
      <c r="N30" s="502" t="s">
        <v>341</v>
      </c>
      <c r="O30" s="499" t="s">
        <v>341</v>
      </c>
      <c r="P30" s="499">
        <v>0</v>
      </c>
      <c r="Q30" s="501">
        <v>0</v>
      </c>
      <c r="R30" s="503">
        <v>2014</v>
      </c>
      <c r="S30" s="504">
        <v>2050</v>
      </c>
    </row>
    <row r="31" spans="2:19" ht="12" customHeight="1" x14ac:dyDescent="0.25">
      <c r="B31" s="588"/>
      <c r="C31" s="588"/>
      <c r="E31" s="497" t="s">
        <v>231</v>
      </c>
      <c r="F31" s="498" t="s">
        <v>341</v>
      </c>
      <c r="G31" s="499" t="s">
        <v>341</v>
      </c>
      <c r="H31" s="499">
        <v>0</v>
      </c>
      <c r="I31" s="500">
        <v>0</v>
      </c>
      <c r="J31" s="498" t="s">
        <v>341</v>
      </c>
      <c r="K31" s="499" t="s">
        <v>341</v>
      </c>
      <c r="L31" s="499">
        <v>0</v>
      </c>
      <c r="M31" s="501">
        <v>0</v>
      </c>
      <c r="N31" s="502" t="s">
        <v>341</v>
      </c>
      <c r="O31" s="499" t="s">
        <v>341</v>
      </c>
      <c r="P31" s="499">
        <v>0</v>
      </c>
      <c r="Q31" s="501">
        <v>0</v>
      </c>
      <c r="R31" s="503">
        <v>2014</v>
      </c>
      <c r="S31" s="504">
        <v>2050</v>
      </c>
    </row>
    <row r="32" spans="2:19" ht="12" customHeight="1" x14ac:dyDescent="0.25">
      <c r="B32" s="588"/>
      <c r="C32" s="588"/>
      <c r="E32" s="497" t="s">
        <v>232</v>
      </c>
      <c r="F32" s="498" t="s">
        <v>341</v>
      </c>
      <c r="G32" s="499" t="s">
        <v>341</v>
      </c>
      <c r="H32" s="499">
        <v>0</v>
      </c>
      <c r="I32" s="500">
        <v>0</v>
      </c>
      <c r="J32" s="498" t="s">
        <v>341</v>
      </c>
      <c r="K32" s="499" t="s">
        <v>341</v>
      </c>
      <c r="L32" s="499">
        <v>0</v>
      </c>
      <c r="M32" s="501">
        <v>0</v>
      </c>
      <c r="N32" s="502" t="s">
        <v>341</v>
      </c>
      <c r="O32" s="499" t="s">
        <v>341</v>
      </c>
      <c r="P32" s="499">
        <v>0</v>
      </c>
      <c r="Q32" s="501">
        <v>0</v>
      </c>
      <c r="R32" s="503">
        <v>2014</v>
      </c>
      <c r="S32" s="504">
        <v>2050</v>
      </c>
    </row>
    <row r="33" spans="2:19" ht="12" customHeight="1" x14ac:dyDescent="0.25">
      <c r="B33" s="588"/>
      <c r="C33" s="588"/>
      <c r="E33" s="497" t="s">
        <v>234</v>
      </c>
      <c r="F33" s="498" t="s">
        <v>341</v>
      </c>
      <c r="G33" s="499" t="s">
        <v>341</v>
      </c>
      <c r="H33" s="499">
        <v>0</v>
      </c>
      <c r="I33" s="500">
        <v>0</v>
      </c>
      <c r="J33" s="498" t="s">
        <v>341</v>
      </c>
      <c r="K33" s="499" t="s">
        <v>341</v>
      </c>
      <c r="L33" s="499">
        <v>0</v>
      </c>
      <c r="M33" s="501">
        <v>0</v>
      </c>
      <c r="N33" s="502" t="s">
        <v>341</v>
      </c>
      <c r="O33" s="499" t="s">
        <v>341</v>
      </c>
      <c r="P33" s="499">
        <v>0</v>
      </c>
      <c r="Q33" s="501">
        <v>0</v>
      </c>
      <c r="R33" s="503">
        <v>2014</v>
      </c>
      <c r="S33" s="504">
        <v>2050</v>
      </c>
    </row>
    <row r="34" spans="2:19" ht="12" customHeight="1" x14ac:dyDescent="0.25">
      <c r="B34" s="588"/>
      <c r="C34" s="588"/>
      <c r="E34" s="497" t="s">
        <v>233</v>
      </c>
      <c r="F34" s="498" t="s">
        <v>341</v>
      </c>
      <c r="G34" s="499" t="s">
        <v>341</v>
      </c>
      <c r="H34" s="499">
        <v>0</v>
      </c>
      <c r="I34" s="500">
        <v>0</v>
      </c>
      <c r="J34" s="498" t="s">
        <v>341</v>
      </c>
      <c r="K34" s="499" t="s">
        <v>341</v>
      </c>
      <c r="L34" s="499">
        <v>0</v>
      </c>
      <c r="M34" s="501">
        <v>0</v>
      </c>
      <c r="N34" s="502" t="s">
        <v>341</v>
      </c>
      <c r="O34" s="499" t="s">
        <v>341</v>
      </c>
      <c r="P34" s="499">
        <v>0</v>
      </c>
      <c r="Q34" s="501">
        <v>0</v>
      </c>
      <c r="R34" s="503">
        <v>2014</v>
      </c>
      <c r="S34" s="504">
        <v>2050</v>
      </c>
    </row>
    <row r="35" spans="2:19" ht="12" customHeight="1" x14ac:dyDescent="0.25">
      <c r="B35" s="588"/>
      <c r="C35" s="588"/>
      <c r="E35" s="497" t="s">
        <v>235</v>
      </c>
      <c r="F35" s="498" t="s">
        <v>341</v>
      </c>
      <c r="G35" s="499" t="s">
        <v>341</v>
      </c>
      <c r="H35" s="499">
        <v>0</v>
      </c>
      <c r="I35" s="500">
        <v>0</v>
      </c>
      <c r="J35" s="498" t="s">
        <v>341</v>
      </c>
      <c r="K35" s="499" t="s">
        <v>341</v>
      </c>
      <c r="L35" s="499">
        <v>0</v>
      </c>
      <c r="M35" s="501">
        <v>0</v>
      </c>
      <c r="N35" s="502" t="s">
        <v>341</v>
      </c>
      <c r="O35" s="499" t="s">
        <v>341</v>
      </c>
      <c r="P35" s="499">
        <v>0</v>
      </c>
      <c r="Q35" s="501">
        <v>0</v>
      </c>
      <c r="R35" s="503">
        <v>2014</v>
      </c>
      <c r="S35" s="504">
        <v>2050</v>
      </c>
    </row>
    <row r="36" spans="2:19" ht="12" customHeight="1" x14ac:dyDescent="0.25">
      <c r="B36" s="588"/>
      <c r="C36" s="588"/>
      <c r="E36" s="497" t="s">
        <v>242</v>
      </c>
      <c r="F36" s="498" t="s">
        <v>341</v>
      </c>
      <c r="G36" s="499" t="s">
        <v>341</v>
      </c>
      <c r="H36" s="499">
        <v>0</v>
      </c>
      <c r="I36" s="500">
        <v>0</v>
      </c>
      <c r="J36" s="498" t="s">
        <v>341</v>
      </c>
      <c r="K36" s="499" t="s">
        <v>341</v>
      </c>
      <c r="L36" s="499">
        <v>0</v>
      </c>
      <c r="M36" s="501">
        <v>0</v>
      </c>
      <c r="N36" s="502" t="s">
        <v>341</v>
      </c>
      <c r="O36" s="499" t="s">
        <v>341</v>
      </c>
      <c r="P36" s="499">
        <v>0</v>
      </c>
      <c r="Q36" s="501">
        <v>0</v>
      </c>
      <c r="R36" s="503">
        <v>2014</v>
      </c>
      <c r="S36" s="504">
        <v>2050</v>
      </c>
    </row>
    <row r="37" spans="2:19" ht="12" customHeight="1" x14ac:dyDescent="0.25">
      <c r="B37" s="588"/>
      <c r="C37" s="588"/>
      <c r="E37" s="497" t="s">
        <v>243</v>
      </c>
      <c r="F37" s="498" t="s">
        <v>341</v>
      </c>
      <c r="G37" s="499" t="s">
        <v>341</v>
      </c>
      <c r="H37" s="499">
        <v>0</v>
      </c>
      <c r="I37" s="500">
        <v>0</v>
      </c>
      <c r="J37" s="498" t="s">
        <v>341</v>
      </c>
      <c r="K37" s="499" t="s">
        <v>341</v>
      </c>
      <c r="L37" s="499">
        <v>0</v>
      </c>
      <c r="M37" s="501">
        <v>0</v>
      </c>
      <c r="N37" s="502" t="s">
        <v>341</v>
      </c>
      <c r="O37" s="499" t="s">
        <v>341</v>
      </c>
      <c r="P37" s="499">
        <v>0</v>
      </c>
      <c r="Q37" s="501">
        <v>0</v>
      </c>
      <c r="R37" s="503">
        <v>2014</v>
      </c>
      <c r="S37" s="504">
        <v>2050</v>
      </c>
    </row>
    <row r="38" spans="2:19" ht="12" customHeight="1" x14ac:dyDescent="0.25">
      <c r="B38" s="588"/>
      <c r="C38" s="588"/>
      <c r="E38" s="497" t="s">
        <v>236</v>
      </c>
      <c r="F38" s="498" t="s">
        <v>341</v>
      </c>
      <c r="G38" s="499" t="s">
        <v>341</v>
      </c>
      <c r="H38" s="499">
        <v>0</v>
      </c>
      <c r="I38" s="500">
        <v>0</v>
      </c>
      <c r="J38" s="498" t="s">
        <v>341</v>
      </c>
      <c r="K38" s="499" t="s">
        <v>341</v>
      </c>
      <c r="L38" s="499">
        <v>0</v>
      </c>
      <c r="M38" s="501">
        <v>0</v>
      </c>
      <c r="N38" s="502" t="s">
        <v>341</v>
      </c>
      <c r="O38" s="499" t="s">
        <v>341</v>
      </c>
      <c r="P38" s="499">
        <v>0</v>
      </c>
      <c r="Q38" s="501">
        <v>0</v>
      </c>
      <c r="R38" s="503">
        <v>2014</v>
      </c>
      <c r="S38" s="504">
        <v>2050</v>
      </c>
    </row>
    <row r="39" spans="2:19" x14ac:dyDescent="0.25">
      <c r="B39" s="588"/>
      <c r="C39" s="588"/>
      <c r="E39" s="497" t="s">
        <v>238</v>
      </c>
      <c r="F39" s="498" t="s">
        <v>341</v>
      </c>
      <c r="G39" s="499" t="s">
        <v>341</v>
      </c>
      <c r="H39" s="499">
        <v>0</v>
      </c>
      <c r="I39" s="500">
        <v>0</v>
      </c>
      <c r="J39" s="498" t="s">
        <v>341</v>
      </c>
      <c r="K39" s="499" t="s">
        <v>341</v>
      </c>
      <c r="L39" s="499">
        <v>0</v>
      </c>
      <c r="M39" s="501">
        <v>0</v>
      </c>
      <c r="N39" s="502" t="s">
        <v>341</v>
      </c>
      <c r="O39" s="499" t="s">
        <v>341</v>
      </c>
      <c r="P39" s="499">
        <v>0</v>
      </c>
      <c r="Q39" s="501">
        <v>0</v>
      </c>
      <c r="R39" s="503">
        <v>2014</v>
      </c>
      <c r="S39" s="504">
        <v>2050</v>
      </c>
    </row>
    <row r="40" spans="2:19" x14ac:dyDescent="0.25">
      <c r="B40" s="588"/>
      <c r="C40" s="588"/>
      <c r="E40" s="497" t="s">
        <v>239</v>
      </c>
      <c r="F40" s="498" t="s">
        <v>341</v>
      </c>
      <c r="G40" s="499" t="s">
        <v>341</v>
      </c>
      <c r="H40" s="499">
        <v>0</v>
      </c>
      <c r="I40" s="500">
        <v>0</v>
      </c>
      <c r="J40" s="498" t="s">
        <v>341</v>
      </c>
      <c r="K40" s="499" t="s">
        <v>341</v>
      </c>
      <c r="L40" s="499">
        <v>0</v>
      </c>
      <c r="M40" s="501">
        <v>0</v>
      </c>
      <c r="N40" s="502" t="s">
        <v>341</v>
      </c>
      <c r="O40" s="499" t="s">
        <v>341</v>
      </c>
      <c r="P40" s="499">
        <v>0</v>
      </c>
      <c r="Q40" s="501">
        <v>0</v>
      </c>
      <c r="R40" s="503">
        <v>2014</v>
      </c>
      <c r="S40" s="504">
        <v>2050</v>
      </c>
    </row>
    <row r="41" spans="2:19" x14ac:dyDescent="0.25">
      <c r="B41" s="588"/>
      <c r="C41" s="588"/>
      <c r="E41" s="497" t="s">
        <v>240</v>
      </c>
      <c r="F41" s="498" t="s">
        <v>341</v>
      </c>
      <c r="G41" s="499" t="s">
        <v>341</v>
      </c>
      <c r="H41" s="499">
        <v>0</v>
      </c>
      <c r="I41" s="500">
        <v>0</v>
      </c>
      <c r="J41" s="498" t="s">
        <v>341</v>
      </c>
      <c r="K41" s="499" t="s">
        <v>341</v>
      </c>
      <c r="L41" s="499">
        <v>0</v>
      </c>
      <c r="M41" s="501">
        <v>0</v>
      </c>
      <c r="N41" s="502" t="s">
        <v>341</v>
      </c>
      <c r="O41" s="499" t="s">
        <v>341</v>
      </c>
      <c r="P41" s="499">
        <v>0</v>
      </c>
      <c r="Q41" s="501">
        <v>0</v>
      </c>
      <c r="R41" s="503">
        <v>2014</v>
      </c>
      <c r="S41" s="504">
        <v>2050</v>
      </c>
    </row>
    <row r="42" spans="2:19" x14ac:dyDescent="0.25">
      <c r="B42" s="588"/>
      <c r="C42" s="588"/>
      <c r="E42" s="497" t="s">
        <v>237</v>
      </c>
      <c r="F42" s="498" t="s">
        <v>341</v>
      </c>
      <c r="G42" s="499" t="s">
        <v>341</v>
      </c>
      <c r="H42" s="499">
        <v>0</v>
      </c>
      <c r="I42" s="500">
        <v>0</v>
      </c>
      <c r="J42" s="498" t="s">
        <v>341</v>
      </c>
      <c r="K42" s="499" t="s">
        <v>341</v>
      </c>
      <c r="L42" s="499">
        <v>0</v>
      </c>
      <c r="M42" s="501">
        <v>0</v>
      </c>
      <c r="N42" s="502" t="s">
        <v>341</v>
      </c>
      <c r="O42" s="499" t="s">
        <v>341</v>
      </c>
      <c r="P42" s="499">
        <v>0</v>
      </c>
      <c r="Q42" s="501">
        <v>0</v>
      </c>
      <c r="R42" s="503">
        <v>2014</v>
      </c>
      <c r="S42" s="504">
        <v>2050</v>
      </c>
    </row>
    <row r="43" spans="2:19" x14ac:dyDescent="0.25">
      <c r="B43" s="588"/>
      <c r="C43" s="588"/>
      <c r="E43" s="497" t="s">
        <v>241</v>
      </c>
      <c r="F43" s="498" t="s">
        <v>341</v>
      </c>
      <c r="G43" s="499" t="s">
        <v>341</v>
      </c>
      <c r="H43" s="499">
        <v>0</v>
      </c>
      <c r="I43" s="500">
        <v>0</v>
      </c>
      <c r="J43" s="498" t="s">
        <v>341</v>
      </c>
      <c r="K43" s="499" t="s">
        <v>341</v>
      </c>
      <c r="L43" s="499">
        <v>0</v>
      </c>
      <c r="M43" s="501">
        <v>0</v>
      </c>
      <c r="N43" s="502" t="s">
        <v>341</v>
      </c>
      <c r="O43" s="499" t="s">
        <v>341</v>
      </c>
      <c r="P43" s="499">
        <v>0</v>
      </c>
      <c r="Q43" s="501">
        <v>0</v>
      </c>
      <c r="R43" s="503">
        <v>2014</v>
      </c>
      <c r="S43" s="504">
        <v>2050</v>
      </c>
    </row>
    <row r="44" spans="2:19" x14ac:dyDescent="0.25">
      <c r="B44" s="588"/>
      <c r="C44" s="588"/>
      <c r="E44" s="497" t="s">
        <v>244</v>
      </c>
      <c r="F44" s="498" t="s">
        <v>341</v>
      </c>
      <c r="G44" s="499" t="s">
        <v>341</v>
      </c>
      <c r="H44" s="499">
        <v>0</v>
      </c>
      <c r="I44" s="500">
        <v>0</v>
      </c>
      <c r="J44" s="498" t="s">
        <v>341</v>
      </c>
      <c r="K44" s="499" t="s">
        <v>341</v>
      </c>
      <c r="L44" s="499">
        <v>0</v>
      </c>
      <c r="M44" s="501">
        <v>0</v>
      </c>
      <c r="N44" s="502" t="s">
        <v>341</v>
      </c>
      <c r="O44" s="499" t="s">
        <v>341</v>
      </c>
      <c r="P44" s="499">
        <v>0</v>
      </c>
      <c r="Q44" s="501">
        <v>0</v>
      </c>
      <c r="R44" s="503">
        <v>2014</v>
      </c>
      <c r="S44" s="504">
        <v>2050</v>
      </c>
    </row>
    <row r="45" spans="2:19" x14ac:dyDescent="0.25">
      <c r="B45" s="588"/>
      <c r="C45" s="588"/>
      <c r="E45" s="497" t="s">
        <v>245</v>
      </c>
      <c r="F45" s="498" t="s">
        <v>341</v>
      </c>
      <c r="G45" s="499" t="s">
        <v>341</v>
      </c>
      <c r="H45" s="499">
        <v>0</v>
      </c>
      <c r="I45" s="500">
        <v>0</v>
      </c>
      <c r="J45" s="498" t="s">
        <v>341</v>
      </c>
      <c r="K45" s="499" t="s">
        <v>341</v>
      </c>
      <c r="L45" s="499">
        <v>0</v>
      </c>
      <c r="M45" s="501">
        <v>0</v>
      </c>
      <c r="N45" s="502" t="s">
        <v>341</v>
      </c>
      <c r="O45" s="499" t="s">
        <v>341</v>
      </c>
      <c r="P45" s="499">
        <v>0</v>
      </c>
      <c r="Q45" s="501">
        <v>0</v>
      </c>
      <c r="R45" s="503">
        <v>2014</v>
      </c>
      <c r="S45" s="504">
        <v>2050</v>
      </c>
    </row>
    <row r="46" spans="2:19" x14ac:dyDescent="0.25">
      <c r="B46" s="588"/>
      <c r="C46" s="588"/>
      <c r="E46" s="497" t="s">
        <v>246</v>
      </c>
      <c r="F46" s="498" t="s">
        <v>341</v>
      </c>
      <c r="G46" s="499" t="s">
        <v>341</v>
      </c>
      <c r="H46" s="499">
        <v>0</v>
      </c>
      <c r="I46" s="500">
        <v>0</v>
      </c>
      <c r="J46" s="498" t="s">
        <v>341</v>
      </c>
      <c r="K46" s="499" t="s">
        <v>341</v>
      </c>
      <c r="L46" s="499">
        <v>0</v>
      </c>
      <c r="M46" s="501">
        <v>0</v>
      </c>
      <c r="N46" s="502" t="s">
        <v>341</v>
      </c>
      <c r="O46" s="499" t="s">
        <v>341</v>
      </c>
      <c r="P46" s="499">
        <v>0</v>
      </c>
      <c r="Q46" s="501">
        <v>0</v>
      </c>
      <c r="R46" s="503">
        <v>2014</v>
      </c>
      <c r="S46" s="504">
        <v>2050</v>
      </c>
    </row>
    <row r="47" spans="2:19" x14ac:dyDescent="0.25">
      <c r="B47" s="588"/>
      <c r="C47" s="588"/>
      <c r="E47" s="497" t="s">
        <v>247</v>
      </c>
      <c r="F47" s="498" t="s">
        <v>341</v>
      </c>
      <c r="G47" s="499" t="s">
        <v>341</v>
      </c>
      <c r="H47" s="499">
        <v>0</v>
      </c>
      <c r="I47" s="500">
        <v>0</v>
      </c>
      <c r="J47" s="498" t="s">
        <v>341</v>
      </c>
      <c r="K47" s="499" t="s">
        <v>341</v>
      </c>
      <c r="L47" s="499">
        <v>0</v>
      </c>
      <c r="M47" s="501">
        <v>0</v>
      </c>
      <c r="N47" s="502" t="s">
        <v>341</v>
      </c>
      <c r="O47" s="499" t="s">
        <v>341</v>
      </c>
      <c r="P47" s="499">
        <v>0</v>
      </c>
      <c r="Q47" s="501">
        <v>0</v>
      </c>
      <c r="R47" s="503">
        <v>2014</v>
      </c>
      <c r="S47" s="504">
        <v>2050</v>
      </c>
    </row>
    <row r="48" spans="2:19" x14ac:dyDescent="0.25">
      <c r="B48" s="588"/>
      <c r="C48" s="588"/>
      <c r="E48" s="497" t="s">
        <v>248</v>
      </c>
      <c r="F48" s="498" t="s">
        <v>341</v>
      </c>
      <c r="G48" s="499" t="s">
        <v>341</v>
      </c>
      <c r="H48" s="499">
        <v>0</v>
      </c>
      <c r="I48" s="500">
        <v>0</v>
      </c>
      <c r="J48" s="498" t="s">
        <v>341</v>
      </c>
      <c r="K48" s="499" t="s">
        <v>341</v>
      </c>
      <c r="L48" s="499">
        <v>0</v>
      </c>
      <c r="M48" s="501">
        <v>0</v>
      </c>
      <c r="N48" s="502" t="s">
        <v>341</v>
      </c>
      <c r="O48" s="499" t="s">
        <v>341</v>
      </c>
      <c r="P48" s="499">
        <v>0</v>
      </c>
      <c r="Q48" s="501">
        <v>0</v>
      </c>
      <c r="R48" s="503">
        <v>2014</v>
      </c>
      <c r="S48" s="504">
        <v>2050</v>
      </c>
    </row>
    <row r="49" spans="2:19" x14ac:dyDescent="0.25">
      <c r="B49" s="588"/>
      <c r="C49" s="588"/>
      <c r="E49" s="497" t="s">
        <v>249</v>
      </c>
      <c r="F49" s="498" t="s">
        <v>341</v>
      </c>
      <c r="G49" s="499" t="s">
        <v>341</v>
      </c>
      <c r="H49" s="499">
        <v>0</v>
      </c>
      <c r="I49" s="500">
        <v>0</v>
      </c>
      <c r="J49" s="498" t="s">
        <v>341</v>
      </c>
      <c r="K49" s="499" t="s">
        <v>341</v>
      </c>
      <c r="L49" s="499">
        <v>0</v>
      </c>
      <c r="M49" s="501">
        <v>0</v>
      </c>
      <c r="N49" s="502" t="s">
        <v>341</v>
      </c>
      <c r="O49" s="499" t="s">
        <v>341</v>
      </c>
      <c r="P49" s="499">
        <v>0</v>
      </c>
      <c r="Q49" s="501">
        <v>0</v>
      </c>
      <c r="R49" s="503">
        <v>2014</v>
      </c>
      <c r="S49" s="504">
        <v>2050</v>
      </c>
    </row>
    <row r="50" spans="2:19" x14ac:dyDescent="0.25">
      <c r="B50" s="588"/>
      <c r="C50" s="588"/>
      <c r="E50" s="497" t="s">
        <v>250</v>
      </c>
      <c r="F50" s="498" t="s">
        <v>341</v>
      </c>
      <c r="G50" s="499" t="s">
        <v>341</v>
      </c>
      <c r="H50" s="499">
        <v>0</v>
      </c>
      <c r="I50" s="500">
        <v>0</v>
      </c>
      <c r="J50" s="498" t="s">
        <v>341</v>
      </c>
      <c r="K50" s="499" t="s">
        <v>341</v>
      </c>
      <c r="L50" s="499">
        <v>0</v>
      </c>
      <c r="M50" s="501">
        <v>0</v>
      </c>
      <c r="N50" s="502" t="s">
        <v>341</v>
      </c>
      <c r="O50" s="499" t="s">
        <v>341</v>
      </c>
      <c r="P50" s="499">
        <v>0</v>
      </c>
      <c r="Q50" s="501">
        <v>0</v>
      </c>
      <c r="R50" s="503">
        <v>2014</v>
      </c>
      <c r="S50" s="504">
        <v>2050</v>
      </c>
    </row>
    <row r="51" spans="2:19" x14ac:dyDescent="0.25">
      <c r="B51" s="588"/>
      <c r="C51" s="588"/>
      <c r="E51" s="497" t="s">
        <v>251</v>
      </c>
      <c r="F51" s="498" t="s">
        <v>341</v>
      </c>
      <c r="G51" s="499" t="s">
        <v>341</v>
      </c>
      <c r="H51" s="499">
        <v>0</v>
      </c>
      <c r="I51" s="500">
        <v>0</v>
      </c>
      <c r="J51" s="498" t="s">
        <v>341</v>
      </c>
      <c r="K51" s="499" t="s">
        <v>341</v>
      </c>
      <c r="L51" s="499">
        <v>0</v>
      </c>
      <c r="M51" s="501">
        <v>0</v>
      </c>
      <c r="N51" s="502" t="s">
        <v>341</v>
      </c>
      <c r="O51" s="499" t="s">
        <v>341</v>
      </c>
      <c r="P51" s="499">
        <v>0</v>
      </c>
      <c r="Q51" s="501">
        <v>0</v>
      </c>
      <c r="R51" s="503">
        <v>2014</v>
      </c>
      <c r="S51" s="504">
        <v>2050</v>
      </c>
    </row>
    <row r="52" spans="2:19" x14ac:dyDescent="0.25">
      <c r="E52" s="497" t="s">
        <v>252</v>
      </c>
      <c r="F52" s="498" t="s">
        <v>341</v>
      </c>
      <c r="G52" s="499" t="s">
        <v>341</v>
      </c>
      <c r="H52" s="499">
        <v>0</v>
      </c>
      <c r="I52" s="500">
        <v>0</v>
      </c>
      <c r="J52" s="498" t="s">
        <v>341</v>
      </c>
      <c r="K52" s="499" t="s">
        <v>341</v>
      </c>
      <c r="L52" s="499">
        <v>0</v>
      </c>
      <c r="M52" s="501">
        <v>0</v>
      </c>
      <c r="N52" s="502" t="s">
        <v>341</v>
      </c>
      <c r="O52" s="499" t="s">
        <v>341</v>
      </c>
      <c r="P52" s="499">
        <v>0</v>
      </c>
      <c r="Q52" s="501">
        <v>0</v>
      </c>
      <c r="R52" s="503">
        <v>2014</v>
      </c>
      <c r="S52" s="504">
        <v>2050</v>
      </c>
    </row>
    <row r="53" spans="2:19" x14ac:dyDescent="0.25">
      <c r="B53" s="589" t="s">
        <v>343</v>
      </c>
      <c r="C53" s="589"/>
      <c r="E53" s="497" t="s">
        <v>253</v>
      </c>
      <c r="F53" s="498" t="s">
        <v>341</v>
      </c>
      <c r="G53" s="499" t="s">
        <v>341</v>
      </c>
      <c r="H53" s="499">
        <v>0</v>
      </c>
      <c r="I53" s="500">
        <v>0</v>
      </c>
      <c r="J53" s="498" t="s">
        <v>341</v>
      </c>
      <c r="K53" s="499" t="s">
        <v>341</v>
      </c>
      <c r="L53" s="499">
        <v>0</v>
      </c>
      <c r="M53" s="501">
        <v>0</v>
      </c>
      <c r="N53" s="502" t="s">
        <v>341</v>
      </c>
      <c r="O53" s="499" t="s">
        <v>341</v>
      </c>
      <c r="P53" s="499">
        <v>0</v>
      </c>
      <c r="Q53" s="501">
        <v>0</v>
      </c>
      <c r="R53" s="503">
        <v>2014</v>
      </c>
      <c r="S53" s="504">
        <v>2050</v>
      </c>
    </row>
    <row r="54" spans="2:19" x14ac:dyDescent="0.25">
      <c r="B54" s="589"/>
      <c r="C54" s="589"/>
      <c r="E54" s="497" t="s">
        <v>255</v>
      </c>
      <c r="F54" s="498" t="s">
        <v>341</v>
      </c>
      <c r="G54" s="499" t="s">
        <v>341</v>
      </c>
      <c r="H54" s="499">
        <v>0</v>
      </c>
      <c r="I54" s="500">
        <v>0</v>
      </c>
      <c r="J54" s="498" t="s">
        <v>341</v>
      </c>
      <c r="K54" s="499" t="s">
        <v>341</v>
      </c>
      <c r="L54" s="499">
        <v>0</v>
      </c>
      <c r="M54" s="501">
        <v>0</v>
      </c>
      <c r="N54" s="502" t="s">
        <v>341</v>
      </c>
      <c r="O54" s="499" t="s">
        <v>341</v>
      </c>
      <c r="P54" s="499">
        <v>0</v>
      </c>
      <c r="Q54" s="501">
        <v>0</v>
      </c>
      <c r="R54" s="503">
        <v>2014</v>
      </c>
      <c r="S54" s="504">
        <v>2050</v>
      </c>
    </row>
    <row r="55" spans="2:19" x14ac:dyDescent="0.25">
      <c r="B55" s="589"/>
      <c r="C55" s="589"/>
      <c r="E55" s="497" t="s">
        <v>254</v>
      </c>
      <c r="F55" s="498" t="s">
        <v>341</v>
      </c>
      <c r="G55" s="499" t="s">
        <v>341</v>
      </c>
      <c r="H55" s="499">
        <v>0</v>
      </c>
      <c r="I55" s="500">
        <v>0</v>
      </c>
      <c r="J55" s="498" t="s">
        <v>341</v>
      </c>
      <c r="K55" s="499" t="s">
        <v>341</v>
      </c>
      <c r="L55" s="499">
        <v>0</v>
      </c>
      <c r="M55" s="501">
        <v>0</v>
      </c>
      <c r="N55" s="502" t="s">
        <v>341</v>
      </c>
      <c r="O55" s="499" t="s">
        <v>341</v>
      </c>
      <c r="P55" s="499">
        <v>0</v>
      </c>
      <c r="Q55" s="501">
        <v>0</v>
      </c>
      <c r="R55" s="503">
        <v>2014</v>
      </c>
      <c r="S55" s="504">
        <v>2050</v>
      </c>
    </row>
    <row r="56" spans="2:19" x14ac:dyDescent="0.25">
      <c r="E56" s="497" t="s">
        <v>256</v>
      </c>
      <c r="F56" s="498" t="s">
        <v>341</v>
      </c>
      <c r="G56" s="499" t="s">
        <v>341</v>
      </c>
      <c r="H56" s="499">
        <v>0</v>
      </c>
      <c r="I56" s="500">
        <v>0</v>
      </c>
      <c r="J56" s="498" t="s">
        <v>341</v>
      </c>
      <c r="K56" s="499" t="s">
        <v>341</v>
      </c>
      <c r="L56" s="499">
        <v>0</v>
      </c>
      <c r="M56" s="501">
        <v>0</v>
      </c>
      <c r="N56" s="502" t="s">
        <v>341</v>
      </c>
      <c r="O56" s="499" t="s">
        <v>341</v>
      </c>
      <c r="P56" s="499">
        <v>0</v>
      </c>
      <c r="Q56" s="501">
        <v>0</v>
      </c>
      <c r="R56" s="503">
        <v>2014</v>
      </c>
      <c r="S56" s="504">
        <v>2050</v>
      </c>
    </row>
    <row r="57" spans="2:19" x14ac:dyDescent="0.25">
      <c r="B57" s="584" t="s">
        <v>344</v>
      </c>
      <c r="C57" s="584"/>
      <c r="E57" s="497" t="s">
        <v>258</v>
      </c>
      <c r="F57" s="498" t="s">
        <v>341</v>
      </c>
      <c r="G57" s="499" t="s">
        <v>341</v>
      </c>
      <c r="H57" s="499">
        <v>0</v>
      </c>
      <c r="I57" s="500">
        <v>0</v>
      </c>
      <c r="J57" s="498" t="s">
        <v>341</v>
      </c>
      <c r="K57" s="499" t="s">
        <v>341</v>
      </c>
      <c r="L57" s="499">
        <v>0</v>
      </c>
      <c r="M57" s="501">
        <v>0</v>
      </c>
      <c r="N57" s="502" t="s">
        <v>341</v>
      </c>
      <c r="O57" s="499" t="s">
        <v>341</v>
      </c>
      <c r="P57" s="499">
        <v>0</v>
      </c>
      <c r="Q57" s="501">
        <v>0</v>
      </c>
      <c r="R57" s="503">
        <v>2014</v>
      </c>
      <c r="S57" s="504">
        <v>2050</v>
      </c>
    </row>
    <row r="58" spans="2:19" x14ac:dyDescent="0.25">
      <c r="B58" s="584"/>
      <c r="C58" s="584"/>
      <c r="E58" s="497" t="s">
        <v>257</v>
      </c>
      <c r="F58" s="498" t="s">
        <v>341</v>
      </c>
      <c r="G58" s="499" t="s">
        <v>341</v>
      </c>
      <c r="H58" s="499">
        <v>0</v>
      </c>
      <c r="I58" s="500">
        <v>0</v>
      </c>
      <c r="J58" s="498" t="s">
        <v>341</v>
      </c>
      <c r="K58" s="499" t="s">
        <v>341</v>
      </c>
      <c r="L58" s="499">
        <v>0</v>
      </c>
      <c r="M58" s="501">
        <v>0</v>
      </c>
      <c r="N58" s="502" t="s">
        <v>341</v>
      </c>
      <c r="O58" s="499" t="s">
        <v>341</v>
      </c>
      <c r="P58" s="499">
        <v>0</v>
      </c>
      <c r="Q58" s="501">
        <v>0</v>
      </c>
      <c r="R58" s="503">
        <v>2014</v>
      </c>
      <c r="S58" s="504">
        <v>2050</v>
      </c>
    </row>
    <row r="59" spans="2:19" ht="13.8" thickBot="1" x14ac:dyDescent="0.3">
      <c r="B59" s="584"/>
      <c r="C59" s="584"/>
      <c r="E59" s="507" t="s">
        <v>259</v>
      </c>
      <c r="F59" s="508" t="s">
        <v>341</v>
      </c>
      <c r="G59" s="509" t="s">
        <v>341</v>
      </c>
      <c r="H59" s="509">
        <v>0</v>
      </c>
      <c r="I59" s="510">
        <v>0</v>
      </c>
      <c r="J59" s="508" t="s">
        <v>341</v>
      </c>
      <c r="K59" s="509" t="s">
        <v>341</v>
      </c>
      <c r="L59" s="509">
        <v>0</v>
      </c>
      <c r="M59" s="511">
        <v>0</v>
      </c>
      <c r="N59" s="512" t="s">
        <v>341</v>
      </c>
      <c r="O59" s="509" t="s">
        <v>341</v>
      </c>
      <c r="P59" s="509">
        <v>0</v>
      </c>
      <c r="Q59" s="511">
        <v>0</v>
      </c>
      <c r="R59" s="513">
        <v>2014</v>
      </c>
      <c r="S59" s="514">
        <v>2050</v>
      </c>
    </row>
    <row r="60" spans="2:19" x14ac:dyDescent="0.25">
      <c r="B60" s="584"/>
      <c r="C60" s="584"/>
      <c r="M60" s="478"/>
    </row>
    <row r="125" spans="2:2" x14ac:dyDescent="0.25">
      <c r="B125" s="515" t="s">
        <v>345</v>
      </c>
    </row>
    <row r="126" spans="2:2" x14ac:dyDescent="0.25">
      <c r="B126" s="515" t="s">
        <v>332</v>
      </c>
    </row>
    <row r="127" spans="2:2" x14ac:dyDescent="0.25">
      <c r="B127" s="515" t="s">
        <v>346</v>
      </c>
    </row>
    <row r="128" spans="2:2" x14ac:dyDescent="0.25">
      <c r="B128" s="515" t="s">
        <v>347</v>
      </c>
    </row>
    <row r="129" spans="2:2" x14ac:dyDescent="0.25">
      <c r="B129" s="515" t="s">
        <v>348</v>
      </c>
    </row>
    <row r="132" spans="2:2" x14ac:dyDescent="0.25">
      <c r="B132" s="516">
        <v>2014</v>
      </c>
    </row>
    <row r="133" spans="2:2" x14ac:dyDescent="0.25">
      <c r="B133" s="516">
        <v>2016</v>
      </c>
    </row>
    <row r="134" spans="2:2" x14ac:dyDescent="0.25">
      <c r="B134" s="516">
        <v>2018</v>
      </c>
    </row>
    <row r="135" spans="2:2" x14ac:dyDescent="0.25">
      <c r="B135" s="516">
        <v>2020</v>
      </c>
    </row>
    <row r="136" spans="2:2" x14ac:dyDescent="0.25">
      <c r="B136" s="516">
        <v>2022</v>
      </c>
    </row>
    <row r="137" spans="2:2" x14ac:dyDescent="0.25">
      <c r="B137" s="516">
        <v>2024</v>
      </c>
    </row>
    <row r="138" spans="2:2" x14ac:dyDescent="0.25">
      <c r="B138" s="516">
        <v>2026</v>
      </c>
    </row>
    <row r="139" spans="2:2" x14ac:dyDescent="0.25">
      <c r="B139" s="516">
        <v>2028</v>
      </c>
    </row>
    <row r="140" spans="2:2" x14ac:dyDescent="0.25">
      <c r="B140" s="516">
        <v>2030</v>
      </c>
    </row>
    <row r="141" spans="2:2" x14ac:dyDescent="0.25">
      <c r="B141" s="516">
        <v>2032</v>
      </c>
    </row>
    <row r="142" spans="2:2" x14ac:dyDescent="0.25">
      <c r="B142" s="516">
        <v>2034</v>
      </c>
    </row>
    <row r="143" spans="2:2" x14ac:dyDescent="0.25">
      <c r="B143" s="516">
        <v>2036</v>
      </c>
    </row>
    <row r="144" spans="2:2" x14ac:dyDescent="0.25">
      <c r="B144" s="516">
        <v>2038</v>
      </c>
    </row>
    <row r="145" spans="2:2" x14ac:dyDescent="0.25">
      <c r="B145" s="516">
        <v>2040</v>
      </c>
    </row>
    <row r="146" spans="2:2" x14ac:dyDescent="0.25">
      <c r="B146" s="516">
        <v>2042</v>
      </c>
    </row>
    <row r="147" spans="2:2" x14ac:dyDescent="0.25">
      <c r="B147" s="516">
        <v>2044</v>
      </c>
    </row>
    <row r="148" spans="2:2" x14ac:dyDescent="0.25">
      <c r="B148" s="516">
        <v>2046</v>
      </c>
    </row>
    <row r="149" spans="2:2" x14ac:dyDescent="0.25">
      <c r="B149" s="516">
        <v>2048</v>
      </c>
    </row>
    <row r="150" spans="2:2" x14ac:dyDescent="0.25">
      <c r="B150" s="516">
        <v>2050</v>
      </c>
    </row>
    <row r="153" spans="2:2" x14ac:dyDescent="0.25">
      <c r="B153" s="517" t="b">
        <v>1</v>
      </c>
    </row>
    <row r="154" spans="2:2" x14ac:dyDescent="0.25">
      <c r="B154" s="517" t="b">
        <v>0</v>
      </c>
    </row>
    <row r="166" spans="1:4" x14ac:dyDescent="0.25">
      <c r="A166" s="516"/>
      <c r="B166" s="516" t="s">
        <v>349</v>
      </c>
      <c r="C166" s="516" t="s">
        <v>350</v>
      </c>
      <c r="D166" s="516" t="s">
        <v>351</v>
      </c>
    </row>
    <row r="167" spans="1:4" x14ac:dyDescent="0.25">
      <c r="A167" s="516" t="s">
        <v>211</v>
      </c>
      <c r="B167" s="516">
        <v>25</v>
      </c>
      <c r="C167" s="516">
        <v>25</v>
      </c>
      <c r="D167" s="516">
        <v>25</v>
      </c>
    </row>
    <row r="168" spans="1:4" x14ac:dyDescent="0.25">
      <c r="A168" s="516" t="s">
        <v>210</v>
      </c>
      <c r="B168" s="516">
        <v>0</v>
      </c>
      <c r="C168" s="516">
        <v>0</v>
      </c>
      <c r="D168" s="516">
        <v>0</v>
      </c>
    </row>
    <row r="169" spans="1:4" x14ac:dyDescent="0.25">
      <c r="A169" s="516" t="s">
        <v>213</v>
      </c>
      <c r="B169" s="516">
        <v>25</v>
      </c>
      <c r="C169" s="516">
        <v>300</v>
      </c>
      <c r="D169" s="516">
        <v>300</v>
      </c>
    </row>
    <row r="170" spans="1:4" x14ac:dyDescent="0.25">
      <c r="A170" s="516" t="s">
        <v>212</v>
      </c>
      <c r="B170" s="516" t="s">
        <v>341</v>
      </c>
      <c r="C170" s="516" t="s">
        <v>341</v>
      </c>
      <c r="D170" s="516" t="s">
        <v>341</v>
      </c>
    </row>
    <row r="171" spans="1:4" x14ac:dyDescent="0.25">
      <c r="A171" s="516" t="s">
        <v>214</v>
      </c>
      <c r="B171" s="516">
        <v>1000</v>
      </c>
      <c r="C171" s="516">
        <v>1000</v>
      </c>
      <c r="D171" s="516">
        <v>1000</v>
      </c>
    </row>
    <row r="172" spans="1:4" x14ac:dyDescent="0.25">
      <c r="A172" s="516" t="s">
        <v>215</v>
      </c>
      <c r="B172" s="516" t="s">
        <v>341</v>
      </c>
      <c r="C172" s="516" t="s">
        <v>341</v>
      </c>
      <c r="D172" s="516" t="s">
        <v>341</v>
      </c>
    </row>
    <row r="173" spans="1:4" x14ac:dyDescent="0.25">
      <c r="A173" s="516" t="s">
        <v>216</v>
      </c>
      <c r="B173" s="516">
        <v>2000</v>
      </c>
      <c r="C173" s="516">
        <v>2000</v>
      </c>
      <c r="D173" s="516">
        <v>2000</v>
      </c>
    </row>
    <row r="174" spans="1:4" x14ac:dyDescent="0.25">
      <c r="A174" s="516" t="s">
        <v>11</v>
      </c>
      <c r="B174" s="516">
        <v>1000</v>
      </c>
      <c r="C174" s="516">
        <v>1000</v>
      </c>
      <c r="D174" s="516">
        <v>0</v>
      </c>
    </row>
    <row r="175" spans="1:4" x14ac:dyDescent="0.25">
      <c r="A175" s="516" t="s">
        <v>217</v>
      </c>
      <c r="B175" s="516">
        <v>25</v>
      </c>
      <c r="C175" s="516">
        <v>2000</v>
      </c>
      <c r="D175" s="516">
        <v>2000</v>
      </c>
    </row>
    <row r="176" spans="1:4" x14ac:dyDescent="0.25">
      <c r="A176" s="516" t="s">
        <v>218</v>
      </c>
      <c r="B176" s="516">
        <v>2000</v>
      </c>
      <c r="C176" s="516">
        <v>2000</v>
      </c>
      <c r="D176" s="516">
        <v>2000</v>
      </c>
    </row>
    <row r="177" spans="1:4" x14ac:dyDescent="0.25">
      <c r="A177" s="516" t="s">
        <v>219</v>
      </c>
      <c r="B177" s="516">
        <v>10</v>
      </c>
      <c r="C177" s="516">
        <v>100</v>
      </c>
      <c r="D177" s="516">
        <v>100</v>
      </c>
    </row>
    <row r="178" spans="1:4" x14ac:dyDescent="0.25">
      <c r="A178" s="516" t="s">
        <v>220</v>
      </c>
      <c r="B178" s="516">
        <v>100</v>
      </c>
      <c r="C178" s="516">
        <v>100</v>
      </c>
      <c r="D178" s="516">
        <v>100</v>
      </c>
    </row>
    <row r="179" spans="1:4" x14ac:dyDescent="0.25">
      <c r="A179" s="516" t="s">
        <v>224</v>
      </c>
      <c r="B179" s="516">
        <v>500</v>
      </c>
      <c r="C179" s="516">
        <v>500</v>
      </c>
      <c r="D179" s="516">
        <v>500</v>
      </c>
    </row>
    <row r="180" spans="1:4" x14ac:dyDescent="0.25">
      <c r="A180" s="516" t="s">
        <v>221</v>
      </c>
      <c r="B180" s="516">
        <v>0</v>
      </c>
      <c r="C180" s="516">
        <v>0</v>
      </c>
      <c r="D180" s="516">
        <v>0</v>
      </c>
    </row>
    <row r="181" spans="1:4" x14ac:dyDescent="0.25">
      <c r="A181" s="516" t="s">
        <v>222</v>
      </c>
      <c r="B181" s="516">
        <v>40</v>
      </c>
      <c r="C181" s="516">
        <v>40</v>
      </c>
      <c r="D181" s="516">
        <v>40</v>
      </c>
    </row>
    <row r="182" spans="1:4" x14ac:dyDescent="0.25">
      <c r="A182" s="516" t="s">
        <v>223</v>
      </c>
      <c r="B182" s="516">
        <v>1000</v>
      </c>
      <c r="C182" s="516">
        <v>1000</v>
      </c>
      <c r="D182" s="516">
        <v>1000</v>
      </c>
    </row>
    <row r="183" spans="1:4" x14ac:dyDescent="0.25">
      <c r="A183" s="516" t="s">
        <v>225</v>
      </c>
      <c r="B183" s="516">
        <v>25</v>
      </c>
      <c r="C183" s="516">
        <v>200</v>
      </c>
      <c r="D183" s="516">
        <v>200</v>
      </c>
    </row>
    <row r="184" spans="1:4" x14ac:dyDescent="0.25">
      <c r="A184" s="516" t="s">
        <v>226</v>
      </c>
      <c r="B184" s="516">
        <v>30</v>
      </c>
      <c r="C184" s="516">
        <v>30</v>
      </c>
      <c r="D184" s="516">
        <v>30</v>
      </c>
    </row>
    <row r="185" spans="1:4" x14ac:dyDescent="0.25">
      <c r="A185" s="516" t="s">
        <v>227</v>
      </c>
      <c r="B185" s="516">
        <v>25</v>
      </c>
      <c r="C185" s="516">
        <v>300</v>
      </c>
      <c r="D185" s="516">
        <v>0</v>
      </c>
    </row>
    <row r="186" spans="1:4" x14ac:dyDescent="0.25">
      <c r="A186" s="516" t="s">
        <v>230</v>
      </c>
      <c r="B186" s="516">
        <v>2000</v>
      </c>
      <c r="C186" s="516">
        <v>2000</v>
      </c>
      <c r="D186" s="516">
        <v>2000</v>
      </c>
    </row>
    <row r="187" spans="1:4" x14ac:dyDescent="0.25">
      <c r="A187" s="516" t="s">
        <v>229</v>
      </c>
      <c r="B187" s="516">
        <v>2000</v>
      </c>
      <c r="C187" s="516">
        <v>2000</v>
      </c>
      <c r="D187" s="516">
        <v>2000</v>
      </c>
    </row>
    <row r="188" spans="1:4" x14ac:dyDescent="0.25">
      <c r="A188" s="516" t="s">
        <v>228</v>
      </c>
      <c r="B188" s="516">
        <v>660</v>
      </c>
      <c r="C188" s="516">
        <v>660</v>
      </c>
      <c r="D188" s="516">
        <v>660</v>
      </c>
    </row>
    <row r="189" spans="1:4" x14ac:dyDescent="0.25">
      <c r="A189" s="516" t="s">
        <v>231</v>
      </c>
      <c r="B189" s="516">
        <v>150</v>
      </c>
      <c r="C189" s="516">
        <v>150</v>
      </c>
      <c r="D189" s="516">
        <v>150</v>
      </c>
    </row>
    <row r="190" spans="1:4" x14ac:dyDescent="0.25">
      <c r="A190" s="516" t="s">
        <v>232</v>
      </c>
      <c r="B190" s="516">
        <v>1000</v>
      </c>
      <c r="C190" s="516">
        <v>1000</v>
      </c>
      <c r="D190" s="516">
        <v>1000</v>
      </c>
    </row>
    <row r="191" spans="1:4" x14ac:dyDescent="0.25">
      <c r="A191" s="516" t="s">
        <v>234</v>
      </c>
      <c r="B191" s="516">
        <v>100</v>
      </c>
      <c r="C191" s="516">
        <v>100</v>
      </c>
      <c r="D191" s="516">
        <v>100</v>
      </c>
    </row>
    <row r="192" spans="1:4" x14ac:dyDescent="0.25">
      <c r="A192" s="516" t="s">
        <v>233</v>
      </c>
      <c r="B192" s="516">
        <v>0</v>
      </c>
      <c r="C192" s="516">
        <v>0</v>
      </c>
      <c r="D192" s="516">
        <v>0</v>
      </c>
    </row>
    <row r="193" spans="1:4" x14ac:dyDescent="0.25">
      <c r="A193" s="516" t="s">
        <v>235</v>
      </c>
      <c r="B193" s="516">
        <v>50</v>
      </c>
      <c r="C193" s="516">
        <v>50</v>
      </c>
      <c r="D193" s="516">
        <v>50</v>
      </c>
    </row>
    <row r="194" spans="1:4" x14ac:dyDescent="0.25">
      <c r="A194" s="516" t="s">
        <v>242</v>
      </c>
      <c r="B194" s="516">
        <v>1000</v>
      </c>
      <c r="C194" s="516">
        <v>1000</v>
      </c>
      <c r="D194" s="516">
        <v>1000</v>
      </c>
    </row>
    <row r="195" spans="1:4" x14ac:dyDescent="0.25">
      <c r="A195" s="516" t="s">
        <v>243</v>
      </c>
      <c r="B195" s="516">
        <v>100</v>
      </c>
      <c r="C195" s="516">
        <v>100</v>
      </c>
      <c r="D195" s="516">
        <v>100</v>
      </c>
    </row>
    <row r="196" spans="1:4" x14ac:dyDescent="0.25">
      <c r="A196" s="516" t="s">
        <v>236</v>
      </c>
      <c r="B196" s="516">
        <v>25</v>
      </c>
      <c r="C196" s="516">
        <v>25</v>
      </c>
      <c r="D196" s="516">
        <v>25</v>
      </c>
    </row>
    <row r="197" spans="1:4" x14ac:dyDescent="0.25">
      <c r="A197" s="516" t="s">
        <v>238</v>
      </c>
      <c r="B197" s="516">
        <v>100</v>
      </c>
      <c r="C197" s="516">
        <v>100</v>
      </c>
      <c r="D197" s="516">
        <v>100</v>
      </c>
    </row>
    <row r="198" spans="1:4" x14ac:dyDescent="0.25">
      <c r="A198" s="516" t="s">
        <v>239</v>
      </c>
      <c r="B198" s="516" t="s">
        <v>341</v>
      </c>
      <c r="C198" s="516" t="s">
        <v>341</v>
      </c>
      <c r="D198" s="516" t="s">
        <v>341</v>
      </c>
    </row>
    <row r="199" spans="1:4" x14ac:dyDescent="0.25">
      <c r="A199" s="516" t="s">
        <v>240</v>
      </c>
      <c r="B199" s="516">
        <v>80000</v>
      </c>
      <c r="C199" s="516">
        <v>80000</v>
      </c>
      <c r="D199" s="516">
        <v>80000</v>
      </c>
    </row>
    <row r="200" spans="1:4" x14ac:dyDescent="0.25">
      <c r="A200" s="516" t="s">
        <v>237</v>
      </c>
      <c r="B200" s="516">
        <v>1000</v>
      </c>
      <c r="C200" s="516">
        <v>1000</v>
      </c>
      <c r="D200" s="516">
        <v>1000</v>
      </c>
    </row>
    <row r="201" spans="1:4" x14ac:dyDescent="0.25">
      <c r="A201" s="516" t="s">
        <v>241</v>
      </c>
      <c r="B201" s="516">
        <v>25</v>
      </c>
      <c r="C201" s="516">
        <v>2000</v>
      </c>
      <c r="D201" s="516">
        <v>2000</v>
      </c>
    </row>
    <row r="202" spans="1:4" x14ac:dyDescent="0.25">
      <c r="A202" s="516" t="s">
        <v>244</v>
      </c>
      <c r="B202" s="516" t="s">
        <v>341</v>
      </c>
      <c r="C202" s="516" t="s">
        <v>341</v>
      </c>
      <c r="D202" s="516" t="s">
        <v>341</v>
      </c>
    </row>
    <row r="203" spans="1:4" x14ac:dyDescent="0.25">
      <c r="A203" s="516" t="s">
        <v>245</v>
      </c>
      <c r="B203" s="516">
        <v>15</v>
      </c>
      <c r="C203" s="516">
        <v>15</v>
      </c>
      <c r="D203" s="516">
        <v>15</v>
      </c>
    </row>
    <row r="204" spans="1:4" x14ac:dyDescent="0.25">
      <c r="A204" s="516" t="s">
        <v>246</v>
      </c>
      <c r="B204" s="516">
        <v>25</v>
      </c>
      <c r="C204" s="516">
        <v>2000</v>
      </c>
      <c r="D204" s="516">
        <v>2000</v>
      </c>
    </row>
    <row r="205" spans="1:4" x14ac:dyDescent="0.25">
      <c r="A205" s="516" t="s">
        <v>247</v>
      </c>
      <c r="B205" s="516">
        <v>50</v>
      </c>
      <c r="C205" s="516">
        <v>3000</v>
      </c>
      <c r="D205" s="516">
        <v>3000</v>
      </c>
    </row>
    <row r="206" spans="1:4" x14ac:dyDescent="0.25">
      <c r="A206" s="516" t="s">
        <v>248</v>
      </c>
      <c r="B206" s="516">
        <v>5000</v>
      </c>
      <c r="C206" s="516">
        <v>5000</v>
      </c>
      <c r="D206" s="516">
        <v>5000</v>
      </c>
    </row>
    <row r="207" spans="1:4" x14ac:dyDescent="0.25">
      <c r="A207" s="516" t="s">
        <v>249</v>
      </c>
      <c r="B207" s="516">
        <v>20</v>
      </c>
      <c r="C207" s="516">
        <v>100</v>
      </c>
      <c r="D207" s="516">
        <v>100</v>
      </c>
    </row>
    <row r="208" spans="1:4" x14ac:dyDescent="0.25">
      <c r="A208" s="516" t="s">
        <v>250</v>
      </c>
      <c r="B208" s="516">
        <v>0</v>
      </c>
      <c r="C208" s="516">
        <v>0</v>
      </c>
      <c r="D208" s="516">
        <v>0</v>
      </c>
    </row>
    <row r="209" spans="1:4" x14ac:dyDescent="0.25">
      <c r="A209" s="516" t="s">
        <v>251</v>
      </c>
      <c r="B209" s="516">
        <v>0</v>
      </c>
      <c r="C209" s="516">
        <v>0</v>
      </c>
      <c r="D209" s="516">
        <v>0</v>
      </c>
    </row>
    <row r="210" spans="1:4" x14ac:dyDescent="0.25">
      <c r="A210" s="516" t="s">
        <v>252</v>
      </c>
      <c r="B210" s="516">
        <v>0</v>
      </c>
      <c r="C210" s="516">
        <v>0</v>
      </c>
      <c r="D210" s="516">
        <v>0</v>
      </c>
    </row>
    <row r="211" spans="1:4" x14ac:dyDescent="0.25">
      <c r="A211" s="516" t="s">
        <v>253</v>
      </c>
      <c r="B211" s="516">
        <v>25</v>
      </c>
      <c r="C211" s="516">
        <v>2000</v>
      </c>
      <c r="D211" s="516">
        <v>2000</v>
      </c>
    </row>
    <row r="212" spans="1:4" x14ac:dyDescent="0.25">
      <c r="A212" s="516" t="s">
        <v>255</v>
      </c>
      <c r="B212" s="516">
        <v>10</v>
      </c>
      <c r="C212" s="516">
        <v>500</v>
      </c>
      <c r="D212" s="516">
        <v>500</v>
      </c>
    </row>
    <row r="213" spans="1:4" x14ac:dyDescent="0.25">
      <c r="A213" s="516" t="s">
        <v>254</v>
      </c>
      <c r="B213" s="516">
        <v>500</v>
      </c>
      <c r="C213" s="516">
        <v>500</v>
      </c>
      <c r="D213" s="516">
        <v>500</v>
      </c>
    </row>
    <row r="214" spans="1:4" x14ac:dyDescent="0.25">
      <c r="A214" s="516" t="s">
        <v>256</v>
      </c>
      <c r="B214" s="516">
        <v>100</v>
      </c>
      <c r="C214" s="516">
        <v>100</v>
      </c>
      <c r="D214" s="516">
        <v>100</v>
      </c>
    </row>
    <row r="215" spans="1:4" x14ac:dyDescent="0.25">
      <c r="A215" s="516" t="s">
        <v>258</v>
      </c>
      <c r="B215" s="516">
        <v>100</v>
      </c>
      <c r="C215" s="516">
        <v>100</v>
      </c>
      <c r="D215" s="516">
        <v>100</v>
      </c>
    </row>
    <row r="216" spans="1:4" x14ac:dyDescent="0.25">
      <c r="A216" s="516" t="s">
        <v>257</v>
      </c>
      <c r="B216" s="516">
        <v>25</v>
      </c>
      <c r="C216" s="516">
        <v>500</v>
      </c>
      <c r="D216" s="516">
        <v>2000</v>
      </c>
    </row>
    <row r="217" spans="1:4" x14ac:dyDescent="0.25">
      <c r="A217" s="516" t="s">
        <v>259</v>
      </c>
      <c r="B217" s="516">
        <v>25</v>
      </c>
      <c r="C217" s="516">
        <v>25</v>
      </c>
      <c r="D217" s="516">
        <v>25</v>
      </c>
    </row>
    <row r="218" spans="1:4" x14ac:dyDescent="0.25">
      <c r="B218" s="51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67</vt:i4>
      </vt:variant>
    </vt:vector>
  </HeadingPairs>
  <TitlesOfParts>
    <vt:vector size="74" baseType="lpstr">
      <vt:lpstr>Main</vt:lpstr>
      <vt:lpstr>Wind Cost</vt:lpstr>
      <vt:lpstr>Wind Performance</vt:lpstr>
      <vt:lpstr>Finance</vt:lpstr>
      <vt:lpstr>Market Projections</vt:lpstr>
      <vt:lpstr>Wind Policies</vt:lpstr>
      <vt:lpstr>Net Metering</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rate_type_weights</vt:lpstr>
      <vt:lpstr>Region_Scenario</vt:lpstr>
      <vt:lpstr>Res_Max_Market</vt:lpstr>
      <vt:lpstr>Res_Rate_Escal</vt:lpstr>
      <vt:lpstr>Res_Rate_Scenario</vt:lpstr>
      <vt:lpstr>sys_sizing</vt:lpstr>
      <vt:lpstr>ud_rates</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2015-02-23T23:33:30Z</dcterms:modified>
</cp:coreProperties>
</file>