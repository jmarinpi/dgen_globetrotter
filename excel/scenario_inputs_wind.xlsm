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8C4F1C90-05EB-6A55-5F09-09C24B55AC0B}"/>
  <workbookPr showInkAnnotation="0" codeName="ThisWorkbook" autoCompressPictures="0"/>
  <bookViews>
    <workbookView xWindow="0" yWindow="0" windowWidth="38400" windowHeight="19400" tabRatio="782" activeTab="3"/>
  </bookViews>
  <sheets>
    <sheet name="Main" sheetId="8" r:id="rId1"/>
    <sheet name="Wind Cost" sheetId="34"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s>
  <definedNames>
    <definedName name="_xlnm._FilterDatabase" localSheetId="0" hidden="1">Main!$E$151:$E$153</definedName>
    <definedName name="Analysis_End_Year">Main!$D$12</definedName>
    <definedName name="Annual_Inflation">Finance!$E$6</definedName>
    <definedName name="Batch_Runs" localSheetId="7">[1]Main!#REF!</definedName>
    <definedName name="Batch_Runs">Main!#REF!</definedName>
    <definedName name="Building_Type_Run_Scenario">Main!$D$13</definedName>
    <definedName name="canopy_clearance">'Turbine Siting'!$B$29:$D$39</definedName>
    <definedName name="Carbon_Scenario">Main!$D$26</definedName>
    <definedName name="Com_Max_Market">Main!$D$21</definedName>
    <definedName name="Com_Payback_Metric" localSheetId="7">[1]Main!#REF!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7">[1]Main!#REF!</definedName>
    <definedName name="Fed_Tax_Scenario">Main!#REF!</definedName>
    <definedName name="incent_start_year">'Wind Policies'!$P$4</definedName>
    <definedName name="Incentive_Budgets" localSheetId="7">[1]Main!#REF!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Main!$D$11:$D$28</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7">[1]Main!#REF!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5">Main!#REF!</definedName>
    <definedName name="Metering_Cap_Scenario" localSheetId="7">[1]Main!#REF!</definedName>
    <definedName name="Metering_Cap_Scenario" localSheetId="1">[2]Main!#REF!</definedName>
    <definedName name="Metering_Cap_Scenario" localSheetId="2">[2]Main!#REF!</definedName>
    <definedName name="Metering_Cap_Scenario" localSheetId="6">[3]Main!#REF!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'Wind Policies'!#REF!</definedName>
    <definedName name="parcel_size">'Turbine Siting'!$B$9:$C$13</definedName>
    <definedName name="pct_hi_dev">'Turbine Siting'!$B$19:$C$23</definedName>
    <definedName name="Price_Escalation_Scenario" localSheetId="5">Main!#REF!</definedName>
    <definedName name="Price_Escalation_Scenario" localSheetId="7">[1]Main!#REF!</definedName>
    <definedName name="Price_Escalation_Scenario" localSheetId="1">[2]Main!#REF!</definedName>
    <definedName name="Price_Escalation_Scenario" localSheetId="2">[2]Main!#REF!</definedName>
    <definedName name="Price_Escalation_Scenario" localSheetId="6">[3]Main!#REF!</definedName>
    <definedName name="Price_Escalation_Scenario">Main!#REF!</definedName>
    <definedName name="PV_Base_Installed" localSheetId="5">Main!#REF!</definedName>
    <definedName name="PV_Base_Installed" localSheetId="7">[1]Main!#REF!</definedName>
    <definedName name="PV_Base_Installed" localSheetId="2">Main!#REF!</definedName>
    <definedName name="PV_Base_Installed" localSheetId="6">[3]Main!#REF!</definedName>
    <definedName name="PV_Base_Installed">Main!#REF!</definedName>
    <definedName name="PV_Efficiency" localSheetId="7">[1]Main!#REF!</definedName>
    <definedName name="PV_Efficiency">Main!#REF!</definedName>
    <definedName name="PV_Price_Scenario" localSheetId="7">[1]Main!#REF!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6">[3]Main!$C$7</definedName>
    <definedName name="sys_sizing">'Wind Performance'!$B$64:$F$66</definedName>
    <definedName name="ud_rates">'Market Projections'!$C$88:$F$138</definedName>
    <definedName name="user_defined_max_market_share">Finance!$C$35:$I$67</definedName>
    <definedName name="User_Elec_Growth_Rate">Main!$D$14</definedName>
    <definedName name="Wind_Cost_Projections_10_kw" localSheetId="7">#REF!</definedName>
    <definedName name="Wind_Cost_Projections_10_kw">'Wind Cost'!$D$25:$V$30</definedName>
    <definedName name="Wind_Cost_Projections_100_kw" localSheetId="7">#REF!</definedName>
    <definedName name="Wind_Cost_Projections_100_kw">'Wind Cost'!$D$46:$V$51</definedName>
    <definedName name="Wind_Cost_Projections_1000_kw" localSheetId="7">#REF!</definedName>
    <definedName name="Wind_Cost_Projections_1000_kw">'Wind Cost'!$Z$32:$AR$37</definedName>
    <definedName name="Wind_Cost_Projections_1500_kw" localSheetId="7">#REF!</definedName>
    <definedName name="Wind_Cost_Projections_1500_kw">'Wind Cost'!$Z$39:$AR$44</definedName>
    <definedName name="Wind_Cost_Projections_2.5_kw" localSheetId="7">#REF!</definedName>
    <definedName name="Wind_Cost_Projections_2.5_kw">'Wind Cost'!$D$11:$V$16</definedName>
    <definedName name="Wind_Cost_Projections_20_kw" localSheetId="7">#REF!</definedName>
    <definedName name="Wind_Cost_Projections_20_kw">'Wind Cost'!$D$32:$V$37</definedName>
    <definedName name="Wind_Cost_Projections_250_kw" localSheetId="7">#REF!</definedName>
    <definedName name="Wind_Cost_Projections_250_kw">'Wind Cost'!$Z$11:$AR$16</definedName>
    <definedName name="Wind_Cost_Projections_5_kw" localSheetId="7">#REF!</definedName>
    <definedName name="Wind_Cost_Projections_5_kw">'Wind Cost'!$D$18:$V$23</definedName>
    <definedName name="Wind_Cost_Projections_50_kw" localSheetId="7">#REF!</definedName>
    <definedName name="Wind_Cost_Projections_50_kw">'Wind Cost'!$D$39:$V$44</definedName>
    <definedName name="Wind_Cost_Projections_500_kw" localSheetId="7">#REF!</definedName>
    <definedName name="Wind_Cost_Projections_500_kw">'Wind Cost'!$Z$18:$AR$23</definedName>
    <definedName name="Wind_Cost_Projections_750_kw" localSheetId="7">#REF!</definedName>
    <definedName name="Wind_Cost_Projections_750_kw">'Wind Cost'!$Z$25:$AR$30</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[2]Main!#REF!</definedName>
    <definedName name="Year_Start" localSheetId="2">[2]Main!#REF!</definedName>
    <definedName name="Year_Start" localSheetId="6">[3]Main!#REF!</definedName>
    <definedName name="Year_Start">Main!#REF!</definedName>
    <definedName name="Year_Stop" localSheetId="5">Main!#REF!</definedName>
    <definedName name="Year_Stop" localSheetId="7">[1]Main!#REF!</definedName>
    <definedName name="Year_Stop" localSheetId="1">[2]Main!#REF!</definedName>
    <definedName name="Year_Stop" localSheetId="2">[2]Main!#REF!</definedName>
    <definedName name="Year_Stop" localSheetId="6">[3]Main!#REF!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E6" i="38"/>
  <c r="AA44" i="34"/>
  <c r="AB44" i="34"/>
  <c r="AC44" i="34"/>
  <c r="AD44" i="34"/>
  <c r="AE44" i="34"/>
  <c r="AF44" i="34"/>
  <c r="AG44" i="34"/>
  <c r="AH44" i="34"/>
  <c r="AI44" i="34"/>
  <c r="AJ44" i="34"/>
  <c r="AK44" i="34"/>
  <c r="AL44" i="34"/>
  <c r="AM44" i="34"/>
  <c r="AN44" i="34"/>
  <c r="AO44" i="34"/>
  <c r="AP44" i="34"/>
  <c r="AQ44" i="34"/>
  <c r="AR44" i="34"/>
  <c r="AA43" i="34"/>
  <c r="AB43" i="34"/>
  <c r="AC43" i="34"/>
  <c r="AD43" i="34"/>
  <c r="AE43" i="34"/>
  <c r="AF43" i="34"/>
  <c r="AG43" i="34"/>
  <c r="AH43" i="34"/>
  <c r="AI43" i="34"/>
  <c r="AJ43" i="34"/>
  <c r="AK43" i="34"/>
  <c r="AL43" i="34"/>
  <c r="AM43" i="34"/>
  <c r="AN43" i="34"/>
  <c r="AO43" i="34"/>
  <c r="AP43" i="34"/>
  <c r="AQ43" i="34"/>
  <c r="AR43" i="34"/>
  <c r="AA37" i="34"/>
  <c r="AB37" i="34"/>
  <c r="AC37" i="34"/>
  <c r="AD37" i="34"/>
  <c r="AE37" i="34"/>
  <c r="AF37" i="34"/>
  <c r="AG37" i="34"/>
  <c r="AH37" i="34"/>
  <c r="AI37" i="34"/>
  <c r="AJ37" i="34"/>
  <c r="AK37" i="34"/>
  <c r="AL37" i="34"/>
  <c r="AM37" i="34"/>
  <c r="AN37" i="34"/>
  <c r="AO37" i="34"/>
  <c r="AP37" i="34"/>
  <c r="AQ37" i="34"/>
  <c r="AR37" i="34"/>
  <c r="AA36" i="34"/>
  <c r="AB36" i="34"/>
  <c r="AC36" i="34"/>
  <c r="AD36" i="34"/>
  <c r="AE36" i="34"/>
  <c r="AF36" i="34"/>
  <c r="AG36" i="34"/>
  <c r="AH36" i="34"/>
  <c r="AI36" i="34"/>
  <c r="AJ36" i="34"/>
  <c r="AK36" i="34"/>
  <c r="AL36" i="34"/>
  <c r="AM36" i="34"/>
  <c r="AN36" i="34"/>
  <c r="AO36" i="34"/>
  <c r="AP36" i="34"/>
  <c r="AQ36" i="34"/>
  <c r="AR36" i="34"/>
  <c r="AA30" i="34"/>
  <c r="AB30" i="34"/>
  <c r="AC30" i="34"/>
  <c r="AD30" i="34"/>
  <c r="AE30" i="34"/>
  <c r="AF30" i="34"/>
  <c r="AG30" i="34"/>
  <c r="AH30" i="34"/>
  <c r="AI30" i="34"/>
  <c r="AJ30" i="34"/>
  <c r="AK30" i="34"/>
  <c r="AL30" i="34"/>
  <c r="AM30" i="34"/>
  <c r="AN30" i="34"/>
  <c r="AO30" i="34"/>
  <c r="AP30" i="34"/>
  <c r="AQ30" i="34"/>
  <c r="AR30" i="34"/>
  <c r="AA29" i="34"/>
  <c r="AB29" i="34"/>
  <c r="AC29" i="34"/>
  <c r="AD29" i="34"/>
  <c r="AE29" i="34"/>
  <c r="AF29" i="34"/>
  <c r="AG29" i="34"/>
  <c r="AH29" i="34"/>
  <c r="AI29" i="34"/>
  <c r="AJ29" i="34"/>
  <c r="AK29" i="34"/>
  <c r="AL29" i="34"/>
  <c r="AM29" i="34"/>
  <c r="AN29" i="34"/>
  <c r="AO29" i="34"/>
  <c r="AP29" i="34"/>
  <c r="AQ29" i="34"/>
  <c r="AR29" i="34"/>
  <c r="AA23" i="34"/>
  <c r="AB23" i="34"/>
  <c r="AC23" i="34"/>
  <c r="AD23" i="34"/>
  <c r="AE23" i="34"/>
  <c r="AF23" i="34"/>
  <c r="AG23" i="34"/>
  <c r="AH23" i="34"/>
  <c r="AI23" i="34"/>
  <c r="AJ23" i="34"/>
  <c r="AK23" i="34"/>
  <c r="AL23" i="34"/>
  <c r="AM23" i="34"/>
  <c r="AN23" i="34"/>
  <c r="AO23" i="34"/>
  <c r="AP23" i="34"/>
  <c r="AQ23" i="34"/>
  <c r="AR23" i="34"/>
  <c r="AA22" i="34"/>
  <c r="AB22" i="34"/>
  <c r="AC22" i="34"/>
  <c r="AD22" i="34"/>
  <c r="AE22" i="34"/>
  <c r="AF22" i="34"/>
  <c r="AG22" i="34"/>
  <c r="AH22" i="34"/>
  <c r="AI22" i="34"/>
  <c r="AJ22" i="34"/>
  <c r="AK22" i="34"/>
  <c r="AL22" i="34"/>
  <c r="AM22" i="34"/>
  <c r="AN22" i="34"/>
  <c r="AO22" i="34"/>
  <c r="AP22" i="34"/>
  <c r="AQ22" i="34"/>
  <c r="AR22" i="34"/>
  <c r="AA16" i="34"/>
  <c r="AB16" i="34"/>
  <c r="AC16" i="34"/>
  <c r="AD16" i="34"/>
  <c r="AE16" i="34"/>
  <c r="AF16" i="34"/>
  <c r="AG16" i="34"/>
  <c r="AH16" i="34"/>
  <c r="AI16" i="34"/>
  <c r="AJ16" i="34"/>
  <c r="AK16" i="34"/>
  <c r="AL16" i="34"/>
  <c r="AM16" i="34"/>
  <c r="AN16" i="34"/>
  <c r="AO16" i="34"/>
  <c r="AP16" i="34"/>
  <c r="AQ16" i="34"/>
  <c r="AR16" i="34"/>
  <c r="AA15" i="34"/>
  <c r="AB15" i="34"/>
  <c r="AC15" i="34"/>
  <c r="AD15" i="34"/>
  <c r="AE15" i="34"/>
  <c r="AF15" i="34"/>
  <c r="AG15" i="34"/>
  <c r="AH15" i="34"/>
  <c r="AI15" i="34"/>
  <c r="AJ15" i="34"/>
  <c r="AK15" i="34"/>
  <c r="AL15" i="34"/>
  <c r="AM15" i="34"/>
  <c r="AN15" i="34"/>
  <c r="AO15" i="34"/>
  <c r="AP15" i="34"/>
  <c r="AQ15" i="34"/>
  <c r="AR15" i="34"/>
  <c r="E51" i="34"/>
  <c r="F51" i="34"/>
  <c r="G51" i="34"/>
  <c r="H51" i="34"/>
  <c r="I51" i="34"/>
  <c r="J51" i="34"/>
  <c r="K51" i="34"/>
  <c r="L51" i="34"/>
  <c r="M51" i="34"/>
  <c r="N51" i="34"/>
  <c r="O51" i="34"/>
  <c r="P51" i="34"/>
  <c r="Q51" i="34"/>
  <c r="R51" i="34"/>
  <c r="S51" i="34"/>
  <c r="T51" i="34"/>
  <c r="U51" i="34"/>
  <c r="V51" i="34"/>
  <c r="E50" i="34"/>
  <c r="F50" i="34"/>
  <c r="G50" i="34"/>
  <c r="H50" i="34"/>
  <c r="I50" i="34"/>
  <c r="J50" i="34"/>
  <c r="K50" i="34"/>
  <c r="L50" i="34"/>
  <c r="M50" i="34"/>
  <c r="N50" i="34"/>
  <c r="O50" i="34"/>
  <c r="P50" i="34"/>
  <c r="Q50" i="34"/>
  <c r="R50" i="34"/>
  <c r="S50" i="34"/>
  <c r="T50" i="34"/>
  <c r="U50" i="34"/>
  <c r="V50" i="34"/>
  <c r="E44" i="34"/>
  <c r="F44" i="34"/>
  <c r="G44" i="34"/>
  <c r="H44" i="34"/>
  <c r="I44" i="34"/>
  <c r="J44" i="34"/>
  <c r="K44" i="34"/>
  <c r="L44" i="34"/>
  <c r="M44" i="34"/>
  <c r="N44" i="34"/>
  <c r="O44" i="34"/>
  <c r="P44" i="34"/>
  <c r="Q44" i="34"/>
  <c r="R44" i="34"/>
  <c r="S44" i="34"/>
  <c r="T44" i="34"/>
  <c r="U44" i="34"/>
  <c r="V44" i="34"/>
  <c r="E43" i="34"/>
  <c r="F43" i="34"/>
  <c r="G43" i="34"/>
  <c r="H43" i="34"/>
  <c r="I43" i="34"/>
  <c r="J43" i="34"/>
  <c r="K43" i="34"/>
  <c r="L43" i="34"/>
  <c r="M43" i="34"/>
  <c r="N43" i="34"/>
  <c r="O43" i="34"/>
  <c r="P43" i="34"/>
  <c r="Q43" i="34"/>
  <c r="R43" i="34"/>
  <c r="S43" i="34"/>
  <c r="T43" i="34"/>
  <c r="U43" i="34"/>
  <c r="V43" i="34"/>
  <c r="E37" i="34"/>
  <c r="F37" i="34"/>
  <c r="G37" i="34"/>
  <c r="H37" i="34"/>
  <c r="I37" i="34"/>
  <c r="J37" i="34"/>
  <c r="K37" i="34"/>
  <c r="L37" i="34"/>
  <c r="M37" i="34"/>
  <c r="N37" i="34"/>
  <c r="O37" i="34"/>
  <c r="P37" i="34"/>
  <c r="Q37" i="34"/>
  <c r="R37" i="34"/>
  <c r="S37" i="34"/>
  <c r="T37" i="34"/>
  <c r="U37" i="34"/>
  <c r="V37" i="34"/>
  <c r="E36" i="34"/>
  <c r="F36" i="34"/>
  <c r="G36" i="34"/>
  <c r="H36" i="34"/>
  <c r="I36" i="34"/>
  <c r="J36" i="34"/>
  <c r="K36" i="34"/>
  <c r="L36" i="34"/>
  <c r="M36" i="34"/>
  <c r="N36" i="34"/>
  <c r="O36" i="34"/>
  <c r="P36" i="34"/>
  <c r="Q36" i="34"/>
  <c r="R36" i="34"/>
  <c r="S36" i="34"/>
  <c r="T36" i="34"/>
  <c r="U36" i="34"/>
  <c r="V36" i="34"/>
  <c r="E30" i="34"/>
  <c r="F30" i="34"/>
  <c r="G30" i="34"/>
  <c r="H30" i="34"/>
  <c r="I30" i="34"/>
  <c r="J30" i="34"/>
  <c r="K30" i="34"/>
  <c r="L30" i="34"/>
  <c r="M30" i="34"/>
  <c r="N30" i="34"/>
  <c r="O30" i="34"/>
  <c r="P30" i="34"/>
  <c r="Q30" i="34"/>
  <c r="R30" i="34"/>
  <c r="S30" i="34"/>
  <c r="T30" i="34"/>
  <c r="U30" i="34"/>
  <c r="V30" i="34"/>
  <c r="E29" i="34"/>
  <c r="F29" i="34"/>
  <c r="G29" i="34"/>
  <c r="H29" i="34"/>
  <c r="I29" i="34"/>
  <c r="J29" i="34"/>
  <c r="K29" i="34"/>
  <c r="L29" i="34"/>
  <c r="M29" i="34"/>
  <c r="N29" i="34"/>
  <c r="O29" i="34"/>
  <c r="P29" i="34"/>
  <c r="Q29" i="34"/>
  <c r="R29" i="34"/>
  <c r="S29" i="34"/>
  <c r="T29" i="34"/>
  <c r="U29" i="34"/>
  <c r="V29" i="34"/>
  <c r="E23" i="34"/>
  <c r="F23" i="34"/>
  <c r="G23" i="34"/>
  <c r="H23" i="34"/>
  <c r="I23" i="34"/>
  <c r="J23" i="34"/>
  <c r="K23" i="34"/>
  <c r="L23" i="34"/>
  <c r="M23" i="34"/>
  <c r="N23" i="34"/>
  <c r="O23" i="34"/>
  <c r="P23" i="34"/>
  <c r="Q23" i="34"/>
  <c r="R23" i="34"/>
  <c r="S23" i="34"/>
  <c r="T23" i="34"/>
  <c r="U23" i="34"/>
  <c r="V23" i="34"/>
  <c r="E22" i="34"/>
  <c r="F22" i="34"/>
  <c r="G22" i="34"/>
  <c r="H22" i="34"/>
  <c r="I22" i="34"/>
  <c r="J22" i="34"/>
  <c r="K22" i="34"/>
  <c r="L22" i="34"/>
  <c r="M22" i="34"/>
  <c r="N22" i="34"/>
  <c r="O22" i="34"/>
  <c r="P22" i="34"/>
  <c r="Q22" i="34"/>
  <c r="R22" i="34"/>
  <c r="S22" i="34"/>
  <c r="T22" i="34"/>
  <c r="U22" i="34"/>
  <c r="V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3" i="8"/>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<sst xmlns="http://schemas.openxmlformats.org/spreadsheetml/2006/main" count="1209" uniqueCount="378">
  <si>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</si>
  <si>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</si>
  <si>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</si>
  <si>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</si>
  <si>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</si>
  <si>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</si>
  <si>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</si>
  <si>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</si>
  <si>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</si>
  <si>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</si>
  <si>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</si>
  <si>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</si>
  <si>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</si>
  <si>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</si>
  <si>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</si>
  <si>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</si>
  <si>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</si>
  <si>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</si>
  <si>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</si>
  <si>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</si>
  <si>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</si>
  <si>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</si>
  <si>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</si>
  <si>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</si>
  <si>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</si>
  <si>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</si>
  <si>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</si>
  <si>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</si>
  <si>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</si>
  <si>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</si>
  <si>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</si>
  <si>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</si>
  <si>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</si>
  <si>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</si>
  <si>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</si>
  <si>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</si>
  <si>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</si>
  <si>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</si>
  <si>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</si>
  <si>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</si>
  <si>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</si>
  <si>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</si>
  <si>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</si>
  <si>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</si>
  <si>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</si>
  <si>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</si>
  <si>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</si>
  <si>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</si>
  <si>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</si>
  <si>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</si>
  <si>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</si>
  <si>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</si>
  <si>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</si>
  <si>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</si>
  <si>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</si>
  <si>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</si>
  <si>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</si>
  <si>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</si>
  <si>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</si>
  <si>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</si>
  <si>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</si>
  <si>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</si>
  <si>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</si>
  <si>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</si>
  <si>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</si>
  <si>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</si>
  <si>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</si>
  <si>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</si>
  <si>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</si>
  <si>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</si>
  <si>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</si>
  <si>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</si>
  <si>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</si>
  <si>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</si>
  <si>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</si>
  <si>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</si>
  <si>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</si>
  <si>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</si>
  <si>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</si>
  <si>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</si>
  <si>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</si>
  <si>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</si>
  <si>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</si>
  <si>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</si>
  <si>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</si>
  <si>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</si>
  <si>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</si>
  <si>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</si>
  <si>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</si>
  <si>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</si>
  <si>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</si>
  <si>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</si>
  <si>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</si>
  <si>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</si>
  <si>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</si>
  <si>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</si>
  <si>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</si>
  <si>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</si>
  <si>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</si>
  <si>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</si>
  <si>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</si>
  <si>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</si>
  <si>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</si>
  <si>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</si>
  <si>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</si>
  <si>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</si>
  <si>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</si>
  <si>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</si>
  <si>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</si>
  <si>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</si>
  <si>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</si>
  <si>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</si>
  <si>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</si>
  <si>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</si>
  <si>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</si>
  <si>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</si>
  <si>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</si>
  <si>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</si>
  <si>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</si>
  <si>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</si>
  <si>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</si>
  <si>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</si>
  <si>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</si>
  <si>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</si>
  <si>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</si>
  <si>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</si>
  <si>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</si>
  <si>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</si>
  <si>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</si>
  <si>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</si>
  <si>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</si>
  <si>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</si>
  <si>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</si>
  <si>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</si>
  <si>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</si>
  <si>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</si>
  <si>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</si>
  <si>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</si>
  <si>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</si>
  <si>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</si>
  <si>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</si>
  <si>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</si>
  <si>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</si>
  <si>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</si>
  <si>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</si>
  <si>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</si>
  <si>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</si>
  <si>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</si>
  <si>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</si>
  <si>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</si>
  <si>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</si>
  <si>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</si>
  <si>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</si>
  <si>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</si>
  <si>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</si>
  <si>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</si>
  <si>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</si>
  <si>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</si>
  <si>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</si>
  <si>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</si>
  <si>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</si>
  <si>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</si>
  <si>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</si>
  <si>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</si>
  <si>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</si>
  <si>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</si>
  <si>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</si>
  <si>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</si>
  <si>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</si>
  <si>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</si>
  <si>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</si>
  <si>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</si>
  <si>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</si>
  <si>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</si>
  <si>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</si>
  <si>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</si>
  <si>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</si>
  <si>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</si>
  <si>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</si>
  <si>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</si>
  <si>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</si>
  <si>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</si>
  <si>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</si>
  <si>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</si>
  <si>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</si>
  <si>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</si>
  <si>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</si>
  <si>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</si>
  <si>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</si>
  <si>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</si>
  <si>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</si>
  <si>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</si>
  <si>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</si>
  <si>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</si>
  <si>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</si>
  <si>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</si>
  <si>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</si>
  <si>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</si>
  <si>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</si>
  <si>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</si>
  <si>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</si>
  <si>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</si>
  <si>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</si>
  <si>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</si>
  <si>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</si>
  <si>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</si>
  <si>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</si>
  <si>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</si>
  <si>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</si>
  <si>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</si>
  <si>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</si>
  <si>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</si>
  <si>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</si>
  <si>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</si>
  <si>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</si>
  <si>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</si>
  <si>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</si>
  <si>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</si>
  <si>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</si>
  <si>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</si>
  <si>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</si>
  <si>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</si>
  <si>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</si>
  <si>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</si>
  <si>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</si>
  <si>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</si>
  <si>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</si>
  <si>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</si>
  <si>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</si>
  <si>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</si>
  <si>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</si>
  <si>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</si>
  <si>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</si>
  <si>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</si>
  <si>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</si>
  <si>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</si>
  <si>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</si>
  <si>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</si>
  <si>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</si>
  <si>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</si>
  <si>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</si>
  <si>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</si>
  <si>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</si>
  <si>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</si>
  <si>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</si>
  <si>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</si>
  <si>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</si>
  <si>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</si>
  <si>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</si>
  <si>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</si>
  <si>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</si>
  <si>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</si>
  <si>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</si>
  <si>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</si>
  <si>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</si>
  <si>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</si>
  <si>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</si>
  <si>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</si>
  <si>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</si>
  <si>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</si>
  <si>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</si>
  <si>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</si>
  <si>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</si>
  <si>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</si>
  <si>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</si>
  <si>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</si>
  <si>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</si>
  <si>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</si>
  <si>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</si>
  <si>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</si>
  <si>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</si>
  <si>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</si>
  <si>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</si>
  <si>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</si>
  <si>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</si>
  <si>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</si>
  <si>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</si>
  <si>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</si>
  <si>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</si>
  <si>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</si>
  <si>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</si>
  <si>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</si>
  <si>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</si>
  <si>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</si>
  <si>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</si>
  <si>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</si>
  <si>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</si>
  <si>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</si>
  <si>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</si>
  <si>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</si>
  <si>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</si>
  <si>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</si>
  <si>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</si>
  <si>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</si>
  <si>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</si>
  <si>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</si>
  <si>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</si>
  <si>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</si>
  <si>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</si>
  <si>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</si>
  <si>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</si>
  <si>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</si>
  <si>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</si>
  <si>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</si>
  <si>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</si>
  <si>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</si>
  <si>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</si>
  <si>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</si>
  <si>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</si>
  <si>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</si>
  <si>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</si>
  <si>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</si>
  <si>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</si>
  <si>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</si>
  <si>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</si>
  <si>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</si>
  <si>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</si>
  <si>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</si>
  <si>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</si>
  <si>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</si>
  <si>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</si>
  <si>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</si>
  <si>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</si>
  <si>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</si>
  <si>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</si>
  <si>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</si>
  <si>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</si>
  <si>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</si>
  <si>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</si>
  <si>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</si>
  <si>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</si>
  <si>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</si>
  <si>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</si>
  <si>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</si>
  <si>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</si>
  <si>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</si>
  <si>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</si>
  <si>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</si>
  <si>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</si>
  <si>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</si>
  <si>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</si>
  <si>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</si>
  <si>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</si>
  <si>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</si>
  <si>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</si>
  <si>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</si>
  <si>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</si>
  <si>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</si>
  <si>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</si>
  <si>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</si>
  <si>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</si>
  <si>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</si>
  <si>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</si>
  <si>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</si>
  <si>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</si>
  <si>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</si>
  <si>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</si>
  <si>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</si>
  <si>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</si>
  <si>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</si>
  <si>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</si>
  <si>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</si>
  <si>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</si>
  <si>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</si>
  <si>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</si>
  <si>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</si>
  <si>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</si>
  <si>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</si>
  <si>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</si>
  <si>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Heavily Developed Land</t>
  </si>
  <si>
    <t>Maximum % Heavily Developed Land</t>
  </si>
  <si>
    <t>Turbine Size (kW)</t>
  </si>
  <si>
    <t>Approx. Rotor Radius (m)</t>
  </si>
  <si>
    <t>Required Clearance (m)</t>
  </si>
  <si>
    <t>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</si>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</sst>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Cost Floor ($/kW):&quot;\ 0"/>
  </numFmts>
  <fonts count="9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s>
  <fills count="2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
      <patternFill patternType="solid">
        <fgColor theme="1"/>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s>
  <cellStyleXfs count="76">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15">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 fillId="3" borderId="0" xfId="3" applyFont="1" applyFill="1" applyBorder="1" applyProtection="1">
      <protection locked="0"/>
    </xf>
    <xf numFmtId="170" fontId="31" fillId="3" borderId="0" xfId="3" applyNumberFormat="1" applyFont="1" applyFill="1" applyAlignment="1" applyProtection="1">
      <alignment horizontal="center"/>
      <protection locked="0"/>
    </xf>
    <xf numFmtId="10" fontId="0" fillId="10" borderId="0" xfId="4" applyNumberFormat="1" applyFont="1" applyFill="1"/>
    <xf numFmtId="0" fontId="11" fillId="22" borderId="48" xfId="3" applyFont="1" applyFill="1" applyBorder="1" applyAlignment="1">
      <alignment horizontal="center"/>
    </xf>
    <xf numFmtId="0" fontId="31" fillId="22" borderId="81" xfId="0" applyFont="1" applyFill="1" applyBorder="1" applyAlignment="1">
      <alignment horizontal="left"/>
    </xf>
    <xf numFmtId="1" fontId="14" fillId="4" borderId="74" xfId="3" applyNumberFormat="1" applyFont="1" applyFill="1" applyBorder="1" applyAlignment="1" applyProtection="1">
      <alignment horizontal="center"/>
      <protection locked="0"/>
    </xf>
    <xf numFmtId="1" fontId="14" fillId="4" borderId="140"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94" xfId="0" applyFont="1" applyFill="1" applyBorder="1" applyAlignment="1">
      <alignment horizontal="center"/>
    </xf>
    <xf numFmtId="0" fontId="30" fillId="5" borderId="135"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41" xfId="0" applyFont="1" applyFill="1" applyBorder="1" applyAlignment="1">
      <alignment horizontal="center"/>
    </xf>
    <xf numFmtId="0" fontId="30" fillId="5" borderId="34" xfId="0" applyFont="1" applyFill="1" applyBorder="1" applyAlignment="1">
      <alignment horizontal="center"/>
    </xf>
    <xf numFmtId="0" fontId="30" fillId="5" borderId="142" xfId="0" applyFont="1" applyFill="1" applyBorder="1" applyAlignment="1">
      <alignment horizontal="center"/>
    </xf>
    <xf numFmtId="0" fontId="30" fillId="5" borderId="143" xfId="0" applyFont="1" applyFill="1" applyBorder="1" applyAlignment="1">
      <alignment horizontal="center"/>
    </xf>
    <xf numFmtId="0" fontId="30" fillId="5" borderId="81" xfId="0" applyFont="1" applyFill="1" applyBorder="1" applyAlignment="1">
      <alignment horizontal="center"/>
    </xf>
    <xf numFmtId="0" fontId="30" fillId="5" borderId="82" xfId="0" applyFont="1" applyFill="1" applyBorder="1" applyAlignment="1">
      <alignment horizontal="center"/>
    </xf>
    <xf numFmtId="2" fontId="11" fillId="10" borderId="144" xfId="3" applyNumberFormat="1" applyFont="1" applyFill="1" applyBorder="1" applyAlignment="1">
      <alignment horizontal="center" vertical="center"/>
    </xf>
    <xf numFmtId="2" fontId="11" fillId="10" borderId="145" xfId="3" applyNumberFormat="1" applyFont="1" applyFill="1" applyBorder="1" applyAlignment="1">
      <alignment horizontal="center" vertical="center"/>
    </xf>
    <xf numFmtId="2" fontId="11" fillId="10" borderId="145" xfId="0" applyNumberFormat="1" applyFont="1" applyFill="1" applyBorder="1" applyAlignment="1">
      <alignment horizontal="center" vertical="center"/>
    </xf>
    <xf numFmtId="0" fontId="11" fillId="10" borderId="146"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11" fillId="10" borderId="0" xfId="0" applyFont="1" applyFill="1" applyAlignment="1">
      <alignment horizontal="center" vertical="center" wrapText="1"/>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0" fillId="10" borderId="0" xfId="0" applyFill="1" applyAlignment="1">
      <alignment horizontal="center" vertical="center" wrapText="1"/>
    </xf>
    <xf numFmtId="0" fontId="0" fillId="10" borderId="0" xfId="0" applyFill="1" applyAlignment="1">
      <alignment horizont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76">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38606952"/>
        <c:axId val="2138679976"/>
      </c:scatterChart>
      <c:valAx>
        <c:axId val="213860695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8679976"/>
        <c:crosses val="autoZero"/>
        <c:crossBetween val="midCat"/>
      </c:valAx>
      <c:valAx>
        <c:axId val="213867997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860695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38735752"/>
        <c:axId val="2138726664"/>
      </c:scatterChart>
      <c:valAx>
        <c:axId val="213873575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8726664"/>
        <c:crosses val="autoZero"/>
        <c:crossBetween val="midCat"/>
      </c:valAx>
      <c:valAx>
        <c:axId val="213872666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873575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38947064"/>
        <c:axId val="2138924408"/>
      </c:scatterChart>
      <c:valAx>
        <c:axId val="213894706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8924408"/>
        <c:crosses val="autoZero"/>
        <c:crossBetween val="midCat"/>
      </c:valAx>
      <c:valAx>
        <c:axId val="213892440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894706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workbookViewId="0">
      <selection activeCell="C24" sqref="C2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06"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0"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1" t="s">
        <v>69</v>
      </c>
      <c r="D11" s="241" t="s">
        <v>4</v>
      </c>
      <c r="E11" s="61"/>
      <c r="F11" s="131"/>
      <c r="G11" s="61"/>
      <c r="H11" s="37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2" t="s">
        <v>101</v>
      </c>
      <c r="D12" s="242">
        <v>2050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2" t="s">
        <v>153</v>
      </c>
      <c r="D13" s="287" t="s">
        <v>203</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3"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3"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3" t="s">
        <v>65</v>
      </c>
      <c r="D16" s="242" t="s">
        <v>310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3"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4"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3" t="s">
        <v>66</v>
      </c>
      <c r="D19" s="242" t="s">
        <v>310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3"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4"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3" t="s">
        <v>183</v>
      </c>
      <c r="D22" s="242" t="s">
        <v>310</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14"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14"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557" t="s">
        <v>62</v>
      </c>
      <c r="D25" s="556"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3"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427"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 thickBot="1">
      <c r="A28" s="21"/>
      <c r="B28" s="21"/>
      <c r="C28" s="315" t="s">
        <v>298</v>
      </c>
      <c r="D28" s="243">
        <v>1</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08"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08"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6"/>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86</v>
      </c>
      <c r="F151" s="61"/>
      <c r="G151" s="107"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09"/>
      <c r="G152" s="107"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09"/>
      <c r="G153" s="106"/>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2"/>
      <c r="F154" s="109"/>
      <c r="G154" s="106"/>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9" t="s">
        <v>280</v>
      </c>
      <c r="F155" s="109"/>
      <c r="G155" s="106"/>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09" t="s">
        <v>281</v>
      </c>
      <c r="F156" s="109"/>
      <c r="G156" s="107"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282</v>
      </c>
      <c r="F157" s="109"/>
      <c r="G157" s="107" t="s">
        <v>60</v>
      </c>
      <c r="H157" s="67"/>
      <c r="I157" s="111"/>
      <c r="J157" s="67" t="s">
        <v>10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283</v>
      </c>
      <c r="F158" s="109"/>
      <c r="G158" s="110" t="s">
        <v>67</v>
      </c>
      <c r="H158" s="67"/>
      <c r="I158" s="111"/>
      <c r="J158" s="67" t="s">
        <v>201</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F159" s="109"/>
      <c r="G159" s="110" t="s">
        <v>61</v>
      </c>
      <c r="H159" s="67"/>
      <c r="I159" s="111"/>
      <c r="J159" s="67" t="s">
        <v>12</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c r="F160" s="109"/>
      <c r="G160" s="61"/>
      <c r="H160" s="111"/>
      <c r="I160" s="111"/>
      <c r="J160" s="67" t="s">
        <v>13</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59</v>
      </c>
      <c r="F161" s="109"/>
      <c r="G161" s="61"/>
      <c r="H161" s="111"/>
      <c r="I161" s="111"/>
      <c r="J161" s="67" t="s">
        <v>14</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t="s">
        <v>64</v>
      </c>
      <c r="F162" s="109"/>
      <c r="G162" s="61"/>
      <c r="H162" s="111"/>
      <c r="I162" s="111"/>
      <c r="J162" s="67" t="s">
        <v>15</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c r="F163" s="61"/>
      <c r="G163" s="61"/>
      <c r="H163" s="111"/>
      <c r="I163" s="111"/>
      <c r="J163" s="67" t="s">
        <v>16</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88</v>
      </c>
      <c r="F164" s="61"/>
      <c r="G164" s="61"/>
      <c r="H164" s="111"/>
      <c r="I164" s="111"/>
      <c r="J164" s="67" t="s">
        <v>17</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89</v>
      </c>
      <c r="F165" s="61"/>
      <c r="G165" s="61"/>
      <c r="H165" s="111"/>
      <c r="I165" s="111"/>
      <c r="J165" s="67" t="s">
        <v>18</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1"/>
      <c r="I166" s="111"/>
      <c r="J166" s="67" t="s">
        <v>19</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1"/>
      <c r="I167" s="111"/>
      <c r="J167" s="67" t="s">
        <v>20</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85</v>
      </c>
      <c r="F168" s="61"/>
      <c r="G168" s="61"/>
      <c r="H168" s="111"/>
      <c r="I168" s="109"/>
      <c r="J168" s="67" t="s">
        <v>21</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08" t="s">
        <v>96</v>
      </c>
      <c r="F169" s="61"/>
      <c r="G169" s="61"/>
      <c r="H169" s="111"/>
      <c r="I169" s="109"/>
      <c r="J169" s="67" t="s">
        <v>22</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3" t="s">
        <v>87</v>
      </c>
      <c r="F170" s="61"/>
      <c r="G170" s="61"/>
      <c r="H170" s="67"/>
      <c r="I170" s="109"/>
      <c r="J170" s="67" t="s">
        <v>23</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09"/>
      <c r="J171" s="67" t="s">
        <v>24</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203</v>
      </c>
      <c r="F172" s="61"/>
      <c r="G172" s="61"/>
      <c r="H172" s="61"/>
      <c r="I172" s="109"/>
      <c r="J172" s="67" t="s">
        <v>25</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202</v>
      </c>
      <c r="F173" s="61"/>
      <c r="G173" s="61"/>
      <c r="H173" s="61"/>
      <c r="I173" s="109"/>
      <c r="J173" s="67" t="s">
        <v>26</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204</v>
      </c>
      <c r="F174" s="61"/>
      <c r="G174" s="61"/>
      <c r="H174" s="61"/>
      <c r="I174" s="109"/>
      <c r="J174" s="67" t="s">
        <v>27</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179</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6">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97</v>
      </c>
      <c r="F203" s="61"/>
      <c r="G203" s="61"/>
      <c r="H203" s="61"/>
      <c r="I203" s="61"/>
      <c r="J203" s="116">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99</v>
      </c>
      <c r="F204" s="61"/>
      <c r="G204" s="61"/>
      <c r="H204" s="61"/>
      <c r="I204" s="61"/>
      <c r="J204" s="116">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6">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6">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98</v>
      </c>
      <c r="F207" s="61"/>
      <c r="G207" s="61"/>
      <c r="H207" s="61"/>
      <c r="I207" s="61"/>
      <c r="J207" s="116">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6">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08" t="s">
        <v>84</v>
      </c>
      <c r="F209" s="61"/>
      <c r="G209" s="61"/>
      <c r="H209" s="61"/>
      <c r="I209" s="61"/>
      <c r="J209" s="116">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6">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6">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187</v>
      </c>
      <c r="F212" s="61"/>
      <c r="G212" s="61"/>
      <c r="H212" s="61"/>
      <c r="I212" s="61"/>
      <c r="J212" s="116">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188</v>
      </c>
      <c r="F213" s="61"/>
      <c r="G213" s="61"/>
      <c r="H213" s="61"/>
      <c r="I213" s="61"/>
      <c r="J213" s="116">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189</v>
      </c>
      <c r="F214" s="61"/>
      <c r="G214" s="61"/>
      <c r="H214" s="61"/>
      <c r="I214" s="61"/>
      <c r="J214" s="116">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190</v>
      </c>
      <c r="F215" s="61"/>
      <c r="G215" s="61"/>
      <c r="H215" s="61"/>
      <c r="I215" s="61"/>
      <c r="J215" s="116">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6">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6">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196</v>
      </c>
      <c r="F218" s="61"/>
      <c r="G218" s="61"/>
      <c r="H218" s="61"/>
      <c r="I218" s="61"/>
      <c r="J218" s="116">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197</v>
      </c>
      <c r="F219" s="61"/>
      <c r="G219" s="61"/>
      <c r="H219" s="61"/>
      <c r="I219" s="61"/>
      <c r="J219" s="116">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198</v>
      </c>
      <c r="F220" s="61"/>
      <c r="G220" s="61"/>
      <c r="H220" s="61"/>
      <c r="I220" s="61"/>
      <c r="J220" s="116">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199</v>
      </c>
      <c r="F221" s="61"/>
      <c r="G221" s="61"/>
      <c r="H221" s="61"/>
      <c r="I221" s="61"/>
      <c r="J221" s="116">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200</v>
      </c>
      <c r="F222" s="61"/>
      <c r="G222" s="61"/>
      <c r="H222" s="61"/>
      <c r="I222" s="61"/>
      <c r="J222" s="116">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0.1</v>
      </c>
      <c r="F225" s="61"/>
      <c r="G225" s="61"/>
      <c r="H225" s="61"/>
      <c r="I225" s="61"/>
      <c r="J225" s="61" t="s">
        <v>310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0.2</v>
      </c>
      <c r="F226" s="61"/>
      <c r="G226" s="61"/>
      <c r="H226" s="61"/>
      <c r="I226" s="61"/>
      <c r="J226" s="61" t="s">
        <v>311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0.3</v>
      </c>
      <c r="F227" s="61"/>
      <c r="G227" s="61"/>
      <c r="H227" s="61"/>
      <c r="I227" s="61"/>
      <c r="J227" s="61" t="s">
        <v>312</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2 D19 D16">
      <formula1>$J$225:$J$227</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15">
      <formula1>$E$218:$E$222</formula1>
    </dataValidation>
    <dataValidation type="list" allowBlank="1" showInputMessage="1" showErrorMessage="1" sqref="D25">
      <formula1>$E$155:$E$158</formula1>
    </dataValidation>
    <dataValidation type="whole" showInputMessage="1" showErrorMessage="1" sqref="D28">
      <formula1>-10000000000</formula1>
      <formula2>10000000000</formula2>
    </dataValidation>
    <dataValidation type="list" allowBlank="1" showInputMessage="1" showErrorMessage="1" sqref="D27">
      <formula1>$E$212:$E$215</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topLeftCell="A4" zoomScale="70" zoomScaleNormal="70" zoomScalePageLayoutView="70" workbookViewId="0">
      <selection activeCell="Q10" sqref="Q10"/>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78"/>
      <c r="X1" s="530"/>
      <c r="Y1" s="530"/>
      <c r="Z1" s="530"/>
      <c r="AA1" s="530"/>
      <c r="AB1" s="530"/>
      <c r="AC1" s="530"/>
      <c r="AD1" s="530"/>
      <c r="AE1" s="530"/>
      <c r="AF1" s="530"/>
      <c r="AG1" s="530"/>
      <c r="AH1" s="530"/>
      <c r="AI1" s="530"/>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71" t="s">
        <v>109</v>
      </c>
      <c r="D2" s="89"/>
      <c r="E2" s="88"/>
      <c r="F2" s="88"/>
      <c r="G2" s="88"/>
      <c r="H2" s="88"/>
      <c r="I2" s="88"/>
      <c r="J2" s="88"/>
      <c r="K2" s="88"/>
      <c r="L2" s="88"/>
      <c r="M2" s="88"/>
      <c r="N2" s="88"/>
      <c r="O2" s="88"/>
      <c r="P2" s="88"/>
      <c r="Q2" s="88"/>
      <c r="R2" s="88"/>
      <c r="S2" s="88"/>
      <c r="T2" s="88"/>
      <c r="U2" s="88"/>
      <c r="V2" s="88"/>
      <c r="W2" s="530"/>
      <c r="X2" s="530"/>
      <c r="Y2" s="555"/>
      <c r="Z2" s="555"/>
      <c r="AA2" s="555"/>
      <c r="AB2" s="555"/>
      <c r="AC2" s="555"/>
      <c r="AD2" s="555"/>
      <c r="AE2" s="555"/>
      <c r="AF2" s="555"/>
      <c r="AG2" s="555"/>
      <c r="AH2" s="555"/>
      <c r="AI2" s="555"/>
      <c r="AJ2" s="555"/>
      <c r="AK2" s="555"/>
      <c r="AL2" s="555"/>
      <c r="AM2" s="555"/>
      <c r="AN2" s="555"/>
      <c r="AO2" s="555"/>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530"/>
      <c r="X3" s="530"/>
      <c r="Y3" s="555"/>
      <c r="Z3" s="555"/>
      <c r="AA3" s="555"/>
      <c r="AB3" s="555"/>
      <c r="AC3" s="555"/>
      <c r="AD3" s="555"/>
      <c r="AE3" s="555"/>
      <c r="AF3" s="555"/>
      <c r="AG3" s="555"/>
      <c r="AH3" s="555"/>
      <c r="AI3" s="555"/>
      <c r="AJ3" s="555"/>
      <c r="AK3" s="555"/>
      <c r="AL3" s="555"/>
      <c r="AM3" s="555"/>
      <c r="AN3" s="555"/>
      <c r="AO3" s="555"/>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08"/>
      <c r="D4" s="409"/>
      <c r="E4" s="409"/>
      <c r="F4" s="410"/>
      <c r="G4" s="411" t="s">
        <v>296</v>
      </c>
      <c r="H4" s="410"/>
      <c r="I4" s="409"/>
      <c r="J4" s="412"/>
      <c r="K4" s="88"/>
      <c r="L4" s="88"/>
      <c r="M4" s="88"/>
      <c r="N4" s="88"/>
      <c r="O4" s="88"/>
      <c r="P4" s="88"/>
      <c r="Q4" s="88"/>
      <c r="R4" s="88"/>
      <c r="S4" s="88"/>
      <c r="T4" s="88"/>
      <c r="U4" s="88"/>
      <c r="V4" s="88"/>
      <c r="W4" s="530"/>
      <c r="X4" s="530"/>
      <c r="Y4" s="555"/>
      <c r="Z4" s="555"/>
      <c r="AA4" s="555"/>
      <c r="AB4" s="555"/>
      <c r="AC4" s="555"/>
      <c r="AD4" s="555"/>
      <c r="AE4" s="555"/>
      <c r="AF4" s="555"/>
      <c r="AG4" s="555"/>
      <c r="AH4" s="555"/>
      <c r="AI4" s="555"/>
      <c r="AJ4" s="555"/>
      <c r="AK4" s="555"/>
      <c r="AL4" s="555"/>
      <c r="AM4" s="555"/>
      <c r="AN4" s="555"/>
      <c r="AO4" s="555"/>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23" t="s">
        <v>160</v>
      </c>
      <c r="D5" s="421">
        <v>0.03</v>
      </c>
      <c r="E5" s="413" t="s">
        <v>161</v>
      </c>
      <c r="F5" s="414"/>
      <c r="G5" s="415" t="s">
        <v>293</v>
      </c>
      <c r="H5" s="414"/>
      <c r="I5" s="420" t="s">
        <v>297</v>
      </c>
      <c r="J5" s="416"/>
      <c r="K5" s="88"/>
      <c r="L5" s="88"/>
      <c r="M5" s="88"/>
      <c r="N5" s="88"/>
      <c r="O5" s="88"/>
      <c r="P5" s="88"/>
      <c r="Q5" s="88"/>
      <c r="R5" s="88"/>
      <c r="S5" s="88"/>
      <c r="T5" s="88"/>
      <c r="U5" s="88"/>
      <c r="V5" s="88"/>
      <c r="W5" s="530"/>
      <c r="X5" s="530"/>
      <c r="Y5" s="555"/>
      <c r="Z5" s="555"/>
      <c r="AA5" s="555"/>
      <c r="AB5" s="555"/>
      <c r="AC5" s="555"/>
      <c r="AD5" s="555"/>
      <c r="AE5" s="555"/>
      <c r="AF5" s="555"/>
      <c r="AG5" s="555"/>
      <c r="AH5" s="555"/>
      <c r="AI5" s="555"/>
      <c r="AJ5" s="555"/>
      <c r="AK5" s="555"/>
      <c r="AL5" s="555"/>
      <c r="AM5" s="555"/>
      <c r="AN5" s="555"/>
      <c r="AO5" s="555"/>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22"/>
      <c r="C6" s="424"/>
      <c r="D6" s="421">
        <v>1.2999999999999999E-2</v>
      </c>
      <c r="E6" s="413" t="s">
        <v>161</v>
      </c>
      <c r="F6" s="414"/>
      <c r="G6" s="415" t="s">
        <v>294</v>
      </c>
      <c r="H6" s="417"/>
      <c r="I6" s="426" t="s">
        <v>359</v>
      </c>
      <c r="J6" s="416"/>
      <c r="K6" s="88"/>
      <c r="L6" s="88"/>
      <c r="M6" s="88"/>
      <c r="N6" s="88"/>
      <c r="O6" s="88"/>
      <c r="P6" s="88"/>
      <c r="Q6" s="88"/>
      <c r="R6" s="88"/>
      <c r="S6" s="88"/>
      <c r="T6" s="88"/>
      <c r="U6" s="88"/>
      <c r="V6" s="88"/>
      <c r="W6" s="530"/>
      <c r="X6" s="530"/>
      <c r="Y6" s="555"/>
      <c r="Z6" s="555"/>
      <c r="AA6" s="555"/>
      <c r="AB6" s="555"/>
      <c r="AC6" s="555"/>
      <c r="AD6" s="555"/>
      <c r="AE6" s="555"/>
      <c r="AF6" s="555"/>
      <c r="AG6" s="555"/>
      <c r="AH6" s="555"/>
      <c r="AI6" s="555"/>
      <c r="AJ6" s="555"/>
      <c r="AK6" s="555"/>
      <c r="AL6" s="555"/>
      <c r="AM6" s="555"/>
      <c r="AN6" s="555"/>
      <c r="AO6" s="555"/>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22"/>
      <c r="C7" s="424"/>
      <c r="D7" s="421">
        <v>7.0000000000000001E-3</v>
      </c>
      <c r="E7" s="413" t="s">
        <v>161</v>
      </c>
      <c r="F7" s="417"/>
      <c r="G7" s="415" t="s">
        <v>295</v>
      </c>
      <c r="H7" s="417"/>
      <c r="I7" s="254"/>
      <c r="J7" s="416"/>
      <c r="K7" s="88"/>
      <c r="L7" s="88"/>
      <c r="M7" s="88"/>
      <c r="N7" s="88"/>
      <c r="O7" s="88"/>
      <c r="P7" s="88"/>
      <c r="Q7" s="88"/>
      <c r="R7" s="88"/>
      <c r="S7" s="88"/>
      <c r="T7" s="88"/>
      <c r="U7" s="88"/>
      <c r="V7" s="88"/>
      <c r="W7" s="530"/>
      <c r="X7" s="530"/>
      <c r="Y7" s="530"/>
      <c r="Z7" s="530"/>
      <c r="AA7" s="530"/>
      <c r="AB7" s="530"/>
      <c r="AC7" s="530"/>
      <c r="AD7" s="530"/>
      <c r="AE7" s="530"/>
      <c r="AF7" s="530"/>
      <c r="AG7" s="396"/>
      <c r="AH7" s="530"/>
      <c r="AI7" s="530"/>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25"/>
      <c r="D8" s="418"/>
      <c r="E8" s="418"/>
      <c r="F8" s="418"/>
      <c r="G8" s="418"/>
      <c r="H8" s="418"/>
      <c r="I8" s="418"/>
      <c r="J8" s="419"/>
      <c r="K8" s="88"/>
      <c r="L8" s="88"/>
      <c r="M8" s="88"/>
      <c r="N8" s="202"/>
      <c r="O8" s="202"/>
      <c r="P8" s="202"/>
      <c r="Q8" s="202"/>
      <c r="R8" s="202"/>
      <c r="S8" s="202"/>
      <c r="T8" s="202"/>
      <c r="U8" s="202"/>
      <c r="V8" s="202"/>
      <c r="W8" s="396"/>
      <c r="X8" s="88"/>
      <c r="Y8" s="88"/>
      <c r="Z8" s="88"/>
      <c r="AA8" s="88"/>
      <c r="AB8" s="88"/>
      <c r="AC8" s="88"/>
      <c r="AD8" s="88"/>
      <c r="AE8" s="88"/>
      <c r="AF8" s="88"/>
      <c r="AG8" s="396"/>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07"/>
      <c r="D9" s="88"/>
      <c r="E9" s="88"/>
      <c r="F9" s="88"/>
      <c r="G9" s="88"/>
      <c r="H9" s="88"/>
      <c r="I9" s="88"/>
      <c r="J9" s="88"/>
      <c r="K9" s="88"/>
      <c r="L9" s="88"/>
      <c r="M9" s="88"/>
      <c r="N9" s="88"/>
      <c r="O9" s="88"/>
      <c r="P9" s="88"/>
      <c r="Q9" s="88"/>
      <c r="R9" s="88"/>
      <c r="S9" s="88"/>
      <c r="T9" s="88"/>
      <c r="U9" s="88"/>
      <c r="V9" s="88"/>
      <c r="W9" s="396"/>
      <c r="X9" s="88"/>
      <c r="Y9" s="88"/>
      <c r="Z9" s="88"/>
      <c r="AA9" s="88"/>
      <c r="AB9" s="88"/>
      <c r="AC9" s="88"/>
      <c r="AD9" s="88"/>
      <c r="AE9" s="88"/>
      <c r="AF9" s="88"/>
      <c r="AG9" s="396"/>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396"/>
      <c r="X10" s="88"/>
      <c r="Y10" s="88"/>
      <c r="Z10" s="88"/>
      <c r="AA10" s="88"/>
      <c r="AB10" s="88"/>
      <c r="AC10" s="88"/>
      <c r="AD10" s="88"/>
      <c r="AE10" s="88"/>
      <c r="AF10" s="88"/>
      <c r="AG10" s="396"/>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553"/>
      <c r="C11" s="554">
        <v>4468</v>
      </c>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6"/>
      <c r="X11" s="254"/>
      <c r="Y11" s="554">
        <v>2612</v>
      </c>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10072</v>
      </c>
      <c r="E12" s="257">
        <f>MAX(D12*(1-$D$5)^2,$C11)</f>
        <v>9476.7448000000004</v>
      </c>
      <c r="F12" s="257">
        <f t="shared" ref="F12:I12" si="0">MAX(E12*(1-$D$5)^2,$C11)</f>
        <v>8916.6691823199999</v>
      </c>
      <c r="G12" s="257">
        <f t="shared" si="0"/>
        <v>8389.6940336448879</v>
      </c>
      <c r="H12" s="257">
        <f t="shared" si="0"/>
        <v>7893.8631162564743</v>
      </c>
      <c r="I12" s="257">
        <f t="shared" si="0"/>
        <v>7427.3358060857163</v>
      </c>
      <c r="J12" s="257">
        <f t="shared" ref="J12" si="1">MAX(I12*(1-$D$5)^2,$C11)</f>
        <v>6988.3802599460505</v>
      </c>
      <c r="K12" s="257">
        <f t="shared" ref="K12" si="2">MAX(J12*(1-$D$5)^2,$C11)</f>
        <v>6575.3669865832389</v>
      </c>
      <c r="L12" s="257">
        <f t="shared" ref="L12:M12" si="3">MAX(K12*(1-$D$5)^2,$C11)</f>
        <v>6186.7627976761696</v>
      </c>
      <c r="M12" s="257">
        <f t="shared" si="3"/>
        <v>5821.1251163335073</v>
      </c>
      <c r="N12" s="257">
        <f t="shared" ref="N12" si="4">MAX(M12*(1-$D$5)^2,$C11)</f>
        <v>5477.0966219581969</v>
      </c>
      <c r="O12" s="257">
        <f t="shared" ref="O12" si="5">MAX(N12*(1-$D$5)^2,$C11)</f>
        <v>5153.4002116004676</v>
      </c>
      <c r="P12" s="257">
        <f t="shared" ref="P12:Q12" si="6">MAX(O12*(1-$D$5)^2,$C11)</f>
        <v>4848.8342590948796</v>
      </c>
      <c r="Q12" s="257">
        <f t="shared" si="6"/>
        <v>4562.2681543823719</v>
      </c>
      <c r="R12" s="257">
        <f t="shared" ref="R12" si="7">MAX(Q12*(1-$D$5)^2,$C11)</f>
        <v>4468</v>
      </c>
      <c r="S12" s="257">
        <f t="shared" ref="S12" si="8">MAX(R12*(1-$D$5)^2,$C11)</f>
        <v>4468</v>
      </c>
      <c r="T12" s="257">
        <f t="shared" ref="T12:U12" si="9">MAX(S12*(1-$D$5)^2,$C11)</f>
        <v>4468</v>
      </c>
      <c r="U12" s="257">
        <f t="shared" si="9"/>
        <v>4468</v>
      </c>
      <c r="V12" s="257">
        <f t="shared" ref="V12" si="10">MAX(U12*(1-$D$5)^2,$C11)</f>
        <v>4468</v>
      </c>
      <c r="W12" s="253"/>
      <c r="X12" s="255"/>
      <c r="Y12" s="256" t="s">
        <v>110</v>
      </c>
      <c r="Z12" s="268">
        <v>4449</v>
      </c>
      <c r="AA12" s="257">
        <f>MAX(Z12*(1-$D$6)^2,$Y11)</f>
        <v>4334.0778810000002</v>
      </c>
      <c r="AB12" s="257">
        <f>MAX(AA12*(1-$D$6)^2,$Y11)</f>
        <v>4222.1243152558891</v>
      </c>
      <c r="AC12" s="257">
        <f t="shared" ref="AC12:AR12" si="11">MAX(AB12*(1-$D$6)^2,$Y11)</f>
        <v>4113.0626220685144</v>
      </c>
      <c r="AD12" s="257">
        <f t="shared" si="11"/>
        <v>4006.8181014778625</v>
      </c>
      <c r="AE12" s="257">
        <f t="shared" si="11"/>
        <v>3903.3179830985878</v>
      </c>
      <c r="AF12" s="257">
        <f t="shared" si="11"/>
        <v>3802.491376277168</v>
      </c>
      <c r="AG12" s="257">
        <f t="shared" si="11"/>
        <v>3704.2692215365523</v>
      </c>
      <c r="AH12" s="257">
        <f t="shared" si="11"/>
        <v>3608.5842432750414</v>
      </c>
      <c r="AI12" s="257">
        <f t="shared" si="11"/>
        <v>3515.3709036870036</v>
      </c>
      <c r="AJ12" s="257">
        <f t="shared" si="11"/>
        <v>3424.5653578738643</v>
      </c>
      <c r="AK12" s="257">
        <f t="shared" si="11"/>
        <v>3336.1054101146242</v>
      </c>
      <c r="AL12" s="257">
        <f t="shared" si="11"/>
        <v>3249.9304712659532</v>
      </c>
      <c r="AM12" s="257">
        <f t="shared" si="11"/>
        <v>3165.9815172626822</v>
      </c>
      <c r="AN12" s="257">
        <f t="shared" si="11"/>
        <v>3084.2010486902695</v>
      </c>
      <c r="AO12" s="257">
        <f t="shared" si="11"/>
        <v>3004.5330514015509</v>
      </c>
      <c r="AP12" s="257">
        <f t="shared" si="11"/>
        <v>2926.9229581507975</v>
      </c>
      <c r="AQ12" s="257">
        <f t="shared" si="11"/>
        <v>2851.3176112188039</v>
      </c>
      <c r="AR12" s="257">
        <f t="shared" si="11"/>
        <v>2777.6652260034107</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5.0000000000000001E-3</v>
      </c>
      <c r="E14" s="260">
        <v>5.0000000000000001E-3</v>
      </c>
      <c r="F14" s="260">
        <v>5.0000000000000001E-3</v>
      </c>
      <c r="G14" s="260">
        <v>5.0000000000000001E-3</v>
      </c>
      <c r="H14" s="260">
        <v>5.0000000000000001E-3</v>
      </c>
      <c r="I14" s="260">
        <v>5.0000000000000001E-3</v>
      </c>
      <c r="J14" s="260">
        <v>5.0000000000000001E-3</v>
      </c>
      <c r="K14" s="260">
        <v>5.0000000000000001E-3</v>
      </c>
      <c r="L14" s="260">
        <v>5.0000000000000001E-3</v>
      </c>
      <c r="M14" s="260">
        <v>5.0000000000000001E-3</v>
      </c>
      <c r="N14" s="260">
        <v>5.0000000000000001E-3</v>
      </c>
      <c r="O14" s="260">
        <v>5.0000000000000001E-3</v>
      </c>
      <c r="P14" s="260">
        <v>5.0000000000000001E-3</v>
      </c>
      <c r="Q14" s="260">
        <v>5.0000000000000001E-3</v>
      </c>
      <c r="R14" s="260">
        <v>5.0000000000000001E-3</v>
      </c>
      <c r="S14" s="260">
        <v>5.0000000000000001E-3</v>
      </c>
      <c r="T14" s="260">
        <v>5.0000000000000001E-3</v>
      </c>
      <c r="U14" s="260">
        <v>5.0000000000000001E-3</v>
      </c>
      <c r="V14" s="260">
        <v>5.0000000000000001E-3</v>
      </c>
      <c r="W14" s="88"/>
      <c r="X14" s="259" t="s">
        <v>157</v>
      </c>
      <c r="Y14" s="258" t="s">
        <v>162</v>
      </c>
      <c r="Z14" s="271">
        <v>5.0000000000000001E-3</v>
      </c>
      <c r="AA14" s="260">
        <v>5.0000000000000001E-3</v>
      </c>
      <c r="AB14" s="260">
        <v>5.0000000000000001E-3</v>
      </c>
      <c r="AC14" s="260">
        <v>5.0000000000000001E-3</v>
      </c>
      <c r="AD14" s="260">
        <v>5.0000000000000001E-3</v>
      </c>
      <c r="AE14" s="260">
        <v>5.0000000000000001E-3</v>
      </c>
      <c r="AF14" s="260">
        <v>5.0000000000000001E-3</v>
      </c>
      <c r="AG14" s="260">
        <v>5.0000000000000001E-3</v>
      </c>
      <c r="AH14" s="260">
        <v>5.0000000000000001E-3</v>
      </c>
      <c r="AI14" s="260">
        <v>5.0000000000000001E-3</v>
      </c>
      <c r="AJ14" s="260">
        <v>5.0000000000000001E-3</v>
      </c>
      <c r="AK14" s="260">
        <v>5.0000000000000001E-3</v>
      </c>
      <c r="AL14" s="260">
        <v>5.0000000000000001E-3</v>
      </c>
      <c r="AM14" s="260">
        <v>5.0000000000000001E-3</v>
      </c>
      <c r="AN14" s="260">
        <v>5.0000000000000001E-3</v>
      </c>
      <c r="AO14" s="260">
        <v>5.0000000000000001E-3</v>
      </c>
      <c r="AP14" s="260">
        <v>5.0000000000000001E-3</v>
      </c>
      <c r="AQ14" s="260">
        <v>5.0000000000000001E-3</v>
      </c>
      <c r="AR14" s="260">
        <v>5.0000000000000001E-3</v>
      </c>
      <c r="AS14" s="89"/>
      <c r="AT14" s="94"/>
      <c r="AU14" s="94"/>
      <c r="AV14" s="94"/>
      <c r="AW14" s="94"/>
      <c r="AX14" s="94"/>
      <c r="AY14" s="94"/>
      <c r="AZ14" s="89"/>
      <c r="BA14" s="89"/>
      <c r="BB14" s="89"/>
      <c r="BC14" s="89"/>
      <c r="BD14" s="89"/>
      <c r="BE14" s="89"/>
      <c r="BF14" s="89"/>
    </row>
    <row r="15" spans="1:121" ht="14.25" customHeight="1">
      <c r="A15" s="100"/>
      <c r="B15" s="261"/>
      <c r="C15" s="258" t="s">
        <v>111</v>
      </c>
      <c r="D15" s="272">
        <v>30</v>
      </c>
      <c r="E15" s="117">
        <f>D15</f>
        <v>30</v>
      </c>
      <c r="F15" s="117">
        <f t="shared" ref="F15:V15" si="12">E15</f>
        <v>30</v>
      </c>
      <c r="G15" s="117">
        <f t="shared" si="12"/>
        <v>30</v>
      </c>
      <c r="H15" s="117">
        <f t="shared" si="12"/>
        <v>30</v>
      </c>
      <c r="I15" s="117">
        <f t="shared" si="12"/>
        <v>30</v>
      </c>
      <c r="J15" s="117">
        <f t="shared" si="12"/>
        <v>30</v>
      </c>
      <c r="K15" s="117">
        <f t="shared" si="12"/>
        <v>30</v>
      </c>
      <c r="L15" s="117">
        <f t="shared" si="12"/>
        <v>30</v>
      </c>
      <c r="M15" s="117">
        <f t="shared" si="12"/>
        <v>30</v>
      </c>
      <c r="N15" s="117">
        <f t="shared" si="12"/>
        <v>30</v>
      </c>
      <c r="O15" s="117">
        <f t="shared" si="12"/>
        <v>30</v>
      </c>
      <c r="P15" s="117">
        <f t="shared" si="12"/>
        <v>30</v>
      </c>
      <c r="Q15" s="117">
        <f t="shared" si="12"/>
        <v>30</v>
      </c>
      <c r="R15" s="117">
        <f t="shared" si="12"/>
        <v>30</v>
      </c>
      <c r="S15" s="117">
        <f t="shared" si="12"/>
        <v>30</v>
      </c>
      <c r="T15" s="117">
        <f t="shared" si="12"/>
        <v>30</v>
      </c>
      <c r="U15" s="117">
        <f t="shared" si="12"/>
        <v>30</v>
      </c>
      <c r="V15" s="117">
        <f t="shared" si="12"/>
        <v>30</v>
      </c>
      <c r="W15" s="88"/>
      <c r="X15" s="261"/>
      <c r="Y15" s="258" t="s">
        <v>111</v>
      </c>
      <c r="Z15" s="272">
        <v>50</v>
      </c>
      <c r="AA15" s="117">
        <f>Z15</f>
        <v>50</v>
      </c>
      <c r="AB15" s="117">
        <f t="shared" ref="AB15:AR15" si="13">AA15</f>
        <v>50</v>
      </c>
      <c r="AC15" s="117">
        <f t="shared" si="13"/>
        <v>50</v>
      </c>
      <c r="AD15" s="117">
        <f t="shared" si="13"/>
        <v>50</v>
      </c>
      <c r="AE15" s="117">
        <f t="shared" si="13"/>
        <v>50</v>
      </c>
      <c r="AF15" s="117">
        <f t="shared" si="13"/>
        <v>50</v>
      </c>
      <c r="AG15" s="117">
        <f t="shared" si="13"/>
        <v>50</v>
      </c>
      <c r="AH15" s="117">
        <f t="shared" si="13"/>
        <v>50</v>
      </c>
      <c r="AI15" s="117">
        <f t="shared" si="13"/>
        <v>50</v>
      </c>
      <c r="AJ15" s="117">
        <f t="shared" si="13"/>
        <v>50</v>
      </c>
      <c r="AK15" s="117">
        <f t="shared" si="13"/>
        <v>50</v>
      </c>
      <c r="AL15" s="117">
        <f t="shared" si="13"/>
        <v>50</v>
      </c>
      <c r="AM15" s="117">
        <f t="shared" si="13"/>
        <v>50</v>
      </c>
      <c r="AN15" s="117">
        <f t="shared" si="13"/>
        <v>50</v>
      </c>
      <c r="AO15" s="117">
        <f t="shared" si="13"/>
        <v>50</v>
      </c>
      <c r="AP15" s="117">
        <f t="shared" si="13"/>
        <v>50</v>
      </c>
      <c r="AQ15" s="117">
        <f t="shared" si="13"/>
        <v>50</v>
      </c>
      <c r="AR15" s="117">
        <f t="shared" si="1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3">
        <v>216</v>
      </c>
      <c r="E16" s="334">
        <f>D16</f>
        <v>216</v>
      </c>
      <c r="F16" s="334">
        <f t="shared" ref="F16:V16" si="14">E16</f>
        <v>216</v>
      </c>
      <c r="G16" s="334">
        <f t="shared" si="14"/>
        <v>216</v>
      </c>
      <c r="H16" s="334">
        <f t="shared" si="14"/>
        <v>216</v>
      </c>
      <c r="I16" s="334">
        <f t="shared" si="14"/>
        <v>216</v>
      </c>
      <c r="J16" s="334">
        <f t="shared" si="14"/>
        <v>216</v>
      </c>
      <c r="K16" s="334">
        <f t="shared" si="14"/>
        <v>216</v>
      </c>
      <c r="L16" s="334">
        <f t="shared" si="14"/>
        <v>216</v>
      </c>
      <c r="M16" s="334">
        <f t="shared" si="14"/>
        <v>216</v>
      </c>
      <c r="N16" s="334">
        <f t="shared" si="14"/>
        <v>216</v>
      </c>
      <c r="O16" s="334">
        <f t="shared" si="14"/>
        <v>216</v>
      </c>
      <c r="P16" s="334">
        <f t="shared" si="14"/>
        <v>216</v>
      </c>
      <c r="Q16" s="334">
        <f t="shared" si="14"/>
        <v>216</v>
      </c>
      <c r="R16" s="334">
        <f t="shared" si="14"/>
        <v>216</v>
      </c>
      <c r="S16" s="334">
        <f t="shared" si="14"/>
        <v>216</v>
      </c>
      <c r="T16" s="334">
        <f t="shared" si="14"/>
        <v>216</v>
      </c>
      <c r="U16" s="334">
        <f t="shared" si="14"/>
        <v>216</v>
      </c>
      <c r="V16" s="334">
        <f t="shared" si="14"/>
        <v>216</v>
      </c>
      <c r="W16" s="88"/>
      <c r="X16" s="129"/>
      <c r="Y16" s="262" t="s">
        <v>194</v>
      </c>
      <c r="Z16" s="273">
        <v>10.757999999999999</v>
      </c>
      <c r="AA16" s="274">
        <f>Z16</f>
        <v>10.757999999999999</v>
      </c>
      <c r="AB16" s="274">
        <f t="shared" ref="AB16:AR16" si="15">AA16</f>
        <v>10.757999999999999</v>
      </c>
      <c r="AC16" s="274">
        <f t="shared" si="15"/>
        <v>10.757999999999999</v>
      </c>
      <c r="AD16" s="274">
        <f t="shared" si="15"/>
        <v>10.757999999999999</v>
      </c>
      <c r="AE16" s="274">
        <f t="shared" si="15"/>
        <v>10.757999999999999</v>
      </c>
      <c r="AF16" s="274">
        <f t="shared" si="15"/>
        <v>10.757999999999999</v>
      </c>
      <c r="AG16" s="274">
        <f t="shared" si="15"/>
        <v>10.757999999999999</v>
      </c>
      <c r="AH16" s="274">
        <f t="shared" si="15"/>
        <v>10.757999999999999</v>
      </c>
      <c r="AI16" s="274">
        <f t="shared" si="15"/>
        <v>10.757999999999999</v>
      </c>
      <c r="AJ16" s="274">
        <f t="shared" si="15"/>
        <v>10.757999999999999</v>
      </c>
      <c r="AK16" s="274">
        <f t="shared" si="15"/>
        <v>10.757999999999999</v>
      </c>
      <c r="AL16" s="274">
        <f t="shared" si="15"/>
        <v>10.757999999999999</v>
      </c>
      <c r="AM16" s="274">
        <f t="shared" si="15"/>
        <v>10.757999999999999</v>
      </c>
      <c r="AN16" s="274">
        <f t="shared" si="15"/>
        <v>10.757999999999999</v>
      </c>
      <c r="AO16" s="274">
        <f t="shared" si="15"/>
        <v>10.757999999999999</v>
      </c>
      <c r="AP16" s="274">
        <f t="shared" si="15"/>
        <v>10.757999999999999</v>
      </c>
      <c r="AQ16" s="274">
        <f t="shared" si="15"/>
        <v>10.757999999999999</v>
      </c>
      <c r="AR16" s="274">
        <f t="shared" si="1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ht="15">
      <c r="A18" s="88"/>
      <c r="B18" s="254"/>
      <c r="C18" s="554">
        <v>4188</v>
      </c>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554">
        <v>2333</v>
      </c>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9226</v>
      </c>
      <c r="E19" s="257">
        <f>MAX(D19*(1-$D$5)^2,$C18)</f>
        <v>8680.7433999999994</v>
      </c>
      <c r="F19" s="257">
        <f t="shared" ref="F19:V19" si="16">MAX(E19*(1-$D$5)^2,$C18)</f>
        <v>8167.7114650599988</v>
      </c>
      <c r="G19" s="257">
        <f t="shared" si="16"/>
        <v>7684.9997174749524</v>
      </c>
      <c r="H19" s="257">
        <f t="shared" si="16"/>
        <v>7230.8162341721827</v>
      </c>
      <c r="I19" s="257">
        <f t="shared" si="16"/>
        <v>6803.4749947326063</v>
      </c>
      <c r="J19" s="257">
        <f t="shared" si="16"/>
        <v>6401.3896225439094</v>
      </c>
      <c r="K19" s="257">
        <f t="shared" si="16"/>
        <v>6023.0674958515638</v>
      </c>
      <c r="L19" s="257">
        <f t="shared" si="16"/>
        <v>5667.1042068467359</v>
      </c>
      <c r="M19" s="257">
        <f t="shared" si="16"/>
        <v>5332.1783482220935</v>
      </c>
      <c r="N19" s="257">
        <f t="shared" si="16"/>
        <v>5017.0466078421678</v>
      </c>
      <c r="O19" s="257">
        <f t="shared" si="16"/>
        <v>4720.5391533186958</v>
      </c>
      <c r="P19" s="257">
        <f t="shared" si="16"/>
        <v>4441.5552893575605</v>
      </c>
      <c r="Q19" s="257">
        <f t="shared" si="16"/>
        <v>4188</v>
      </c>
      <c r="R19" s="257">
        <f t="shared" si="16"/>
        <v>4188</v>
      </c>
      <c r="S19" s="257">
        <f t="shared" si="16"/>
        <v>4188</v>
      </c>
      <c r="T19" s="257">
        <f t="shared" si="16"/>
        <v>4188</v>
      </c>
      <c r="U19" s="257">
        <f t="shared" si="16"/>
        <v>4188</v>
      </c>
      <c r="V19" s="257">
        <f t="shared" si="16"/>
        <v>4188</v>
      </c>
      <c r="W19" s="88"/>
      <c r="X19" s="255"/>
      <c r="Y19" s="256" t="s">
        <v>110</v>
      </c>
      <c r="Z19" s="268">
        <v>3603</v>
      </c>
      <c r="AA19" s="257">
        <f>MAX(Z19*(1-$D$6)^2,$Y18)</f>
        <v>3509.9309069999999</v>
      </c>
      <c r="AB19" s="257">
        <f t="shared" ref="AB19:AR19" si="17">MAX(AA19*(1-$D$6)^2,$Y18)</f>
        <v>3419.2658817412826</v>
      </c>
      <c r="AC19" s="257">
        <f t="shared" si="17"/>
        <v>3330.9428247500232</v>
      </c>
      <c r="AD19" s="257">
        <f t="shared" si="17"/>
        <v>3244.9012406439051</v>
      </c>
      <c r="AE19" s="257">
        <f t="shared" si="17"/>
        <v>3161.0821966968324</v>
      </c>
      <c r="AF19" s="257">
        <f t="shared" si="17"/>
        <v>3079.4282824739562</v>
      </c>
      <c r="AG19" s="257">
        <f t="shared" si="17"/>
        <v>2999.8835705093711</v>
      </c>
      <c r="AH19" s="257">
        <f t="shared" si="17"/>
        <v>2922.3935779995436</v>
      </c>
      <c r="AI19" s="257">
        <f t="shared" si="17"/>
        <v>2846.9052294862372</v>
      </c>
      <c r="AJ19" s="257">
        <f t="shared" si="17"/>
        <v>2773.3668205033782</v>
      </c>
      <c r="AK19" s="257">
        <f t="shared" si="17"/>
        <v>2701.7279821629554</v>
      </c>
      <c r="AL19" s="257">
        <f t="shared" si="17"/>
        <v>2631.9396466557041</v>
      </c>
      <c r="AM19" s="257">
        <f t="shared" si="17"/>
        <v>2563.9540136429405</v>
      </c>
      <c r="AN19" s="257">
        <f t="shared" si="17"/>
        <v>2497.7245175165294</v>
      </c>
      <c r="AO19" s="257">
        <f t="shared" si="17"/>
        <v>2433.2057955045598</v>
      </c>
      <c r="AP19" s="257">
        <f t="shared" si="17"/>
        <v>2370.3536566008815</v>
      </c>
      <c r="AQ19" s="257">
        <f t="shared" si="17"/>
        <v>2333</v>
      </c>
      <c r="AR19" s="257">
        <f t="shared" si="17"/>
        <v>2333</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5.0000000000000001E-3</v>
      </c>
      <c r="E21" s="260">
        <v>5.0000000000000001E-3</v>
      </c>
      <c r="F21" s="260">
        <v>5.0000000000000001E-3</v>
      </c>
      <c r="G21" s="260">
        <v>5.0000000000000001E-3</v>
      </c>
      <c r="H21" s="260">
        <v>5.0000000000000001E-3</v>
      </c>
      <c r="I21" s="260">
        <v>5.0000000000000001E-3</v>
      </c>
      <c r="J21" s="260">
        <v>5.0000000000000001E-3</v>
      </c>
      <c r="K21" s="260">
        <v>5.0000000000000001E-3</v>
      </c>
      <c r="L21" s="260">
        <v>5.0000000000000001E-3</v>
      </c>
      <c r="M21" s="260">
        <v>5.0000000000000001E-3</v>
      </c>
      <c r="N21" s="260">
        <v>5.0000000000000001E-3</v>
      </c>
      <c r="O21" s="260">
        <v>5.0000000000000001E-3</v>
      </c>
      <c r="P21" s="260">
        <v>5.0000000000000001E-3</v>
      </c>
      <c r="Q21" s="260">
        <v>5.0000000000000001E-3</v>
      </c>
      <c r="R21" s="260">
        <v>5.0000000000000001E-3</v>
      </c>
      <c r="S21" s="260">
        <v>5.0000000000000001E-3</v>
      </c>
      <c r="T21" s="260">
        <v>5.0000000000000001E-3</v>
      </c>
      <c r="U21" s="260">
        <v>5.0000000000000001E-3</v>
      </c>
      <c r="V21" s="260">
        <v>5.0000000000000001E-3</v>
      </c>
      <c r="W21" s="88"/>
      <c r="X21" s="259" t="s">
        <v>157</v>
      </c>
      <c r="Y21" s="258" t="s">
        <v>162</v>
      </c>
      <c r="Z21" s="271">
        <v>5.0000000000000001E-3</v>
      </c>
      <c r="AA21" s="260">
        <v>5.0000000000000001E-3</v>
      </c>
      <c r="AB21" s="260">
        <v>5.0000000000000001E-3</v>
      </c>
      <c r="AC21" s="260">
        <v>5.0000000000000001E-3</v>
      </c>
      <c r="AD21" s="260">
        <v>5.0000000000000001E-3</v>
      </c>
      <c r="AE21" s="260">
        <v>5.0000000000000001E-3</v>
      </c>
      <c r="AF21" s="260">
        <v>5.0000000000000001E-3</v>
      </c>
      <c r="AG21" s="260">
        <v>5.0000000000000001E-3</v>
      </c>
      <c r="AH21" s="260">
        <v>5.0000000000000001E-3</v>
      </c>
      <c r="AI21" s="260">
        <v>5.0000000000000001E-3</v>
      </c>
      <c r="AJ21" s="260">
        <v>5.0000000000000001E-3</v>
      </c>
      <c r="AK21" s="260">
        <v>5.0000000000000001E-3</v>
      </c>
      <c r="AL21" s="260">
        <v>5.0000000000000001E-3</v>
      </c>
      <c r="AM21" s="260">
        <v>5.0000000000000001E-3</v>
      </c>
      <c r="AN21" s="260">
        <v>5.0000000000000001E-3</v>
      </c>
      <c r="AO21" s="260">
        <v>5.0000000000000001E-3</v>
      </c>
      <c r="AP21" s="260">
        <v>5.0000000000000001E-3</v>
      </c>
      <c r="AQ21" s="260">
        <v>5.0000000000000001E-3</v>
      </c>
      <c r="AR21" s="260">
        <v>5.0000000000000001E-3</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2">
        <v>30</v>
      </c>
      <c r="E22" s="117">
        <f>D22</f>
        <v>30</v>
      </c>
      <c r="F22" s="117">
        <f t="shared" ref="F22:V22" si="18">E22</f>
        <v>30</v>
      </c>
      <c r="G22" s="117">
        <f t="shared" si="18"/>
        <v>30</v>
      </c>
      <c r="H22" s="117">
        <f t="shared" si="18"/>
        <v>30</v>
      </c>
      <c r="I22" s="117">
        <f t="shared" si="18"/>
        <v>30</v>
      </c>
      <c r="J22" s="117">
        <f t="shared" si="18"/>
        <v>30</v>
      </c>
      <c r="K22" s="117">
        <f t="shared" si="18"/>
        <v>30</v>
      </c>
      <c r="L22" s="117">
        <f t="shared" si="18"/>
        <v>30</v>
      </c>
      <c r="M22" s="117">
        <f t="shared" si="18"/>
        <v>30</v>
      </c>
      <c r="N22" s="117">
        <f t="shared" si="18"/>
        <v>30</v>
      </c>
      <c r="O22" s="117">
        <f t="shared" si="18"/>
        <v>30</v>
      </c>
      <c r="P22" s="117">
        <f t="shared" si="18"/>
        <v>30</v>
      </c>
      <c r="Q22" s="117">
        <f t="shared" si="18"/>
        <v>30</v>
      </c>
      <c r="R22" s="117">
        <f t="shared" si="18"/>
        <v>30</v>
      </c>
      <c r="S22" s="117">
        <f t="shared" si="18"/>
        <v>30</v>
      </c>
      <c r="T22" s="117">
        <f t="shared" si="18"/>
        <v>30</v>
      </c>
      <c r="U22" s="117">
        <f t="shared" si="18"/>
        <v>30</v>
      </c>
      <c r="V22" s="117">
        <f t="shared" si="18"/>
        <v>30</v>
      </c>
      <c r="W22" s="88"/>
      <c r="X22" s="261"/>
      <c r="Y22" s="258" t="s">
        <v>111</v>
      </c>
      <c r="Z22" s="272">
        <v>50</v>
      </c>
      <c r="AA22" s="117">
        <f>Z22</f>
        <v>50</v>
      </c>
      <c r="AB22" s="117">
        <f t="shared" ref="AB22:AR22" si="19">AA22</f>
        <v>50</v>
      </c>
      <c r="AC22" s="117">
        <f t="shared" si="19"/>
        <v>50</v>
      </c>
      <c r="AD22" s="117">
        <f t="shared" si="19"/>
        <v>50</v>
      </c>
      <c r="AE22" s="117">
        <f t="shared" si="19"/>
        <v>50</v>
      </c>
      <c r="AF22" s="117">
        <f t="shared" si="19"/>
        <v>50</v>
      </c>
      <c r="AG22" s="117">
        <f t="shared" si="19"/>
        <v>50</v>
      </c>
      <c r="AH22" s="117">
        <f t="shared" si="19"/>
        <v>50</v>
      </c>
      <c r="AI22" s="117">
        <f t="shared" si="19"/>
        <v>50</v>
      </c>
      <c r="AJ22" s="117">
        <f t="shared" si="19"/>
        <v>50</v>
      </c>
      <c r="AK22" s="117">
        <f t="shared" si="19"/>
        <v>50</v>
      </c>
      <c r="AL22" s="117">
        <f t="shared" si="19"/>
        <v>50</v>
      </c>
      <c r="AM22" s="117">
        <f t="shared" si="19"/>
        <v>50</v>
      </c>
      <c r="AN22" s="117">
        <f t="shared" si="19"/>
        <v>50</v>
      </c>
      <c r="AO22" s="117">
        <f t="shared" si="19"/>
        <v>50</v>
      </c>
      <c r="AP22" s="117">
        <f t="shared" si="19"/>
        <v>50</v>
      </c>
      <c r="AQ22" s="117">
        <f t="shared" si="19"/>
        <v>50</v>
      </c>
      <c r="AR22" s="117">
        <f t="shared" si="19"/>
        <v>50</v>
      </c>
      <c r="AS22" s="89"/>
      <c r="AT22" s="94"/>
      <c r="AU22" s="94"/>
      <c r="AV22" s="94"/>
      <c r="AW22" s="94"/>
      <c r="AX22" s="94"/>
      <c r="AY22" s="94"/>
      <c r="AZ22" s="333"/>
      <c r="BA22" s="96"/>
      <c r="BB22" s="93"/>
      <c r="BC22" s="89"/>
      <c r="BD22" s="89"/>
      <c r="BE22" s="89"/>
      <c r="BF22" s="89"/>
      <c r="BG22" s="89"/>
      <c r="BH22" s="89"/>
      <c r="BI22" s="89"/>
      <c r="BJ22" s="89"/>
    </row>
    <row r="23" spans="1:62" ht="15" thickBot="1">
      <c r="A23" s="88"/>
      <c r="B23" s="129"/>
      <c r="C23" s="262" t="s">
        <v>194</v>
      </c>
      <c r="D23" s="273">
        <v>164.29</v>
      </c>
      <c r="E23" s="274">
        <f>D23</f>
        <v>164.29</v>
      </c>
      <c r="F23" s="274">
        <f t="shared" ref="F23:V23" si="20">E23</f>
        <v>164.29</v>
      </c>
      <c r="G23" s="274">
        <f t="shared" si="20"/>
        <v>164.29</v>
      </c>
      <c r="H23" s="274">
        <f t="shared" si="20"/>
        <v>164.29</v>
      </c>
      <c r="I23" s="274">
        <f t="shared" si="20"/>
        <v>164.29</v>
      </c>
      <c r="J23" s="274">
        <f t="shared" si="20"/>
        <v>164.29</v>
      </c>
      <c r="K23" s="274">
        <f t="shared" si="20"/>
        <v>164.29</v>
      </c>
      <c r="L23" s="274">
        <f t="shared" si="20"/>
        <v>164.29</v>
      </c>
      <c r="M23" s="274">
        <f t="shared" si="20"/>
        <v>164.29</v>
      </c>
      <c r="N23" s="274">
        <f t="shared" si="20"/>
        <v>164.29</v>
      </c>
      <c r="O23" s="274">
        <f t="shared" si="20"/>
        <v>164.29</v>
      </c>
      <c r="P23" s="274">
        <f t="shared" si="20"/>
        <v>164.29</v>
      </c>
      <c r="Q23" s="274">
        <f t="shared" si="20"/>
        <v>164.29</v>
      </c>
      <c r="R23" s="274">
        <f t="shared" si="20"/>
        <v>164.29</v>
      </c>
      <c r="S23" s="274">
        <f t="shared" si="20"/>
        <v>164.29</v>
      </c>
      <c r="T23" s="274">
        <f t="shared" si="20"/>
        <v>164.29</v>
      </c>
      <c r="U23" s="274">
        <f t="shared" si="20"/>
        <v>164.29</v>
      </c>
      <c r="V23" s="274">
        <f t="shared" si="20"/>
        <v>164.29</v>
      </c>
      <c r="W23" s="88"/>
      <c r="X23" s="129"/>
      <c r="Y23" s="262" t="s">
        <v>194</v>
      </c>
      <c r="Z23" s="273">
        <v>9.8829999999999991</v>
      </c>
      <c r="AA23" s="274">
        <f>Z23</f>
        <v>9.8829999999999991</v>
      </c>
      <c r="AB23" s="274">
        <f t="shared" ref="AB23:AR23" si="21">AA23</f>
        <v>9.8829999999999991</v>
      </c>
      <c r="AC23" s="274">
        <f t="shared" si="21"/>
        <v>9.8829999999999991</v>
      </c>
      <c r="AD23" s="274">
        <f t="shared" si="21"/>
        <v>9.8829999999999991</v>
      </c>
      <c r="AE23" s="274">
        <f t="shared" si="21"/>
        <v>9.8829999999999991</v>
      </c>
      <c r="AF23" s="274">
        <f t="shared" si="21"/>
        <v>9.8829999999999991</v>
      </c>
      <c r="AG23" s="274">
        <f t="shared" si="21"/>
        <v>9.8829999999999991</v>
      </c>
      <c r="AH23" s="274">
        <f t="shared" si="21"/>
        <v>9.8829999999999991</v>
      </c>
      <c r="AI23" s="274">
        <f t="shared" si="21"/>
        <v>9.8829999999999991</v>
      </c>
      <c r="AJ23" s="274">
        <f t="shared" si="21"/>
        <v>9.8829999999999991</v>
      </c>
      <c r="AK23" s="274">
        <f t="shared" si="21"/>
        <v>9.8829999999999991</v>
      </c>
      <c r="AL23" s="274">
        <f t="shared" si="21"/>
        <v>9.8829999999999991</v>
      </c>
      <c r="AM23" s="274">
        <f t="shared" si="21"/>
        <v>9.8829999999999991</v>
      </c>
      <c r="AN23" s="274">
        <f t="shared" si="21"/>
        <v>9.8829999999999991</v>
      </c>
      <c r="AO23" s="274">
        <f t="shared" si="21"/>
        <v>9.8829999999999991</v>
      </c>
      <c r="AP23" s="274">
        <f t="shared" si="21"/>
        <v>9.8829999999999991</v>
      </c>
      <c r="AQ23" s="274">
        <f t="shared" si="21"/>
        <v>9.8829999999999991</v>
      </c>
      <c r="AR23" s="274">
        <f t="shared" si="2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ht="15">
      <c r="A25" s="88"/>
      <c r="B25" s="254"/>
      <c r="C25" s="554">
        <v>3909</v>
      </c>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554">
        <v>2169</v>
      </c>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8380</v>
      </c>
      <c r="E26" s="257">
        <f>MAX(D26*(1-$D$5)^2,$C25)</f>
        <v>7884.7419999999993</v>
      </c>
      <c r="F26" s="257">
        <f t="shared" ref="F26:V26" si="22">MAX(E26*(1-$D$5)^2,$C25)</f>
        <v>7418.7537477999986</v>
      </c>
      <c r="G26" s="257">
        <f t="shared" si="22"/>
        <v>6980.3054013050187</v>
      </c>
      <c r="H26" s="257">
        <f t="shared" si="22"/>
        <v>6567.769352087892</v>
      </c>
      <c r="I26" s="257">
        <f t="shared" si="22"/>
        <v>6179.6141833794973</v>
      </c>
      <c r="J26" s="257">
        <f t="shared" si="22"/>
        <v>5814.3989851417691</v>
      </c>
      <c r="K26" s="257">
        <f t="shared" si="22"/>
        <v>5470.7680051198904</v>
      </c>
      <c r="L26" s="257">
        <f t="shared" si="22"/>
        <v>5147.4456160173049</v>
      </c>
      <c r="M26" s="257">
        <f t="shared" si="22"/>
        <v>4843.2315801106824</v>
      </c>
      <c r="N26" s="257">
        <f t="shared" si="22"/>
        <v>4556.9965937261413</v>
      </c>
      <c r="O26" s="257">
        <f t="shared" si="22"/>
        <v>4287.6780950369266</v>
      </c>
      <c r="P26" s="257">
        <f t="shared" si="22"/>
        <v>4034.2763196202441</v>
      </c>
      <c r="Q26" s="257">
        <f t="shared" si="22"/>
        <v>3909</v>
      </c>
      <c r="R26" s="257">
        <f t="shared" si="22"/>
        <v>3909</v>
      </c>
      <c r="S26" s="257">
        <f t="shared" si="22"/>
        <v>3909</v>
      </c>
      <c r="T26" s="257">
        <f t="shared" si="22"/>
        <v>3909</v>
      </c>
      <c r="U26" s="257">
        <f t="shared" si="22"/>
        <v>3909</v>
      </c>
      <c r="V26" s="257">
        <f t="shared" si="22"/>
        <v>3909</v>
      </c>
      <c r="W26" s="88"/>
      <c r="X26" s="255"/>
      <c r="Y26" s="256" t="s">
        <v>110</v>
      </c>
      <c r="Z26" s="268">
        <v>3108</v>
      </c>
      <c r="AA26" s="257">
        <f>MAX(Z26*(1-$D$7)^2,$Y25)</f>
        <v>3064.640292</v>
      </c>
      <c r="AB26" s="257">
        <f t="shared" ref="AB26:AR26" si="23">MAX(AA26*(1-$D$7)^2,$Y25)</f>
        <v>3021.885495286308</v>
      </c>
      <c r="AC26" s="257">
        <f t="shared" si="23"/>
        <v>2979.7271707415684</v>
      </c>
      <c r="AD26" s="257">
        <f t="shared" si="23"/>
        <v>2938.1569969825528</v>
      </c>
      <c r="AE26" s="257">
        <f t="shared" si="23"/>
        <v>2897.1667687176491</v>
      </c>
      <c r="AF26" s="257">
        <f t="shared" si="23"/>
        <v>2856.7483951272689</v>
      </c>
      <c r="AG26" s="257">
        <f t="shared" si="23"/>
        <v>2816.8938982668483</v>
      </c>
      <c r="AH26" s="257">
        <f t="shared" si="23"/>
        <v>2777.5954114921274</v>
      </c>
      <c r="AI26" s="257">
        <f t="shared" si="23"/>
        <v>2738.8451779064007</v>
      </c>
      <c r="AJ26" s="257">
        <f t="shared" si="23"/>
        <v>2700.6355488294284</v>
      </c>
      <c r="AK26" s="257">
        <f t="shared" si="23"/>
        <v>2662.9589822877087</v>
      </c>
      <c r="AL26" s="257">
        <f t="shared" si="23"/>
        <v>2625.8080415258128</v>
      </c>
      <c r="AM26" s="257">
        <f t="shared" si="23"/>
        <v>2589.1753935384859</v>
      </c>
      <c r="AN26" s="257">
        <f t="shared" si="23"/>
        <v>2553.0538076232301</v>
      </c>
      <c r="AO26" s="257">
        <f t="shared" si="23"/>
        <v>2517.4361539530782</v>
      </c>
      <c r="AP26" s="257">
        <f t="shared" si="23"/>
        <v>2482.3154021692785</v>
      </c>
      <c r="AQ26" s="257">
        <f t="shared" si="23"/>
        <v>2447.6846199936149</v>
      </c>
      <c r="AR26" s="257">
        <f t="shared" si="23"/>
        <v>2413.5369718600837</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5.0000000000000001E-3</v>
      </c>
      <c r="E28" s="260">
        <v>5.0000000000000001E-3</v>
      </c>
      <c r="F28" s="260">
        <v>5.0000000000000001E-3</v>
      </c>
      <c r="G28" s="260">
        <v>5.0000000000000001E-3</v>
      </c>
      <c r="H28" s="260">
        <v>5.0000000000000001E-3</v>
      </c>
      <c r="I28" s="260">
        <v>5.0000000000000001E-3</v>
      </c>
      <c r="J28" s="260">
        <v>5.0000000000000001E-3</v>
      </c>
      <c r="K28" s="260">
        <v>5.0000000000000001E-3</v>
      </c>
      <c r="L28" s="260">
        <v>5.0000000000000001E-3</v>
      </c>
      <c r="M28" s="260">
        <v>5.0000000000000001E-3</v>
      </c>
      <c r="N28" s="260">
        <v>5.0000000000000001E-3</v>
      </c>
      <c r="O28" s="260">
        <v>5.0000000000000001E-3</v>
      </c>
      <c r="P28" s="260">
        <v>5.0000000000000001E-3</v>
      </c>
      <c r="Q28" s="260">
        <v>5.0000000000000001E-3</v>
      </c>
      <c r="R28" s="260">
        <v>5.0000000000000001E-3</v>
      </c>
      <c r="S28" s="260">
        <v>5.0000000000000001E-3</v>
      </c>
      <c r="T28" s="260">
        <v>5.0000000000000001E-3</v>
      </c>
      <c r="U28" s="260">
        <v>5.0000000000000001E-3</v>
      </c>
      <c r="V28" s="260">
        <v>5.0000000000000001E-3</v>
      </c>
      <c r="W28" s="88"/>
      <c r="X28" s="259" t="s">
        <v>157</v>
      </c>
      <c r="Y28" s="258" t="s">
        <v>162</v>
      </c>
      <c r="Z28" s="271">
        <v>5.0000000000000001E-3</v>
      </c>
      <c r="AA28" s="260">
        <v>5.0000000000000001E-3</v>
      </c>
      <c r="AB28" s="260">
        <v>5.0000000000000001E-3</v>
      </c>
      <c r="AC28" s="260">
        <v>5.0000000000000001E-3</v>
      </c>
      <c r="AD28" s="260">
        <v>5.0000000000000001E-3</v>
      </c>
      <c r="AE28" s="260">
        <v>5.0000000000000001E-3</v>
      </c>
      <c r="AF28" s="260">
        <v>5.0000000000000001E-3</v>
      </c>
      <c r="AG28" s="260">
        <v>5.0000000000000001E-3</v>
      </c>
      <c r="AH28" s="260">
        <v>5.0000000000000001E-3</v>
      </c>
      <c r="AI28" s="260">
        <v>5.0000000000000001E-3</v>
      </c>
      <c r="AJ28" s="260">
        <v>5.0000000000000001E-3</v>
      </c>
      <c r="AK28" s="260">
        <v>5.0000000000000001E-3</v>
      </c>
      <c r="AL28" s="260">
        <v>5.0000000000000001E-3</v>
      </c>
      <c r="AM28" s="260">
        <v>5.0000000000000001E-3</v>
      </c>
      <c r="AN28" s="260">
        <v>5.0000000000000001E-3</v>
      </c>
      <c r="AO28" s="260">
        <v>5.0000000000000001E-3</v>
      </c>
      <c r="AP28" s="260">
        <v>5.0000000000000001E-3</v>
      </c>
      <c r="AQ28" s="260">
        <v>5.0000000000000001E-3</v>
      </c>
      <c r="AR28" s="260">
        <v>5.0000000000000001E-3</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2">
        <v>30</v>
      </c>
      <c r="E29" s="117">
        <f>D29</f>
        <v>30</v>
      </c>
      <c r="F29" s="117">
        <f t="shared" ref="F29:V29" si="24">E29</f>
        <v>30</v>
      </c>
      <c r="G29" s="117">
        <f t="shared" si="24"/>
        <v>30</v>
      </c>
      <c r="H29" s="117">
        <f t="shared" si="24"/>
        <v>30</v>
      </c>
      <c r="I29" s="117">
        <f t="shared" si="24"/>
        <v>30</v>
      </c>
      <c r="J29" s="117">
        <f t="shared" si="24"/>
        <v>30</v>
      </c>
      <c r="K29" s="117">
        <f t="shared" si="24"/>
        <v>30</v>
      </c>
      <c r="L29" s="117">
        <f t="shared" si="24"/>
        <v>30</v>
      </c>
      <c r="M29" s="117">
        <f t="shared" si="24"/>
        <v>30</v>
      </c>
      <c r="N29" s="117">
        <f t="shared" si="24"/>
        <v>30</v>
      </c>
      <c r="O29" s="117">
        <f t="shared" si="24"/>
        <v>30</v>
      </c>
      <c r="P29" s="117">
        <f t="shared" si="24"/>
        <v>30</v>
      </c>
      <c r="Q29" s="117">
        <f t="shared" si="24"/>
        <v>30</v>
      </c>
      <c r="R29" s="117">
        <f t="shared" si="24"/>
        <v>30</v>
      </c>
      <c r="S29" s="117">
        <f t="shared" si="24"/>
        <v>30</v>
      </c>
      <c r="T29" s="117">
        <f t="shared" si="24"/>
        <v>30</v>
      </c>
      <c r="U29" s="117">
        <f t="shared" si="24"/>
        <v>30</v>
      </c>
      <c r="V29" s="117">
        <f t="shared" si="24"/>
        <v>30</v>
      </c>
      <c r="W29" s="88"/>
      <c r="X29" s="261"/>
      <c r="Y29" s="258" t="s">
        <v>111</v>
      </c>
      <c r="Z29" s="272">
        <v>50</v>
      </c>
      <c r="AA29" s="117">
        <f>Z29</f>
        <v>50</v>
      </c>
      <c r="AB29" s="117">
        <f t="shared" ref="AB29:AR29" si="25">AA29</f>
        <v>50</v>
      </c>
      <c r="AC29" s="117">
        <f t="shared" si="25"/>
        <v>50</v>
      </c>
      <c r="AD29" s="117">
        <f t="shared" si="25"/>
        <v>50</v>
      </c>
      <c r="AE29" s="117">
        <f t="shared" si="25"/>
        <v>50</v>
      </c>
      <c r="AF29" s="117">
        <f t="shared" si="25"/>
        <v>50</v>
      </c>
      <c r="AG29" s="117">
        <f t="shared" si="25"/>
        <v>50</v>
      </c>
      <c r="AH29" s="117">
        <f t="shared" si="25"/>
        <v>50</v>
      </c>
      <c r="AI29" s="117">
        <f t="shared" si="25"/>
        <v>50</v>
      </c>
      <c r="AJ29" s="117">
        <f t="shared" si="25"/>
        <v>50</v>
      </c>
      <c r="AK29" s="117">
        <f t="shared" si="25"/>
        <v>50</v>
      </c>
      <c r="AL29" s="117">
        <f t="shared" si="25"/>
        <v>50</v>
      </c>
      <c r="AM29" s="117">
        <f t="shared" si="25"/>
        <v>50</v>
      </c>
      <c r="AN29" s="117">
        <f t="shared" si="25"/>
        <v>50</v>
      </c>
      <c r="AO29" s="117">
        <f t="shared" si="25"/>
        <v>50</v>
      </c>
      <c r="AP29" s="117">
        <f t="shared" si="25"/>
        <v>50</v>
      </c>
      <c r="AQ29" s="117">
        <f t="shared" si="25"/>
        <v>50</v>
      </c>
      <c r="AR29" s="117">
        <f t="shared" si="2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3">
        <v>117.77</v>
      </c>
      <c r="E30" s="274">
        <f>D30</f>
        <v>117.77</v>
      </c>
      <c r="F30" s="274">
        <f t="shared" ref="F30:V30" si="26">E30</f>
        <v>117.77</v>
      </c>
      <c r="G30" s="274">
        <f t="shared" si="26"/>
        <v>117.77</v>
      </c>
      <c r="H30" s="274">
        <f t="shared" si="26"/>
        <v>117.77</v>
      </c>
      <c r="I30" s="274">
        <f t="shared" si="26"/>
        <v>117.77</v>
      </c>
      <c r="J30" s="274">
        <f t="shared" si="26"/>
        <v>117.77</v>
      </c>
      <c r="K30" s="274">
        <f t="shared" si="26"/>
        <v>117.77</v>
      </c>
      <c r="L30" s="274">
        <f t="shared" si="26"/>
        <v>117.77</v>
      </c>
      <c r="M30" s="274">
        <f t="shared" si="26"/>
        <v>117.77</v>
      </c>
      <c r="N30" s="274">
        <f t="shared" si="26"/>
        <v>117.77</v>
      </c>
      <c r="O30" s="274">
        <f t="shared" si="26"/>
        <v>117.77</v>
      </c>
      <c r="P30" s="274">
        <f t="shared" si="26"/>
        <v>117.77</v>
      </c>
      <c r="Q30" s="274">
        <f t="shared" si="26"/>
        <v>117.77</v>
      </c>
      <c r="R30" s="274">
        <f t="shared" si="26"/>
        <v>117.77</v>
      </c>
      <c r="S30" s="274">
        <f t="shared" si="26"/>
        <v>117.77</v>
      </c>
      <c r="T30" s="274">
        <f t="shared" si="26"/>
        <v>117.77</v>
      </c>
      <c r="U30" s="274">
        <f t="shared" si="26"/>
        <v>117.77</v>
      </c>
      <c r="V30" s="274">
        <f t="shared" si="26"/>
        <v>117.77</v>
      </c>
      <c r="W30" s="88"/>
      <c r="X30" s="129"/>
      <c r="Y30" s="262" t="s">
        <v>194</v>
      </c>
      <c r="Z30" s="273">
        <v>9.0079999999999991</v>
      </c>
      <c r="AA30" s="274">
        <f>Z30</f>
        <v>9.0079999999999991</v>
      </c>
      <c r="AB30" s="274">
        <f t="shared" ref="AB30:AR30" si="27">AA30</f>
        <v>9.0079999999999991</v>
      </c>
      <c r="AC30" s="274">
        <f t="shared" si="27"/>
        <v>9.0079999999999991</v>
      </c>
      <c r="AD30" s="274">
        <f t="shared" si="27"/>
        <v>9.0079999999999991</v>
      </c>
      <c r="AE30" s="274">
        <f t="shared" si="27"/>
        <v>9.0079999999999991</v>
      </c>
      <c r="AF30" s="274">
        <f t="shared" si="27"/>
        <v>9.0079999999999991</v>
      </c>
      <c r="AG30" s="274">
        <f t="shared" si="27"/>
        <v>9.0079999999999991</v>
      </c>
      <c r="AH30" s="274">
        <f t="shared" si="27"/>
        <v>9.0079999999999991</v>
      </c>
      <c r="AI30" s="274">
        <f t="shared" si="27"/>
        <v>9.0079999999999991</v>
      </c>
      <c r="AJ30" s="274">
        <f t="shared" si="27"/>
        <v>9.0079999999999991</v>
      </c>
      <c r="AK30" s="274">
        <f t="shared" si="27"/>
        <v>9.0079999999999991</v>
      </c>
      <c r="AL30" s="274">
        <f t="shared" si="27"/>
        <v>9.0079999999999991</v>
      </c>
      <c r="AM30" s="274">
        <f t="shared" si="27"/>
        <v>9.0079999999999991</v>
      </c>
      <c r="AN30" s="274">
        <f t="shared" si="27"/>
        <v>9.0079999999999991</v>
      </c>
      <c r="AO30" s="274">
        <f t="shared" si="27"/>
        <v>9.0079999999999991</v>
      </c>
      <c r="AP30" s="274">
        <f t="shared" si="27"/>
        <v>9.0079999999999991</v>
      </c>
      <c r="AQ30" s="274">
        <f t="shared" si="27"/>
        <v>9.0079999999999991</v>
      </c>
      <c r="AR30" s="274">
        <f t="shared" si="2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ht="15">
      <c r="A32" s="88"/>
      <c r="B32" s="254"/>
      <c r="C32" s="554">
        <v>3630</v>
      </c>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554">
        <v>2053</v>
      </c>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7533</v>
      </c>
      <c r="E33" s="257">
        <f>MAX(D33*(1-$D$5)^2,$C32)</f>
        <v>7087.7996999999996</v>
      </c>
      <c r="F33" s="257">
        <f t="shared" ref="F33:V33" si="28">MAX(E33*(1-$D$5)^2,$C32)</f>
        <v>6668.9107377299997</v>
      </c>
      <c r="G33" s="257">
        <f t="shared" si="28"/>
        <v>6274.7781131301563</v>
      </c>
      <c r="H33" s="257">
        <f t="shared" si="28"/>
        <v>5903.9387266441636</v>
      </c>
      <c r="I33" s="257">
        <f t="shared" si="28"/>
        <v>5555.0159478994929</v>
      </c>
      <c r="J33" s="257">
        <f t="shared" si="28"/>
        <v>5226.7145053786326</v>
      </c>
      <c r="K33" s="257">
        <f t="shared" si="28"/>
        <v>4917.8156781107555</v>
      </c>
      <c r="L33" s="257">
        <f t="shared" si="28"/>
        <v>4627.1727715344095</v>
      </c>
      <c r="M33" s="257">
        <f t="shared" si="28"/>
        <v>4353.7068607367255</v>
      </c>
      <c r="N33" s="257">
        <f t="shared" si="28"/>
        <v>4096.4027852671852</v>
      </c>
      <c r="O33" s="257">
        <f t="shared" si="28"/>
        <v>3854.3053806578946</v>
      </c>
      <c r="P33" s="257">
        <f t="shared" si="28"/>
        <v>3630</v>
      </c>
      <c r="Q33" s="257">
        <f t="shared" si="28"/>
        <v>3630</v>
      </c>
      <c r="R33" s="257">
        <f t="shared" si="28"/>
        <v>3630</v>
      </c>
      <c r="S33" s="257">
        <f t="shared" si="28"/>
        <v>3630</v>
      </c>
      <c r="T33" s="257">
        <f t="shared" si="28"/>
        <v>3630</v>
      </c>
      <c r="U33" s="257">
        <f t="shared" si="28"/>
        <v>3630</v>
      </c>
      <c r="V33" s="257">
        <f t="shared" si="28"/>
        <v>3630</v>
      </c>
      <c r="W33" s="88"/>
      <c r="X33" s="255"/>
      <c r="Y33" s="256" t="s">
        <v>110</v>
      </c>
      <c r="Z33" s="268">
        <v>2757</v>
      </c>
      <c r="AA33" s="257">
        <f>MAX(Z33*(1-$D$7)^2,$Y32)</f>
        <v>2718.5370929999999</v>
      </c>
      <c r="AB33" s="257">
        <f>MAX(AA33*(1-$D$7)^2,$Y32)</f>
        <v>2680.6107820155567</v>
      </c>
      <c r="AC33" s="257">
        <f t="shared" ref="AC33:AR33" si="29">MAX(AB33*(1-$D$7)^2,$Y32)</f>
        <v>2643.2135809956576</v>
      </c>
      <c r="AD33" s="257">
        <f t="shared" si="29"/>
        <v>2606.338108327187</v>
      </c>
      <c r="AE33" s="257">
        <f t="shared" si="29"/>
        <v>2569.9770853779141</v>
      </c>
      <c r="AF33" s="257">
        <f t="shared" si="29"/>
        <v>2534.1233350598068</v>
      </c>
      <c r="AG33" s="257">
        <f t="shared" si="29"/>
        <v>2498.7697804123873</v>
      </c>
      <c r="AH33" s="257">
        <f t="shared" si="29"/>
        <v>2463.9094432058541</v>
      </c>
      <c r="AI33" s="257">
        <f t="shared" si="29"/>
        <v>2429.5354425636892</v>
      </c>
      <c r="AJ33" s="257">
        <f t="shared" si="29"/>
        <v>2395.6409936044829</v>
      </c>
      <c r="AK33" s="257">
        <f t="shared" si="29"/>
        <v>2362.2194061027067</v>
      </c>
      <c r="AL33" s="257">
        <f t="shared" si="29"/>
        <v>2329.2640831681679</v>
      </c>
      <c r="AM33" s="257">
        <f t="shared" si="29"/>
        <v>2296.7685199438888</v>
      </c>
      <c r="AN33" s="257">
        <f t="shared" si="29"/>
        <v>2264.7263023221517</v>
      </c>
      <c r="AO33" s="257">
        <f t="shared" si="29"/>
        <v>2233.1311056784552</v>
      </c>
      <c r="AP33" s="257">
        <f t="shared" si="29"/>
        <v>2201.9766936231349</v>
      </c>
      <c r="AQ33" s="257">
        <f t="shared" si="29"/>
        <v>2171.2569167703987</v>
      </c>
      <c r="AR33" s="257">
        <f t="shared" si="29"/>
        <v>2140.9657115245345</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5.0000000000000001E-3</v>
      </c>
      <c r="E35" s="260">
        <v>5.0000000000000001E-3</v>
      </c>
      <c r="F35" s="260">
        <v>5.0000000000000001E-3</v>
      </c>
      <c r="G35" s="260">
        <v>5.0000000000000001E-3</v>
      </c>
      <c r="H35" s="260">
        <v>5.0000000000000001E-3</v>
      </c>
      <c r="I35" s="260">
        <v>5.0000000000000001E-3</v>
      </c>
      <c r="J35" s="260">
        <v>5.0000000000000001E-3</v>
      </c>
      <c r="K35" s="260">
        <v>5.0000000000000001E-3</v>
      </c>
      <c r="L35" s="260">
        <v>5.0000000000000001E-3</v>
      </c>
      <c r="M35" s="260">
        <v>5.0000000000000001E-3</v>
      </c>
      <c r="N35" s="260">
        <v>5.0000000000000001E-3</v>
      </c>
      <c r="O35" s="260">
        <v>5.0000000000000001E-3</v>
      </c>
      <c r="P35" s="260">
        <v>5.0000000000000001E-3</v>
      </c>
      <c r="Q35" s="260">
        <v>5.0000000000000001E-3</v>
      </c>
      <c r="R35" s="260">
        <v>5.0000000000000001E-3</v>
      </c>
      <c r="S35" s="260">
        <v>5.0000000000000001E-3</v>
      </c>
      <c r="T35" s="260">
        <v>5.0000000000000001E-3</v>
      </c>
      <c r="U35" s="260">
        <v>5.0000000000000001E-3</v>
      </c>
      <c r="V35" s="260">
        <v>5.0000000000000001E-3</v>
      </c>
      <c r="W35" s="88"/>
      <c r="X35" s="259" t="s">
        <v>157</v>
      </c>
      <c r="Y35" s="258" t="s">
        <v>162</v>
      </c>
      <c r="Z35" s="271">
        <v>5.0000000000000001E-3</v>
      </c>
      <c r="AA35" s="260">
        <v>5.0000000000000001E-3</v>
      </c>
      <c r="AB35" s="260">
        <v>5.0000000000000001E-3</v>
      </c>
      <c r="AC35" s="260">
        <v>5.0000000000000001E-3</v>
      </c>
      <c r="AD35" s="260">
        <v>5.0000000000000001E-3</v>
      </c>
      <c r="AE35" s="260">
        <v>5.0000000000000001E-3</v>
      </c>
      <c r="AF35" s="260">
        <v>5.0000000000000001E-3</v>
      </c>
      <c r="AG35" s="260">
        <v>5.0000000000000001E-3</v>
      </c>
      <c r="AH35" s="260">
        <v>5.0000000000000001E-3</v>
      </c>
      <c r="AI35" s="260">
        <v>5.0000000000000001E-3</v>
      </c>
      <c r="AJ35" s="260">
        <v>5.0000000000000001E-3</v>
      </c>
      <c r="AK35" s="260">
        <v>5.0000000000000001E-3</v>
      </c>
      <c r="AL35" s="260">
        <v>5.0000000000000001E-3</v>
      </c>
      <c r="AM35" s="260">
        <v>5.0000000000000001E-3</v>
      </c>
      <c r="AN35" s="260">
        <v>5.0000000000000001E-3</v>
      </c>
      <c r="AO35" s="260">
        <v>5.0000000000000001E-3</v>
      </c>
      <c r="AP35" s="260">
        <v>5.0000000000000001E-3</v>
      </c>
      <c r="AQ35" s="260">
        <v>5.0000000000000001E-3</v>
      </c>
      <c r="AR35" s="260">
        <v>5.0000000000000001E-3</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2">
        <v>30</v>
      </c>
      <c r="E36" s="117">
        <f>D36</f>
        <v>30</v>
      </c>
      <c r="F36" s="117">
        <f t="shared" ref="F36:V36" si="30">E36</f>
        <v>30</v>
      </c>
      <c r="G36" s="117">
        <f t="shared" si="30"/>
        <v>30</v>
      </c>
      <c r="H36" s="117">
        <f t="shared" si="30"/>
        <v>30</v>
      </c>
      <c r="I36" s="117">
        <f t="shared" si="30"/>
        <v>30</v>
      </c>
      <c r="J36" s="117">
        <f t="shared" si="30"/>
        <v>30</v>
      </c>
      <c r="K36" s="117">
        <f t="shared" si="30"/>
        <v>30</v>
      </c>
      <c r="L36" s="117">
        <f t="shared" si="30"/>
        <v>30</v>
      </c>
      <c r="M36" s="117">
        <f t="shared" si="30"/>
        <v>30</v>
      </c>
      <c r="N36" s="117">
        <f t="shared" si="30"/>
        <v>30</v>
      </c>
      <c r="O36" s="117">
        <f t="shared" si="30"/>
        <v>30</v>
      </c>
      <c r="P36" s="117">
        <f t="shared" si="30"/>
        <v>30</v>
      </c>
      <c r="Q36" s="117">
        <f t="shared" si="30"/>
        <v>30</v>
      </c>
      <c r="R36" s="117">
        <f t="shared" si="30"/>
        <v>30</v>
      </c>
      <c r="S36" s="117">
        <f t="shared" si="30"/>
        <v>30</v>
      </c>
      <c r="T36" s="117">
        <f t="shared" si="30"/>
        <v>30</v>
      </c>
      <c r="U36" s="117">
        <f t="shared" si="30"/>
        <v>30</v>
      </c>
      <c r="V36" s="117">
        <f t="shared" si="30"/>
        <v>30</v>
      </c>
      <c r="W36" s="88"/>
      <c r="X36" s="261"/>
      <c r="Y36" s="258" t="s">
        <v>111</v>
      </c>
      <c r="Z36" s="272">
        <v>80</v>
      </c>
      <c r="AA36" s="117">
        <f>Z36</f>
        <v>80</v>
      </c>
      <c r="AB36" s="117">
        <f t="shared" ref="AB36:AR36" si="31">AA36</f>
        <v>80</v>
      </c>
      <c r="AC36" s="117">
        <f t="shared" si="31"/>
        <v>80</v>
      </c>
      <c r="AD36" s="117">
        <f t="shared" si="31"/>
        <v>80</v>
      </c>
      <c r="AE36" s="117">
        <f t="shared" si="31"/>
        <v>80</v>
      </c>
      <c r="AF36" s="117">
        <f t="shared" si="31"/>
        <v>80</v>
      </c>
      <c r="AG36" s="117">
        <f t="shared" si="31"/>
        <v>80</v>
      </c>
      <c r="AH36" s="117">
        <f t="shared" si="31"/>
        <v>80</v>
      </c>
      <c r="AI36" s="117">
        <f t="shared" si="31"/>
        <v>80</v>
      </c>
      <c r="AJ36" s="117">
        <f t="shared" si="31"/>
        <v>80</v>
      </c>
      <c r="AK36" s="117">
        <f t="shared" si="31"/>
        <v>80</v>
      </c>
      <c r="AL36" s="117">
        <f t="shared" si="31"/>
        <v>80</v>
      </c>
      <c r="AM36" s="117">
        <f t="shared" si="31"/>
        <v>80</v>
      </c>
      <c r="AN36" s="117">
        <f t="shared" si="31"/>
        <v>80</v>
      </c>
      <c r="AO36" s="117">
        <f t="shared" si="31"/>
        <v>80</v>
      </c>
      <c r="AP36" s="117">
        <f t="shared" si="31"/>
        <v>80</v>
      </c>
      <c r="AQ36" s="117">
        <f t="shared" si="31"/>
        <v>80</v>
      </c>
      <c r="AR36" s="117">
        <f t="shared" si="3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3">
        <v>71.260000000000005</v>
      </c>
      <c r="E37" s="274">
        <f>D37</f>
        <v>71.260000000000005</v>
      </c>
      <c r="F37" s="274">
        <f t="shared" ref="F37:V37" si="32">E37</f>
        <v>71.260000000000005</v>
      </c>
      <c r="G37" s="274">
        <f t="shared" si="32"/>
        <v>71.260000000000005</v>
      </c>
      <c r="H37" s="274">
        <f t="shared" si="32"/>
        <v>71.260000000000005</v>
      </c>
      <c r="I37" s="274">
        <f t="shared" si="32"/>
        <v>71.260000000000005</v>
      </c>
      <c r="J37" s="274">
        <f t="shared" si="32"/>
        <v>71.260000000000005</v>
      </c>
      <c r="K37" s="274">
        <f t="shared" si="32"/>
        <v>71.260000000000005</v>
      </c>
      <c r="L37" s="274">
        <f t="shared" si="32"/>
        <v>71.260000000000005</v>
      </c>
      <c r="M37" s="274">
        <f t="shared" si="32"/>
        <v>71.260000000000005</v>
      </c>
      <c r="N37" s="274">
        <f t="shared" si="32"/>
        <v>71.260000000000005</v>
      </c>
      <c r="O37" s="274">
        <f t="shared" si="32"/>
        <v>71.260000000000005</v>
      </c>
      <c r="P37" s="274">
        <f t="shared" si="32"/>
        <v>71.260000000000005</v>
      </c>
      <c r="Q37" s="274">
        <f t="shared" si="32"/>
        <v>71.260000000000005</v>
      </c>
      <c r="R37" s="274">
        <f t="shared" si="32"/>
        <v>71.260000000000005</v>
      </c>
      <c r="S37" s="274">
        <f t="shared" si="32"/>
        <v>71.260000000000005</v>
      </c>
      <c r="T37" s="274">
        <f t="shared" si="32"/>
        <v>71.260000000000005</v>
      </c>
      <c r="U37" s="274">
        <f t="shared" si="32"/>
        <v>71.260000000000005</v>
      </c>
      <c r="V37" s="274">
        <f t="shared" si="32"/>
        <v>71.260000000000005</v>
      </c>
      <c r="W37" s="88"/>
      <c r="X37" s="129"/>
      <c r="Y37" s="262" t="s">
        <v>194</v>
      </c>
      <c r="Z37" s="273">
        <v>8.1329999999999991</v>
      </c>
      <c r="AA37" s="274">
        <f>Z37</f>
        <v>8.1329999999999991</v>
      </c>
      <c r="AB37" s="274">
        <f t="shared" ref="AB37:AR37" si="33">AA37</f>
        <v>8.1329999999999991</v>
      </c>
      <c r="AC37" s="274">
        <f t="shared" si="33"/>
        <v>8.1329999999999991</v>
      </c>
      <c r="AD37" s="274">
        <f t="shared" si="33"/>
        <v>8.1329999999999991</v>
      </c>
      <c r="AE37" s="274">
        <f t="shared" si="33"/>
        <v>8.1329999999999991</v>
      </c>
      <c r="AF37" s="274">
        <f t="shared" si="33"/>
        <v>8.1329999999999991</v>
      </c>
      <c r="AG37" s="274">
        <f t="shared" si="33"/>
        <v>8.1329999999999991</v>
      </c>
      <c r="AH37" s="274">
        <f t="shared" si="33"/>
        <v>8.1329999999999991</v>
      </c>
      <c r="AI37" s="274">
        <f t="shared" si="33"/>
        <v>8.1329999999999991</v>
      </c>
      <c r="AJ37" s="274">
        <f t="shared" si="33"/>
        <v>8.1329999999999991</v>
      </c>
      <c r="AK37" s="274">
        <f t="shared" si="33"/>
        <v>8.1329999999999991</v>
      </c>
      <c r="AL37" s="274">
        <f t="shared" si="33"/>
        <v>8.1329999999999991</v>
      </c>
      <c r="AM37" s="274">
        <f t="shared" si="33"/>
        <v>8.1329999999999991</v>
      </c>
      <c r="AN37" s="274">
        <f t="shared" si="33"/>
        <v>8.1329999999999991</v>
      </c>
      <c r="AO37" s="274">
        <f t="shared" si="33"/>
        <v>8.1329999999999991</v>
      </c>
      <c r="AP37" s="274">
        <f t="shared" si="33"/>
        <v>8.1329999999999991</v>
      </c>
      <c r="AQ37" s="274">
        <f t="shared" si="33"/>
        <v>8.1329999999999991</v>
      </c>
      <c r="AR37" s="274">
        <f t="shared" si="3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ht="15">
      <c r="A39" s="88"/>
      <c r="B39" s="254"/>
      <c r="C39" s="554">
        <v>3260</v>
      </c>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554">
        <v>1890</v>
      </c>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6414</v>
      </c>
      <c r="E40" s="257">
        <f>MAX(D40*(1-$D$5)^2,$C39)</f>
        <v>6034.9326000000001</v>
      </c>
      <c r="F40" s="257">
        <f t="shared" ref="F40:V40" si="34">MAX(E40*(1-$D$5)^2,$C39)</f>
        <v>5678.26808334</v>
      </c>
      <c r="G40" s="257">
        <f t="shared" si="34"/>
        <v>5342.6824396146058</v>
      </c>
      <c r="H40" s="257">
        <f t="shared" si="34"/>
        <v>5026.9299074333821</v>
      </c>
      <c r="I40" s="257">
        <f t="shared" si="34"/>
        <v>4729.8383499040692</v>
      </c>
      <c r="J40" s="257">
        <f t="shared" si="34"/>
        <v>4450.3049034247388</v>
      </c>
      <c r="K40" s="257">
        <f t="shared" si="34"/>
        <v>4187.291883632337</v>
      </c>
      <c r="L40" s="257">
        <f t="shared" si="34"/>
        <v>3939.8229333096656</v>
      </c>
      <c r="M40" s="257">
        <f t="shared" si="34"/>
        <v>3706.9793979510641</v>
      </c>
      <c r="N40" s="257">
        <f t="shared" si="34"/>
        <v>3487.8969155321561</v>
      </c>
      <c r="O40" s="257">
        <f t="shared" si="34"/>
        <v>3281.7622078242057</v>
      </c>
      <c r="P40" s="257">
        <f t="shared" si="34"/>
        <v>3260</v>
      </c>
      <c r="Q40" s="257">
        <f t="shared" si="34"/>
        <v>3260</v>
      </c>
      <c r="R40" s="257">
        <f t="shared" si="34"/>
        <v>3260</v>
      </c>
      <c r="S40" s="257">
        <f t="shared" si="34"/>
        <v>3260</v>
      </c>
      <c r="T40" s="257">
        <f t="shared" si="34"/>
        <v>3260</v>
      </c>
      <c r="U40" s="257">
        <f t="shared" si="34"/>
        <v>3260</v>
      </c>
      <c r="V40" s="257">
        <f t="shared" si="34"/>
        <v>3260</v>
      </c>
      <c r="W40" s="88"/>
      <c r="X40" s="255"/>
      <c r="Y40" s="256" t="s">
        <v>110</v>
      </c>
      <c r="Z40" s="268">
        <v>2262</v>
      </c>
      <c r="AA40" s="257">
        <f>MAX(Z40*(1-$D$7)^2,$Y39)</f>
        <v>2230.4428379999999</v>
      </c>
      <c r="AB40" s="257">
        <f t="shared" ref="AB40:AR40" si="35">MAX(AA40*(1-$D$7)^2,$Y39)</f>
        <v>2199.3259299670617</v>
      </c>
      <c r="AC40" s="257">
        <f t="shared" si="35"/>
        <v>2168.6431339180913</v>
      </c>
      <c r="AD40" s="257">
        <f t="shared" si="35"/>
        <v>2138.3883935568001</v>
      </c>
      <c r="AE40" s="257">
        <f t="shared" si="35"/>
        <v>2108.555737078289</v>
      </c>
      <c r="AF40" s="257">
        <f t="shared" si="35"/>
        <v>2079.1392759903097</v>
      </c>
      <c r="AG40" s="257">
        <f t="shared" si="35"/>
        <v>2050.1332039509689</v>
      </c>
      <c r="AH40" s="257">
        <f t="shared" si="35"/>
        <v>2021.5317956226488</v>
      </c>
      <c r="AI40" s="257">
        <f t="shared" si="35"/>
        <v>1993.3294055419171</v>
      </c>
      <c r="AJ40" s="257">
        <f t="shared" si="35"/>
        <v>1965.5204670052017</v>
      </c>
      <c r="AK40" s="257">
        <f t="shared" si="35"/>
        <v>1938.0994909700121</v>
      </c>
      <c r="AL40" s="257">
        <f t="shared" si="35"/>
        <v>1911.0610649714893</v>
      </c>
      <c r="AM40" s="257">
        <f t="shared" si="35"/>
        <v>1890</v>
      </c>
      <c r="AN40" s="257">
        <f t="shared" si="35"/>
        <v>1890</v>
      </c>
      <c r="AO40" s="257">
        <f t="shared" si="35"/>
        <v>1890</v>
      </c>
      <c r="AP40" s="257">
        <f t="shared" si="35"/>
        <v>1890</v>
      </c>
      <c r="AQ40" s="257">
        <f t="shared" si="35"/>
        <v>1890</v>
      </c>
      <c r="AR40" s="257">
        <f t="shared" si="35"/>
        <v>1890</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5.0000000000000001E-3</v>
      </c>
      <c r="E42" s="260">
        <v>5.0000000000000001E-3</v>
      </c>
      <c r="F42" s="260">
        <v>5.0000000000000001E-3</v>
      </c>
      <c r="G42" s="260">
        <v>5.0000000000000001E-3</v>
      </c>
      <c r="H42" s="260">
        <v>5.0000000000000001E-3</v>
      </c>
      <c r="I42" s="260">
        <v>5.0000000000000001E-3</v>
      </c>
      <c r="J42" s="260">
        <v>5.0000000000000001E-3</v>
      </c>
      <c r="K42" s="260">
        <v>5.0000000000000001E-3</v>
      </c>
      <c r="L42" s="260">
        <v>5.0000000000000001E-3</v>
      </c>
      <c r="M42" s="260">
        <v>5.0000000000000001E-3</v>
      </c>
      <c r="N42" s="260">
        <v>5.0000000000000001E-3</v>
      </c>
      <c r="O42" s="260">
        <v>5.0000000000000001E-3</v>
      </c>
      <c r="P42" s="260">
        <v>5.0000000000000001E-3</v>
      </c>
      <c r="Q42" s="260">
        <v>5.0000000000000001E-3</v>
      </c>
      <c r="R42" s="260">
        <v>5.0000000000000001E-3</v>
      </c>
      <c r="S42" s="260">
        <v>5.0000000000000001E-3</v>
      </c>
      <c r="T42" s="260">
        <v>5.0000000000000001E-3</v>
      </c>
      <c r="U42" s="260">
        <v>5.0000000000000001E-3</v>
      </c>
      <c r="V42" s="260">
        <v>5.0000000000000001E-3</v>
      </c>
      <c r="W42" s="88"/>
      <c r="X42" s="259" t="s">
        <v>157</v>
      </c>
      <c r="Y42" s="258" t="s">
        <v>162</v>
      </c>
      <c r="Z42" s="271">
        <v>5.0000000000000001E-3</v>
      </c>
      <c r="AA42" s="260">
        <v>5.0000000000000001E-3</v>
      </c>
      <c r="AB42" s="260">
        <v>5.0000000000000001E-3</v>
      </c>
      <c r="AC42" s="260">
        <v>5.0000000000000001E-3</v>
      </c>
      <c r="AD42" s="260">
        <v>5.0000000000000001E-3</v>
      </c>
      <c r="AE42" s="260">
        <v>5.0000000000000001E-3</v>
      </c>
      <c r="AF42" s="260">
        <v>5.0000000000000001E-3</v>
      </c>
      <c r="AG42" s="260">
        <v>5.0000000000000001E-3</v>
      </c>
      <c r="AH42" s="260">
        <v>5.0000000000000001E-3</v>
      </c>
      <c r="AI42" s="260">
        <v>5.0000000000000001E-3</v>
      </c>
      <c r="AJ42" s="260">
        <v>5.0000000000000001E-3</v>
      </c>
      <c r="AK42" s="260">
        <v>5.0000000000000001E-3</v>
      </c>
      <c r="AL42" s="260">
        <v>5.0000000000000001E-3</v>
      </c>
      <c r="AM42" s="260">
        <v>5.0000000000000001E-3</v>
      </c>
      <c r="AN42" s="260">
        <v>5.0000000000000001E-3</v>
      </c>
      <c r="AO42" s="260">
        <v>5.0000000000000001E-3</v>
      </c>
      <c r="AP42" s="260">
        <v>5.0000000000000001E-3</v>
      </c>
      <c r="AQ42" s="260">
        <v>5.0000000000000001E-3</v>
      </c>
      <c r="AR42" s="260">
        <v>5.0000000000000001E-3</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2">
        <v>30</v>
      </c>
      <c r="E43" s="117">
        <f>D43</f>
        <v>30</v>
      </c>
      <c r="F43" s="117">
        <f t="shared" ref="F43:V43" si="36">E43</f>
        <v>30</v>
      </c>
      <c r="G43" s="117">
        <f t="shared" si="36"/>
        <v>30</v>
      </c>
      <c r="H43" s="117">
        <f t="shared" si="36"/>
        <v>30</v>
      </c>
      <c r="I43" s="117">
        <f t="shared" si="36"/>
        <v>30</v>
      </c>
      <c r="J43" s="117">
        <f t="shared" si="36"/>
        <v>30</v>
      </c>
      <c r="K43" s="117">
        <f t="shared" si="36"/>
        <v>30</v>
      </c>
      <c r="L43" s="117">
        <f t="shared" si="36"/>
        <v>30</v>
      </c>
      <c r="M43" s="117">
        <f t="shared" si="36"/>
        <v>30</v>
      </c>
      <c r="N43" s="117">
        <f t="shared" si="36"/>
        <v>30</v>
      </c>
      <c r="O43" s="117">
        <f t="shared" si="36"/>
        <v>30</v>
      </c>
      <c r="P43" s="117">
        <f t="shared" si="36"/>
        <v>30</v>
      </c>
      <c r="Q43" s="117">
        <f t="shared" si="36"/>
        <v>30</v>
      </c>
      <c r="R43" s="117">
        <f t="shared" si="36"/>
        <v>30</v>
      </c>
      <c r="S43" s="117">
        <f t="shared" si="36"/>
        <v>30</v>
      </c>
      <c r="T43" s="117">
        <f t="shared" si="36"/>
        <v>30</v>
      </c>
      <c r="U43" s="117">
        <f t="shared" si="36"/>
        <v>30</v>
      </c>
      <c r="V43" s="117">
        <f t="shared" si="36"/>
        <v>30</v>
      </c>
      <c r="W43" s="88"/>
      <c r="X43" s="261"/>
      <c r="Y43" s="258" t="s">
        <v>111</v>
      </c>
      <c r="Z43" s="272">
        <v>80</v>
      </c>
      <c r="AA43" s="117">
        <f>Z43</f>
        <v>80</v>
      </c>
      <c r="AB43" s="117">
        <f t="shared" ref="AB43:AR43" si="37">AA43</f>
        <v>80</v>
      </c>
      <c r="AC43" s="117">
        <f t="shared" si="37"/>
        <v>80</v>
      </c>
      <c r="AD43" s="117">
        <f t="shared" si="37"/>
        <v>80</v>
      </c>
      <c r="AE43" s="117">
        <f t="shared" si="37"/>
        <v>80</v>
      </c>
      <c r="AF43" s="117">
        <f t="shared" si="37"/>
        <v>80</v>
      </c>
      <c r="AG43" s="117">
        <f t="shared" si="37"/>
        <v>80</v>
      </c>
      <c r="AH43" s="117">
        <f t="shared" si="37"/>
        <v>80</v>
      </c>
      <c r="AI43" s="117">
        <f t="shared" si="37"/>
        <v>80</v>
      </c>
      <c r="AJ43" s="117">
        <f t="shared" si="37"/>
        <v>80</v>
      </c>
      <c r="AK43" s="117">
        <f t="shared" si="37"/>
        <v>80</v>
      </c>
      <c r="AL43" s="117">
        <f t="shared" si="37"/>
        <v>80</v>
      </c>
      <c r="AM43" s="117">
        <f t="shared" si="37"/>
        <v>80</v>
      </c>
      <c r="AN43" s="117">
        <f t="shared" si="37"/>
        <v>80</v>
      </c>
      <c r="AO43" s="117">
        <f t="shared" si="37"/>
        <v>80</v>
      </c>
      <c r="AP43" s="117">
        <f t="shared" si="37"/>
        <v>80</v>
      </c>
      <c r="AQ43" s="117">
        <f t="shared" si="37"/>
        <v>80</v>
      </c>
      <c r="AR43" s="117">
        <f t="shared" si="3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3">
        <v>13.12</v>
      </c>
      <c r="E44" s="274">
        <f>D44</f>
        <v>13.12</v>
      </c>
      <c r="F44" s="274">
        <f t="shared" ref="F44:V44" si="38">E44</f>
        <v>13.12</v>
      </c>
      <c r="G44" s="274">
        <f t="shared" si="38"/>
        <v>13.12</v>
      </c>
      <c r="H44" s="274">
        <f t="shared" si="38"/>
        <v>13.12</v>
      </c>
      <c r="I44" s="274">
        <f t="shared" si="38"/>
        <v>13.12</v>
      </c>
      <c r="J44" s="274">
        <f t="shared" si="38"/>
        <v>13.12</v>
      </c>
      <c r="K44" s="274">
        <f t="shared" si="38"/>
        <v>13.12</v>
      </c>
      <c r="L44" s="274">
        <f t="shared" si="38"/>
        <v>13.12</v>
      </c>
      <c r="M44" s="274">
        <f t="shared" si="38"/>
        <v>13.12</v>
      </c>
      <c r="N44" s="274">
        <f t="shared" si="38"/>
        <v>13.12</v>
      </c>
      <c r="O44" s="274">
        <f t="shared" si="38"/>
        <v>13.12</v>
      </c>
      <c r="P44" s="274">
        <f t="shared" si="38"/>
        <v>13.12</v>
      </c>
      <c r="Q44" s="274">
        <f t="shared" si="38"/>
        <v>13.12</v>
      </c>
      <c r="R44" s="274">
        <f t="shared" si="38"/>
        <v>13.12</v>
      </c>
      <c r="S44" s="274">
        <f t="shared" si="38"/>
        <v>13.12</v>
      </c>
      <c r="T44" s="274">
        <f t="shared" si="38"/>
        <v>13.12</v>
      </c>
      <c r="U44" s="274">
        <f t="shared" si="38"/>
        <v>13.12</v>
      </c>
      <c r="V44" s="274">
        <f t="shared" si="38"/>
        <v>13.12</v>
      </c>
      <c r="W44" s="88"/>
      <c r="X44" s="129"/>
      <c r="Y44" s="262" t="s">
        <v>194</v>
      </c>
      <c r="Z44" s="273">
        <v>6.3829999999999991</v>
      </c>
      <c r="AA44" s="274">
        <f>Z44</f>
        <v>6.3829999999999991</v>
      </c>
      <c r="AB44" s="274">
        <f t="shared" ref="AB44:AR44" si="39">AA44</f>
        <v>6.3829999999999991</v>
      </c>
      <c r="AC44" s="274">
        <f t="shared" si="39"/>
        <v>6.3829999999999991</v>
      </c>
      <c r="AD44" s="274">
        <f t="shared" si="39"/>
        <v>6.3829999999999991</v>
      </c>
      <c r="AE44" s="274">
        <f t="shared" si="39"/>
        <v>6.3829999999999991</v>
      </c>
      <c r="AF44" s="274">
        <f t="shared" si="39"/>
        <v>6.3829999999999991</v>
      </c>
      <c r="AG44" s="274">
        <f t="shared" si="39"/>
        <v>6.3829999999999991</v>
      </c>
      <c r="AH44" s="274">
        <f t="shared" si="39"/>
        <v>6.3829999999999991</v>
      </c>
      <c r="AI44" s="274">
        <f t="shared" si="39"/>
        <v>6.3829999999999991</v>
      </c>
      <c r="AJ44" s="274">
        <f t="shared" si="39"/>
        <v>6.3829999999999991</v>
      </c>
      <c r="AK44" s="274">
        <f t="shared" si="39"/>
        <v>6.3829999999999991</v>
      </c>
      <c r="AL44" s="274">
        <f t="shared" si="39"/>
        <v>6.3829999999999991</v>
      </c>
      <c r="AM44" s="274">
        <f t="shared" si="39"/>
        <v>6.3829999999999991</v>
      </c>
      <c r="AN44" s="274">
        <f t="shared" si="39"/>
        <v>6.3829999999999991</v>
      </c>
      <c r="AO44" s="274">
        <f t="shared" si="39"/>
        <v>6.3829999999999991</v>
      </c>
      <c r="AP44" s="274">
        <f t="shared" si="39"/>
        <v>6.3829999999999991</v>
      </c>
      <c r="AQ44" s="274">
        <f t="shared" si="39"/>
        <v>6.3829999999999991</v>
      </c>
      <c r="AR44" s="274">
        <f t="shared" si="3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554">
        <v>2981</v>
      </c>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81" t="s">
        <v>285</v>
      </c>
      <c r="Y46" s="581"/>
      <c r="Z46" s="581"/>
      <c r="AA46" s="581"/>
      <c r="AB46" s="581"/>
      <c r="AC46" s="581"/>
      <c r="AD46" s="581"/>
      <c r="AE46" s="581"/>
      <c r="AF46" s="581"/>
      <c r="AG46" s="581"/>
      <c r="AH46" s="581"/>
      <c r="AI46" s="581"/>
      <c r="AJ46" s="581"/>
      <c r="AK46" s="581"/>
      <c r="AL46" s="581"/>
      <c r="AM46" s="581"/>
      <c r="AN46" s="581"/>
      <c r="AO46" s="581"/>
      <c r="AP46" s="581"/>
      <c r="AQ46" s="581"/>
      <c r="AR46" s="581"/>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5568</v>
      </c>
      <c r="E47" s="257">
        <f>MAX(D47*(1-$D$6)^2,$C46)</f>
        <v>5424.1729919999998</v>
      </c>
      <c r="F47" s="257">
        <f>MAX(E47*(1-$D$6)^2,$C46)</f>
        <v>5284.0611794436472</v>
      </c>
      <c r="G47" s="257">
        <f t="shared" ref="G47:V47" si="40">MAX(F47*(1-$D$6)^2,$C46)</f>
        <v>5147.5685951174382</v>
      </c>
      <c r="H47" s="257">
        <f t="shared" si="40"/>
        <v>5014.6017507369597</v>
      </c>
      <c r="I47" s="257">
        <f t="shared" si="40"/>
        <v>4885.0695729136733</v>
      </c>
      <c r="J47" s="257">
        <f t="shared" si="40"/>
        <v>4758.8833407757402</v>
      </c>
      <c r="K47" s="257">
        <f t="shared" si="40"/>
        <v>4635.9566252001614</v>
      </c>
      <c r="L47" s="257">
        <f t="shared" si="40"/>
        <v>4516.2052296146157</v>
      </c>
      <c r="M47" s="257">
        <f t="shared" si="40"/>
        <v>4399.5471323284401</v>
      </c>
      <c r="N47" s="257">
        <f t="shared" si="40"/>
        <v>4285.9024303532642</v>
      </c>
      <c r="O47" s="257">
        <f t="shared" si="40"/>
        <v>4175.1932846748086</v>
      </c>
      <c r="P47" s="257">
        <f t="shared" si="40"/>
        <v>4067.3438669383736</v>
      </c>
      <c r="Q47" s="257">
        <f t="shared" si="40"/>
        <v>3962.2803075114884</v>
      </c>
      <c r="R47" s="257">
        <f t="shared" si="40"/>
        <v>3859.9306448881589</v>
      </c>
      <c r="S47" s="257">
        <f t="shared" si="40"/>
        <v>3760.2247764000526</v>
      </c>
      <c r="T47" s="257">
        <f t="shared" si="40"/>
        <v>3663.0944102008625</v>
      </c>
      <c r="U47" s="257">
        <f t="shared" si="40"/>
        <v>3568.473018490964</v>
      </c>
      <c r="V47" s="257">
        <f t="shared" si="40"/>
        <v>3476.2957919503237</v>
      </c>
      <c r="W47" s="88"/>
      <c r="X47" s="581"/>
      <c r="Y47" s="581"/>
      <c r="Z47" s="581"/>
      <c r="AA47" s="581"/>
      <c r="AB47" s="581"/>
      <c r="AC47" s="581"/>
      <c r="AD47" s="581"/>
      <c r="AE47" s="581"/>
      <c r="AF47" s="581"/>
      <c r="AG47" s="581"/>
      <c r="AH47" s="581"/>
      <c r="AI47" s="581"/>
      <c r="AJ47" s="581"/>
      <c r="AK47" s="581"/>
      <c r="AL47" s="581"/>
      <c r="AM47" s="581"/>
      <c r="AN47" s="581"/>
      <c r="AO47" s="581"/>
      <c r="AP47" s="581"/>
      <c r="AQ47" s="581"/>
      <c r="AR47" s="581"/>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81"/>
      <c r="Y48" s="581"/>
      <c r="Z48" s="581"/>
      <c r="AA48" s="581"/>
      <c r="AB48" s="581"/>
      <c r="AC48" s="581"/>
      <c r="AD48" s="581"/>
      <c r="AE48" s="581"/>
      <c r="AF48" s="581"/>
      <c r="AG48" s="581"/>
      <c r="AH48" s="581"/>
      <c r="AI48" s="581"/>
      <c r="AJ48" s="581"/>
      <c r="AK48" s="581"/>
      <c r="AL48" s="581"/>
      <c r="AM48" s="581"/>
      <c r="AN48" s="581"/>
      <c r="AO48" s="581"/>
      <c r="AP48" s="581"/>
      <c r="AQ48" s="581"/>
      <c r="AR48" s="581"/>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5.0000000000000001E-3</v>
      </c>
      <c r="E49" s="260">
        <v>5.0000000000000001E-3</v>
      </c>
      <c r="F49" s="260">
        <v>5.0000000000000001E-3</v>
      </c>
      <c r="G49" s="260">
        <v>5.0000000000000001E-3</v>
      </c>
      <c r="H49" s="260">
        <v>5.0000000000000001E-3</v>
      </c>
      <c r="I49" s="260">
        <v>5.0000000000000001E-3</v>
      </c>
      <c r="J49" s="260">
        <v>5.0000000000000001E-3</v>
      </c>
      <c r="K49" s="260">
        <v>5.0000000000000001E-3</v>
      </c>
      <c r="L49" s="260">
        <v>5.0000000000000001E-3</v>
      </c>
      <c r="M49" s="260">
        <v>5.0000000000000001E-3</v>
      </c>
      <c r="N49" s="260">
        <v>5.0000000000000001E-3</v>
      </c>
      <c r="O49" s="260">
        <v>5.0000000000000001E-3</v>
      </c>
      <c r="P49" s="260">
        <v>5.0000000000000001E-3</v>
      </c>
      <c r="Q49" s="260">
        <v>5.0000000000000001E-3</v>
      </c>
      <c r="R49" s="260">
        <v>5.0000000000000001E-3</v>
      </c>
      <c r="S49" s="260">
        <v>5.0000000000000001E-3</v>
      </c>
      <c r="T49" s="260">
        <v>5.0000000000000001E-3</v>
      </c>
      <c r="U49" s="260">
        <v>5.0000000000000001E-3</v>
      </c>
      <c r="V49" s="260">
        <v>5.0000000000000001E-3</v>
      </c>
      <c r="W49" s="88"/>
      <c r="X49" s="581"/>
      <c r="Y49" s="581"/>
      <c r="Z49" s="581"/>
      <c r="AA49" s="581"/>
      <c r="AB49" s="581"/>
      <c r="AC49" s="581"/>
      <c r="AD49" s="581"/>
      <c r="AE49" s="581"/>
      <c r="AF49" s="581"/>
      <c r="AG49" s="581"/>
      <c r="AH49" s="581"/>
      <c r="AI49" s="581"/>
      <c r="AJ49" s="581"/>
      <c r="AK49" s="581"/>
      <c r="AL49" s="581"/>
      <c r="AM49" s="581"/>
      <c r="AN49" s="581"/>
      <c r="AO49" s="581"/>
      <c r="AP49" s="581"/>
      <c r="AQ49" s="581"/>
      <c r="AR49" s="581"/>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2">
        <v>40</v>
      </c>
      <c r="E50" s="117">
        <f>D50</f>
        <v>40</v>
      </c>
      <c r="F50" s="117">
        <f t="shared" ref="F50:V50" si="41">E50</f>
        <v>40</v>
      </c>
      <c r="G50" s="117">
        <f t="shared" si="41"/>
        <v>40</v>
      </c>
      <c r="H50" s="117">
        <f t="shared" si="41"/>
        <v>40</v>
      </c>
      <c r="I50" s="117">
        <f t="shared" si="41"/>
        <v>40</v>
      </c>
      <c r="J50" s="117">
        <f t="shared" si="41"/>
        <v>40</v>
      </c>
      <c r="K50" s="117">
        <f t="shared" si="41"/>
        <v>40</v>
      </c>
      <c r="L50" s="117">
        <f t="shared" si="41"/>
        <v>40</v>
      </c>
      <c r="M50" s="117">
        <f t="shared" si="41"/>
        <v>40</v>
      </c>
      <c r="N50" s="117">
        <f t="shared" si="41"/>
        <v>40</v>
      </c>
      <c r="O50" s="117">
        <f t="shared" si="41"/>
        <v>40</v>
      </c>
      <c r="P50" s="117">
        <f t="shared" si="41"/>
        <v>40</v>
      </c>
      <c r="Q50" s="117">
        <f t="shared" si="41"/>
        <v>40</v>
      </c>
      <c r="R50" s="117">
        <f t="shared" si="41"/>
        <v>40</v>
      </c>
      <c r="S50" s="117">
        <f t="shared" si="41"/>
        <v>40</v>
      </c>
      <c r="T50" s="117">
        <f t="shared" si="41"/>
        <v>40</v>
      </c>
      <c r="U50" s="117">
        <f t="shared" si="41"/>
        <v>40</v>
      </c>
      <c r="V50" s="117">
        <f t="shared" si="41"/>
        <v>40</v>
      </c>
      <c r="W50" s="88"/>
      <c r="X50" s="581"/>
      <c r="Y50" s="581"/>
      <c r="Z50" s="581"/>
      <c r="AA50" s="581"/>
      <c r="AB50" s="581"/>
      <c r="AC50" s="581"/>
      <c r="AD50" s="581"/>
      <c r="AE50" s="581"/>
      <c r="AF50" s="581"/>
      <c r="AG50" s="581"/>
      <c r="AH50" s="581"/>
      <c r="AI50" s="581"/>
      <c r="AJ50" s="581"/>
      <c r="AK50" s="581"/>
      <c r="AL50" s="581"/>
      <c r="AM50" s="581"/>
      <c r="AN50" s="581"/>
      <c r="AO50" s="581"/>
      <c r="AP50" s="581"/>
      <c r="AQ50" s="581"/>
      <c r="AR50" s="581"/>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3">
        <v>11.28</v>
      </c>
      <c r="E51" s="274">
        <f>D51</f>
        <v>11.28</v>
      </c>
      <c r="F51" s="274">
        <f t="shared" ref="F51:V51" si="42">E51</f>
        <v>11.28</v>
      </c>
      <c r="G51" s="274">
        <f t="shared" si="42"/>
        <v>11.28</v>
      </c>
      <c r="H51" s="274">
        <f t="shared" si="42"/>
        <v>11.28</v>
      </c>
      <c r="I51" s="274">
        <f t="shared" si="42"/>
        <v>11.28</v>
      </c>
      <c r="J51" s="274">
        <f t="shared" si="42"/>
        <v>11.28</v>
      </c>
      <c r="K51" s="274">
        <f t="shared" si="42"/>
        <v>11.28</v>
      </c>
      <c r="L51" s="274">
        <f t="shared" si="42"/>
        <v>11.28</v>
      </c>
      <c r="M51" s="274">
        <f t="shared" si="42"/>
        <v>11.28</v>
      </c>
      <c r="N51" s="274">
        <f t="shared" si="42"/>
        <v>11.28</v>
      </c>
      <c r="O51" s="274">
        <f t="shared" si="42"/>
        <v>11.28</v>
      </c>
      <c r="P51" s="274">
        <f t="shared" si="42"/>
        <v>11.28</v>
      </c>
      <c r="Q51" s="274">
        <f t="shared" si="42"/>
        <v>11.28</v>
      </c>
      <c r="R51" s="274">
        <f t="shared" si="42"/>
        <v>11.28</v>
      </c>
      <c r="S51" s="274">
        <f t="shared" si="42"/>
        <v>11.28</v>
      </c>
      <c r="T51" s="274">
        <f t="shared" si="42"/>
        <v>11.28</v>
      </c>
      <c r="U51" s="274">
        <f t="shared" si="42"/>
        <v>11.28</v>
      </c>
      <c r="V51" s="274">
        <f t="shared" si="42"/>
        <v>11.28</v>
      </c>
      <c r="W51" s="88"/>
      <c r="X51" s="581"/>
      <c r="Y51" s="581"/>
      <c r="Z51" s="581"/>
      <c r="AA51" s="581"/>
      <c r="AB51" s="581"/>
      <c r="AC51" s="581"/>
      <c r="AD51" s="581"/>
      <c r="AE51" s="581"/>
      <c r="AF51" s="581"/>
      <c r="AG51" s="581"/>
      <c r="AH51" s="581"/>
      <c r="AI51" s="581"/>
      <c r="AJ51" s="581"/>
      <c r="AK51" s="581"/>
      <c r="AL51" s="581"/>
      <c r="AM51" s="581"/>
      <c r="AN51" s="581"/>
      <c r="AO51" s="581"/>
      <c r="AP51" s="581"/>
      <c r="AQ51" s="581"/>
      <c r="AR51" s="581"/>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7" zoomScale="70" zoomScaleNormal="70" zoomScalePageLayoutView="70" workbookViewId="0">
      <selection activeCell="B8" sqref="B8:B18"/>
    </sheetView>
  </sheetViews>
  <sheetFormatPr baseColWidth="10" defaultColWidth="9.1640625" defaultRowHeight="14" x14ac:dyDescent="0"/>
  <cols>
    <col min="1" max="1" width="4.83203125" style="91" customWidth="1"/>
    <col min="2" max="2" width="17.83203125" style="91" customWidth="1"/>
    <col min="3" max="6" width="13.164062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18.8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50"/>
      <c r="Z6" s="450"/>
      <c r="AA6" s="450"/>
      <c r="AB6" s="450"/>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6"/>
      <c r="C7" s="357"/>
      <c r="D7" s="284">
        <v>2014</v>
      </c>
      <c r="E7" s="285">
        <v>2016</v>
      </c>
      <c r="F7" s="285">
        <v>2018</v>
      </c>
      <c r="G7" s="285">
        <v>2020</v>
      </c>
      <c r="H7" s="285">
        <v>2022</v>
      </c>
      <c r="I7" s="285">
        <v>2024</v>
      </c>
      <c r="J7" s="285">
        <v>2026</v>
      </c>
      <c r="K7" s="285">
        <v>2028</v>
      </c>
      <c r="L7" s="285">
        <v>2030</v>
      </c>
      <c r="M7" s="285">
        <v>2032</v>
      </c>
      <c r="N7" s="285">
        <v>2034</v>
      </c>
      <c r="O7" s="285">
        <v>2036</v>
      </c>
      <c r="P7" s="285">
        <v>2038</v>
      </c>
      <c r="Q7" s="285">
        <v>2040</v>
      </c>
      <c r="R7" s="285">
        <v>2042</v>
      </c>
      <c r="S7" s="285">
        <v>2044</v>
      </c>
      <c r="T7" s="285">
        <v>2046</v>
      </c>
      <c r="U7" s="285">
        <v>2048</v>
      </c>
      <c r="V7" s="286">
        <v>2050</v>
      </c>
      <c r="W7" s="88"/>
      <c r="X7" s="335" t="s">
        <v>207</v>
      </c>
      <c r="Y7" s="336" t="s">
        <v>208</v>
      </c>
      <c r="Z7" s="336"/>
      <c r="AA7" s="337"/>
      <c r="AB7" s="337"/>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5" t="s">
        <v>173</v>
      </c>
      <c r="C8" s="281"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6">
        <v>6</v>
      </c>
      <c r="W8" s="88"/>
      <c r="X8" s="338">
        <v>1</v>
      </c>
      <c r="Y8" s="339" t="s">
        <v>302</v>
      </c>
      <c r="Z8" s="340"/>
      <c r="AA8" s="340"/>
      <c r="AB8" s="341"/>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5" t="s">
        <v>114</v>
      </c>
      <c r="C9" s="281"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6">
        <v>6</v>
      </c>
      <c r="W9" s="88"/>
      <c r="X9" s="342">
        <v>2</v>
      </c>
      <c r="Y9" s="343" t="s">
        <v>303</v>
      </c>
      <c r="Z9" s="344"/>
      <c r="AA9" s="344"/>
      <c r="AB9" s="345"/>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7" t="s">
        <v>133</v>
      </c>
      <c r="C10" s="282"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6">
        <v>6</v>
      </c>
      <c r="W10" s="88"/>
      <c r="X10" s="346">
        <v>3</v>
      </c>
      <c r="Y10" s="347" t="s">
        <v>304</v>
      </c>
      <c r="Z10" s="348"/>
      <c r="AA10" s="348"/>
      <c r="AB10" s="349"/>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7" t="s">
        <v>132</v>
      </c>
      <c r="C11" s="282"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6">
        <v>6</v>
      </c>
      <c r="W11" s="88"/>
      <c r="X11" s="346">
        <v>4</v>
      </c>
      <c r="Y11" s="347" t="s">
        <v>305</v>
      </c>
      <c r="Z11" s="348"/>
      <c r="AA11" s="348"/>
      <c r="AB11" s="349"/>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7" t="s">
        <v>134</v>
      </c>
      <c r="C12" s="282"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6">
        <v>6</v>
      </c>
      <c r="W12" s="88"/>
      <c r="X12" s="346">
        <v>5</v>
      </c>
      <c r="Y12" s="347" t="s">
        <v>306</v>
      </c>
      <c r="Z12" s="348"/>
      <c r="AA12" s="348"/>
      <c r="AB12" s="349"/>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7" t="s">
        <v>135</v>
      </c>
      <c r="C13" s="282"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6">
        <v>7</v>
      </c>
      <c r="W13" s="88"/>
      <c r="X13" s="346">
        <v>6</v>
      </c>
      <c r="Y13" s="347" t="s">
        <v>307</v>
      </c>
      <c r="Z13" s="348"/>
      <c r="AA13" s="348"/>
      <c r="AB13" s="349"/>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7" t="s">
        <v>174</v>
      </c>
      <c r="C14" s="282"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6">
        <v>7</v>
      </c>
      <c r="W14" s="88"/>
      <c r="X14" s="346">
        <v>7</v>
      </c>
      <c r="Y14" s="347" t="s">
        <v>308</v>
      </c>
      <c r="Z14" s="348"/>
      <c r="AA14" s="348"/>
      <c r="AB14" s="349"/>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7" t="s">
        <v>136</v>
      </c>
      <c r="C15" s="282"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6">
        <v>7</v>
      </c>
      <c r="W15" s="88"/>
      <c r="X15" s="350">
        <v>8</v>
      </c>
      <c r="Y15" s="351" t="s">
        <v>309</v>
      </c>
      <c r="Z15" s="352"/>
      <c r="AA15" s="352"/>
      <c r="AB15" s="353"/>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7" t="s">
        <v>175</v>
      </c>
      <c r="C16" s="282"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6">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7" t="s">
        <v>176</v>
      </c>
      <c r="C17" s="282"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6">
        <v>7</v>
      </c>
      <c r="W17" s="88"/>
      <c r="X17" s="397" t="s">
        <v>286</v>
      </c>
      <c r="Y17" s="398"/>
      <c r="Z17" s="398"/>
      <c r="AA17" s="398"/>
      <c r="AB17" s="399"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8" t="s">
        <v>177</v>
      </c>
      <c r="C18" s="283" t="s">
        <v>139</v>
      </c>
      <c r="D18" s="279">
        <v>3</v>
      </c>
      <c r="E18" s="279">
        <v>5</v>
      </c>
      <c r="F18" s="279">
        <v>5</v>
      </c>
      <c r="G18" s="279">
        <v>7</v>
      </c>
      <c r="H18" s="279">
        <v>7</v>
      </c>
      <c r="I18" s="279">
        <v>7</v>
      </c>
      <c r="J18" s="279">
        <v>7</v>
      </c>
      <c r="K18" s="279">
        <v>7</v>
      </c>
      <c r="L18" s="279">
        <v>7</v>
      </c>
      <c r="M18" s="279">
        <v>7</v>
      </c>
      <c r="N18" s="279">
        <v>7</v>
      </c>
      <c r="O18" s="279">
        <v>7</v>
      </c>
      <c r="P18" s="279">
        <v>7</v>
      </c>
      <c r="Q18" s="279">
        <v>7</v>
      </c>
      <c r="R18" s="279">
        <v>7</v>
      </c>
      <c r="S18" s="279">
        <v>7</v>
      </c>
      <c r="T18" s="279">
        <v>7</v>
      </c>
      <c r="U18" s="279">
        <v>7</v>
      </c>
      <c r="V18" s="280">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78"/>
      <c r="C19" s="378"/>
      <c r="D19" s="378"/>
      <c r="E19" s="378"/>
      <c r="F19" s="378"/>
      <c r="G19" s="378"/>
      <c r="H19" s="378"/>
      <c r="I19" s="378"/>
      <c r="J19" s="378"/>
      <c r="K19" s="378"/>
      <c r="L19" s="378"/>
      <c r="M19" s="378"/>
      <c r="N19" s="378"/>
      <c r="O19" s="378"/>
      <c r="P19" s="378"/>
      <c r="Q19" s="378"/>
      <c r="R19" s="378"/>
      <c r="S19" s="378"/>
      <c r="T19" s="378"/>
      <c r="U19" s="378"/>
      <c r="V19" s="378"/>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5"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6"/>
      <c r="D23" s="297" t="s">
        <v>164</v>
      </c>
      <c r="E23" s="298"/>
      <c r="F23" s="298"/>
      <c r="G23" s="298"/>
      <c r="H23" s="298"/>
      <c r="I23" s="298"/>
      <c r="J23" s="299"/>
      <c r="K23" s="451"/>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0" t="s">
        <v>137</v>
      </c>
      <c r="C24" s="301">
        <v>1</v>
      </c>
      <c r="D24" s="302">
        <v>2</v>
      </c>
      <c r="E24" s="302">
        <v>3</v>
      </c>
      <c r="F24" s="302">
        <v>4</v>
      </c>
      <c r="G24" s="302">
        <v>5</v>
      </c>
      <c r="H24" s="302">
        <v>6</v>
      </c>
      <c r="I24" s="302">
        <v>7</v>
      </c>
      <c r="J24" s="303">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4">
        <v>1</v>
      </c>
      <c r="C25" s="203">
        <v>0</v>
      </c>
      <c r="D25" s="204">
        <v>0</v>
      </c>
      <c r="E25" s="204">
        <v>0</v>
      </c>
      <c r="F25" s="204">
        <v>0</v>
      </c>
      <c r="G25" s="204">
        <v>0</v>
      </c>
      <c r="H25" s="204">
        <v>0</v>
      </c>
      <c r="I25" s="204">
        <v>0</v>
      </c>
      <c r="J25" s="305">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4">
        <v>2</v>
      </c>
      <c r="C26" s="203">
        <v>0</v>
      </c>
      <c r="D26" s="204">
        <v>0</v>
      </c>
      <c r="E26" s="204">
        <v>0</v>
      </c>
      <c r="F26" s="204">
        <v>0</v>
      </c>
      <c r="G26" s="204">
        <v>0</v>
      </c>
      <c r="H26" s="204">
        <v>0</v>
      </c>
      <c r="I26" s="204">
        <v>0</v>
      </c>
      <c r="J26" s="305">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4">
        <v>3</v>
      </c>
      <c r="C27" s="203">
        <v>1.4723336E-2</v>
      </c>
      <c r="D27" s="204">
        <v>2.5476018999999999E-2</v>
      </c>
      <c r="E27" s="204">
        <v>2.1531825000000001E-2</v>
      </c>
      <c r="F27" s="204">
        <v>3.1197994E-2</v>
      </c>
      <c r="G27" s="204">
        <v>2.149875E-2</v>
      </c>
      <c r="H27" s="204">
        <v>3.3075E-2</v>
      </c>
      <c r="I27" s="204">
        <v>2.9866725E-2</v>
      </c>
      <c r="J27" s="305">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4">
        <v>4</v>
      </c>
      <c r="C28" s="203">
        <v>3.4899760000000002E-2</v>
      </c>
      <c r="D28" s="204">
        <v>6.03876E-2</v>
      </c>
      <c r="E28" s="204">
        <v>5.1038399999999998E-2</v>
      </c>
      <c r="F28" s="204">
        <v>7.3950799999999997E-2</v>
      </c>
      <c r="G28" s="204">
        <v>5.0959999999999998E-2</v>
      </c>
      <c r="H28" s="204">
        <v>7.8399999999999997E-2</v>
      </c>
      <c r="I28" s="204">
        <v>7.0795200000000003E-2</v>
      </c>
      <c r="J28" s="305">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4">
        <v>5</v>
      </c>
      <c r="C29" s="203">
        <v>6.8163593999999994E-2</v>
      </c>
      <c r="D29" s="204">
        <v>0.11794453100000001</v>
      </c>
      <c r="E29" s="204">
        <v>9.9684375000000006E-2</v>
      </c>
      <c r="F29" s="204">
        <v>0.14443515600000001</v>
      </c>
      <c r="G29" s="204">
        <v>9.9531250000000002E-2</v>
      </c>
      <c r="H29" s="204">
        <v>0.15312500000000001</v>
      </c>
      <c r="I29" s="204">
        <v>0.13827187499999999</v>
      </c>
      <c r="J29" s="305">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4">
        <v>6</v>
      </c>
      <c r="C30" s="203">
        <v>0.11778669</v>
      </c>
      <c r="D30" s="204">
        <v>0.20380814999999999</v>
      </c>
      <c r="E30" s="204">
        <v>0.17225460000000001</v>
      </c>
      <c r="F30" s="204">
        <v>0.24958395</v>
      </c>
      <c r="G30" s="204">
        <v>0.17199</v>
      </c>
      <c r="H30" s="204">
        <v>0.2646</v>
      </c>
      <c r="I30" s="204">
        <v>0.2389338</v>
      </c>
      <c r="J30" s="305">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4">
        <v>7</v>
      </c>
      <c r="C31" s="203">
        <v>0.18704090100000001</v>
      </c>
      <c r="D31" s="204">
        <v>0.32363979399999998</v>
      </c>
      <c r="E31" s="204">
        <v>0.27353392500000001</v>
      </c>
      <c r="F31" s="204">
        <v>0.39633006900000001</v>
      </c>
      <c r="G31" s="204">
        <v>0.27311374999999999</v>
      </c>
      <c r="H31" s="204">
        <v>0.42017500000000002</v>
      </c>
      <c r="I31" s="204">
        <v>0.37941802499999999</v>
      </c>
      <c r="J31" s="305">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4">
        <v>8</v>
      </c>
      <c r="C32" s="203">
        <v>0.27919808000000002</v>
      </c>
      <c r="D32" s="204">
        <v>0.4831008</v>
      </c>
      <c r="E32" s="204">
        <v>0.40830719999999998</v>
      </c>
      <c r="F32" s="204">
        <v>0.59160639999999998</v>
      </c>
      <c r="G32" s="204">
        <v>0.40767999999999999</v>
      </c>
      <c r="H32" s="204">
        <v>0.62719999999999998</v>
      </c>
      <c r="I32" s="204">
        <v>0.56636160000000002</v>
      </c>
      <c r="J32" s="305">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4">
        <v>9</v>
      </c>
      <c r="C33" s="203">
        <v>0.39753007899999998</v>
      </c>
      <c r="D33" s="204">
        <v>0.68785250600000003</v>
      </c>
      <c r="E33" s="204">
        <v>0.58135927499999995</v>
      </c>
      <c r="F33" s="204">
        <v>0.84234583100000004</v>
      </c>
      <c r="G33" s="204">
        <v>0.58046624999999996</v>
      </c>
      <c r="H33" s="204">
        <v>0.89302499999999996</v>
      </c>
      <c r="I33" s="204">
        <v>0.80640157499999998</v>
      </c>
      <c r="J33" s="305">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4">
        <v>10</v>
      </c>
      <c r="C34" s="203">
        <v>0.54530875000000001</v>
      </c>
      <c r="D34" s="204">
        <v>0.94355624999999999</v>
      </c>
      <c r="E34" s="204">
        <v>0.79747500000000004</v>
      </c>
      <c r="F34" s="204">
        <v>1</v>
      </c>
      <c r="G34" s="204">
        <v>0.79625000000000001</v>
      </c>
      <c r="H34" s="204">
        <v>1</v>
      </c>
      <c r="I34" s="204">
        <v>1</v>
      </c>
      <c r="J34" s="305">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4">
        <v>11</v>
      </c>
      <c r="C35" s="203">
        <v>0.72580594600000004</v>
      </c>
      <c r="D35" s="204">
        <v>1</v>
      </c>
      <c r="E35" s="204">
        <v>1</v>
      </c>
      <c r="F35" s="204">
        <v>1</v>
      </c>
      <c r="G35" s="204">
        <v>1</v>
      </c>
      <c r="H35" s="204">
        <v>1</v>
      </c>
      <c r="I35" s="204">
        <v>1</v>
      </c>
      <c r="J35" s="305">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4">
        <v>12</v>
      </c>
      <c r="C36" s="203">
        <v>0.94229352</v>
      </c>
      <c r="D36" s="204">
        <v>1</v>
      </c>
      <c r="E36" s="204">
        <v>1</v>
      </c>
      <c r="F36" s="204">
        <v>1</v>
      </c>
      <c r="G36" s="204">
        <v>1</v>
      </c>
      <c r="H36" s="204">
        <v>1</v>
      </c>
      <c r="I36" s="204">
        <v>1</v>
      </c>
      <c r="J36" s="305">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4">
        <v>13</v>
      </c>
      <c r="C37" s="203">
        <v>1</v>
      </c>
      <c r="D37" s="204">
        <v>1</v>
      </c>
      <c r="E37" s="204">
        <v>1</v>
      </c>
      <c r="F37" s="204">
        <v>1</v>
      </c>
      <c r="G37" s="204">
        <v>1</v>
      </c>
      <c r="H37" s="204">
        <v>1</v>
      </c>
      <c r="I37" s="204">
        <v>1</v>
      </c>
      <c r="J37" s="305">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4">
        <v>14</v>
      </c>
      <c r="C38" s="203">
        <v>1</v>
      </c>
      <c r="D38" s="204">
        <v>1</v>
      </c>
      <c r="E38" s="204">
        <v>1</v>
      </c>
      <c r="F38" s="204">
        <v>1</v>
      </c>
      <c r="G38" s="204">
        <v>1</v>
      </c>
      <c r="H38" s="204">
        <v>1</v>
      </c>
      <c r="I38" s="204">
        <v>1</v>
      </c>
      <c r="J38" s="305">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4">
        <v>15</v>
      </c>
      <c r="C39" s="203">
        <v>1</v>
      </c>
      <c r="D39" s="204">
        <v>1</v>
      </c>
      <c r="E39" s="204">
        <v>1</v>
      </c>
      <c r="F39" s="204">
        <v>1</v>
      </c>
      <c r="G39" s="204">
        <v>1</v>
      </c>
      <c r="H39" s="204">
        <v>1</v>
      </c>
      <c r="I39" s="204">
        <v>1</v>
      </c>
      <c r="J39" s="305">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4">
        <v>16</v>
      </c>
      <c r="C40" s="203">
        <v>1</v>
      </c>
      <c r="D40" s="204">
        <v>1</v>
      </c>
      <c r="E40" s="204">
        <v>1</v>
      </c>
      <c r="F40" s="204">
        <v>1</v>
      </c>
      <c r="G40" s="204">
        <v>1</v>
      </c>
      <c r="H40" s="204">
        <v>1</v>
      </c>
      <c r="I40" s="204">
        <v>1</v>
      </c>
      <c r="J40" s="305">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4">
        <v>17</v>
      </c>
      <c r="C41" s="203">
        <v>1</v>
      </c>
      <c r="D41" s="204">
        <v>1</v>
      </c>
      <c r="E41" s="204">
        <v>1</v>
      </c>
      <c r="F41" s="204">
        <v>1</v>
      </c>
      <c r="G41" s="204">
        <v>1</v>
      </c>
      <c r="H41" s="204">
        <v>1</v>
      </c>
      <c r="I41" s="204">
        <v>1</v>
      </c>
      <c r="J41" s="305">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6">
        <v>18</v>
      </c>
      <c r="C42" s="307">
        <v>1</v>
      </c>
      <c r="D42" s="308">
        <v>1</v>
      </c>
      <c r="E42" s="308">
        <v>1</v>
      </c>
      <c r="F42" s="308">
        <v>1</v>
      </c>
      <c r="G42" s="308">
        <v>1</v>
      </c>
      <c r="H42" s="308">
        <v>1</v>
      </c>
      <c r="I42" s="308">
        <v>1</v>
      </c>
      <c r="J42" s="309">
        <v>1</v>
      </c>
      <c r="K42" s="354">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45"/>
      <c r="AA44" s="545"/>
      <c r="AB44" s="545"/>
      <c r="AC44" s="545"/>
      <c r="AD44" s="545"/>
      <c r="AE44" s="545"/>
      <c r="AF44" s="545"/>
      <c r="AG44" s="545"/>
      <c r="AH44" s="545"/>
      <c r="AI44" s="545"/>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546"/>
      <c r="AA45" s="546"/>
      <c r="AB45" s="546"/>
      <c r="AC45" s="546"/>
      <c r="AD45" s="546"/>
      <c r="AE45" s="546"/>
      <c r="AF45" s="546"/>
      <c r="AG45" s="546"/>
      <c r="AH45" s="546"/>
      <c r="AI45" s="545"/>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84"/>
      <c r="D46" s="393">
        <v>2014</v>
      </c>
      <c r="E46" s="394">
        <v>2016</v>
      </c>
      <c r="F46" s="394">
        <v>2018</v>
      </c>
      <c r="G46" s="394">
        <v>2020</v>
      </c>
      <c r="H46" s="394">
        <v>2022</v>
      </c>
      <c r="I46" s="394">
        <v>2024</v>
      </c>
      <c r="J46" s="394">
        <v>2026</v>
      </c>
      <c r="K46" s="394">
        <v>2028</v>
      </c>
      <c r="L46" s="394">
        <v>2030</v>
      </c>
      <c r="M46" s="394">
        <v>2032</v>
      </c>
      <c r="N46" s="394">
        <v>2034</v>
      </c>
      <c r="O46" s="394">
        <v>2036</v>
      </c>
      <c r="P46" s="394">
        <v>2038</v>
      </c>
      <c r="Q46" s="394">
        <v>2040</v>
      </c>
      <c r="R46" s="394">
        <v>2042</v>
      </c>
      <c r="S46" s="394">
        <v>2044</v>
      </c>
      <c r="T46" s="394">
        <v>2046</v>
      </c>
      <c r="U46" s="394">
        <v>2048</v>
      </c>
      <c r="V46" s="395">
        <v>2050</v>
      </c>
      <c r="W46" s="88"/>
      <c r="X46" s="88"/>
      <c r="Y46" s="88"/>
      <c r="Z46" s="546"/>
      <c r="AA46" s="546"/>
      <c r="AB46" s="546"/>
      <c r="AC46" s="546"/>
      <c r="AD46" s="546"/>
      <c r="AE46" s="546"/>
      <c r="AF46" s="546"/>
      <c r="AG46" s="546"/>
      <c r="AH46" s="546"/>
      <c r="AI46" s="545"/>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85" t="s">
        <v>173</v>
      </c>
      <c r="D47" s="386">
        <v>0.85</v>
      </c>
      <c r="E47" s="386">
        <v>0.85</v>
      </c>
      <c r="F47" s="386">
        <v>0.85</v>
      </c>
      <c r="G47" s="386">
        <v>0.85</v>
      </c>
      <c r="H47" s="386">
        <v>0.85</v>
      </c>
      <c r="I47" s="386">
        <v>0.85</v>
      </c>
      <c r="J47" s="386">
        <v>0.85</v>
      </c>
      <c r="K47" s="386">
        <v>0.85</v>
      </c>
      <c r="L47" s="386">
        <v>0.85</v>
      </c>
      <c r="M47" s="386">
        <v>0.85</v>
      </c>
      <c r="N47" s="386">
        <v>0.85</v>
      </c>
      <c r="O47" s="386">
        <v>0.85</v>
      </c>
      <c r="P47" s="386">
        <v>0.85</v>
      </c>
      <c r="Q47" s="386">
        <v>0.85</v>
      </c>
      <c r="R47" s="386">
        <v>0.85</v>
      </c>
      <c r="S47" s="386">
        <v>0.85</v>
      </c>
      <c r="T47" s="386">
        <v>0.85</v>
      </c>
      <c r="U47" s="386">
        <v>0.85</v>
      </c>
      <c r="V47" s="387">
        <v>0.85</v>
      </c>
      <c r="W47" s="88"/>
      <c r="X47" s="88"/>
      <c r="Y47" s="88"/>
      <c r="Z47" s="546"/>
      <c r="AA47" s="546"/>
      <c r="AB47" s="546"/>
      <c r="AC47" s="546"/>
      <c r="AD47" s="546"/>
      <c r="AE47" s="546"/>
      <c r="AF47" s="546"/>
      <c r="AG47" s="546"/>
      <c r="AH47" s="546"/>
      <c r="AI47" s="545"/>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85" t="s">
        <v>114</v>
      </c>
      <c r="D48" s="386">
        <v>0.85</v>
      </c>
      <c r="E48" s="386">
        <v>0.85</v>
      </c>
      <c r="F48" s="386">
        <v>0.85</v>
      </c>
      <c r="G48" s="386">
        <v>0.85</v>
      </c>
      <c r="H48" s="386">
        <v>0.85</v>
      </c>
      <c r="I48" s="386">
        <v>0.85</v>
      </c>
      <c r="J48" s="386">
        <v>0.85</v>
      </c>
      <c r="K48" s="386">
        <v>0.85</v>
      </c>
      <c r="L48" s="386">
        <v>0.85</v>
      </c>
      <c r="M48" s="386">
        <v>0.85</v>
      </c>
      <c r="N48" s="386">
        <v>0.85</v>
      </c>
      <c r="O48" s="386">
        <v>0.85</v>
      </c>
      <c r="P48" s="386">
        <v>0.85</v>
      </c>
      <c r="Q48" s="386">
        <v>0.85</v>
      </c>
      <c r="R48" s="386">
        <v>0.85</v>
      </c>
      <c r="S48" s="386">
        <v>0.85</v>
      </c>
      <c r="T48" s="386">
        <v>0.85</v>
      </c>
      <c r="U48" s="386">
        <v>0.85</v>
      </c>
      <c r="V48" s="387">
        <v>0.85</v>
      </c>
      <c r="W48" s="88"/>
      <c r="X48" s="88"/>
      <c r="Y48" s="88"/>
      <c r="Z48" s="546"/>
      <c r="AA48" s="546"/>
      <c r="AB48" s="546"/>
      <c r="AC48" s="546"/>
      <c r="AD48" s="546"/>
      <c r="AE48" s="546"/>
      <c r="AF48" s="546"/>
      <c r="AG48" s="546"/>
      <c r="AH48" s="546"/>
      <c r="AI48" s="547"/>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388" t="s">
        <v>133</v>
      </c>
      <c r="D49" s="386">
        <v>0.85</v>
      </c>
      <c r="E49" s="386">
        <v>0.85</v>
      </c>
      <c r="F49" s="386">
        <v>0.85</v>
      </c>
      <c r="G49" s="386">
        <v>0.85</v>
      </c>
      <c r="H49" s="386">
        <v>0.85</v>
      </c>
      <c r="I49" s="386">
        <v>0.85</v>
      </c>
      <c r="J49" s="386">
        <v>0.85</v>
      </c>
      <c r="K49" s="386">
        <v>0.85</v>
      </c>
      <c r="L49" s="386">
        <v>0.85</v>
      </c>
      <c r="M49" s="386">
        <v>0.85</v>
      </c>
      <c r="N49" s="386">
        <v>0.85</v>
      </c>
      <c r="O49" s="386">
        <v>0.85</v>
      </c>
      <c r="P49" s="386">
        <v>0.85</v>
      </c>
      <c r="Q49" s="386">
        <v>0.85</v>
      </c>
      <c r="R49" s="386">
        <v>0.85</v>
      </c>
      <c r="S49" s="386">
        <v>0.85</v>
      </c>
      <c r="T49" s="386">
        <v>0.85</v>
      </c>
      <c r="U49" s="386">
        <v>0.85</v>
      </c>
      <c r="V49" s="387">
        <v>0.85</v>
      </c>
      <c r="W49" s="88"/>
      <c r="X49" s="88"/>
      <c r="Y49" s="88"/>
      <c r="Z49" s="546"/>
      <c r="AA49" s="546"/>
      <c r="AB49" s="546"/>
      <c r="AC49" s="546"/>
      <c r="AD49" s="546"/>
      <c r="AE49" s="546"/>
      <c r="AF49" s="546"/>
      <c r="AG49" s="546"/>
      <c r="AH49" s="546"/>
      <c r="AI49" s="547"/>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388" t="s">
        <v>132</v>
      </c>
      <c r="D50" s="386">
        <v>0.85</v>
      </c>
      <c r="E50" s="386">
        <v>0.85</v>
      </c>
      <c r="F50" s="386">
        <v>0.85</v>
      </c>
      <c r="G50" s="386">
        <v>0.85</v>
      </c>
      <c r="H50" s="386">
        <v>0.85</v>
      </c>
      <c r="I50" s="386">
        <v>0.85</v>
      </c>
      <c r="J50" s="386">
        <v>0.85</v>
      </c>
      <c r="K50" s="386">
        <v>0.85</v>
      </c>
      <c r="L50" s="386">
        <v>0.85</v>
      </c>
      <c r="M50" s="386">
        <v>0.85</v>
      </c>
      <c r="N50" s="386">
        <v>0.85</v>
      </c>
      <c r="O50" s="386">
        <v>0.85</v>
      </c>
      <c r="P50" s="386">
        <v>0.85</v>
      </c>
      <c r="Q50" s="386">
        <v>0.85</v>
      </c>
      <c r="R50" s="389">
        <v>0.85</v>
      </c>
      <c r="S50" s="386">
        <v>0.85</v>
      </c>
      <c r="T50" s="386">
        <v>0.85</v>
      </c>
      <c r="U50" s="386">
        <v>0.85</v>
      </c>
      <c r="V50" s="387">
        <v>0.85</v>
      </c>
      <c r="W50" s="88"/>
      <c r="X50" s="88"/>
      <c r="Y50" s="88"/>
      <c r="Z50" s="546"/>
      <c r="AA50" s="546"/>
      <c r="AB50" s="546"/>
      <c r="AC50" s="546"/>
      <c r="AD50" s="546"/>
      <c r="AE50" s="546"/>
      <c r="AF50" s="546"/>
      <c r="AG50" s="546"/>
      <c r="AH50" s="546"/>
      <c r="AI50" s="547"/>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388" t="s">
        <v>134</v>
      </c>
      <c r="D51" s="386">
        <v>0.85</v>
      </c>
      <c r="E51" s="386">
        <v>0.85</v>
      </c>
      <c r="F51" s="386">
        <v>0.85</v>
      </c>
      <c r="G51" s="386">
        <v>0.85</v>
      </c>
      <c r="H51" s="386">
        <v>0.85</v>
      </c>
      <c r="I51" s="386">
        <v>0.85</v>
      </c>
      <c r="J51" s="386">
        <v>0.85</v>
      </c>
      <c r="K51" s="386">
        <v>0.85</v>
      </c>
      <c r="L51" s="386">
        <v>0.85</v>
      </c>
      <c r="M51" s="386">
        <v>0.85</v>
      </c>
      <c r="N51" s="386">
        <v>0.85</v>
      </c>
      <c r="O51" s="386">
        <v>0.85</v>
      </c>
      <c r="P51" s="386">
        <v>0.85</v>
      </c>
      <c r="Q51" s="386">
        <v>0.85</v>
      </c>
      <c r="R51" s="386">
        <v>0.85</v>
      </c>
      <c r="S51" s="386">
        <v>0.85</v>
      </c>
      <c r="T51" s="386">
        <v>0.85</v>
      </c>
      <c r="U51" s="386">
        <v>0.85</v>
      </c>
      <c r="V51" s="387">
        <v>0.85</v>
      </c>
      <c r="W51" s="88"/>
      <c r="X51" s="88"/>
      <c r="Y51" s="88"/>
      <c r="Z51" s="546"/>
      <c r="AA51" s="546"/>
      <c r="AB51" s="546"/>
      <c r="AC51" s="546"/>
      <c r="AD51" s="546"/>
      <c r="AE51" s="546"/>
      <c r="AF51" s="546"/>
      <c r="AG51" s="546"/>
      <c r="AH51" s="546"/>
      <c r="AI51" s="547"/>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388" t="s">
        <v>135</v>
      </c>
      <c r="D52" s="386">
        <v>0.85</v>
      </c>
      <c r="E52" s="386">
        <v>0.85</v>
      </c>
      <c r="F52" s="386">
        <v>0.85</v>
      </c>
      <c r="G52" s="386">
        <v>0.85</v>
      </c>
      <c r="H52" s="386">
        <v>0.85</v>
      </c>
      <c r="I52" s="386">
        <v>0.85</v>
      </c>
      <c r="J52" s="386">
        <v>0.85</v>
      </c>
      <c r="K52" s="386">
        <v>0.85</v>
      </c>
      <c r="L52" s="386">
        <v>0.85</v>
      </c>
      <c r="M52" s="386">
        <v>0.85</v>
      </c>
      <c r="N52" s="386">
        <v>0.85</v>
      </c>
      <c r="O52" s="386">
        <v>0.85</v>
      </c>
      <c r="P52" s="386">
        <v>0.85</v>
      </c>
      <c r="Q52" s="386">
        <v>0.85</v>
      </c>
      <c r="R52" s="386">
        <v>0.85</v>
      </c>
      <c r="S52" s="386">
        <v>0.85</v>
      </c>
      <c r="T52" s="386">
        <v>0.85</v>
      </c>
      <c r="U52" s="386">
        <v>0.85</v>
      </c>
      <c r="V52" s="387">
        <v>0.85</v>
      </c>
      <c r="W52" s="88"/>
      <c r="X52" s="88"/>
      <c r="Y52" s="88"/>
      <c r="Z52" s="546"/>
      <c r="AA52" s="546"/>
      <c r="AB52" s="546"/>
      <c r="AC52" s="546"/>
      <c r="AD52" s="546"/>
      <c r="AE52" s="546"/>
      <c r="AF52" s="546"/>
      <c r="AG52" s="546"/>
      <c r="AH52" s="546"/>
      <c r="AI52" s="547"/>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388" t="s">
        <v>174</v>
      </c>
      <c r="D53" s="386">
        <v>0.85</v>
      </c>
      <c r="E53" s="386">
        <v>0.85</v>
      </c>
      <c r="F53" s="386">
        <v>0.85</v>
      </c>
      <c r="G53" s="386">
        <v>0.85</v>
      </c>
      <c r="H53" s="386">
        <v>0.85</v>
      </c>
      <c r="I53" s="386">
        <v>0.85</v>
      </c>
      <c r="J53" s="386">
        <v>0.85</v>
      </c>
      <c r="K53" s="386">
        <v>0.85</v>
      </c>
      <c r="L53" s="386">
        <v>0.85</v>
      </c>
      <c r="M53" s="386">
        <v>0.85</v>
      </c>
      <c r="N53" s="386">
        <v>0.85</v>
      </c>
      <c r="O53" s="386">
        <v>0.85</v>
      </c>
      <c r="P53" s="386">
        <v>0.85</v>
      </c>
      <c r="Q53" s="386">
        <v>0.85</v>
      </c>
      <c r="R53" s="386">
        <v>0.85</v>
      </c>
      <c r="S53" s="386">
        <v>0.85</v>
      </c>
      <c r="T53" s="386">
        <v>0.85</v>
      </c>
      <c r="U53" s="386">
        <v>0.85</v>
      </c>
      <c r="V53" s="387">
        <v>0.85</v>
      </c>
      <c r="W53" s="88"/>
      <c r="X53" s="88"/>
      <c r="Y53" s="88"/>
      <c r="Z53" s="546"/>
      <c r="AA53" s="546"/>
      <c r="AB53" s="546"/>
      <c r="AC53" s="546"/>
      <c r="AD53" s="546"/>
      <c r="AE53" s="546"/>
      <c r="AF53" s="546"/>
      <c r="AG53" s="546"/>
      <c r="AH53" s="546"/>
      <c r="AI53" s="547"/>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388" t="s">
        <v>136</v>
      </c>
      <c r="D54" s="386">
        <v>0.85</v>
      </c>
      <c r="E54" s="386">
        <v>0.85</v>
      </c>
      <c r="F54" s="386">
        <v>0.85</v>
      </c>
      <c r="G54" s="386">
        <v>0.85</v>
      </c>
      <c r="H54" s="386">
        <v>0.85</v>
      </c>
      <c r="I54" s="386">
        <v>0.85</v>
      </c>
      <c r="J54" s="386">
        <v>0.85</v>
      </c>
      <c r="K54" s="386">
        <v>0.85</v>
      </c>
      <c r="L54" s="386">
        <v>0.85</v>
      </c>
      <c r="M54" s="386">
        <v>0.85</v>
      </c>
      <c r="N54" s="386">
        <v>0.85</v>
      </c>
      <c r="O54" s="386">
        <v>0.85</v>
      </c>
      <c r="P54" s="386">
        <v>0.85</v>
      </c>
      <c r="Q54" s="386">
        <v>0.85</v>
      </c>
      <c r="R54" s="386">
        <v>0.85</v>
      </c>
      <c r="S54" s="386">
        <v>0.85</v>
      </c>
      <c r="T54" s="386">
        <v>0.85</v>
      </c>
      <c r="U54" s="386">
        <v>0.85</v>
      </c>
      <c r="V54" s="387">
        <v>0.85</v>
      </c>
      <c r="W54" s="88"/>
      <c r="X54" s="88"/>
      <c r="Y54" s="88"/>
      <c r="Z54" s="545"/>
      <c r="AA54" s="545"/>
      <c r="AB54" s="545"/>
      <c r="AC54" s="545"/>
      <c r="AD54" s="545"/>
      <c r="AE54" s="545"/>
      <c r="AF54" s="545"/>
      <c r="AG54" s="545"/>
      <c r="AH54" s="545"/>
      <c r="AI54" s="547"/>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388" t="s">
        <v>175</v>
      </c>
      <c r="D55" s="386">
        <v>0.85</v>
      </c>
      <c r="E55" s="386">
        <v>0.85</v>
      </c>
      <c r="F55" s="386">
        <v>0.85</v>
      </c>
      <c r="G55" s="386">
        <v>0.85</v>
      </c>
      <c r="H55" s="386">
        <v>0.85</v>
      </c>
      <c r="I55" s="386">
        <v>0.85</v>
      </c>
      <c r="J55" s="386">
        <v>0.85</v>
      </c>
      <c r="K55" s="386">
        <v>0.85</v>
      </c>
      <c r="L55" s="386">
        <v>0.85</v>
      </c>
      <c r="M55" s="386">
        <v>0.85</v>
      </c>
      <c r="N55" s="386">
        <v>0.85</v>
      </c>
      <c r="O55" s="386">
        <v>0.85</v>
      </c>
      <c r="P55" s="386">
        <v>0.85</v>
      </c>
      <c r="Q55" s="386">
        <v>0.85</v>
      </c>
      <c r="R55" s="386">
        <v>0.85</v>
      </c>
      <c r="S55" s="386">
        <v>0.85</v>
      </c>
      <c r="T55" s="386">
        <v>0.85</v>
      </c>
      <c r="U55" s="386">
        <v>0.85</v>
      </c>
      <c r="V55" s="387">
        <v>0.85</v>
      </c>
      <c r="W55" s="88"/>
      <c r="X55" s="88"/>
      <c r="Y55" s="88"/>
      <c r="Z55" s="545"/>
      <c r="AA55" s="545"/>
      <c r="AB55" s="545"/>
      <c r="AC55" s="545"/>
      <c r="AD55" s="545"/>
      <c r="AE55" s="545"/>
      <c r="AF55" s="545"/>
      <c r="AG55" s="545"/>
      <c r="AH55" s="545"/>
      <c r="AI55" s="547"/>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388" t="s">
        <v>176</v>
      </c>
      <c r="D56" s="386">
        <v>0.85</v>
      </c>
      <c r="E56" s="386">
        <v>0.85</v>
      </c>
      <c r="F56" s="386">
        <v>0.85</v>
      </c>
      <c r="G56" s="386">
        <v>0.85</v>
      </c>
      <c r="H56" s="386">
        <v>0.85</v>
      </c>
      <c r="I56" s="386">
        <v>0.85</v>
      </c>
      <c r="J56" s="386">
        <v>0.85</v>
      </c>
      <c r="K56" s="386">
        <v>0.85</v>
      </c>
      <c r="L56" s="386">
        <v>0.85</v>
      </c>
      <c r="M56" s="386">
        <v>0.85</v>
      </c>
      <c r="N56" s="386">
        <v>0.85</v>
      </c>
      <c r="O56" s="386">
        <v>0.85</v>
      </c>
      <c r="P56" s="386">
        <v>0.85</v>
      </c>
      <c r="Q56" s="386">
        <v>0.85</v>
      </c>
      <c r="R56" s="386">
        <v>0.85</v>
      </c>
      <c r="S56" s="386">
        <v>0.85</v>
      </c>
      <c r="T56" s="386">
        <v>0.85</v>
      </c>
      <c r="U56" s="386">
        <v>0.85</v>
      </c>
      <c r="V56" s="387">
        <v>0.85</v>
      </c>
      <c r="W56" s="88"/>
      <c r="X56" s="88"/>
      <c r="Y56" s="88"/>
      <c r="Z56" s="545"/>
      <c r="AA56" s="545"/>
      <c r="AB56" s="545"/>
      <c r="AC56" s="545"/>
      <c r="AD56" s="545"/>
      <c r="AE56" s="545"/>
      <c r="AF56" s="545"/>
      <c r="AG56" s="545"/>
      <c r="AH56" s="545"/>
      <c r="AI56" s="547"/>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390" t="s">
        <v>177</v>
      </c>
      <c r="D57" s="391">
        <v>0.85</v>
      </c>
      <c r="E57" s="391">
        <v>0.85</v>
      </c>
      <c r="F57" s="391">
        <v>0.85</v>
      </c>
      <c r="G57" s="391">
        <v>0.85</v>
      </c>
      <c r="H57" s="391">
        <v>0.85</v>
      </c>
      <c r="I57" s="391">
        <v>0.85</v>
      </c>
      <c r="J57" s="391">
        <v>0.85</v>
      </c>
      <c r="K57" s="391">
        <v>0.85</v>
      </c>
      <c r="L57" s="391">
        <v>0.85</v>
      </c>
      <c r="M57" s="391">
        <v>0.85</v>
      </c>
      <c r="N57" s="391">
        <v>0.85</v>
      </c>
      <c r="O57" s="391">
        <v>0.85</v>
      </c>
      <c r="P57" s="391">
        <v>0.85</v>
      </c>
      <c r="Q57" s="391">
        <v>0.85</v>
      </c>
      <c r="R57" s="391">
        <v>0.85</v>
      </c>
      <c r="S57" s="391">
        <v>0.85</v>
      </c>
      <c r="T57" s="391">
        <v>0.85</v>
      </c>
      <c r="U57" s="391">
        <v>0.85</v>
      </c>
      <c r="V57" s="392">
        <v>0.85</v>
      </c>
      <c r="W57" s="88"/>
      <c r="X57" s="88"/>
      <c r="Y57" s="88"/>
      <c r="Z57" s="545"/>
      <c r="AA57" s="545"/>
      <c r="AB57" s="545"/>
      <c r="AC57" s="545"/>
      <c r="AD57" s="545"/>
      <c r="AE57" s="545"/>
      <c r="AF57" s="545"/>
      <c r="AG57" s="545"/>
      <c r="AH57" s="545"/>
      <c r="AI57" s="547"/>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45"/>
      <c r="AA58" s="545"/>
      <c r="AB58" s="545"/>
      <c r="AC58" s="545"/>
      <c r="AD58" s="545"/>
      <c r="AE58" s="545"/>
      <c r="AF58" s="545"/>
      <c r="AG58" s="545"/>
      <c r="AH58" s="545"/>
      <c r="AI58" s="547"/>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45"/>
      <c r="AA59" s="545"/>
      <c r="AB59" s="545"/>
      <c r="AC59" s="545"/>
      <c r="AD59" s="545"/>
      <c r="AE59" s="545"/>
      <c r="AF59" s="545"/>
      <c r="AG59" s="545"/>
      <c r="AH59" s="545"/>
      <c r="AI59" s="547"/>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18">
      <c r="A60" s="88"/>
      <c r="B60" s="164" t="s">
        <v>352</v>
      </c>
      <c r="C60" s="88"/>
      <c r="D60" s="88"/>
      <c r="E60" s="202"/>
      <c r="F60" s="202"/>
      <c r="G60" s="88"/>
      <c r="H60" s="88"/>
      <c r="I60" s="88"/>
      <c r="J60" s="88"/>
      <c r="K60" s="88"/>
      <c r="L60" s="88"/>
      <c r="M60" s="88"/>
      <c r="N60" s="88"/>
      <c r="O60" s="88"/>
      <c r="P60" s="88"/>
      <c r="Q60" s="88"/>
      <c r="R60" s="88"/>
      <c r="S60" s="88"/>
      <c r="T60" s="88"/>
      <c r="U60" s="88"/>
      <c r="V60" s="88"/>
      <c r="W60" s="88"/>
      <c r="X60" s="88"/>
      <c r="Y60" s="88"/>
      <c r="Z60" s="545"/>
      <c r="AA60" s="545"/>
      <c r="AB60" s="545"/>
      <c r="AC60" s="545"/>
      <c r="AD60" s="545"/>
      <c r="AE60" s="545"/>
      <c r="AF60" s="545"/>
      <c r="AG60" s="545"/>
      <c r="AH60" s="545"/>
      <c r="AI60" s="547"/>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 thickBot="1">
      <c r="A61" s="530"/>
      <c r="B61" s="202"/>
      <c r="C61" s="202"/>
      <c r="D61" s="202"/>
      <c r="E61" s="202"/>
      <c r="F61" s="202"/>
      <c r="G61" s="530"/>
      <c r="H61" s="530"/>
      <c r="I61" s="530"/>
      <c r="J61" s="530"/>
      <c r="K61" s="530"/>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4" customHeight="1">
      <c r="A62" s="88"/>
      <c r="B62" s="202"/>
      <c r="C62" s="582" t="s">
        <v>354</v>
      </c>
      <c r="D62" s="583"/>
      <c r="E62" s="583" t="s">
        <v>355</v>
      </c>
      <c r="F62" s="584"/>
      <c r="G62" s="530"/>
      <c r="H62" s="585" t="s">
        <v>353</v>
      </c>
      <c r="I62" s="585"/>
      <c r="J62" s="585"/>
      <c r="K62" s="585"/>
      <c r="L62" s="585"/>
      <c r="M62" s="585"/>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c r="A63" s="88"/>
      <c r="B63" s="88"/>
      <c r="C63" s="542" t="s">
        <v>356</v>
      </c>
      <c r="D63" s="543" t="s">
        <v>357</v>
      </c>
      <c r="E63" s="542" t="s">
        <v>356</v>
      </c>
      <c r="F63" s="544" t="s">
        <v>357</v>
      </c>
      <c r="G63" s="202"/>
      <c r="H63" s="585"/>
      <c r="I63" s="585"/>
      <c r="J63" s="585"/>
      <c r="K63" s="585"/>
      <c r="L63" s="585"/>
      <c r="M63" s="585"/>
      <c r="N63" s="552"/>
      <c r="O63" s="552"/>
      <c r="P63" s="552"/>
      <c r="Q63" s="55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5">
      <c r="A64" s="88"/>
      <c r="B64" s="537" t="s">
        <v>125</v>
      </c>
      <c r="C64" s="539">
        <v>0.85</v>
      </c>
      <c r="D64" s="540">
        <v>1.1499999999999999</v>
      </c>
      <c r="E64" s="540">
        <v>0.5</v>
      </c>
      <c r="F64" s="541">
        <v>1</v>
      </c>
      <c r="G64" s="202"/>
      <c r="H64" s="585"/>
      <c r="I64" s="585"/>
      <c r="J64" s="585"/>
      <c r="K64" s="585"/>
      <c r="L64" s="585"/>
      <c r="M64" s="585"/>
      <c r="N64" s="552"/>
      <c r="O64" s="552"/>
      <c r="P64" s="552"/>
      <c r="Q64" s="55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5">
      <c r="A65" s="88"/>
      <c r="B65" s="427" t="s">
        <v>126</v>
      </c>
      <c r="C65" s="531">
        <v>0.25</v>
      </c>
      <c r="D65" s="532">
        <v>1.1499999999999999</v>
      </c>
      <c r="E65" s="532">
        <v>0.1</v>
      </c>
      <c r="F65" s="533">
        <v>1</v>
      </c>
      <c r="G65" s="202"/>
      <c r="H65" s="585"/>
      <c r="I65" s="585"/>
      <c r="J65" s="585"/>
      <c r="K65" s="585"/>
      <c r="L65" s="585"/>
      <c r="M65" s="585"/>
      <c r="N65" s="552"/>
      <c r="O65" s="552"/>
      <c r="P65" s="552"/>
      <c r="Q65" s="552"/>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 thickBot="1">
      <c r="A66" s="88"/>
      <c r="B66" s="538" t="s">
        <v>127</v>
      </c>
      <c r="C66" s="534">
        <v>0.25</v>
      </c>
      <c r="D66" s="535">
        <v>1.1499999999999999</v>
      </c>
      <c r="E66" s="535">
        <v>0.1</v>
      </c>
      <c r="F66" s="536">
        <v>1</v>
      </c>
      <c r="G66" s="202"/>
      <c r="H66" s="585"/>
      <c r="I66" s="585"/>
      <c r="J66" s="585"/>
      <c r="K66" s="585"/>
      <c r="L66" s="585"/>
      <c r="M66" s="585"/>
      <c r="N66" s="552"/>
      <c r="O66" s="552"/>
      <c r="P66" s="552"/>
      <c r="Q66" s="552"/>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378"/>
      <c r="B67" s="378"/>
      <c r="C67" s="378"/>
      <c r="D67" s="378"/>
      <c r="E67" s="378"/>
      <c r="F67" s="202"/>
      <c r="G67" s="202"/>
      <c r="H67" s="585"/>
      <c r="I67" s="585"/>
      <c r="J67" s="585"/>
      <c r="K67" s="585"/>
      <c r="L67" s="585"/>
      <c r="M67" s="585"/>
      <c r="N67" s="552"/>
      <c r="O67" s="552"/>
      <c r="P67" s="552"/>
      <c r="Q67" s="552"/>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378"/>
      <c r="B68" s="378"/>
      <c r="C68" s="378"/>
      <c r="D68" s="378"/>
      <c r="E68" s="378"/>
      <c r="F68" s="202"/>
      <c r="G68" s="202"/>
      <c r="H68" s="585"/>
      <c r="I68" s="585"/>
      <c r="J68" s="585"/>
      <c r="K68" s="585"/>
      <c r="L68" s="585"/>
      <c r="M68" s="585"/>
      <c r="N68" s="552"/>
      <c r="O68" s="552"/>
      <c r="P68" s="552"/>
      <c r="Q68" s="552"/>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548"/>
      <c r="B69" s="548"/>
      <c r="C69" s="548"/>
      <c r="D69" s="548"/>
      <c r="E69" s="548"/>
      <c r="F69" s="549"/>
      <c r="G69" s="550"/>
      <c r="H69" s="551"/>
      <c r="I69" s="551"/>
      <c r="J69" s="551"/>
      <c r="K69" s="551"/>
      <c r="L69" s="552"/>
      <c r="M69" s="552"/>
      <c r="N69" s="552"/>
      <c r="O69" s="552"/>
      <c r="P69" s="552"/>
      <c r="Q69" s="552"/>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548"/>
      <c r="B70" s="548"/>
      <c r="C70" s="548"/>
      <c r="D70" s="548"/>
      <c r="E70" s="548"/>
      <c r="F70" s="549"/>
      <c r="G70" s="550"/>
      <c r="H70" s="551"/>
      <c r="I70" s="551"/>
      <c r="J70" s="551"/>
      <c r="K70" s="551"/>
      <c r="L70" s="552"/>
      <c r="M70" s="552"/>
      <c r="N70" s="552"/>
      <c r="O70" s="552"/>
      <c r="P70" s="552"/>
      <c r="Q70" s="552"/>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550"/>
      <c r="B71" s="550"/>
      <c r="C71" s="550"/>
      <c r="D71" s="550"/>
      <c r="E71" s="550"/>
      <c r="F71" s="550"/>
      <c r="G71" s="550"/>
      <c r="H71" s="551"/>
      <c r="I71" s="551"/>
      <c r="J71" s="551"/>
      <c r="K71" s="551"/>
      <c r="L71" s="552"/>
      <c r="M71" s="552"/>
      <c r="N71" s="552"/>
      <c r="O71" s="552"/>
      <c r="P71" s="552"/>
      <c r="Q71" s="552"/>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550"/>
      <c r="B72" s="550"/>
      <c r="C72" s="550"/>
      <c r="D72" s="550"/>
      <c r="E72" s="550"/>
      <c r="F72" s="550"/>
      <c r="G72" s="549"/>
      <c r="H72" s="530"/>
      <c r="I72" s="530"/>
      <c r="J72" s="530"/>
      <c r="K72" s="530"/>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550"/>
      <c r="B73" s="550"/>
      <c r="C73" s="550"/>
      <c r="D73" s="550"/>
      <c r="E73" s="550"/>
      <c r="F73" s="550"/>
      <c r="G73" s="549"/>
      <c r="H73" s="530"/>
      <c r="I73" s="530"/>
      <c r="J73" s="530"/>
      <c r="K73" s="530"/>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549"/>
      <c r="B74" s="549"/>
      <c r="C74" s="549"/>
      <c r="D74" s="549"/>
      <c r="E74" s="549"/>
      <c r="F74" s="549"/>
      <c r="G74" s="549"/>
      <c r="H74" s="530"/>
      <c r="I74" s="530"/>
      <c r="J74" s="530"/>
      <c r="K74" s="530"/>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549"/>
      <c r="B75" s="549"/>
      <c r="C75" s="549"/>
      <c r="D75" s="549"/>
      <c r="E75" s="549"/>
      <c r="F75" s="549"/>
      <c r="G75" s="54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Q42"/>
  <sheetViews>
    <sheetView tabSelected="1" workbookViewId="0">
      <selection activeCell="B29" sqref="B29:D39"/>
    </sheetView>
  </sheetViews>
  <sheetFormatPr baseColWidth="10" defaultRowHeight="12" x14ac:dyDescent="0"/>
  <cols>
    <col min="1" max="1" width="10.83203125" style="378"/>
    <col min="2" max="2" width="23.83203125" style="378" customWidth="1"/>
    <col min="3" max="3" width="30.83203125" style="378" bestFit="1" customWidth="1"/>
    <col min="4" max="4" width="20.1640625" style="378" bestFit="1" customWidth="1"/>
    <col min="5" max="5" width="10.83203125" style="378"/>
    <col min="6" max="6" width="25.33203125" style="378" customWidth="1"/>
    <col min="7" max="7" width="80.5" style="378" customWidth="1"/>
    <col min="8" max="8" width="23.1640625" style="378" customWidth="1"/>
    <col min="9" max="9" width="36.5" style="378" customWidth="1"/>
    <col min="10" max="14" width="10.83203125" style="378"/>
    <col min="15" max="15" width="22.5" style="378" customWidth="1"/>
    <col min="16" max="16" width="21.6640625" style="378" bestFit="1" customWidth="1"/>
    <col min="17" max="17" width="23.83203125" style="378" bestFit="1" customWidth="1"/>
    <col min="18" max="16384" width="10.83203125" style="378"/>
  </cols>
  <sheetData>
    <row r="3" spans="1:7" ht="26">
      <c r="B3" s="199" t="s">
        <v>377</v>
      </c>
    </row>
    <row r="7" spans="1:7" ht="19" thickBot="1">
      <c r="B7" s="164" t="s">
        <v>360</v>
      </c>
    </row>
    <row r="8" spans="1:7" ht="14" thickTop="1" thickBot="1">
      <c r="B8" s="559" t="s">
        <v>362</v>
      </c>
      <c r="C8" s="558" t="s">
        <v>363</v>
      </c>
      <c r="E8" s="586" t="s">
        <v>375</v>
      </c>
      <c r="F8" s="586"/>
      <c r="G8" s="586"/>
    </row>
    <row r="9" spans="1:7" ht="16" thickTop="1">
      <c r="B9" s="563" t="s">
        <v>364</v>
      </c>
      <c r="C9" s="579">
        <v>0.5</v>
      </c>
      <c r="E9" s="586"/>
      <c r="F9" s="586"/>
      <c r="G9" s="586"/>
    </row>
    <row r="10" spans="1:7" ht="15">
      <c r="B10" s="563" t="s">
        <v>365</v>
      </c>
      <c r="C10" s="560">
        <v>1</v>
      </c>
      <c r="E10" s="586"/>
      <c r="F10" s="586"/>
      <c r="G10" s="586"/>
    </row>
    <row r="11" spans="1:7" ht="15">
      <c r="B11" s="563" t="s">
        <v>366</v>
      </c>
      <c r="C11" s="560">
        <v>1.5</v>
      </c>
      <c r="E11" s="586"/>
      <c r="F11" s="586"/>
      <c r="G11" s="586"/>
    </row>
    <row r="12" spans="1:7" ht="15">
      <c r="B12" s="563" t="s">
        <v>367</v>
      </c>
      <c r="C12" s="561">
        <v>2</v>
      </c>
      <c r="E12" s="586"/>
      <c r="F12" s="586"/>
      <c r="G12" s="586"/>
    </row>
    <row r="13" spans="1:7" ht="16" thickBot="1">
      <c r="B13" s="564" t="s">
        <v>368</v>
      </c>
      <c r="C13" s="562">
        <v>3</v>
      </c>
      <c r="E13" s="586"/>
      <c r="F13" s="586"/>
      <c r="G13" s="586"/>
    </row>
    <row r="14" spans="1:7">
      <c r="A14"/>
      <c r="E14" s="586"/>
      <c r="F14" s="586"/>
      <c r="G14" s="586"/>
    </row>
    <row r="17" spans="2:17" ht="19" thickBot="1">
      <c r="B17" s="164" t="s">
        <v>369</v>
      </c>
    </row>
    <row r="18" spans="2:17" ht="14" thickTop="1" thickBot="1">
      <c r="B18" s="559" t="s">
        <v>362</v>
      </c>
      <c r="C18" s="558" t="s">
        <v>370</v>
      </c>
      <c r="E18" s="587" t="s">
        <v>374</v>
      </c>
      <c r="F18" s="587"/>
      <c r="G18" s="587"/>
    </row>
    <row r="19" spans="2:17" ht="16" thickTop="1">
      <c r="B19" s="563" t="s">
        <v>364</v>
      </c>
      <c r="C19" s="580">
        <v>0.96</v>
      </c>
      <c r="E19" s="587"/>
      <c r="F19" s="587"/>
      <c r="G19" s="587"/>
    </row>
    <row r="20" spans="2:17" ht="15">
      <c r="B20" s="563" t="s">
        <v>365</v>
      </c>
      <c r="C20" s="565">
        <v>0.91</v>
      </c>
      <c r="E20" s="587"/>
      <c r="F20" s="587"/>
      <c r="G20" s="587"/>
    </row>
    <row r="21" spans="2:17" ht="15">
      <c r="B21" s="563" t="s">
        <v>366</v>
      </c>
      <c r="C21" s="565">
        <v>0.84</v>
      </c>
      <c r="E21" s="587"/>
      <c r="F21" s="587"/>
      <c r="G21" s="587"/>
    </row>
    <row r="22" spans="2:17" ht="15">
      <c r="B22" s="563" t="s">
        <v>367</v>
      </c>
      <c r="C22" s="566">
        <v>0.75</v>
      </c>
      <c r="E22" s="587"/>
      <c r="F22" s="587"/>
      <c r="G22" s="587"/>
    </row>
    <row r="23" spans="2:17" ht="16" thickBot="1">
      <c r="B23" s="564" t="s">
        <v>368</v>
      </c>
      <c r="C23" s="567">
        <v>0.26</v>
      </c>
      <c r="E23" s="587"/>
      <c r="F23" s="587"/>
      <c r="G23" s="587"/>
    </row>
    <row r="24" spans="2:17">
      <c r="Q24" s="578"/>
    </row>
    <row r="25" spans="2:17">
      <c r="Q25" s="578"/>
    </row>
    <row r="26" spans="2:17">
      <c r="Q26" s="578"/>
    </row>
    <row r="27" spans="2:17" ht="19" thickBot="1">
      <c r="B27" s="164" t="s">
        <v>361</v>
      </c>
      <c r="Q27" s="578"/>
    </row>
    <row r="28" spans="2:17" ht="14" thickTop="1" thickBot="1">
      <c r="B28" s="559" t="s">
        <v>371</v>
      </c>
      <c r="C28" s="559" t="s">
        <v>372</v>
      </c>
      <c r="D28" s="558" t="s">
        <v>373</v>
      </c>
      <c r="F28" s="586" t="s">
        <v>376</v>
      </c>
      <c r="G28" s="586"/>
      <c r="Q28" s="578"/>
    </row>
    <row r="29" spans="2:17" ht="16" thickTop="1">
      <c r="B29" s="568" t="s">
        <v>173</v>
      </c>
      <c r="C29" s="571">
        <v>2.2000000000000002</v>
      </c>
      <c r="D29" s="574">
        <v>17.399999999999999</v>
      </c>
      <c r="F29" s="586"/>
      <c r="G29" s="586"/>
      <c r="Q29" s="578"/>
    </row>
    <row r="30" spans="2:17" ht="15">
      <c r="B30" s="569" t="s">
        <v>114</v>
      </c>
      <c r="C30" s="572">
        <v>3.1</v>
      </c>
      <c r="D30" s="575">
        <v>18.399999999999999</v>
      </c>
      <c r="F30" s="586"/>
      <c r="G30" s="586"/>
      <c r="Q30" s="578"/>
    </row>
    <row r="31" spans="2:17" ht="15">
      <c r="B31" s="569" t="s">
        <v>133</v>
      </c>
      <c r="C31" s="572">
        <v>4.4000000000000004</v>
      </c>
      <c r="D31" s="575">
        <v>19.8</v>
      </c>
      <c r="F31" s="586"/>
      <c r="G31" s="586"/>
      <c r="Q31" s="578"/>
    </row>
    <row r="32" spans="2:17" ht="15">
      <c r="B32" s="569" t="s">
        <v>132</v>
      </c>
      <c r="C32" s="572">
        <v>6.2</v>
      </c>
      <c r="D32" s="576">
        <v>21.8</v>
      </c>
      <c r="F32" s="586"/>
      <c r="G32" s="586"/>
      <c r="Q32" s="578"/>
    </row>
    <row r="33" spans="2:17" ht="15">
      <c r="B33" s="569" t="s">
        <v>134</v>
      </c>
      <c r="C33" s="572">
        <v>9.8000000000000007</v>
      </c>
      <c r="D33" s="576">
        <v>25.7</v>
      </c>
      <c r="F33" s="586"/>
      <c r="G33" s="586"/>
      <c r="Q33" s="578"/>
    </row>
    <row r="34" spans="2:17" ht="15">
      <c r="B34" s="569" t="s">
        <v>135</v>
      </c>
      <c r="C34" s="572">
        <v>13.8</v>
      </c>
      <c r="D34" s="575">
        <v>30.2</v>
      </c>
      <c r="F34" s="586"/>
      <c r="G34" s="586"/>
      <c r="Q34" s="578"/>
    </row>
    <row r="35" spans="2:17" ht="15">
      <c r="B35" s="569" t="s">
        <v>174</v>
      </c>
      <c r="C35" s="572">
        <v>21.9</v>
      </c>
      <c r="D35" s="575">
        <v>39</v>
      </c>
      <c r="F35" s="586"/>
      <c r="G35" s="586"/>
      <c r="Q35" s="578"/>
    </row>
    <row r="36" spans="2:17" ht="15">
      <c r="B36" s="569" t="s">
        <v>136</v>
      </c>
      <c r="C36" s="572">
        <v>30.9</v>
      </c>
      <c r="D36" s="575">
        <v>49</v>
      </c>
      <c r="F36" s="586"/>
      <c r="G36" s="586"/>
      <c r="Q36" s="578"/>
    </row>
    <row r="37" spans="2:17" ht="15">
      <c r="B37" s="569" t="s">
        <v>175</v>
      </c>
      <c r="C37" s="572">
        <v>37.799999999999997</v>
      </c>
      <c r="D37" s="576">
        <v>56.6</v>
      </c>
      <c r="F37" s="586"/>
      <c r="G37" s="586"/>
      <c r="Q37" s="578"/>
    </row>
    <row r="38" spans="2:17" ht="15">
      <c r="B38" s="569" t="s">
        <v>176</v>
      </c>
      <c r="C38" s="572">
        <v>43.7</v>
      </c>
      <c r="D38" s="576">
        <v>63.1</v>
      </c>
      <c r="F38" s="586"/>
      <c r="G38" s="586"/>
      <c r="Q38" s="578"/>
    </row>
    <row r="39" spans="2:17" ht="16" thickBot="1">
      <c r="B39" s="570" t="s">
        <v>177</v>
      </c>
      <c r="C39" s="573">
        <v>53.5</v>
      </c>
      <c r="D39" s="577">
        <v>73.900000000000006</v>
      </c>
      <c r="F39" s="586"/>
      <c r="G39" s="586"/>
      <c r="Q39" s="578"/>
    </row>
    <row r="40" spans="2:17">
      <c r="Q40" s="578"/>
    </row>
    <row r="41" spans="2:17">
      <c r="Q41" s="578"/>
    </row>
    <row r="42" spans="2:17">
      <c r="Q42" s="578"/>
    </row>
  </sheetData>
  <mergeCells count="3">
    <mergeCell ref="E8:G14"/>
    <mergeCell ref="E18:G23"/>
    <mergeCell ref="F28:G39"/>
  </mergeCells>
  <dataValidations count="2">
    <dataValidation type="decimal" operator="greaterThan" showInputMessage="1" showErrorMessage="1" sqref="C9:C13 D29:D38">
      <formula1>0</formula1>
    </dataValidation>
    <dataValidation type="decimal" showInputMessage="1" showErrorMessage="1" sqref="C19:C23">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H29" sqref="H29"/>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97" t="s">
        <v>53</v>
      </c>
      <c r="D9" s="598"/>
      <c r="E9" s="380" t="s">
        <v>168</v>
      </c>
      <c r="F9" s="228" t="s">
        <v>169</v>
      </c>
      <c r="G9" s="158"/>
      <c r="H9" s="332"/>
      <c r="I9" s="332"/>
      <c r="J9" s="588" t="s">
        <v>148</v>
      </c>
      <c r="K9" s="589"/>
      <c r="L9" s="590"/>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81">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82">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82">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82">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83">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599" t="s">
        <v>54</v>
      </c>
      <c r="D17" s="600"/>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601" t="s">
        <v>149</v>
      </c>
      <c r="D26" s="602"/>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2"/>
      <c r="D35" s="591" t="s">
        <v>125</v>
      </c>
      <c r="E35" s="592"/>
      <c r="F35" s="593" t="s">
        <v>126</v>
      </c>
      <c r="G35" s="594"/>
      <c r="H35" s="595" t="s">
        <v>127</v>
      </c>
      <c r="I35" s="59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3" t="s">
        <v>2</v>
      </c>
      <c r="D36" s="324" t="s">
        <v>192</v>
      </c>
      <c r="E36" s="324" t="s">
        <v>193</v>
      </c>
      <c r="F36" s="324" t="s">
        <v>192</v>
      </c>
      <c r="G36" s="324" t="s">
        <v>193</v>
      </c>
      <c r="H36" s="324" t="s">
        <v>192</v>
      </c>
      <c r="I36" s="325"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6">
        <v>0</v>
      </c>
      <c r="D37" s="327">
        <v>0.9</v>
      </c>
      <c r="E37" s="327">
        <v>0.9</v>
      </c>
      <c r="F37" s="327">
        <v>0.9</v>
      </c>
      <c r="G37" s="327">
        <v>0.9</v>
      </c>
      <c r="H37" s="327">
        <v>0.9</v>
      </c>
      <c r="I37" s="32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6">
        <v>1</v>
      </c>
      <c r="D38" s="327">
        <v>0.62</v>
      </c>
      <c r="E38" s="327">
        <v>0.62</v>
      </c>
      <c r="F38" s="327">
        <v>0.62</v>
      </c>
      <c r="G38" s="327">
        <v>0.62</v>
      </c>
      <c r="H38" s="327">
        <v>0.62</v>
      </c>
      <c r="I38" s="32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6">
        <v>2</v>
      </c>
      <c r="D39" s="327">
        <v>0.3</v>
      </c>
      <c r="E39" s="327">
        <v>0.3</v>
      </c>
      <c r="F39" s="327">
        <v>0.3</v>
      </c>
      <c r="G39" s="327">
        <v>0.3</v>
      </c>
      <c r="H39" s="327">
        <v>0.3</v>
      </c>
      <c r="I39" s="32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6">
        <v>3</v>
      </c>
      <c r="D40" s="327">
        <v>0.18</v>
      </c>
      <c r="E40" s="327">
        <v>0.18</v>
      </c>
      <c r="F40" s="327">
        <v>0.18</v>
      </c>
      <c r="G40" s="327">
        <v>0.18</v>
      </c>
      <c r="H40" s="327">
        <v>0.18</v>
      </c>
      <c r="I40" s="32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6">
        <v>4</v>
      </c>
      <c r="D41" s="327">
        <v>0.13999999999999999</v>
      </c>
      <c r="E41" s="327">
        <v>0.13999999999999999</v>
      </c>
      <c r="F41" s="327">
        <v>0.13999999999999999</v>
      </c>
      <c r="G41" s="327">
        <v>0.13999999999999999</v>
      </c>
      <c r="H41" s="327">
        <v>0.13999999999999999</v>
      </c>
      <c r="I41" s="32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6">
        <v>5</v>
      </c>
      <c r="D42" s="327">
        <v>0.1</v>
      </c>
      <c r="E42" s="327">
        <v>0.1</v>
      </c>
      <c r="F42" s="327">
        <v>0.1</v>
      </c>
      <c r="G42" s="327">
        <v>0.1</v>
      </c>
      <c r="H42" s="327">
        <v>0.1</v>
      </c>
      <c r="I42" s="32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6">
        <v>6</v>
      </c>
      <c r="D43" s="327">
        <v>0.08</v>
      </c>
      <c r="E43" s="327">
        <v>0.08</v>
      </c>
      <c r="F43" s="327">
        <v>0.08</v>
      </c>
      <c r="G43" s="327">
        <v>0.08</v>
      </c>
      <c r="H43" s="327">
        <v>0.08</v>
      </c>
      <c r="I43" s="32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6">
        <v>7</v>
      </c>
      <c r="D44" s="327">
        <v>6.5000000000000002E-2</v>
      </c>
      <c r="E44" s="327">
        <v>6.5000000000000002E-2</v>
      </c>
      <c r="F44" s="327">
        <v>6.5000000000000002E-2</v>
      </c>
      <c r="G44" s="327">
        <v>6.5000000000000002E-2</v>
      </c>
      <c r="H44" s="327">
        <v>6.5000000000000002E-2</v>
      </c>
      <c r="I44" s="32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6">
        <v>8</v>
      </c>
      <c r="D45" s="327">
        <v>0.05</v>
      </c>
      <c r="E45" s="327">
        <v>0.05</v>
      </c>
      <c r="F45" s="327">
        <v>0.05</v>
      </c>
      <c r="G45" s="327">
        <v>0.05</v>
      </c>
      <c r="H45" s="327">
        <v>0.05</v>
      </c>
      <c r="I45" s="32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6">
        <v>9</v>
      </c>
      <c r="D46" s="327">
        <v>0.05</v>
      </c>
      <c r="E46" s="327">
        <v>0.05</v>
      </c>
      <c r="F46" s="327">
        <v>0.05</v>
      </c>
      <c r="G46" s="327">
        <v>0.05</v>
      </c>
      <c r="H46" s="327">
        <v>0.05</v>
      </c>
      <c r="I46" s="32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6">
        <v>10</v>
      </c>
      <c r="D47" s="327">
        <v>0.04</v>
      </c>
      <c r="E47" s="327">
        <v>0.04</v>
      </c>
      <c r="F47" s="327">
        <v>0.04</v>
      </c>
      <c r="G47" s="327">
        <v>0.04</v>
      </c>
      <c r="H47" s="327">
        <v>0.04</v>
      </c>
      <c r="I47" s="32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6">
        <v>11</v>
      </c>
      <c r="D48" s="327">
        <v>3.7999999999999999E-2</v>
      </c>
      <c r="E48" s="327">
        <v>3.7999999999999999E-2</v>
      </c>
      <c r="F48" s="327">
        <v>3.7999999999999999E-2</v>
      </c>
      <c r="G48" s="327">
        <v>3.7999999999999999E-2</v>
      </c>
      <c r="H48" s="327">
        <v>3.7999999999999999E-2</v>
      </c>
      <c r="I48" s="32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6">
        <v>12</v>
      </c>
      <c r="D49" s="327">
        <v>3.5999999999999997E-2</v>
      </c>
      <c r="E49" s="327">
        <v>3.5999999999999997E-2</v>
      </c>
      <c r="F49" s="327">
        <v>3.5999999999999997E-2</v>
      </c>
      <c r="G49" s="327">
        <v>3.5999999999999997E-2</v>
      </c>
      <c r="H49" s="327">
        <v>3.5999999999999997E-2</v>
      </c>
      <c r="I49" s="32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6">
        <v>13</v>
      </c>
      <c r="D50" s="327">
        <v>3.3999999999999996E-2</v>
      </c>
      <c r="E50" s="327">
        <v>3.3999999999999996E-2</v>
      </c>
      <c r="F50" s="327">
        <v>3.3999999999999996E-2</v>
      </c>
      <c r="G50" s="327">
        <v>3.3999999999999996E-2</v>
      </c>
      <c r="H50" s="327">
        <v>3.3999999999999996E-2</v>
      </c>
      <c r="I50" s="32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6">
        <v>14</v>
      </c>
      <c r="D51" s="327">
        <v>3.2000000000000001E-2</v>
      </c>
      <c r="E51" s="327">
        <v>3.2000000000000001E-2</v>
      </c>
      <c r="F51" s="327">
        <v>3.2000000000000001E-2</v>
      </c>
      <c r="G51" s="327">
        <v>3.2000000000000001E-2</v>
      </c>
      <c r="H51" s="327">
        <v>3.2000000000000001E-2</v>
      </c>
      <c r="I51" s="32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6">
        <v>15</v>
      </c>
      <c r="D52" s="327">
        <v>0.03</v>
      </c>
      <c r="E52" s="327">
        <v>0.03</v>
      </c>
      <c r="F52" s="327">
        <v>0.03</v>
      </c>
      <c r="G52" s="327">
        <v>0.03</v>
      </c>
      <c r="H52" s="327">
        <v>0.03</v>
      </c>
      <c r="I52" s="32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6">
        <v>16</v>
      </c>
      <c r="D53" s="327">
        <v>2.7999999999999997E-2</v>
      </c>
      <c r="E53" s="327">
        <v>2.7999999999999997E-2</v>
      </c>
      <c r="F53" s="327">
        <v>2.7999999999999997E-2</v>
      </c>
      <c r="G53" s="327">
        <v>2.7999999999999997E-2</v>
      </c>
      <c r="H53" s="327">
        <v>2.7999999999999997E-2</v>
      </c>
      <c r="I53" s="32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6">
        <v>17</v>
      </c>
      <c r="D54" s="327">
        <v>2.6000000000000002E-2</v>
      </c>
      <c r="E54" s="327">
        <v>2.6000000000000002E-2</v>
      </c>
      <c r="F54" s="327">
        <v>2.6000000000000002E-2</v>
      </c>
      <c r="G54" s="327">
        <v>2.6000000000000002E-2</v>
      </c>
      <c r="H54" s="327">
        <v>2.6000000000000002E-2</v>
      </c>
      <c r="I54" s="32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6">
        <v>18</v>
      </c>
      <c r="D55" s="327">
        <v>2.4E-2</v>
      </c>
      <c r="E55" s="327">
        <v>2.4E-2</v>
      </c>
      <c r="F55" s="327">
        <v>2.4E-2</v>
      </c>
      <c r="G55" s="327">
        <v>2.4E-2</v>
      </c>
      <c r="H55" s="327">
        <v>2.4E-2</v>
      </c>
      <c r="I55" s="32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6">
        <v>19</v>
      </c>
      <c r="D56" s="327">
        <v>2.2000000000000002E-2</v>
      </c>
      <c r="E56" s="327">
        <v>2.2000000000000002E-2</v>
      </c>
      <c r="F56" s="327">
        <v>2.2000000000000002E-2</v>
      </c>
      <c r="G56" s="327">
        <v>2.2000000000000002E-2</v>
      </c>
      <c r="H56" s="327">
        <v>2.2000000000000002E-2</v>
      </c>
      <c r="I56" s="32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6">
        <v>20</v>
      </c>
      <c r="D57" s="327">
        <v>0.02</v>
      </c>
      <c r="E57" s="327">
        <v>0.02</v>
      </c>
      <c r="F57" s="327">
        <v>0.02</v>
      </c>
      <c r="G57" s="327">
        <v>0.02</v>
      </c>
      <c r="H57" s="327">
        <v>0.02</v>
      </c>
      <c r="I57" s="32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6">
        <v>21</v>
      </c>
      <c r="D58" s="327">
        <v>1.7999999999999999E-2</v>
      </c>
      <c r="E58" s="327">
        <v>1.7999999999999999E-2</v>
      </c>
      <c r="F58" s="327">
        <v>1.7999999999999999E-2</v>
      </c>
      <c r="G58" s="327">
        <v>1.7999999999999999E-2</v>
      </c>
      <c r="H58" s="327">
        <v>1.7999999999999999E-2</v>
      </c>
      <c r="I58" s="32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6">
        <v>22</v>
      </c>
      <c r="D59" s="327">
        <v>1.6E-2</v>
      </c>
      <c r="E59" s="327">
        <v>1.6E-2</v>
      </c>
      <c r="F59" s="327">
        <v>1.6E-2</v>
      </c>
      <c r="G59" s="327">
        <v>1.6E-2</v>
      </c>
      <c r="H59" s="327">
        <v>1.6E-2</v>
      </c>
      <c r="I59" s="32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6">
        <v>23</v>
      </c>
      <c r="D60" s="327">
        <v>1.3999999999999999E-2</v>
      </c>
      <c r="E60" s="327">
        <v>1.3999999999999999E-2</v>
      </c>
      <c r="F60" s="327">
        <v>1.3999999999999999E-2</v>
      </c>
      <c r="G60" s="327">
        <v>1.3999999999999999E-2</v>
      </c>
      <c r="H60" s="327">
        <v>1.3999999999999999E-2</v>
      </c>
      <c r="I60" s="32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6">
        <v>24</v>
      </c>
      <c r="D61" s="327">
        <v>1.2E-2</v>
      </c>
      <c r="E61" s="327">
        <v>1.2E-2</v>
      </c>
      <c r="F61" s="327">
        <v>1.2E-2</v>
      </c>
      <c r="G61" s="327">
        <v>1.2E-2</v>
      </c>
      <c r="H61" s="327">
        <v>1.2E-2</v>
      </c>
      <c r="I61" s="32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6">
        <v>25</v>
      </c>
      <c r="D62" s="327">
        <v>0.01</v>
      </c>
      <c r="E62" s="327">
        <v>0.01</v>
      </c>
      <c r="F62" s="327">
        <v>0.01</v>
      </c>
      <c r="G62" s="327">
        <v>0.01</v>
      </c>
      <c r="H62" s="327">
        <v>0.01</v>
      </c>
      <c r="I62" s="32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6">
        <v>26</v>
      </c>
      <c r="D63" s="327">
        <v>8.0000000000000002E-3</v>
      </c>
      <c r="E63" s="327">
        <v>8.0000000000000002E-3</v>
      </c>
      <c r="F63" s="327">
        <v>8.0000000000000002E-3</v>
      </c>
      <c r="G63" s="327">
        <v>8.0000000000000002E-3</v>
      </c>
      <c r="H63" s="327">
        <v>8.0000000000000002E-3</v>
      </c>
      <c r="I63" s="32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6">
        <v>27</v>
      </c>
      <c r="D64" s="327">
        <v>6.0000000000000001E-3</v>
      </c>
      <c r="E64" s="327">
        <v>6.0000000000000001E-3</v>
      </c>
      <c r="F64" s="327">
        <v>6.0000000000000001E-3</v>
      </c>
      <c r="G64" s="327">
        <v>6.0000000000000001E-3</v>
      </c>
      <c r="H64" s="327">
        <v>6.0000000000000001E-3</v>
      </c>
      <c r="I64" s="32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6">
        <v>28</v>
      </c>
      <c r="D65" s="327">
        <v>4.0000000000000001E-3</v>
      </c>
      <c r="E65" s="327">
        <v>4.0000000000000001E-3</v>
      </c>
      <c r="F65" s="327">
        <v>4.0000000000000001E-3</v>
      </c>
      <c r="G65" s="327">
        <v>4.0000000000000001E-3</v>
      </c>
      <c r="H65" s="327">
        <v>4.0000000000000001E-3</v>
      </c>
      <c r="I65" s="32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6">
        <v>29</v>
      </c>
      <c r="D66" s="327">
        <v>2E-3</v>
      </c>
      <c r="E66" s="327">
        <v>2E-3</v>
      </c>
      <c r="F66" s="327">
        <v>2E-3</v>
      </c>
      <c r="G66" s="327">
        <v>2E-3</v>
      </c>
      <c r="H66" s="327">
        <v>2E-3</v>
      </c>
      <c r="I66" s="32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29">
        <v>30</v>
      </c>
      <c r="D67" s="330">
        <v>0</v>
      </c>
      <c r="E67" s="330">
        <v>0</v>
      </c>
      <c r="F67" s="330">
        <v>0</v>
      </c>
      <c r="G67" s="330">
        <v>0</v>
      </c>
      <c r="H67" s="330">
        <v>0</v>
      </c>
      <c r="I67" s="33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55" zoomScaleNormal="55" zoomScalePageLayoutView="55"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89">
        <v>2014</v>
      </c>
      <c r="D7" s="290">
        <v>2016</v>
      </c>
      <c r="E7" s="290">
        <v>2018</v>
      </c>
      <c r="F7" s="290">
        <v>2020</v>
      </c>
      <c r="G7" s="290">
        <v>2022</v>
      </c>
      <c r="H7" s="290">
        <v>2024</v>
      </c>
      <c r="I7" s="290">
        <v>2026</v>
      </c>
      <c r="J7" s="290">
        <v>2028</v>
      </c>
      <c r="K7" s="290">
        <v>2030</v>
      </c>
      <c r="L7" s="290">
        <v>2032</v>
      </c>
      <c r="M7" s="290">
        <v>2034</v>
      </c>
      <c r="N7" s="290">
        <v>2036</v>
      </c>
      <c r="O7" s="290">
        <v>2038</v>
      </c>
      <c r="P7" s="290">
        <v>2040</v>
      </c>
      <c r="Q7" s="290">
        <v>2042</v>
      </c>
      <c r="R7" s="290">
        <v>2044</v>
      </c>
      <c r="S7" s="290">
        <v>2046</v>
      </c>
      <c r="T7" s="290">
        <v>2048</v>
      </c>
      <c r="U7" s="29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2">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3">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2">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3">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4">
        <v>0</v>
      </c>
      <c r="D10" s="288">
        <v>0</v>
      </c>
      <c r="E10" s="288">
        <v>0</v>
      </c>
      <c r="F10" s="288">
        <v>0</v>
      </c>
      <c r="G10" s="288">
        <v>20</v>
      </c>
      <c r="H10" s="288">
        <v>20</v>
      </c>
      <c r="I10" s="288">
        <v>20</v>
      </c>
      <c r="J10" s="288">
        <v>20</v>
      </c>
      <c r="K10" s="288">
        <v>30</v>
      </c>
      <c r="L10" s="288">
        <v>30</v>
      </c>
      <c r="M10" s="288">
        <v>30</v>
      </c>
      <c r="N10" s="288">
        <v>30</v>
      </c>
      <c r="O10" s="288">
        <v>40</v>
      </c>
      <c r="P10" s="288">
        <v>40</v>
      </c>
      <c r="Q10" s="288">
        <v>40</v>
      </c>
      <c r="R10" s="288">
        <v>40</v>
      </c>
      <c r="S10" s="288">
        <v>50</v>
      </c>
      <c r="T10" s="288">
        <v>50</v>
      </c>
      <c r="U10" s="295">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00">
        <v>1</v>
      </c>
      <c r="D11" s="401">
        <v>1.0249999999999999</v>
      </c>
      <c r="E11" s="401">
        <v>1.0506249999999999</v>
      </c>
      <c r="F11" s="401">
        <v>1.0768906249999999</v>
      </c>
      <c r="G11" s="401">
        <v>1.1038128906249998</v>
      </c>
      <c r="H11" s="401">
        <v>1.1314082128906247</v>
      </c>
      <c r="I11" s="401">
        <v>1.1596934182128902</v>
      </c>
      <c r="J11" s="401">
        <v>1.1886857536682123</v>
      </c>
      <c r="K11" s="401">
        <v>1.2184028975099175</v>
      </c>
      <c r="L11" s="401">
        <v>1.2488629699476652</v>
      </c>
      <c r="M11" s="401">
        <v>1.2800845441963566</v>
      </c>
      <c r="N11" s="401">
        <v>1.3120866578012655</v>
      </c>
      <c r="O11" s="401">
        <v>1.3448888242462971</v>
      </c>
      <c r="P11" s="401">
        <v>1.3785110448524545</v>
      </c>
      <c r="Q11" s="401">
        <v>1.4129738209737657</v>
      </c>
      <c r="R11" s="401">
        <v>1.4482981664981096</v>
      </c>
      <c r="S11" s="401">
        <v>1.4845056206605622</v>
      </c>
      <c r="T11" s="401">
        <v>1.5216182611770761</v>
      </c>
      <c r="U11" s="40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00">
        <v>1</v>
      </c>
      <c r="D12" s="401">
        <v>1.0249999999999999</v>
      </c>
      <c r="E12" s="401">
        <v>1.0506249999999999</v>
      </c>
      <c r="F12" s="401">
        <v>1.0768906249999999</v>
      </c>
      <c r="G12" s="401">
        <v>1.1038128906249998</v>
      </c>
      <c r="H12" s="401">
        <v>1.1314082128906247</v>
      </c>
      <c r="I12" s="401">
        <v>1.1596934182128902</v>
      </c>
      <c r="J12" s="401">
        <v>1.1886857536682123</v>
      </c>
      <c r="K12" s="401">
        <v>1.2184028975099175</v>
      </c>
      <c r="L12" s="401">
        <v>1.2488629699476652</v>
      </c>
      <c r="M12" s="401">
        <v>1.2800845441963566</v>
      </c>
      <c r="N12" s="401">
        <v>1.3120866578012655</v>
      </c>
      <c r="O12" s="401">
        <v>1.3448888242462971</v>
      </c>
      <c r="P12" s="401">
        <v>1.3785110448524545</v>
      </c>
      <c r="Q12" s="401">
        <v>1.4129738209737657</v>
      </c>
      <c r="R12" s="401">
        <v>1.4482981664981096</v>
      </c>
      <c r="S12" s="401">
        <v>1.4845056206605622</v>
      </c>
      <c r="T12" s="401">
        <v>1.5216182611770761</v>
      </c>
      <c r="U12" s="40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03">
        <v>1</v>
      </c>
      <c r="D13" s="401">
        <v>1.0249999999999999</v>
      </c>
      <c r="E13" s="401">
        <v>1.0506249999999999</v>
      </c>
      <c r="F13" s="401">
        <v>1.0768906249999999</v>
      </c>
      <c r="G13" s="401">
        <v>1.1038128906249998</v>
      </c>
      <c r="H13" s="401">
        <v>1.1314082128906247</v>
      </c>
      <c r="I13" s="401">
        <v>1.1596934182128902</v>
      </c>
      <c r="J13" s="401">
        <v>1.1886857536682123</v>
      </c>
      <c r="K13" s="401">
        <v>1.2184028975099175</v>
      </c>
      <c r="L13" s="401">
        <v>1.2488629699476652</v>
      </c>
      <c r="M13" s="401">
        <v>1.2800845441963566</v>
      </c>
      <c r="N13" s="401">
        <v>1.3120866578012655</v>
      </c>
      <c r="O13" s="401">
        <v>1.3448888242462971</v>
      </c>
      <c r="P13" s="401">
        <v>1.3785110448524545</v>
      </c>
      <c r="Q13" s="401">
        <v>1.4129738209737657</v>
      </c>
      <c r="R13" s="401">
        <v>1.4482981664981096</v>
      </c>
      <c r="S13" s="401">
        <v>1.4845056206605622</v>
      </c>
      <c r="T13" s="401">
        <v>1.5216182611770761</v>
      </c>
      <c r="U13" s="40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290</v>
      </c>
      <c r="C14" s="404">
        <v>1.0249999999999999</v>
      </c>
      <c r="D14" s="405">
        <v>1.0249999999999999</v>
      </c>
      <c r="E14" s="405">
        <v>1.0249999999999999</v>
      </c>
      <c r="F14" s="405">
        <v>1.0249999999999999</v>
      </c>
      <c r="G14" s="405">
        <v>1.0249999999999999</v>
      </c>
      <c r="H14" s="405">
        <v>1.0249999999999999</v>
      </c>
      <c r="I14" s="405">
        <v>1.0249999999999999</v>
      </c>
      <c r="J14" s="405">
        <v>1.0249999999999999</v>
      </c>
      <c r="K14" s="405">
        <v>1.0249999999999999</v>
      </c>
      <c r="L14" s="405">
        <v>1.0249999999999999</v>
      </c>
      <c r="M14" s="405">
        <v>1.0249999999999999</v>
      </c>
      <c r="N14" s="405">
        <v>1.0249999999999999</v>
      </c>
      <c r="O14" s="405">
        <v>1.0249999999999999</v>
      </c>
      <c r="P14" s="405">
        <v>1.0249999999999999</v>
      </c>
      <c r="Q14" s="405">
        <v>1.0249999999999999</v>
      </c>
      <c r="R14" s="405">
        <v>1.0249999999999999</v>
      </c>
      <c r="S14" s="405">
        <v>1.0249999999999999</v>
      </c>
      <c r="T14" s="405">
        <v>1.0249999999999999</v>
      </c>
      <c r="U14" s="40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8"/>
      <c r="Y16" s="360" t="s">
        <v>260</v>
      </c>
      <c r="Z16" s="360"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59">
        <v>2.744201934324435E-4</v>
      </c>
      <c r="Z17" s="359">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59">
        <v>2.8579410620991442E-4</v>
      </c>
      <c r="Z18" s="35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59">
        <v>4.7716993008320446E-4</v>
      </c>
      <c r="Z19" s="35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59">
        <v>2.0499097618064069E-4</v>
      </c>
      <c r="Z20" s="35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59">
        <v>7.3634398159432295E-4</v>
      </c>
      <c r="Z21" s="35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59">
        <v>1.5933500996702843E-4</v>
      </c>
      <c r="Z22" s="35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59">
        <v>5.0685048336163163E-4</v>
      </c>
      <c r="Z23" s="35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59">
        <v>8.3442486284763834E-4</v>
      </c>
      <c r="Z24" s="35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59">
        <v>4.5283915436484851E-4</v>
      </c>
      <c r="Z25" s="35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59">
        <v>3.486895207898603E-4</v>
      </c>
      <c r="Z26" s="35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59">
        <v>6.1012381532656111E-4</v>
      </c>
      <c r="Z27" s="35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59">
        <v>3.9139311155092061E-5</v>
      </c>
      <c r="Z28" s="35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59">
        <v>3.2453938138303045E-4</v>
      </c>
      <c r="Z29" s="35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59">
        <v>7.9415196034054991E-4</v>
      </c>
      <c r="Z30" s="35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299</v>
      </c>
      <c r="D31" s="131"/>
      <c r="E31" s="131"/>
      <c r="F31" s="131"/>
      <c r="G31" s="428"/>
      <c r="H31" s="428"/>
      <c r="I31" s="429"/>
      <c r="J31" s="429"/>
      <c r="K31" s="358"/>
      <c r="L31" s="358"/>
      <c r="M31" s="358"/>
      <c r="N31" s="430"/>
      <c r="O31" s="158" t="s">
        <v>300</v>
      </c>
      <c r="P31" s="358"/>
      <c r="Q31" s="358"/>
      <c r="R31" s="358"/>
      <c r="S31" s="358"/>
      <c r="T31" s="358"/>
      <c r="U31" s="358"/>
      <c r="V31" s="358"/>
      <c r="W31" s="28"/>
      <c r="X31" s="180" t="s">
        <v>225</v>
      </c>
      <c r="Y31" s="359">
        <v>3.2602707909398565E-4</v>
      </c>
      <c r="Z31" s="35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603" t="s">
        <v>301</v>
      </c>
      <c r="D32" s="603"/>
      <c r="E32" s="603"/>
      <c r="F32" s="604"/>
      <c r="G32" s="252">
        <v>2020</v>
      </c>
      <c r="H32" s="428"/>
      <c r="I32" s="429"/>
      <c r="J32" s="429"/>
      <c r="K32" s="358"/>
      <c r="L32" s="358"/>
      <c r="M32" s="358"/>
      <c r="N32" s="358"/>
      <c r="O32" s="358"/>
      <c r="P32" s="358"/>
      <c r="Q32" s="358"/>
      <c r="R32" s="358"/>
      <c r="S32" s="358"/>
      <c r="T32" s="358"/>
      <c r="U32" s="358"/>
      <c r="V32" s="358"/>
      <c r="W32" s="80"/>
      <c r="X32" s="180" t="s">
        <v>226</v>
      </c>
      <c r="Y32" s="359">
        <v>8.465955465067626E-4</v>
      </c>
      <c r="Z32" s="35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31"/>
      <c r="D33" s="432"/>
      <c r="E33" s="431"/>
      <c r="F33" s="86"/>
      <c r="G33" s="86"/>
      <c r="H33" s="86"/>
      <c r="I33" s="82"/>
      <c r="J33" s="82"/>
      <c r="K33" s="28"/>
      <c r="L33" s="28"/>
      <c r="M33" s="28"/>
      <c r="N33" s="28"/>
      <c r="O33" s="28"/>
      <c r="P33" s="28"/>
      <c r="Q33" s="28"/>
      <c r="R33" s="28"/>
      <c r="S33" s="28"/>
      <c r="T33" s="28"/>
      <c r="U33" s="28"/>
      <c r="V33" s="28"/>
      <c r="W33" s="37"/>
      <c r="X33" s="180" t="s">
        <v>227</v>
      </c>
      <c r="Y33" s="359">
        <v>3.0858219124592655E-4</v>
      </c>
      <c r="Z33" s="35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33"/>
      <c r="D34" s="290">
        <v>2014</v>
      </c>
      <c r="E34" s="290">
        <v>2016</v>
      </c>
      <c r="F34" s="290">
        <v>2018</v>
      </c>
      <c r="G34" s="290">
        <v>2020</v>
      </c>
      <c r="H34" s="290">
        <v>2022</v>
      </c>
      <c r="I34" s="290">
        <v>2024</v>
      </c>
      <c r="J34" s="290">
        <v>2026</v>
      </c>
      <c r="K34" s="290">
        <v>2028</v>
      </c>
      <c r="L34" s="290">
        <v>2030</v>
      </c>
      <c r="M34" s="290">
        <v>2032</v>
      </c>
      <c r="N34" s="290">
        <v>2034</v>
      </c>
      <c r="O34" s="290">
        <v>2036</v>
      </c>
      <c r="P34" s="290">
        <v>2038</v>
      </c>
      <c r="Q34" s="290">
        <v>2040</v>
      </c>
      <c r="R34" s="290">
        <v>2042</v>
      </c>
      <c r="S34" s="290">
        <v>2044</v>
      </c>
      <c r="T34" s="290">
        <v>2046</v>
      </c>
      <c r="U34" s="290">
        <v>2048</v>
      </c>
      <c r="V34" s="291">
        <v>2050</v>
      </c>
      <c r="W34" s="37"/>
      <c r="X34" s="180" t="s">
        <v>230</v>
      </c>
      <c r="Y34" s="359">
        <v>2.7443623595127412E-4</v>
      </c>
      <c r="Z34" s="35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34" t="s">
        <v>210</v>
      </c>
      <c r="D35" s="435" t="b">
        <v>0</v>
      </c>
      <c r="E35" s="436" t="b">
        <v>0</v>
      </c>
      <c r="F35" s="435" t="b">
        <v>0</v>
      </c>
      <c r="G35" s="437" t="b">
        <v>1</v>
      </c>
      <c r="H35" s="437" t="b">
        <v>1</v>
      </c>
      <c r="I35" s="437" t="b">
        <v>1</v>
      </c>
      <c r="J35" s="437" t="b">
        <v>1</v>
      </c>
      <c r="K35" s="437" t="b">
        <v>1</v>
      </c>
      <c r="L35" s="438" t="b">
        <v>1</v>
      </c>
      <c r="M35" s="438" t="b">
        <v>1</v>
      </c>
      <c r="N35" s="438" t="b">
        <v>1</v>
      </c>
      <c r="O35" s="438" t="b">
        <v>1</v>
      </c>
      <c r="P35" s="438" t="b">
        <v>1</v>
      </c>
      <c r="Q35" s="438" t="b">
        <v>1</v>
      </c>
      <c r="R35" s="438" t="b">
        <v>1</v>
      </c>
      <c r="S35" s="438" t="b">
        <v>1</v>
      </c>
      <c r="T35" s="438" t="b">
        <v>1</v>
      </c>
      <c r="U35" s="438" t="b">
        <v>1</v>
      </c>
      <c r="V35" s="439" t="b">
        <v>1</v>
      </c>
      <c r="W35" s="37"/>
      <c r="X35" s="180" t="s">
        <v>229</v>
      </c>
      <c r="Y35" s="359">
        <v>5.3598020242062749E-4</v>
      </c>
      <c r="Z35" s="35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34" t="s">
        <v>212</v>
      </c>
      <c r="D36" s="435" t="b">
        <v>0</v>
      </c>
      <c r="E36" s="436" t="b">
        <v>0</v>
      </c>
      <c r="F36" s="435" t="b">
        <v>0</v>
      </c>
      <c r="G36" s="437" t="b">
        <v>1</v>
      </c>
      <c r="H36" s="437" t="b">
        <v>1</v>
      </c>
      <c r="I36" s="437" t="b">
        <v>1</v>
      </c>
      <c r="J36" s="437" t="b">
        <v>1</v>
      </c>
      <c r="K36" s="437" t="b">
        <v>1</v>
      </c>
      <c r="L36" s="438" t="b">
        <v>1</v>
      </c>
      <c r="M36" s="438" t="b">
        <v>1</v>
      </c>
      <c r="N36" s="438" t="b">
        <v>1</v>
      </c>
      <c r="O36" s="438" t="b">
        <v>1</v>
      </c>
      <c r="P36" s="438" t="b">
        <v>1</v>
      </c>
      <c r="Q36" s="438" t="b">
        <v>1</v>
      </c>
      <c r="R36" s="438" t="b">
        <v>1</v>
      </c>
      <c r="S36" s="438" t="b">
        <v>1</v>
      </c>
      <c r="T36" s="438" t="b">
        <v>1</v>
      </c>
      <c r="U36" s="438" t="b">
        <v>1</v>
      </c>
      <c r="V36" s="439" t="b">
        <v>1</v>
      </c>
      <c r="W36" s="37"/>
      <c r="X36" s="180" t="s">
        <v>228</v>
      </c>
      <c r="Y36" s="359">
        <v>2.0322708687071074E-4</v>
      </c>
      <c r="Z36" s="35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40" t="s">
        <v>213</v>
      </c>
      <c r="D37" s="435" t="b">
        <v>1</v>
      </c>
      <c r="E37" s="436" t="b">
        <v>1</v>
      </c>
      <c r="F37" s="435" t="b">
        <v>1</v>
      </c>
      <c r="G37" s="437" t="b">
        <v>1</v>
      </c>
      <c r="H37" s="437" t="b">
        <v>1</v>
      </c>
      <c r="I37" s="437" t="b">
        <v>1</v>
      </c>
      <c r="J37" s="437" t="b">
        <v>1</v>
      </c>
      <c r="K37" s="437" t="b">
        <v>1</v>
      </c>
      <c r="L37" s="438" t="b">
        <v>1</v>
      </c>
      <c r="M37" s="438" t="b">
        <v>1</v>
      </c>
      <c r="N37" s="441" t="b">
        <v>1</v>
      </c>
      <c r="O37" s="438" t="b">
        <v>1</v>
      </c>
      <c r="P37" s="438" t="b">
        <v>1</v>
      </c>
      <c r="Q37" s="438" t="b">
        <v>1</v>
      </c>
      <c r="R37" s="438" t="b">
        <v>1</v>
      </c>
      <c r="S37" s="438" t="b">
        <v>1</v>
      </c>
      <c r="T37" s="438" t="b">
        <v>1</v>
      </c>
      <c r="U37" s="438" t="b">
        <v>1</v>
      </c>
      <c r="V37" s="439" t="b">
        <v>1</v>
      </c>
      <c r="W37" s="37"/>
      <c r="X37" s="180" t="s">
        <v>231</v>
      </c>
      <c r="Y37" s="359">
        <v>5.0054878730029545E-4</v>
      </c>
      <c r="Z37" s="35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40" t="s">
        <v>214</v>
      </c>
      <c r="D38" s="435" t="b">
        <v>1</v>
      </c>
      <c r="E38" s="436" t="b">
        <v>1</v>
      </c>
      <c r="F38" s="435" t="b">
        <v>1</v>
      </c>
      <c r="G38" s="437" t="b">
        <v>1</v>
      </c>
      <c r="H38" s="437" t="b">
        <v>1</v>
      </c>
      <c r="I38" s="437" t="b">
        <v>1</v>
      </c>
      <c r="J38" s="437" t="b">
        <v>1</v>
      </c>
      <c r="K38" s="437" t="b">
        <v>1</v>
      </c>
      <c r="L38" s="438" t="b">
        <v>1</v>
      </c>
      <c r="M38" s="438" t="b">
        <v>1</v>
      </c>
      <c r="N38" s="438" t="b">
        <v>1</v>
      </c>
      <c r="O38" s="438" t="b">
        <v>1</v>
      </c>
      <c r="P38" s="438" t="b">
        <v>1</v>
      </c>
      <c r="Q38" s="438" t="b">
        <v>1</v>
      </c>
      <c r="R38" s="438" t="b">
        <v>1</v>
      </c>
      <c r="S38" s="438" t="b">
        <v>1</v>
      </c>
      <c r="T38" s="438" t="b">
        <v>1</v>
      </c>
      <c r="U38" s="438" t="b">
        <v>1</v>
      </c>
      <c r="V38" s="439" t="b">
        <v>1</v>
      </c>
      <c r="W38" s="37"/>
      <c r="X38" s="180" t="s">
        <v>232</v>
      </c>
      <c r="Y38" s="359">
        <v>5.4427544121789305E-4</v>
      </c>
      <c r="Z38" s="35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40" t="s">
        <v>215</v>
      </c>
      <c r="D39" s="435" t="b">
        <v>1</v>
      </c>
      <c r="E39" s="436" t="b">
        <v>1</v>
      </c>
      <c r="F39" s="435" t="b">
        <v>1</v>
      </c>
      <c r="G39" s="437" t="b">
        <v>1</v>
      </c>
      <c r="H39" s="437" t="b">
        <v>1</v>
      </c>
      <c r="I39" s="437" t="b">
        <v>1</v>
      </c>
      <c r="J39" s="437" t="b">
        <v>1</v>
      </c>
      <c r="K39" s="437" t="b">
        <v>1</v>
      </c>
      <c r="L39" s="438" t="b">
        <v>1</v>
      </c>
      <c r="M39" s="438" t="b">
        <v>1</v>
      </c>
      <c r="N39" s="438" t="b">
        <v>1</v>
      </c>
      <c r="O39" s="438" t="b">
        <v>1</v>
      </c>
      <c r="P39" s="438" t="b">
        <v>1</v>
      </c>
      <c r="Q39" s="438" t="b">
        <v>1</v>
      </c>
      <c r="R39" s="438" t="b">
        <v>1</v>
      </c>
      <c r="S39" s="438" t="b">
        <v>1</v>
      </c>
      <c r="T39" s="438" t="b">
        <v>1</v>
      </c>
      <c r="U39" s="438" t="b">
        <v>1</v>
      </c>
      <c r="V39" s="439" t="b">
        <v>1</v>
      </c>
      <c r="W39" s="37"/>
      <c r="X39" s="180" t="s">
        <v>234</v>
      </c>
      <c r="Y39" s="359">
        <v>6.8060201713878701E-4</v>
      </c>
      <c r="Z39" s="35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40" t="s">
        <v>216</v>
      </c>
      <c r="D40" s="435" t="b">
        <v>1</v>
      </c>
      <c r="E40" s="436" t="b">
        <v>1</v>
      </c>
      <c r="F40" s="435" t="b">
        <v>1</v>
      </c>
      <c r="G40" s="437" t="b">
        <v>1</v>
      </c>
      <c r="H40" s="437" t="b">
        <v>1</v>
      </c>
      <c r="I40" s="437" t="b">
        <v>1</v>
      </c>
      <c r="J40" s="437" t="b">
        <v>1</v>
      </c>
      <c r="K40" s="437" t="b">
        <v>1</v>
      </c>
      <c r="L40" s="438" t="b">
        <v>1</v>
      </c>
      <c r="M40" s="438" t="b">
        <v>1</v>
      </c>
      <c r="N40" s="438" t="b">
        <v>1</v>
      </c>
      <c r="O40" s="438" t="b">
        <v>1</v>
      </c>
      <c r="P40" s="438" t="b">
        <v>1</v>
      </c>
      <c r="Q40" s="438" t="b">
        <v>1</v>
      </c>
      <c r="R40" s="438" t="b">
        <v>1</v>
      </c>
      <c r="S40" s="438" t="b">
        <v>1</v>
      </c>
      <c r="T40" s="438" t="b">
        <v>1</v>
      </c>
      <c r="U40" s="438" t="b">
        <v>1</v>
      </c>
      <c r="V40" s="439" t="b">
        <v>1</v>
      </c>
      <c r="W40" s="37"/>
      <c r="X40" s="180" t="s">
        <v>233</v>
      </c>
      <c r="Y40" s="359">
        <v>3.457177533004125E-4</v>
      </c>
      <c r="Z40" s="35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40" t="s">
        <v>217</v>
      </c>
      <c r="D41" s="435" t="b">
        <v>1</v>
      </c>
      <c r="E41" s="436" t="b">
        <v>1</v>
      </c>
      <c r="F41" s="435" t="b">
        <v>1</v>
      </c>
      <c r="G41" s="437" t="b">
        <v>1</v>
      </c>
      <c r="H41" s="437" t="b">
        <v>1</v>
      </c>
      <c r="I41" s="437" t="b">
        <v>1</v>
      </c>
      <c r="J41" s="437" t="b">
        <v>1</v>
      </c>
      <c r="K41" s="437" t="b">
        <v>1</v>
      </c>
      <c r="L41" s="438" t="b">
        <v>1</v>
      </c>
      <c r="M41" s="438" t="b">
        <v>1</v>
      </c>
      <c r="N41" s="438" t="b">
        <v>1</v>
      </c>
      <c r="O41" s="438" t="b">
        <v>1</v>
      </c>
      <c r="P41" s="438" t="b">
        <v>1</v>
      </c>
      <c r="Q41" s="438" t="b">
        <v>1</v>
      </c>
      <c r="R41" s="438" t="b">
        <v>1</v>
      </c>
      <c r="S41" s="438" t="b">
        <v>1</v>
      </c>
      <c r="T41" s="438" t="b">
        <v>1</v>
      </c>
      <c r="U41" s="438" t="b">
        <v>1</v>
      </c>
      <c r="V41" s="439" t="b">
        <v>1</v>
      </c>
      <c r="W41" s="35"/>
      <c r="X41" s="180" t="s">
        <v>235</v>
      </c>
      <c r="Y41" s="359">
        <v>2.7139739187690266E-4</v>
      </c>
      <c r="Z41" s="35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40" t="s">
        <v>11</v>
      </c>
      <c r="D42" s="435" t="b">
        <v>1</v>
      </c>
      <c r="E42" s="436" t="b">
        <v>1</v>
      </c>
      <c r="F42" s="435" t="b">
        <v>1</v>
      </c>
      <c r="G42" s="437" t="b">
        <v>1</v>
      </c>
      <c r="H42" s="437" t="b">
        <v>1</v>
      </c>
      <c r="I42" s="437" t="b">
        <v>1</v>
      </c>
      <c r="J42" s="437" t="b">
        <v>1</v>
      </c>
      <c r="K42" s="437" t="b">
        <v>1</v>
      </c>
      <c r="L42" s="438" t="b">
        <v>1</v>
      </c>
      <c r="M42" s="438" t="b">
        <v>1</v>
      </c>
      <c r="N42" s="438" t="b">
        <v>1</v>
      </c>
      <c r="O42" s="438" t="b">
        <v>1</v>
      </c>
      <c r="P42" s="438" t="b">
        <v>1</v>
      </c>
      <c r="Q42" s="438" t="b">
        <v>1</v>
      </c>
      <c r="R42" s="438" t="b">
        <v>1</v>
      </c>
      <c r="S42" s="438" t="b">
        <v>1</v>
      </c>
      <c r="T42" s="438" t="b">
        <v>1</v>
      </c>
      <c r="U42" s="438" t="b">
        <v>1</v>
      </c>
      <c r="V42" s="439" t="b">
        <v>1</v>
      </c>
      <c r="W42" s="35"/>
      <c r="X42" s="180" t="s">
        <v>242</v>
      </c>
      <c r="Y42" s="359">
        <v>4.6005555553392324E-4</v>
      </c>
      <c r="Z42" s="35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34" t="s">
        <v>218</v>
      </c>
      <c r="D43" s="435" t="b">
        <v>0</v>
      </c>
      <c r="E43" s="436" t="b">
        <v>0</v>
      </c>
      <c r="F43" s="435" t="b">
        <v>0</v>
      </c>
      <c r="G43" s="442" t="b">
        <v>1</v>
      </c>
      <c r="H43" s="442" t="b">
        <v>1</v>
      </c>
      <c r="I43" s="442" t="b">
        <v>1</v>
      </c>
      <c r="J43" s="442" t="b">
        <v>1</v>
      </c>
      <c r="K43" s="442" t="b">
        <v>1</v>
      </c>
      <c r="L43" s="443" t="b">
        <v>1</v>
      </c>
      <c r="M43" s="443" t="b">
        <v>1</v>
      </c>
      <c r="N43" s="443" t="b">
        <v>1</v>
      </c>
      <c r="O43" s="443" t="b">
        <v>1</v>
      </c>
      <c r="P43" s="443" t="b">
        <v>1</v>
      </c>
      <c r="Q43" s="443" t="b">
        <v>1</v>
      </c>
      <c r="R43" s="443" t="b">
        <v>1</v>
      </c>
      <c r="S43" s="443" t="b">
        <v>1</v>
      </c>
      <c r="T43" s="443" t="b">
        <v>1</v>
      </c>
      <c r="U43" s="443" t="b">
        <v>1</v>
      </c>
      <c r="V43" s="444" t="b">
        <v>1</v>
      </c>
      <c r="W43" s="35"/>
      <c r="X43" s="180" t="s">
        <v>243</v>
      </c>
      <c r="Y43" s="359">
        <v>7.7706033252806421E-4</v>
      </c>
      <c r="Z43" s="35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34" t="s">
        <v>219</v>
      </c>
      <c r="D44" s="435" t="b">
        <v>0</v>
      </c>
      <c r="E44" s="436" t="b">
        <v>0</v>
      </c>
      <c r="F44" s="435" t="b">
        <v>0</v>
      </c>
      <c r="G44" s="442" t="b">
        <v>1</v>
      </c>
      <c r="H44" s="442" t="b">
        <v>1</v>
      </c>
      <c r="I44" s="442" t="b">
        <v>1</v>
      </c>
      <c r="J44" s="442" t="b">
        <v>1</v>
      </c>
      <c r="K44" s="442" t="b">
        <v>1</v>
      </c>
      <c r="L44" s="443" t="b">
        <v>1</v>
      </c>
      <c r="M44" s="443" t="b">
        <v>1</v>
      </c>
      <c r="N44" s="443" t="b">
        <v>1</v>
      </c>
      <c r="O44" s="443" t="b">
        <v>1</v>
      </c>
      <c r="P44" s="443" t="b">
        <v>1</v>
      </c>
      <c r="Q44" s="443" t="b">
        <v>1</v>
      </c>
      <c r="R44" s="443" t="b">
        <v>1</v>
      </c>
      <c r="S44" s="443" t="b">
        <v>1</v>
      </c>
      <c r="T44" s="443" t="b">
        <v>1</v>
      </c>
      <c r="U44" s="443" t="b">
        <v>1</v>
      </c>
      <c r="V44" s="444" t="b">
        <v>1</v>
      </c>
      <c r="W44" s="35"/>
      <c r="X44" s="180" t="s">
        <v>236</v>
      </c>
      <c r="Y44" s="359">
        <v>6.5903358116509451E-4</v>
      </c>
      <c r="Z44" s="35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34" t="s">
        <v>221</v>
      </c>
      <c r="D45" s="435" t="b">
        <v>0</v>
      </c>
      <c r="E45" s="436" t="b">
        <v>0</v>
      </c>
      <c r="F45" s="435" t="b">
        <v>0</v>
      </c>
      <c r="G45" s="442" t="b">
        <v>1</v>
      </c>
      <c r="H45" s="442" t="b">
        <v>1</v>
      </c>
      <c r="I45" s="442" t="b">
        <v>1</v>
      </c>
      <c r="J45" s="442" t="b">
        <v>1</v>
      </c>
      <c r="K45" s="442" t="b">
        <v>1</v>
      </c>
      <c r="L45" s="443" t="b">
        <v>1</v>
      </c>
      <c r="M45" s="443" t="b">
        <v>1</v>
      </c>
      <c r="N45" s="443" t="b">
        <v>1</v>
      </c>
      <c r="O45" s="443" t="b">
        <v>1</v>
      </c>
      <c r="P45" s="443" t="b">
        <v>1</v>
      </c>
      <c r="Q45" s="443" t="b">
        <v>1</v>
      </c>
      <c r="R45" s="443" t="b">
        <v>1</v>
      </c>
      <c r="S45" s="443" t="b">
        <v>1</v>
      </c>
      <c r="T45" s="443" t="b">
        <v>1</v>
      </c>
      <c r="U45" s="443" t="b">
        <v>1</v>
      </c>
      <c r="V45" s="444" t="b">
        <v>1</v>
      </c>
      <c r="W45" s="35"/>
      <c r="X45" s="180" t="s">
        <v>238</v>
      </c>
      <c r="Y45" s="359">
        <v>1.3708824581532242E-4</v>
      </c>
      <c r="Z45" s="35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34" t="s">
        <v>222</v>
      </c>
      <c r="D46" s="435" t="b">
        <v>0</v>
      </c>
      <c r="E46" s="436" t="b">
        <v>0</v>
      </c>
      <c r="F46" s="435" t="b">
        <v>0</v>
      </c>
      <c r="G46" s="443" t="b">
        <v>1</v>
      </c>
      <c r="H46" s="443" t="b">
        <v>1</v>
      </c>
      <c r="I46" s="443" t="b">
        <v>1</v>
      </c>
      <c r="J46" s="443" t="b">
        <v>1</v>
      </c>
      <c r="K46" s="443" t="b">
        <v>1</v>
      </c>
      <c r="L46" s="443" t="b">
        <v>1</v>
      </c>
      <c r="M46" s="443" t="b">
        <v>1</v>
      </c>
      <c r="N46" s="443" t="b">
        <v>1</v>
      </c>
      <c r="O46" s="443" t="b">
        <v>1</v>
      </c>
      <c r="P46" s="443" t="b">
        <v>1</v>
      </c>
      <c r="Q46" s="443" t="b">
        <v>1</v>
      </c>
      <c r="R46" s="443" t="b">
        <v>1</v>
      </c>
      <c r="S46" s="443" t="b">
        <v>1</v>
      </c>
      <c r="T46" s="443" t="b">
        <v>1</v>
      </c>
      <c r="U46" s="443" t="b">
        <v>1</v>
      </c>
      <c r="V46" s="444" t="b">
        <v>1</v>
      </c>
      <c r="W46" s="35"/>
      <c r="X46" s="180" t="s">
        <v>239</v>
      </c>
      <c r="Y46" s="359">
        <v>2.4826092420676649E-4</v>
      </c>
      <c r="Z46" s="35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40" t="s">
        <v>223</v>
      </c>
      <c r="D47" s="435" t="b">
        <v>1</v>
      </c>
      <c r="E47" s="436" t="b">
        <v>1</v>
      </c>
      <c r="F47" s="435" t="b">
        <v>1</v>
      </c>
      <c r="G47" s="443" t="b">
        <v>1</v>
      </c>
      <c r="H47" s="443" t="b">
        <v>1</v>
      </c>
      <c r="I47" s="443" t="b">
        <v>1</v>
      </c>
      <c r="J47" s="443" t="b">
        <v>1</v>
      </c>
      <c r="K47" s="443" t="b">
        <v>1</v>
      </c>
      <c r="L47" s="443" t="b">
        <v>1</v>
      </c>
      <c r="M47" s="443" t="b">
        <v>1</v>
      </c>
      <c r="N47" s="443" t="b">
        <v>1</v>
      </c>
      <c r="O47" s="443" t="b">
        <v>1</v>
      </c>
      <c r="P47" s="443" t="b">
        <v>1</v>
      </c>
      <c r="Q47" s="443" t="b">
        <v>1</v>
      </c>
      <c r="R47" s="443" t="b">
        <v>1</v>
      </c>
      <c r="S47" s="443" t="b">
        <v>1</v>
      </c>
      <c r="T47" s="443" t="b">
        <v>1</v>
      </c>
      <c r="U47" s="443" t="b">
        <v>1</v>
      </c>
      <c r="V47" s="444" t="b">
        <v>1</v>
      </c>
      <c r="W47" s="35"/>
      <c r="X47" s="180" t="s">
        <v>240</v>
      </c>
      <c r="Y47" s="359">
        <v>6.5123632733018436E-4</v>
      </c>
      <c r="Z47" s="35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34" t="s">
        <v>224</v>
      </c>
      <c r="D48" s="435" t="b">
        <v>0</v>
      </c>
      <c r="E48" s="436" t="b">
        <v>0</v>
      </c>
      <c r="F48" s="435" t="b">
        <v>0</v>
      </c>
      <c r="G48" s="443" t="b">
        <v>1</v>
      </c>
      <c r="H48" s="443" t="b">
        <v>1</v>
      </c>
      <c r="I48" s="443" t="b">
        <v>1</v>
      </c>
      <c r="J48" s="443" t="b">
        <v>1</v>
      </c>
      <c r="K48" s="443" t="b">
        <v>1</v>
      </c>
      <c r="L48" s="443" t="b">
        <v>1</v>
      </c>
      <c r="M48" s="443" t="b">
        <v>1</v>
      </c>
      <c r="N48" s="443" t="b">
        <v>1</v>
      </c>
      <c r="O48" s="443" t="b">
        <v>1</v>
      </c>
      <c r="P48" s="443" t="b">
        <v>1</v>
      </c>
      <c r="Q48" s="443" t="b">
        <v>1</v>
      </c>
      <c r="R48" s="443" t="b">
        <v>1</v>
      </c>
      <c r="S48" s="443" t="b">
        <v>1</v>
      </c>
      <c r="T48" s="443" t="b">
        <v>1</v>
      </c>
      <c r="U48" s="443" t="b">
        <v>1</v>
      </c>
      <c r="V48" s="444" t="b">
        <v>1</v>
      </c>
      <c r="W48" s="35"/>
      <c r="X48" s="180" t="s">
        <v>237</v>
      </c>
      <c r="Y48" s="359">
        <v>4.4027318096914698E-4</v>
      </c>
      <c r="Z48" s="35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34" t="s">
        <v>225</v>
      </c>
      <c r="D49" s="435" t="b">
        <v>0</v>
      </c>
      <c r="E49" s="436" t="b">
        <v>0</v>
      </c>
      <c r="F49" s="435" t="b">
        <v>0</v>
      </c>
      <c r="G49" s="443" t="b">
        <v>1</v>
      </c>
      <c r="H49" s="443" t="b">
        <v>1</v>
      </c>
      <c r="I49" s="443" t="b">
        <v>1</v>
      </c>
      <c r="J49" s="443" t="b">
        <v>1</v>
      </c>
      <c r="K49" s="443" t="b">
        <v>1</v>
      </c>
      <c r="L49" s="443" t="b">
        <v>1</v>
      </c>
      <c r="M49" s="443" t="b">
        <v>1</v>
      </c>
      <c r="N49" s="443" t="b">
        <v>1</v>
      </c>
      <c r="O49" s="443" t="b">
        <v>1</v>
      </c>
      <c r="P49" s="443" t="b">
        <v>1</v>
      </c>
      <c r="Q49" s="443" t="b">
        <v>1</v>
      </c>
      <c r="R49" s="443" t="b">
        <v>1</v>
      </c>
      <c r="S49" s="443" t="b">
        <v>1</v>
      </c>
      <c r="T49" s="443" t="b">
        <v>1</v>
      </c>
      <c r="U49" s="443" t="b">
        <v>1</v>
      </c>
      <c r="V49" s="444" t="b">
        <v>1</v>
      </c>
      <c r="W49" s="35"/>
      <c r="X49" s="180" t="s">
        <v>241</v>
      </c>
      <c r="Y49" s="359">
        <v>1.931816909789435E-4</v>
      </c>
      <c r="Z49" s="35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34" t="s">
        <v>226</v>
      </c>
      <c r="D50" s="435" t="b">
        <v>0</v>
      </c>
      <c r="E50" s="436" t="b">
        <v>0</v>
      </c>
      <c r="F50" s="435" t="b">
        <v>0</v>
      </c>
      <c r="G50" s="443" t="b">
        <v>1</v>
      </c>
      <c r="H50" s="443" t="b">
        <v>1</v>
      </c>
      <c r="I50" s="443" t="b">
        <v>1</v>
      </c>
      <c r="J50" s="443" t="b">
        <v>1</v>
      </c>
      <c r="K50" s="443" t="b">
        <v>1</v>
      </c>
      <c r="L50" s="443" t="b">
        <v>1</v>
      </c>
      <c r="M50" s="443" t="b">
        <v>1</v>
      </c>
      <c r="N50" s="443" t="b">
        <v>1</v>
      </c>
      <c r="O50" s="443" t="b">
        <v>1</v>
      </c>
      <c r="P50" s="443" t="b">
        <v>1</v>
      </c>
      <c r="Q50" s="443" t="b">
        <v>1</v>
      </c>
      <c r="R50" s="443" t="b">
        <v>1</v>
      </c>
      <c r="S50" s="443" t="b">
        <v>1</v>
      </c>
      <c r="T50" s="443" t="b">
        <v>1</v>
      </c>
      <c r="U50" s="443" t="b">
        <v>1</v>
      </c>
      <c r="V50" s="444" t="b">
        <v>1</v>
      </c>
      <c r="W50" s="35"/>
      <c r="X50" s="180" t="s">
        <v>244</v>
      </c>
      <c r="Y50" s="359">
        <v>7.0176185178426537E-4</v>
      </c>
      <c r="Z50" s="35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34" t="s">
        <v>227</v>
      </c>
      <c r="D51" s="435" t="b">
        <v>0</v>
      </c>
      <c r="E51" s="436" t="b">
        <v>0</v>
      </c>
      <c r="F51" s="435" t="b">
        <v>0</v>
      </c>
      <c r="G51" s="443" t="b">
        <v>1</v>
      </c>
      <c r="H51" s="443" t="b">
        <v>1</v>
      </c>
      <c r="I51" s="443" t="b">
        <v>1</v>
      </c>
      <c r="J51" s="443" t="b">
        <v>1</v>
      </c>
      <c r="K51" s="443" t="b">
        <v>1</v>
      </c>
      <c r="L51" s="443" t="b">
        <v>1</v>
      </c>
      <c r="M51" s="443" t="b">
        <v>1</v>
      </c>
      <c r="N51" s="443" t="b">
        <v>1</v>
      </c>
      <c r="O51" s="443" t="b">
        <v>1</v>
      </c>
      <c r="P51" s="443" t="b">
        <v>1</v>
      </c>
      <c r="Q51" s="443" t="b">
        <v>1</v>
      </c>
      <c r="R51" s="443" t="b">
        <v>1</v>
      </c>
      <c r="S51" s="443" t="b">
        <v>1</v>
      </c>
      <c r="T51" s="443" t="b">
        <v>1</v>
      </c>
      <c r="U51" s="443" t="b">
        <v>1</v>
      </c>
      <c r="V51" s="444" t="b">
        <v>1</v>
      </c>
      <c r="W51" s="35"/>
      <c r="X51" s="180" t="s">
        <v>245</v>
      </c>
      <c r="Y51" s="359">
        <v>3.7480116346849359E-4</v>
      </c>
      <c r="Z51" s="35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40" t="s">
        <v>228</v>
      </c>
      <c r="D52" s="435" t="b">
        <v>1</v>
      </c>
      <c r="E52" s="436" t="b">
        <v>1</v>
      </c>
      <c r="F52" s="435" t="b">
        <v>1</v>
      </c>
      <c r="G52" s="443" t="b">
        <v>1</v>
      </c>
      <c r="H52" s="443" t="b">
        <v>1</v>
      </c>
      <c r="I52" s="443" t="b">
        <v>1</v>
      </c>
      <c r="J52" s="443" t="b">
        <v>1</v>
      </c>
      <c r="K52" s="443" t="b">
        <v>1</v>
      </c>
      <c r="L52" s="443" t="b">
        <v>1</v>
      </c>
      <c r="M52" s="443" t="b">
        <v>1</v>
      </c>
      <c r="N52" s="443" t="b">
        <v>1</v>
      </c>
      <c r="O52" s="443" t="b">
        <v>1</v>
      </c>
      <c r="P52" s="443" t="b">
        <v>1</v>
      </c>
      <c r="Q52" s="443" t="b">
        <v>1</v>
      </c>
      <c r="R52" s="443" t="b">
        <v>1</v>
      </c>
      <c r="S52" s="443" t="b">
        <v>1</v>
      </c>
      <c r="T52" s="443" t="b">
        <v>1</v>
      </c>
      <c r="U52" s="443" t="b">
        <v>1</v>
      </c>
      <c r="V52" s="444" t="b">
        <v>1</v>
      </c>
      <c r="W52" s="35"/>
      <c r="X52" s="180" t="s">
        <v>246</v>
      </c>
      <c r="Y52" s="359">
        <v>1.2706954449993432E-4</v>
      </c>
      <c r="Z52" s="35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40" t="s">
        <v>229</v>
      </c>
      <c r="D53" s="435" t="b">
        <v>1</v>
      </c>
      <c r="E53" s="436" t="b">
        <v>1</v>
      </c>
      <c r="F53" s="435" t="b">
        <v>1</v>
      </c>
      <c r="G53" s="443" t="b">
        <v>1</v>
      </c>
      <c r="H53" s="443" t="b">
        <v>1</v>
      </c>
      <c r="I53" s="443" t="b">
        <v>1</v>
      </c>
      <c r="J53" s="443" t="b">
        <v>1</v>
      </c>
      <c r="K53" s="443" t="b">
        <v>1</v>
      </c>
      <c r="L53" s="443" t="b">
        <v>1</v>
      </c>
      <c r="M53" s="443" t="b">
        <v>1</v>
      </c>
      <c r="N53" s="443" t="b">
        <v>1</v>
      </c>
      <c r="O53" s="443" t="b">
        <v>1</v>
      </c>
      <c r="P53" s="443" t="b">
        <v>1</v>
      </c>
      <c r="Q53" s="443" t="b">
        <v>1</v>
      </c>
      <c r="R53" s="443" t="b">
        <v>1</v>
      </c>
      <c r="S53" s="443" t="b">
        <v>1</v>
      </c>
      <c r="T53" s="443" t="b">
        <v>1</v>
      </c>
      <c r="U53" s="443" t="b">
        <v>1</v>
      </c>
      <c r="V53" s="444" t="b">
        <v>1</v>
      </c>
      <c r="W53" s="35"/>
      <c r="X53" s="180" t="s">
        <v>247</v>
      </c>
      <c r="Y53" s="359">
        <v>4.3552522745260029E-4</v>
      </c>
      <c r="Z53" s="35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34" t="s">
        <v>230</v>
      </c>
      <c r="D54" s="435" t="b">
        <v>0</v>
      </c>
      <c r="E54" s="436" t="b">
        <v>0</v>
      </c>
      <c r="F54" s="435" t="b">
        <v>0</v>
      </c>
      <c r="G54" s="443" t="b">
        <v>1</v>
      </c>
      <c r="H54" s="443" t="b">
        <v>1</v>
      </c>
      <c r="I54" s="443" t="b">
        <v>1</v>
      </c>
      <c r="J54" s="443" t="b">
        <v>1</v>
      </c>
      <c r="K54" s="443" t="b">
        <v>1</v>
      </c>
      <c r="L54" s="443" t="b">
        <v>1</v>
      </c>
      <c r="M54" s="443" t="b">
        <v>1</v>
      </c>
      <c r="N54" s="443" t="b">
        <v>1</v>
      </c>
      <c r="O54" s="443" t="b">
        <v>1</v>
      </c>
      <c r="P54" s="443" t="b">
        <v>1</v>
      </c>
      <c r="Q54" s="443" t="b">
        <v>1</v>
      </c>
      <c r="R54" s="443" t="b">
        <v>1</v>
      </c>
      <c r="S54" s="443" t="b">
        <v>1</v>
      </c>
      <c r="T54" s="443" t="b">
        <v>1</v>
      </c>
      <c r="U54" s="443" t="b">
        <v>1</v>
      </c>
      <c r="V54" s="444" t="b">
        <v>1</v>
      </c>
      <c r="W54" s="35"/>
      <c r="X54" s="180" t="s">
        <v>248</v>
      </c>
      <c r="Y54" s="359">
        <v>3.7217229024403897E-4</v>
      </c>
      <c r="Z54" s="35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40" t="s">
        <v>231</v>
      </c>
      <c r="D55" s="435" t="b">
        <v>1</v>
      </c>
      <c r="E55" s="436" t="b">
        <v>1</v>
      </c>
      <c r="F55" s="435" t="b">
        <v>1</v>
      </c>
      <c r="G55" s="443" t="b">
        <v>1</v>
      </c>
      <c r="H55" s="443" t="b">
        <v>1</v>
      </c>
      <c r="I55" s="443" t="b">
        <v>1</v>
      </c>
      <c r="J55" s="443" t="b">
        <v>1</v>
      </c>
      <c r="K55" s="443" t="b">
        <v>1</v>
      </c>
      <c r="L55" s="443" t="b">
        <v>1</v>
      </c>
      <c r="M55" s="443" t="b">
        <v>1</v>
      </c>
      <c r="N55" s="443" t="b">
        <v>1</v>
      </c>
      <c r="O55" s="443" t="b">
        <v>1</v>
      </c>
      <c r="P55" s="443" t="b">
        <v>1</v>
      </c>
      <c r="Q55" s="443" t="b">
        <v>1</v>
      </c>
      <c r="R55" s="443" t="b">
        <v>1</v>
      </c>
      <c r="S55" s="443" t="b">
        <v>1</v>
      </c>
      <c r="T55" s="443" t="b">
        <v>1</v>
      </c>
      <c r="U55" s="443" t="b">
        <v>1</v>
      </c>
      <c r="V55" s="444" t="b">
        <v>1</v>
      </c>
      <c r="W55" s="35"/>
      <c r="X55" s="180" t="s">
        <v>249</v>
      </c>
      <c r="Y55" s="359">
        <v>2.3421760822486782E-4</v>
      </c>
      <c r="Z55" s="35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34" t="s">
        <v>232</v>
      </c>
      <c r="D56" s="435" t="b">
        <v>0</v>
      </c>
      <c r="E56" s="436" t="b">
        <v>0</v>
      </c>
      <c r="F56" s="435" t="b">
        <v>0</v>
      </c>
      <c r="G56" s="443" t="b">
        <v>1</v>
      </c>
      <c r="H56" s="443" t="b">
        <v>1</v>
      </c>
      <c r="I56" s="443" t="b">
        <v>1</v>
      </c>
      <c r="J56" s="443" t="b">
        <v>1</v>
      </c>
      <c r="K56" s="443" t="b">
        <v>1</v>
      </c>
      <c r="L56" s="443" t="b">
        <v>1</v>
      </c>
      <c r="M56" s="443" t="b">
        <v>1</v>
      </c>
      <c r="N56" s="443" t="b">
        <v>1</v>
      </c>
      <c r="O56" s="443" t="b">
        <v>1</v>
      </c>
      <c r="P56" s="443" t="b">
        <v>1</v>
      </c>
      <c r="Q56" s="443" t="b">
        <v>1</v>
      </c>
      <c r="R56" s="443" t="b">
        <v>1</v>
      </c>
      <c r="S56" s="443" t="b">
        <v>1</v>
      </c>
      <c r="T56" s="443" t="b">
        <v>1</v>
      </c>
      <c r="U56" s="443" t="b">
        <v>1</v>
      </c>
      <c r="V56" s="444" t="b">
        <v>1</v>
      </c>
      <c r="W56" s="35"/>
      <c r="X56" s="180" t="s">
        <v>250</v>
      </c>
      <c r="Y56" s="359">
        <v>3.9218138779391148E-4</v>
      </c>
      <c r="Z56" s="35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34" t="s">
        <v>233</v>
      </c>
      <c r="D57" s="435" t="b">
        <v>0</v>
      </c>
      <c r="E57" s="436" t="b">
        <v>0</v>
      </c>
      <c r="F57" s="435" t="b">
        <v>0</v>
      </c>
      <c r="G57" s="443" t="b">
        <v>1</v>
      </c>
      <c r="H57" s="443" t="b">
        <v>1</v>
      </c>
      <c r="I57" s="443" t="b">
        <v>1</v>
      </c>
      <c r="J57" s="443" t="b">
        <v>1</v>
      </c>
      <c r="K57" s="443" t="b">
        <v>1</v>
      </c>
      <c r="L57" s="443" t="b">
        <v>1</v>
      </c>
      <c r="M57" s="443" t="b">
        <v>1</v>
      </c>
      <c r="N57" s="443" t="b">
        <v>1</v>
      </c>
      <c r="O57" s="443" t="b">
        <v>1</v>
      </c>
      <c r="P57" s="443" t="b">
        <v>1</v>
      </c>
      <c r="Q57" s="443" t="b">
        <v>1</v>
      </c>
      <c r="R57" s="443" t="b">
        <v>1</v>
      </c>
      <c r="S57" s="443" t="b">
        <v>1</v>
      </c>
      <c r="T57" s="443" t="b">
        <v>1</v>
      </c>
      <c r="U57" s="443" t="b">
        <v>1</v>
      </c>
      <c r="V57" s="444" t="b">
        <v>1</v>
      </c>
      <c r="W57" s="35"/>
      <c r="X57" s="180" t="s">
        <v>251</v>
      </c>
      <c r="Y57" s="359">
        <v>2.51710742463223E-4</v>
      </c>
      <c r="Z57" s="35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34" t="s">
        <v>234</v>
      </c>
      <c r="D58" s="435" t="b">
        <v>0</v>
      </c>
      <c r="E58" s="436" t="b">
        <v>0</v>
      </c>
      <c r="F58" s="435" t="b">
        <v>0</v>
      </c>
      <c r="G58" s="443" t="b">
        <v>1</v>
      </c>
      <c r="H58" s="443" t="b">
        <v>1</v>
      </c>
      <c r="I58" s="443" t="b">
        <v>1</v>
      </c>
      <c r="J58" s="443" t="b">
        <v>1</v>
      </c>
      <c r="K58" s="443" t="b">
        <v>1</v>
      </c>
      <c r="L58" s="443" t="b">
        <v>1</v>
      </c>
      <c r="M58" s="443" t="b">
        <v>1</v>
      </c>
      <c r="N58" s="443" t="b">
        <v>1</v>
      </c>
      <c r="O58" s="443" t="b">
        <v>1</v>
      </c>
      <c r="P58" s="443" t="b">
        <v>1</v>
      </c>
      <c r="Q58" s="443" t="b">
        <v>1</v>
      </c>
      <c r="R58" s="443" t="b">
        <v>1</v>
      </c>
      <c r="S58" s="443" t="b">
        <v>1</v>
      </c>
      <c r="T58" s="443" t="b">
        <v>1</v>
      </c>
      <c r="U58" s="443" t="b">
        <v>1</v>
      </c>
      <c r="V58" s="444" t="b">
        <v>1</v>
      </c>
      <c r="W58" s="35"/>
      <c r="X58" s="180" t="s">
        <v>252</v>
      </c>
      <c r="Y58" s="359">
        <v>4.9438144200333368E-4</v>
      </c>
      <c r="Z58" s="35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34" t="s">
        <v>235</v>
      </c>
      <c r="D59" s="435" t="b">
        <v>0</v>
      </c>
      <c r="E59" s="436" t="b">
        <v>0</v>
      </c>
      <c r="F59" s="435" t="b">
        <v>0</v>
      </c>
      <c r="G59" s="443" t="b">
        <v>1</v>
      </c>
      <c r="H59" s="443" t="b">
        <v>1</v>
      </c>
      <c r="I59" s="443" t="b">
        <v>1</v>
      </c>
      <c r="J59" s="443" t="b">
        <v>1</v>
      </c>
      <c r="K59" s="443" t="b">
        <v>1</v>
      </c>
      <c r="L59" s="443" t="b">
        <v>1</v>
      </c>
      <c r="M59" s="443" t="b">
        <v>1</v>
      </c>
      <c r="N59" s="443" t="b">
        <v>1</v>
      </c>
      <c r="O59" s="443" t="b">
        <v>1</v>
      </c>
      <c r="P59" s="443" t="b">
        <v>1</v>
      </c>
      <c r="Q59" s="443" t="b">
        <v>1</v>
      </c>
      <c r="R59" s="443" t="b">
        <v>1</v>
      </c>
      <c r="S59" s="443" t="b">
        <v>1</v>
      </c>
      <c r="T59" s="443" t="b">
        <v>1</v>
      </c>
      <c r="U59" s="443" t="b">
        <v>1</v>
      </c>
      <c r="V59" s="444" t="b">
        <v>1</v>
      </c>
      <c r="W59" s="35"/>
      <c r="X59" s="180" t="s">
        <v>253</v>
      </c>
      <c r="Y59" s="359">
        <v>7.6676322767228755E-4</v>
      </c>
      <c r="Z59" s="35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34" t="s">
        <v>236</v>
      </c>
      <c r="D60" s="435" t="b">
        <v>0</v>
      </c>
      <c r="E60" s="436" t="b">
        <v>0</v>
      </c>
      <c r="F60" s="435" t="b">
        <v>0</v>
      </c>
      <c r="G60" s="443" t="b">
        <v>1</v>
      </c>
      <c r="H60" s="443" t="b">
        <v>1</v>
      </c>
      <c r="I60" s="443" t="b">
        <v>1</v>
      </c>
      <c r="J60" s="443" t="b">
        <v>1</v>
      </c>
      <c r="K60" s="443" t="b">
        <v>1</v>
      </c>
      <c r="L60" s="443" t="b">
        <v>1</v>
      </c>
      <c r="M60" s="443" t="b">
        <v>1</v>
      </c>
      <c r="N60" s="443" t="b">
        <v>1</v>
      </c>
      <c r="O60" s="443" t="b">
        <v>1</v>
      </c>
      <c r="P60" s="443" t="b">
        <v>1</v>
      </c>
      <c r="Q60" s="443" t="b">
        <v>1</v>
      </c>
      <c r="R60" s="443" t="b">
        <v>1</v>
      </c>
      <c r="S60" s="443" t="b">
        <v>1</v>
      </c>
      <c r="T60" s="443" t="b">
        <v>1</v>
      </c>
      <c r="U60" s="443" t="b">
        <v>1</v>
      </c>
      <c r="V60" s="444" t="b">
        <v>1</v>
      </c>
      <c r="W60" s="35"/>
      <c r="X60" s="180" t="s">
        <v>255</v>
      </c>
      <c r="Y60" s="359">
        <v>3.3864707385370345E-4</v>
      </c>
      <c r="Z60" s="35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34" t="s">
        <v>237</v>
      </c>
      <c r="D61" s="435" t="b">
        <v>0</v>
      </c>
      <c r="E61" s="436" t="b">
        <v>0</v>
      </c>
      <c r="F61" s="435" t="b">
        <v>0</v>
      </c>
      <c r="G61" s="443" t="b">
        <v>1</v>
      </c>
      <c r="H61" s="443" t="b">
        <v>1</v>
      </c>
      <c r="I61" s="443" t="b">
        <v>1</v>
      </c>
      <c r="J61" s="443" t="b">
        <v>1</v>
      </c>
      <c r="K61" s="443" t="b">
        <v>1</v>
      </c>
      <c r="L61" s="443" t="b">
        <v>1</v>
      </c>
      <c r="M61" s="443" t="b">
        <v>1</v>
      </c>
      <c r="N61" s="443" t="b">
        <v>1</v>
      </c>
      <c r="O61" s="443" t="b">
        <v>1</v>
      </c>
      <c r="P61" s="443" t="b">
        <v>1</v>
      </c>
      <c r="Q61" s="443" t="b">
        <v>1</v>
      </c>
      <c r="R61" s="443" t="b">
        <v>1</v>
      </c>
      <c r="S61" s="443" t="b">
        <v>1</v>
      </c>
      <c r="T61" s="443" t="b">
        <v>1</v>
      </c>
      <c r="U61" s="443" t="b">
        <v>1</v>
      </c>
      <c r="V61" s="444" t="b">
        <v>1</v>
      </c>
      <c r="W61" s="35"/>
      <c r="X61" s="180" t="s">
        <v>254</v>
      </c>
      <c r="Y61" s="359">
        <v>0</v>
      </c>
      <c r="Z61" s="35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34" t="s">
        <v>238</v>
      </c>
      <c r="D62" s="435" t="b">
        <v>0</v>
      </c>
      <c r="E62" s="436" t="b">
        <v>0</v>
      </c>
      <c r="F62" s="435" t="b">
        <v>0</v>
      </c>
      <c r="G62" s="443" t="b">
        <v>1</v>
      </c>
      <c r="H62" s="443" t="b">
        <v>1</v>
      </c>
      <c r="I62" s="443" t="b">
        <v>1</v>
      </c>
      <c r="J62" s="443" t="b">
        <v>1</v>
      </c>
      <c r="K62" s="443" t="b">
        <v>1</v>
      </c>
      <c r="L62" s="443" t="b">
        <v>1</v>
      </c>
      <c r="M62" s="443" t="b">
        <v>1</v>
      </c>
      <c r="N62" s="443" t="b">
        <v>1</v>
      </c>
      <c r="O62" s="443" t="b">
        <v>1</v>
      </c>
      <c r="P62" s="443" t="b">
        <v>1</v>
      </c>
      <c r="Q62" s="443" t="b">
        <v>1</v>
      </c>
      <c r="R62" s="443" t="b">
        <v>1</v>
      </c>
      <c r="S62" s="443" t="b">
        <v>1</v>
      </c>
      <c r="T62" s="443" t="b">
        <v>1</v>
      </c>
      <c r="U62" s="443" t="b">
        <v>1</v>
      </c>
      <c r="V62" s="444" t="b">
        <v>1</v>
      </c>
      <c r="W62" s="35"/>
      <c r="X62" s="180" t="s">
        <v>256</v>
      </c>
      <c r="Y62" s="359">
        <v>2.2923348213669437E-5</v>
      </c>
      <c r="Z62" s="35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40" t="s">
        <v>239</v>
      </c>
      <c r="D63" s="435" t="b">
        <v>1</v>
      </c>
      <c r="E63" s="436" t="b">
        <v>1</v>
      </c>
      <c r="F63" s="435" t="b">
        <v>1</v>
      </c>
      <c r="G63" s="443" t="b">
        <v>1</v>
      </c>
      <c r="H63" s="443" t="b">
        <v>1</v>
      </c>
      <c r="I63" s="443" t="b">
        <v>1</v>
      </c>
      <c r="J63" s="443" t="b">
        <v>1</v>
      </c>
      <c r="K63" s="443" t="b">
        <v>1</v>
      </c>
      <c r="L63" s="443" t="b">
        <v>1</v>
      </c>
      <c r="M63" s="443" t="b">
        <v>1</v>
      </c>
      <c r="N63" s="443" t="b">
        <v>1</v>
      </c>
      <c r="O63" s="443" t="b">
        <v>1</v>
      </c>
      <c r="P63" s="443" t="b">
        <v>1</v>
      </c>
      <c r="Q63" s="443" t="b">
        <v>1</v>
      </c>
      <c r="R63" s="443" t="b">
        <v>1</v>
      </c>
      <c r="S63" s="443" t="b">
        <v>1</v>
      </c>
      <c r="T63" s="443" t="b">
        <v>1</v>
      </c>
      <c r="U63" s="443" t="b">
        <v>1</v>
      </c>
      <c r="V63" s="444" t="b">
        <v>1</v>
      </c>
      <c r="W63" s="35"/>
      <c r="X63" s="180" t="s">
        <v>258</v>
      </c>
      <c r="Y63" s="359">
        <v>5.8465338475716154E-4</v>
      </c>
      <c r="Z63" s="35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40" t="s">
        <v>240</v>
      </c>
      <c r="D64" s="435" t="b">
        <v>1</v>
      </c>
      <c r="E64" s="436" t="b">
        <v>1</v>
      </c>
      <c r="F64" s="435" t="b">
        <v>1</v>
      </c>
      <c r="G64" s="443" t="b">
        <v>1</v>
      </c>
      <c r="H64" s="443" t="b">
        <v>1</v>
      </c>
      <c r="I64" s="443" t="b">
        <v>1</v>
      </c>
      <c r="J64" s="443" t="b">
        <v>1</v>
      </c>
      <c r="K64" s="443" t="b">
        <v>1</v>
      </c>
      <c r="L64" s="443" t="b">
        <v>1</v>
      </c>
      <c r="M64" s="443" t="b">
        <v>1</v>
      </c>
      <c r="N64" s="443" t="b">
        <v>1</v>
      </c>
      <c r="O64" s="443" t="b">
        <v>1</v>
      </c>
      <c r="P64" s="443" t="b">
        <v>1</v>
      </c>
      <c r="Q64" s="443" t="b">
        <v>1</v>
      </c>
      <c r="R64" s="443" t="b">
        <v>1</v>
      </c>
      <c r="S64" s="443" t="b">
        <v>1</v>
      </c>
      <c r="T64" s="443" t="b">
        <v>1</v>
      </c>
      <c r="U64" s="443" t="b">
        <v>1</v>
      </c>
      <c r="V64" s="444" t="b">
        <v>1</v>
      </c>
      <c r="W64" s="35"/>
      <c r="X64" s="180" t="s">
        <v>257</v>
      </c>
      <c r="Y64" s="359">
        <v>8.3039048317398809E-4</v>
      </c>
      <c r="Z64" s="35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40" t="s">
        <v>241</v>
      </c>
      <c r="D65" s="435" t="b">
        <v>1</v>
      </c>
      <c r="E65" s="436" t="b">
        <v>1</v>
      </c>
      <c r="F65" s="435" t="b">
        <v>1</v>
      </c>
      <c r="G65" s="443" t="b">
        <v>1</v>
      </c>
      <c r="H65" s="443" t="b">
        <v>1</v>
      </c>
      <c r="I65" s="443" t="b">
        <v>1</v>
      </c>
      <c r="J65" s="443" t="b">
        <v>1</v>
      </c>
      <c r="K65" s="443" t="b">
        <v>1</v>
      </c>
      <c r="L65" s="443" t="b">
        <v>1</v>
      </c>
      <c r="M65" s="443" t="b">
        <v>1</v>
      </c>
      <c r="N65" s="443" t="b">
        <v>1</v>
      </c>
      <c r="O65" s="443" t="b">
        <v>1</v>
      </c>
      <c r="P65" s="443" t="b">
        <v>1</v>
      </c>
      <c r="Q65" s="443" t="b">
        <v>1</v>
      </c>
      <c r="R65" s="443" t="b">
        <v>1</v>
      </c>
      <c r="S65" s="443" t="b">
        <v>1</v>
      </c>
      <c r="T65" s="443" t="b">
        <v>1</v>
      </c>
      <c r="U65" s="443" t="b">
        <v>1</v>
      </c>
      <c r="V65" s="444" t="b">
        <v>1</v>
      </c>
      <c r="W65" s="35"/>
      <c r="X65" s="180" t="s">
        <v>259</v>
      </c>
      <c r="Y65" s="359">
        <v>7.5840059121394163E-4</v>
      </c>
      <c r="Z65" s="359">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40" t="s">
        <v>242</v>
      </c>
      <c r="D66" s="435" t="b">
        <v>1</v>
      </c>
      <c r="E66" s="436" t="b">
        <v>1</v>
      </c>
      <c r="F66" s="435" t="b">
        <v>1</v>
      </c>
      <c r="G66" s="443" t="b">
        <v>1</v>
      </c>
      <c r="H66" s="443" t="b">
        <v>1</v>
      </c>
      <c r="I66" s="443" t="b">
        <v>1</v>
      </c>
      <c r="J66" s="443" t="b">
        <v>1</v>
      </c>
      <c r="K66" s="443" t="b">
        <v>1</v>
      </c>
      <c r="L66" s="443" t="b">
        <v>1</v>
      </c>
      <c r="M66" s="443" t="b">
        <v>1</v>
      </c>
      <c r="N66" s="443" t="b">
        <v>1</v>
      </c>
      <c r="O66" s="443" t="b">
        <v>1</v>
      </c>
      <c r="P66" s="443" t="b">
        <v>1</v>
      </c>
      <c r="Q66" s="443" t="b">
        <v>1</v>
      </c>
      <c r="R66" s="443" t="b">
        <v>1</v>
      </c>
      <c r="S66" s="443" t="b">
        <v>1</v>
      </c>
      <c r="T66" s="443" t="b">
        <v>1</v>
      </c>
      <c r="U66" s="443" t="b">
        <v>1</v>
      </c>
      <c r="V66" s="444"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40" t="s">
        <v>243</v>
      </c>
      <c r="D67" s="435" t="b">
        <v>1</v>
      </c>
      <c r="E67" s="436" t="b">
        <v>1</v>
      </c>
      <c r="F67" s="435" t="b">
        <v>1</v>
      </c>
      <c r="G67" s="443" t="b">
        <v>1</v>
      </c>
      <c r="H67" s="443" t="b">
        <v>1</v>
      </c>
      <c r="I67" s="443" t="b">
        <v>1</v>
      </c>
      <c r="J67" s="443" t="b">
        <v>1</v>
      </c>
      <c r="K67" s="443" t="b">
        <v>1</v>
      </c>
      <c r="L67" s="443" t="b">
        <v>1</v>
      </c>
      <c r="M67" s="443" t="b">
        <v>1</v>
      </c>
      <c r="N67" s="443" t="b">
        <v>1</v>
      </c>
      <c r="O67" s="443" t="b">
        <v>1</v>
      </c>
      <c r="P67" s="443" t="b">
        <v>1</v>
      </c>
      <c r="Q67" s="443" t="b">
        <v>1</v>
      </c>
      <c r="R67" s="443" t="b">
        <v>1</v>
      </c>
      <c r="S67" s="443" t="b">
        <v>1</v>
      </c>
      <c r="T67" s="443" t="b">
        <v>1</v>
      </c>
      <c r="U67" s="443" t="b">
        <v>1</v>
      </c>
      <c r="V67" s="444"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40" t="s">
        <v>244</v>
      </c>
      <c r="D68" s="435" t="b">
        <v>1</v>
      </c>
      <c r="E68" s="436" t="b">
        <v>1</v>
      </c>
      <c r="F68" s="435" t="b">
        <v>1</v>
      </c>
      <c r="G68" s="443" t="b">
        <v>1</v>
      </c>
      <c r="H68" s="443" t="b">
        <v>1</v>
      </c>
      <c r="I68" s="443" t="b">
        <v>1</v>
      </c>
      <c r="J68" s="443" t="b">
        <v>1</v>
      </c>
      <c r="K68" s="443" t="b">
        <v>1</v>
      </c>
      <c r="L68" s="443" t="b">
        <v>1</v>
      </c>
      <c r="M68" s="443" t="b">
        <v>1</v>
      </c>
      <c r="N68" s="443" t="b">
        <v>1</v>
      </c>
      <c r="O68" s="443" t="b">
        <v>1</v>
      </c>
      <c r="P68" s="443" t="b">
        <v>1</v>
      </c>
      <c r="Q68" s="443" t="b">
        <v>1</v>
      </c>
      <c r="R68" s="443" t="b">
        <v>1</v>
      </c>
      <c r="S68" s="443" t="b">
        <v>1</v>
      </c>
      <c r="T68" s="443" t="b">
        <v>1</v>
      </c>
      <c r="U68" s="443" t="b">
        <v>1</v>
      </c>
      <c r="V68" s="444"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34" t="s">
        <v>245</v>
      </c>
      <c r="D69" s="435" t="b">
        <v>0</v>
      </c>
      <c r="E69" s="436" t="b">
        <v>0</v>
      </c>
      <c r="F69" s="435" t="b">
        <v>0</v>
      </c>
      <c r="G69" s="443" t="b">
        <v>1</v>
      </c>
      <c r="H69" s="443" t="b">
        <v>1</v>
      </c>
      <c r="I69" s="443" t="b">
        <v>1</v>
      </c>
      <c r="J69" s="443" t="b">
        <v>1</v>
      </c>
      <c r="K69" s="443" t="b">
        <v>1</v>
      </c>
      <c r="L69" s="443" t="b">
        <v>1</v>
      </c>
      <c r="M69" s="443" t="b">
        <v>1</v>
      </c>
      <c r="N69" s="443" t="b">
        <v>1</v>
      </c>
      <c r="O69" s="443" t="b">
        <v>1</v>
      </c>
      <c r="P69" s="443" t="b">
        <v>1</v>
      </c>
      <c r="Q69" s="443" t="b">
        <v>1</v>
      </c>
      <c r="R69" s="443" t="b">
        <v>1</v>
      </c>
      <c r="S69" s="443" t="b">
        <v>1</v>
      </c>
      <c r="T69" s="443" t="b">
        <v>1</v>
      </c>
      <c r="U69" s="443" t="b">
        <v>1</v>
      </c>
      <c r="V69" s="444"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40" t="s">
        <v>246</v>
      </c>
      <c r="D70" s="445" t="b">
        <v>1</v>
      </c>
      <c r="E70" s="443" t="b">
        <v>1</v>
      </c>
      <c r="F70" s="446" t="b">
        <v>1</v>
      </c>
      <c r="G70" s="443" t="b">
        <v>1</v>
      </c>
      <c r="H70" s="443" t="b">
        <v>1</v>
      </c>
      <c r="I70" s="443" t="b">
        <v>1</v>
      </c>
      <c r="J70" s="443" t="b">
        <v>1</v>
      </c>
      <c r="K70" s="443" t="b">
        <v>1</v>
      </c>
      <c r="L70" s="443" t="b">
        <v>1</v>
      </c>
      <c r="M70" s="443" t="b">
        <v>1</v>
      </c>
      <c r="N70" s="443" t="b">
        <v>1</v>
      </c>
      <c r="O70" s="443" t="b">
        <v>1</v>
      </c>
      <c r="P70" s="443" t="b">
        <v>1</v>
      </c>
      <c r="Q70" s="443" t="b">
        <v>1</v>
      </c>
      <c r="R70" s="443" t="b">
        <v>1</v>
      </c>
      <c r="S70" s="443" t="b">
        <v>1</v>
      </c>
      <c r="T70" s="443" t="b">
        <v>1</v>
      </c>
      <c r="U70" s="443" t="b">
        <v>1</v>
      </c>
      <c r="V70" s="444"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40" t="s">
        <v>247</v>
      </c>
      <c r="D71" s="443" t="b">
        <v>1</v>
      </c>
      <c r="E71" s="443" t="b">
        <v>1</v>
      </c>
      <c r="F71" s="443" t="b">
        <v>1</v>
      </c>
      <c r="G71" s="443" t="b">
        <v>1</v>
      </c>
      <c r="H71" s="443" t="b">
        <v>1</v>
      </c>
      <c r="I71" s="443" t="b">
        <v>1</v>
      </c>
      <c r="J71" s="443" t="b">
        <v>1</v>
      </c>
      <c r="K71" s="443" t="b">
        <v>1</v>
      </c>
      <c r="L71" s="443" t="b">
        <v>1</v>
      </c>
      <c r="M71" s="443" t="b">
        <v>1</v>
      </c>
      <c r="N71" s="443" t="b">
        <v>1</v>
      </c>
      <c r="O71" s="443" t="b">
        <v>1</v>
      </c>
      <c r="P71" s="443" t="b">
        <v>1</v>
      </c>
      <c r="Q71" s="443" t="b">
        <v>1</v>
      </c>
      <c r="R71" s="443" t="b">
        <v>1</v>
      </c>
      <c r="S71" s="443" t="b">
        <v>1</v>
      </c>
      <c r="T71" s="443" t="b">
        <v>1</v>
      </c>
      <c r="U71" s="443" t="b">
        <v>1</v>
      </c>
      <c r="V71" s="444"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40" t="s">
        <v>248</v>
      </c>
      <c r="D72" s="443" t="b">
        <v>1</v>
      </c>
      <c r="E72" s="443" t="b">
        <v>1</v>
      </c>
      <c r="F72" s="443" t="b">
        <v>1</v>
      </c>
      <c r="G72" s="443" t="b">
        <v>1</v>
      </c>
      <c r="H72" s="443" t="b">
        <v>1</v>
      </c>
      <c r="I72" s="443" t="b">
        <v>1</v>
      </c>
      <c r="J72" s="443" t="b">
        <v>1</v>
      </c>
      <c r="K72" s="443" t="b">
        <v>1</v>
      </c>
      <c r="L72" s="443" t="b">
        <v>1</v>
      </c>
      <c r="M72" s="443" t="b">
        <v>1</v>
      </c>
      <c r="N72" s="443" t="b">
        <v>1</v>
      </c>
      <c r="O72" s="443" t="b">
        <v>1</v>
      </c>
      <c r="P72" s="443" t="b">
        <v>1</v>
      </c>
      <c r="Q72" s="443" t="b">
        <v>1</v>
      </c>
      <c r="R72" s="443" t="b">
        <v>1</v>
      </c>
      <c r="S72" s="443" t="b">
        <v>1</v>
      </c>
      <c r="T72" s="443" t="b">
        <v>1</v>
      </c>
      <c r="U72" s="443" t="b">
        <v>1</v>
      </c>
      <c r="V72" s="444"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34" t="s">
        <v>249</v>
      </c>
      <c r="D73" s="443" t="b">
        <v>0</v>
      </c>
      <c r="E73" s="443" t="b">
        <v>0</v>
      </c>
      <c r="F73" s="443" t="b">
        <v>0</v>
      </c>
      <c r="G73" s="443" t="b">
        <v>1</v>
      </c>
      <c r="H73" s="443" t="b">
        <v>1</v>
      </c>
      <c r="I73" s="443" t="b">
        <v>1</v>
      </c>
      <c r="J73" s="443" t="b">
        <v>1</v>
      </c>
      <c r="K73" s="443" t="b">
        <v>1</v>
      </c>
      <c r="L73" s="443" t="b">
        <v>1</v>
      </c>
      <c r="M73" s="443" t="b">
        <v>1</v>
      </c>
      <c r="N73" s="443" t="b">
        <v>1</v>
      </c>
      <c r="O73" s="443" t="b">
        <v>1</v>
      </c>
      <c r="P73" s="443" t="b">
        <v>1</v>
      </c>
      <c r="Q73" s="443" t="b">
        <v>1</v>
      </c>
      <c r="R73" s="443" t="b">
        <v>1</v>
      </c>
      <c r="S73" s="443" t="b">
        <v>1</v>
      </c>
      <c r="T73" s="443" t="b">
        <v>1</v>
      </c>
      <c r="U73" s="443" t="b">
        <v>1</v>
      </c>
      <c r="V73" s="444"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34" t="s">
        <v>250</v>
      </c>
      <c r="D74" s="443" t="b">
        <v>0</v>
      </c>
      <c r="E74" s="443" t="b">
        <v>0</v>
      </c>
      <c r="F74" s="443" t="b">
        <v>0</v>
      </c>
      <c r="G74" s="443" t="b">
        <v>1</v>
      </c>
      <c r="H74" s="443" t="b">
        <v>1</v>
      </c>
      <c r="I74" s="443" t="b">
        <v>1</v>
      </c>
      <c r="J74" s="443" t="b">
        <v>1</v>
      </c>
      <c r="K74" s="443" t="b">
        <v>1</v>
      </c>
      <c r="L74" s="443" t="b">
        <v>1</v>
      </c>
      <c r="M74" s="443" t="b">
        <v>1</v>
      </c>
      <c r="N74" s="443" t="b">
        <v>1</v>
      </c>
      <c r="O74" s="443" t="b">
        <v>1</v>
      </c>
      <c r="P74" s="443" t="b">
        <v>1</v>
      </c>
      <c r="Q74" s="443" t="b">
        <v>1</v>
      </c>
      <c r="R74" s="443" t="b">
        <v>1</v>
      </c>
      <c r="S74" s="443" t="b">
        <v>1</v>
      </c>
      <c r="T74" s="443" t="b">
        <v>1</v>
      </c>
      <c r="U74" s="443" t="b">
        <v>1</v>
      </c>
      <c r="V74" s="444"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34" t="s">
        <v>251</v>
      </c>
      <c r="D75" s="443" t="b">
        <v>0</v>
      </c>
      <c r="E75" s="443" t="b">
        <v>0</v>
      </c>
      <c r="F75" s="443" t="b">
        <v>0</v>
      </c>
      <c r="G75" s="443" t="b">
        <v>1</v>
      </c>
      <c r="H75" s="443" t="b">
        <v>1</v>
      </c>
      <c r="I75" s="443" t="b">
        <v>1</v>
      </c>
      <c r="J75" s="443" t="b">
        <v>1</v>
      </c>
      <c r="K75" s="443" t="b">
        <v>1</v>
      </c>
      <c r="L75" s="443" t="b">
        <v>1</v>
      </c>
      <c r="M75" s="443" t="b">
        <v>1</v>
      </c>
      <c r="N75" s="443" t="b">
        <v>1</v>
      </c>
      <c r="O75" s="443" t="b">
        <v>1</v>
      </c>
      <c r="P75" s="443" t="b">
        <v>1</v>
      </c>
      <c r="Q75" s="443" t="b">
        <v>1</v>
      </c>
      <c r="R75" s="443" t="b">
        <v>1</v>
      </c>
      <c r="S75" s="443" t="b">
        <v>1</v>
      </c>
      <c r="T75" s="443" t="b">
        <v>1</v>
      </c>
      <c r="U75" s="443" t="b">
        <v>1</v>
      </c>
      <c r="V75" s="444"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40" t="s">
        <v>252</v>
      </c>
      <c r="D76" s="443" t="b">
        <v>1</v>
      </c>
      <c r="E76" s="443" t="b">
        <v>1</v>
      </c>
      <c r="F76" s="443" t="b">
        <v>1</v>
      </c>
      <c r="G76" s="443" t="b">
        <v>1</v>
      </c>
      <c r="H76" s="443" t="b">
        <v>1</v>
      </c>
      <c r="I76" s="443" t="b">
        <v>1</v>
      </c>
      <c r="J76" s="443" t="b">
        <v>1</v>
      </c>
      <c r="K76" s="443" t="b">
        <v>1</v>
      </c>
      <c r="L76" s="443" t="b">
        <v>1</v>
      </c>
      <c r="M76" s="443" t="b">
        <v>1</v>
      </c>
      <c r="N76" s="443" t="b">
        <v>1</v>
      </c>
      <c r="O76" s="443" t="b">
        <v>1</v>
      </c>
      <c r="P76" s="443" t="b">
        <v>1</v>
      </c>
      <c r="Q76" s="443" t="b">
        <v>1</v>
      </c>
      <c r="R76" s="443" t="b">
        <v>1</v>
      </c>
      <c r="S76" s="443" t="b">
        <v>1</v>
      </c>
      <c r="T76" s="443" t="b">
        <v>1</v>
      </c>
      <c r="U76" s="443" t="b">
        <v>1</v>
      </c>
      <c r="V76" s="444"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40" t="s">
        <v>253</v>
      </c>
      <c r="D77" s="443" t="b">
        <v>1</v>
      </c>
      <c r="E77" s="443" t="b">
        <v>1</v>
      </c>
      <c r="F77" s="443" t="b">
        <v>1</v>
      </c>
      <c r="G77" s="443" t="b">
        <v>1</v>
      </c>
      <c r="H77" s="443" t="b">
        <v>1</v>
      </c>
      <c r="I77" s="443" t="b">
        <v>1</v>
      </c>
      <c r="J77" s="443" t="b">
        <v>1</v>
      </c>
      <c r="K77" s="443" t="b">
        <v>1</v>
      </c>
      <c r="L77" s="443" t="b">
        <v>1</v>
      </c>
      <c r="M77" s="443" t="b">
        <v>1</v>
      </c>
      <c r="N77" s="443" t="b">
        <v>1</v>
      </c>
      <c r="O77" s="443" t="b">
        <v>1</v>
      </c>
      <c r="P77" s="443" t="b">
        <v>1</v>
      </c>
      <c r="Q77" s="443" t="b">
        <v>1</v>
      </c>
      <c r="R77" s="443" t="b">
        <v>1</v>
      </c>
      <c r="S77" s="443" t="b">
        <v>1</v>
      </c>
      <c r="T77" s="443" t="b">
        <v>1</v>
      </c>
      <c r="U77" s="443" t="b">
        <v>1</v>
      </c>
      <c r="V77" s="444"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34" t="s">
        <v>254</v>
      </c>
      <c r="D78" s="443" t="b">
        <v>0</v>
      </c>
      <c r="E78" s="443" t="b">
        <v>0</v>
      </c>
      <c r="F78" s="443" t="b">
        <v>0</v>
      </c>
      <c r="G78" s="443" t="b">
        <v>1</v>
      </c>
      <c r="H78" s="443" t="b">
        <v>1</v>
      </c>
      <c r="I78" s="443" t="b">
        <v>1</v>
      </c>
      <c r="J78" s="443" t="b">
        <v>1</v>
      </c>
      <c r="K78" s="443" t="b">
        <v>1</v>
      </c>
      <c r="L78" s="443" t="b">
        <v>1</v>
      </c>
      <c r="M78" s="443" t="b">
        <v>1</v>
      </c>
      <c r="N78" s="443" t="b">
        <v>1</v>
      </c>
      <c r="O78" s="443" t="b">
        <v>1</v>
      </c>
      <c r="P78" s="443" t="b">
        <v>1</v>
      </c>
      <c r="Q78" s="443" t="b">
        <v>1</v>
      </c>
      <c r="R78" s="443" t="b">
        <v>1</v>
      </c>
      <c r="S78" s="443" t="b">
        <v>1</v>
      </c>
      <c r="T78" s="443" t="b">
        <v>1</v>
      </c>
      <c r="U78" s="443" t="b">
        <v>1</v>
      </c>
      <c r="V78" s="444"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40" t="s">
        <v>255</v>
      </c>
      <c r="D79" s="443" t="b">
        <v>1</v>
      </c>
      <c r="E79" s="443" t="b">
        <v>1</v>
      </c>
      <c r="F79" s="443" t="b">
        <v>1</v>
      </c>
      <c r="G79" s="443" t="b">
        <v>1</v>
      </c>
      <c r="H79" s="443" t="b">
        <v>1</v>
      </c>
      <c r="I79" s="443" t="b">
        <v>1</v>
      </c>
      <c r="J79" s="443" t="b">
        <v>1</v>
      </c>
      <c r="K79" s="443" t="b">
        <v>1</v>
      </c>
      <c r="L79" s="443" t="b">
        <v>1</v>
      </c>
      <c r="M79" s="443" t="b">
        <v>1</v>
      </c>
      <c r="N79" s="443" t="b">
        <v>1</v>
      </c>
      <c r="O79" s="443" t="b">
        <v>1</v>
      </c>
      <c r="P79" s="443" t="b">
        <v>1</v>
      </c>
      <c r="Q79" s="443" t="b">
        <v>1</v>
      </c>
      <c r="R79" s="443" t="b">
        <v>1</v>
      </c>
      <c r="S79" s="443" t="b">
        <v>1</v>
      </c>
      <c r="T79" s="443" t="b">
        <v>1</v>
      </c>
      <c r="U79" s="443" t="b">
        <v>1</v>
      </c>
      <c r="V79" s="444"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34" t="s">
        <v>256</v>
      </c>
      <c r="D80" s="443" t="b">
        <v>0</v>
      </c>
      <c r="E80" s="443" t="b">
        <v>0</v>
      </c>
      <c r="F80" s="443" t="b">
        <v>0</v>
      </c>
      <c r="G80" s="443" t="b">
        <v>1</v>
      </c>
      <c r="H80" s="443" t="b">
        <v>1</v>
      </c>
      <c r="I80" s="443" t="b">
        <v>1</v>
      </c>
      <c r="J80" s="443" t="b">
        <v>1</v>
      </c>
      <c r="K80" s="443" t="b">
        <v>1</v>
      </c>
      <c r="L80" s="443" t="b">
        <v>1</v>
      </c>
      <c r="M80" s="443" t="b">
        <v>1</v>
      </c>
      <c r="N80" s="443" t="b">
        <v>1</v>
      </c>
      <c r="O80" s="443" t="b">
        <v>1</v>
      </c>
      <c r="P80" s="443" t="b">
        <v>1</v>
      </c>
      <c r="Q80" s="443" t="b">
        <v>1</v>
      </c>
      <c r="R80" s="443" t="b">
        <v>1</v>
      </c>
      <c r="S80" s="443" t="b">
        <v>1</v>
      </c>
      <c r="T80" s="443" t="b">
        <v>1</v>
      </c>
      <c r="U80" s="443" t="b">
        <v>1</v>
      </c>
      <c r="V80" s="444"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34" t="s">
        <v>257</v>
      </c>
      <c r="D81" s="443" t="b">
        <v>0</v>
      </c>
      <c r="E81" s="443" t="b">
        <v>0</v>
      </c>
      <c r="F81" s="443" t="b">
        <v>0</v>
      </c>
      <c r="G81" s="443" t="b">
        <v>1</v>
      </c>
      <c r="H81" s="443" t="b">
        <v>1</v>
      </c>
      <c r="I81" s="443" t="b">
        <v>1</v>
      </c>
      <c r="J81" s="443" t="b">
        <v>1</v>
      </c>
      <c r="K81" s="443" t="b">
        <v>1</v>
      </c>
      <c r="L81" s="443" t="b">
        <v>1</v>
      </c>
      <c r="M81" s="443" t="b">
        <v>1</v>
      </c>
      <c r="N81" s="443" t="b">
        <v>1</v>
      </c>
      <c r="O81" s="443" t="b">
        <v>1</v>
      </c>
      <c r="P81" s="443" t="b">
        <v>1</v>
      </c>
      <c r="Q81" s="443" t="b">
        <v>1</v>
      </c>
      <c r="R81" s="443" t="b">
        <v>1</v>
      </c>
      <c r="S81" s="443" t="b">
        <v>1</v>
      </c>
      <c r="T81" s="443" t="b">
        <v>1</v>
      </c>
      <c r="U81" s="443" t="b">
        <v>1</v>
      </c>
      <c r="V81" s="444"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34" t="s">
        <v>258</v>
      </c>
      <c r="D82" s="443" t="b">
        <v>0</v>
      </c>
      <c r="E82" s="443" t="b">
        <v>0</v>
      </c>
      <c r="F82" s="443" t="b">
        <v>0</v>
      </c>
      <c r="G82" s="443" t="b">
        <v>1</v>
      </c>
      <c r="H82" s="443" t="b">
        <v>1</v>
      </c>
      <c r="I82" s="443" t="b">
        <v>1</v>
      </c>
      <c r="J82" s="443" t="b">
        <v>1</v>
      </c>
      <c r="K82" s="443" t="b">
        <v>1</v>
      </c>
      <c r="L82" s="443" t="b">
        <v>1</v>
      </c>
      <c r="M82" s="443" t="b">
        <v>1</v>
      </c>
      <c r="N82" s="443" t="b">
        <v>1</v>
      </c>
      <c r="O82" s="443" t="b">
        <v>1</v>
      </c>
      <c r="P82" s="443" t="b">
        <v>1</v>
      </c>
      <c r="Q82" s="443" t="b">
        <v>1</v>
      </c>
      <c r="R82" s="443" t="b">
        <v>1</v>
      </c>
      <c r="S82" s="443" t="b">
        <v>1</v>
      </c>
      <c r="T82" s="443" t="b">
        <v>1</v>
      </c>
      <c r="U82" s="443" t="b">
        <v>1</v>
      </c>
      <c r="V82" s="444"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47" t="s">
        <v>259</v>
      </c>
      <c r="D83" s="448" t="b">
        <v>0</v>
      </c>
      <c r="E83" s="448" t="b">
        <v>0</v>
      </c>
      <c r="F83" s="448" t="b">
        <v>0</v>
      </c>
      <c r="G83" s="448" t="b">
        <v>1</v>
      </c>
      <c r="H83" s="448" t="b">
        <v>1</v>
      </c>
      <c r="I83" s="448" t="b">
        <v>1</v>
      </c>
      <c r="J83" s="448" t="b">
        <v>1</v>
      </c>
      <c r="K83" s="448" t="b">
        <v>1</v>
      </c>
      <c r="L83" s="448" t="b">
        <v>1</v>
      </c>
      <c r="M83" s="448" t="b">
        <v>1</v>
      </c>
      <c r="N83" s="448" t="b">
        <v>1</v>
      </c>
      <c r="O83" s="448" t="b">
        <v>1</v>
      </c>
      <c r="P83" s="448" t="b">
        <v>1</v>
      </c>
      <c r="Q83" s="448" t="b">
        <v>1</v>
      </c>
      <c r="R83" s="448" t="b">
        <v>1</v>
      </c>
      <c r="S83" s="448" t="b">
        <v>1</v>
      </c>
      <c r="T83" s="448" t="b">
        <v>1</v>
      </c>
      <c r="U83" s="448" t="b">
        <v>1</v>
      </c>
      <c r="V83" s="449"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313</v>
      </c>
      <c r="D86" s="452"/>
      <c r="E86" s="452"/>
      <c r="F86" s="452"/>
      <c r="G86" s="35"/>
      <c r="H86" s="35"/>
      <c r="I86" s="35"/>
      <c r="J86" s="31" t="s">
        <v>318</v>
      </c>
      <c r="K86" s="358"/>
      <c r="L86" s="358"/>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53" t="s">
        <v>314</v>
      </c>
      <c r="D87" s="454" t="s">
        <v>315</v>
      </c>
      <c r="E87" s="454" t="s">
        <v>316</v>
      </c>
      <c r="F87" s="454" t="s">
        <v>317</v>
      </c>
      <c r="G87" s="35"/>
      <c r="H87" s="35"/>
      <c r="I87" s="35"/>
      <c r="J87" s="464"/>
      <c r="K87" s="465" t="s">
        <v>125</v>
      </c>
      <c r="L87" s="466" t="s">
        <v>319</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55" t="s">
        <v>211</v>
      </c>
      <c r="D88" s="456">
        <v>0.18</v>
      </c>
      <c r="E88" s="456">
        <v>0.15</v>
      </c>
      <c r="F88" s="457">
        <v>0.17</v>
      </c>
      <c r="G88" s="35"/>
      <c r="H88" s="35"/>
      <c r="I88" s="35"/>
      <c r="J88" s="467" t="s">
        <v>320</v>
      </c>
      <c r="K88" s="468">
        <v>0.2</v>
      </c>
      <c r="L88" s="469">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58" t="s">
        <v>210</v>
      </c>
      <c r="D89" s="459">
        <v>0.11</v>
      </c>
      <c r="E89" s="459">
        <v>0.11</v>
      </c>
      <c r="F89" s="460">
        <v>0.06</v>
      </c>
      <c r="G89" s="35"/>
      <c r="H89" s="35"/>
      <c r="I89" s="35"/>
      <c r="J89" s="467" t="s">
        <v>321</v>
      </c>
      <c r="K89" s="468">
        <v>0</v>
      </c>
      <c r="L89" s="469">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58" t="s">
        <v>213</v>
      </c>
      <c r="D90" s="459">
        <v>0.09</v>
      </c>
      <c r="E90" s="459">
        <v>0.08</v>
      </c>
      <c r="F90" s="460">
        <v>0.06</v>
      </c>
      <c r="G90" s="35"/>
      <c r="H90" s="35"/>
      <c r="I90" s="35"/>
      <c r="J90" s="467" t="s">
        <v>322</v>
      </c>
      <c r="K90" s="468">
        <v>0.2</v>
      </c>
      <c r="L90" s="469">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58" t="s">
        <v>212</v>
      </c>
      <c r="D91" s="459">
        <v>0.11</v>
      </c>
      <c r="E91" s="459">
        <v>0.1</v>
      </c>
      <c r="F91" s="460">
        <v>7.0000000000000007E-2</v>
      </c>
      <c r="G91" s="35"/>
      <c r="H91" s="35"/>
      <c r="I91" s="35"/>
      <c r="J91" s="467" t="s">
        <v>323</v>
      </c>
      <c r="K91" s="468">
        <v>0.2</v>
      </c>
      <c r="L91" s="469">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58" t="s">
        <v>214</v>
      </c>
      <c r="D92" s="459">
        <v>0.15</v>
      </c>
      <c r="E92" s="459">
        <v>0.13</v>
      </c>
      <c r="F92" s="460">
        <v>0.1</v>
      </c>
      <c r="G92" s="35"/>
      <c r="H92" s="35"/>
      <c r="I92" s="35"/>
      <c r="J92" s="467" t="s">
        <v>324</v>
      </c>
      <c r="K92" s="468">
        <v>0.15</v>
      </c>
      <c r="L92" s="469">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58" t="s">
        <v>215</v>
      </c>
      <c r="D93" s="459">
        <v>0.11</v>
      </c>
      <c r="E93" s="459">
        <v>0.09</v>
      </c>
      <c r="F93" s="460">
        <v>7.0000000000000007E-2</v>
      </c>
      <c r="G93" s="35"/>
      <c r="H93" s="35"/>
      <c r="I93" s="35"/>
      <c r="J93" s="467" t="s">
        <v>325</v>
      </c>
      <c r="K93" s="468">
        <v>0</v>
      </c>
      <c r="L93" s="469">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58" t="s">
        <v>216</v>
      </c>
      <c r="D94" s="459">
        <v>0.17</v>
      </c>
      <c r="E94" s="459">
        <v>0.15</v>
      </c>
      <c r="F94" s="460">
        <v>0.13</v>
      </c>
      <c r="G94" s="35"/>
      <c r="H94" s="35"/>
      <c r="I94" s="35"/>
      <c r="J94" s="467" t="s">
        <v>326</v>
      </c>
      <c r="K94" s="468">
        <v>0.2</v>
      </c>
      <c r="L94" s="469">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58" t="s">
        <v>11</v>
      </c>
      <c r="D95" s="459">
        <v>0.12</v>
      </c>
      <c r="E95" s="459">
        <v>0.12</v>
      </c>
      <c r="F95" s="460">
        <v>0.05</v>
      </c>
      <c r="G95" s="35"/>
      <c r="H95" s="35"/>
      <c r="I95" s="35"/>
      <c r="J95" s="467" t="s">
        <v>327</v>
      </c>
      <c r="K95" s="468">
        <v>0</v>
      </c>
      <c r="L95" s="469">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58" t="s">
        <v>217</v>
      </c>
      <c r="D96" s="459">
        <v>0.14000000000000001</v>
      </c>
      <c r="E96" s="459">
        <v>0.1</v>
      </c>
      <c r="F96" s="460">
        <v>0.08</v>
      </c>
      <c r="G96" s="35"/>
      <c r="H96" s="35"/>
      <c r="I96" s="35"/>
      <c r="J96" s="470" t="s">
        <v>329</v>
      </c>
      <c r="K96" s="471">
        <v>0.05</v>
      </c>
      <c r="L96" s="472">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58" t="s">
        <v>218</v>
      </c>
      <c r="D97" s="459">
        <v>0.11</v>
      </c>
      <c r="E97" s="459">
        <v>0.1</v>
      </c>
      <c r="F97" s="460">
        <v>0.08</v>
      </c>
      <c r="G97" s="35"/>
      <c r="H97" s="35"/>
      <c r="I97" s="35"/>
      <c r="J97" s="473" t="s">
        <v>328</v>
      </c>
      <c r="K97" s="474">
        <v>1</v>
      </c>
      <c r="L97" s="474">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58" t="s">
        <v>219</v>
      </c>
      <c r="D98" s="459">
        <v>0.11</v>
      </c>
      <c r="E98" s="459">
        <v>0.1</v>
      </c>
      <c r="F98" s="460">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58" t="s">
        <v>220</v>
      </c>
      <c r="D99" s="459">
        <v>0.37</v>
      </c>
      <c r="E99" s="459">
        <v>0.35</v>
      </c>
      <c r="F99" s="460">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58" t="s">
        <v>224</v>
      </c>
      <c r="D100" s="459">
        <v>0.11</v>
      </c>
      <c r="E100" s="459">
        <v>0.08</v>
      </c>
      <c r="F100" s="460">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58" t="s">
        <v>221</v>
      </c>
      <c r="D101" s="459">
        <v>0.09</v>
      </c>
      <c r="E101" s="459">
        <v>7.0000000000000007E-2</v>
      </c>
      <c r="F101" s="460">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58" t="s">
        <v>222</v>
      </c>
      <c r="D102" s="459">
        <v>0.11</v>
      </c>
      <c r="E102" s="459">
        <v>0.08</v>
      </c>
      <c r="F102" s="460">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58" t="s">
        <v>223</v>
      </c>
      <c r="D103" s="459">
        <v>0.11</v>
      </c>
      <c r="E103" s="459">
        <v>0.09</v>
      </c>
      <c r="F103" s="460">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58" t="s">
        <v>225</v>
      </c>
      <c r="D104" s="459">
        <v>0.11</v>
      </c>
      <c r="E104" s="459">
        <v>0.09</v>
      </c>
      <c r="F104" s="460">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58" t="s">
        <v>226</v>
      </c>
      <c r="D105" s="459">
        <v>0.09</v>
      </c>
      <c r="E105" s="459">
        <v>0.09</v>
      </c>
      <c r="F105" s="460">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58" t="s">
        <v>227</v>
      </c>
      <c r="D106" s="459">
        <v>0.08</v>
      </c>
      <c r="E106" s="459">
        <v>0.08</v>
      </c>
      <c r="F106" s="460">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58" t="s">
        <v>230</v>
      </c>
      <c r="D107" s="459">
        <v>0.15</v>
      </c>
      <c r="E107" s="459">
        <v>0.14000000000000001</v>
      </c>
      <c r="F107" s="460">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58" t="s">
        <v>229</v>
      </c>
      <c r="D108" s="459">
        <v>0.13</v>
      </c>
      <c r="E108" s="459">
        <v>0.1</v>
      </c>
      <c r="F108" s="460">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58" t="s">
        <v>228</v>
      </c>
      <c r="D109" s="459">
        <v>0.15</v>
      </c>
      <c r="E109" s="459">
        <v>0.12</v>
      </c>
      <c r="F109" s="460">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58" t="s">
        <v>231</v>
      </c>
      <c r="D110" s="459">
        <v>0.14000000000000001</v>
      </c>
      <c r="E110" s="459">
        <v>0.11</v>
      </c>
      <c r="F110" s="460">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58" t="s">
        <v>232</v>
      </c>
      <c r="D111" s="459">
        <v>0.11</v>
      </c>
      <c r="E111" s="459">
        <v>0.09</v>
      </c>
      <c r="F111" s="46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58" t="s">
        <v>234</v>
      </c>
      <c r="D112" s="459">
        <v>0.1</v>
      </c>
      <c r="E112" s="459">
        <v>0.08</v>
      </c>
      <c r="F112" s="460">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58" t="s">
        <v>233</v>
      </c>
      <c r="D113" s="459">
        <v>0.1</v>
      </c>
      <c r="E113" s="459">
        <v>0.09</v>
      </c>
      <c r="F113" s="46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58" t="s">
        <v>235</v>
      </c>
      <c r="D114" s="459">
        <v>0.1</v>
      </c>
      <c r="E114" s="459">
        <v>0.09</v>
      </c>
      <c r="F114" s="460">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58" t="s">
        <v>242</v>
      </c>
      <c r="D115" s="459">
        <v>0.11</v>
      </c>
      <c r="E115" s="459">
        <v>0.09</v>
      </c>
      <c r="F115" s="460">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58" t="s">
        <v>243</v>
      </c>
      <c r="D116" s="459">
        <v>0.09</v>
      </c>
      <c r="E116" s="459">
        <v>0.08</v>
      </c>
      <c r="F116" s="460">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58" t="s">
        <v>236</v>
      </c>
      <c r="D117" s="459">
        <v>0.1</v>
      </c>
      <c r="E117" s="459">
        <v>0.08</v>
      </c>
      <c r="F117" s="460">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58" t="s">
        <v>238</v>
      </c>
      <c r="D118" s="459">
        <v>0.16</v>
      </c>
      <c r="E118" s="459">
        <v>0.13</v>
      </c>
      <c r="F118" s="460">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58" t="s">
        <v>239</v>
      </c>
      <c r="D119" s="459">
        <v>0.16</v>
      </c>
      <c r="E119" s="459">
        <v>0.13</v>
      </c>
      <c r="F119" s="460">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58" t="s">
        <v>240</v>
      </c>
      <c r="D120" s="459">
        <v>0.11</v>
      </c>
      <c r="E120" s="459">
        <v>0.09</v>
      </c>
      <c r="F120" s="460">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58" t="s">
        <v>237</v>
      </c>
      <c r="D121" s="459">
        <v>0.12</v>
      </c>
      <c r="E121" s="459">
        <v>0.09</v>
      </c>
      <c r="F121" s="460">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58" t="s">
        <v>241</v>
      </c>
      <c r="D122" s="459">
        <v>0.18</v>
      </c>
      <c r="E122" s="459">
        <v>0.15</v>
      </c>
      <c r="F122" s="460">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58" t="s">
        <v>244</v>
      </c>
      <c r="D123" s="459">
        <v>0.12</v>
      </c>
      <c r="E123" s="459">
        <v>0.09</v>
      </c>
      <c r="F123" s="460">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58" t="s">
        <v>245</v>
      </c>
      <c r="D124" s="459">
        <v>0.1</v>
      </c>
      <c r="E124" s="459">
        <v>7.0000000000000007E-2</v>
      </c>
      <c r="F124" s="460">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58" t="s">
        <v>246</v>
      </c>
      <c r="D125" s="459">
        <v>0.1</v>
      </c>
      <c r="E125" s="459">
        <v>0.08</v>
      </c>
      <c r="F125" s="460">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58" t="s">
        <v>247</v>
      </c>
      <c r="D126" s="459">
        <v>0.13</v>
      </c>
      <c r="E126" s="459">
        <v>0.09</v>
      </c>
      <c r="F126" s="460">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58" t="s">
        <v>248</v>
      </c>
      <c r="D127" s="459">
        <v>0.14000000000000001</v>
      </c>
      <c r="E127" s="459">
        <v>0.12</v>
      </c>
      <c r="F127" s="460">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58" t="s">
        <v>249</v>
      </c>
      <c r="D128" s="459">
        <v>0.12</v>
      </c>
      <c r="E128" s="459">
        <v>0.1</v>
      </c>
      <c r="F128" s="460">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58" t="s">
        <v>250</v>
      </c>
      <c r="D129" s="459">
        <v>0.1</v>
      </c>
      <c r="E129" s="459">
        <v>0.08</v>
      </c>
      <c r="F129" s="460">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58" t="s">
        <v>251</v>
      </c>
      <c r="D130" s="459">
        <v>0.1</v>
      </c>
      <c r="E130" s="459">
        <v>0.1</v>
      </c>
      <c r="F130" s="460">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58" t="s">
        <v>252</v>
      </c>
      <c r="D131" s="459">
        <v>0.11</v>
      </c>
      <c r="E131" s="459">
        <v>0.08</v>
      </c>
      <c r="F131" s="460">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58" t="s">
        <v>253</v>
      </c>
      <c r="D132" s="459">
        <v>0.1</v>
      </c>
      <c r="E132" s="459">
        <v>0.08</v>
      </c>
      <c r="F132" s="460">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58" t="s">
        <v>255</v>
      </c>
      <c r="D133" s="459">
        <v>0.11</v>
      </c>
      <c r="E133" s="459">
        <v>0.08</v>
      </c>
      <c r="F133" s="460">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58" t="s">
        <v>254</v>
      </c>
      <c r="D134" s="459">
        <v>0.17</v>
      </c>
      <c r="E134" s="459">
        <v>0.14000000000000001</v>
      </c>
      <c r="F134" s="460">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58" t="s">
        <v>256</v>
      </c>
      <c r="D135" s="459">
        <v>0.09</v>
      </c>
      <c r="E135" s="459">
        <v>0.08</v>
      </c>
      <c r="F135" s="460">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58" t="s">
        <v>258</v>
      </c>
      <c r="D136" s="459">
        <v>0.13</v>
      </c>
      <c r="E136" s="459">
        <v>0.11</v>
      </c>
      <c r="F136" s="460">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58" t="s">
        <v>257</v>
      </c>
      <c r="D137" s="459">
        <v>0.1</v>
      </c>
      <c r="E137" s="459">
        <v>0.08</v>
      </c>
      <c r="F137" s="460">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61" t="s">
        <v>259</v>
      </c>
      <c r="D138" s="462">
        <v>0.1</v>
      </c>
      <c r="E138" s="462">
        <v>0.08</v>
      </c>
      <c r="F138" s="463">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55" zoomScaleNormal="55" zoomScalePageLayoutView="55" workbookViewId="0">
      <selection activeCell="C67" sqref="C67:AC6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31"/>
      <c r="B2" s="33"/>
      <c r="C2" s="33"/>
      <c r="D2" s="374" t="s">
        <v>122</v>
      </c>
      <c r="E2" s="131"/>
      <c r="F2" s="131"/>
      <c r="G2" s="131"/>
      <c r="H2" s="131"/>
      <c r="I2" s="33"/>
      <c r="J2" s="33"/>
      <c r="K2" s="30"/>
      <c r="L2" s="33"/>
      <c r="M2" s="374" t="s">
        <v>170</v>
      </c>
      <c r="N2" s="131"/>
      <c r="O2" s="131"/>
      <c r="P2" s="131"/>
      <c r="Q2" s="131"/>
      <c r="R2" s="33"/>
      <c r="S2" s="33"/>
      <c r="T2" s="33"/>
      <c r="U2" s="33"/>
      <c r="V2" s="131"/>
      <c r="W2" s="131"/>
      <c r="X2" s="131"/>
      <c r="Y2" s="131"/>
      <c r="Z2" s="131"/>
      <c r="AA2" s="378"/>
      <c r="AB2" s="378"/>
      <c r="AC2" s="378"/>
      <c r="AD2" s="158"/>
      <c r="AE2" s="376"/>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31"/>
      <c r="B3" s="33"/>
      <c r="C3" s="33"/>
      <c r="D3" s="33"/>
      <c r="E3" s="131"/>
      <c r="F3" s="33"/>
      <c r="G3" s="131"/>
      <c r="H3" s="131"/>
      <c r="I3" s="30"/>
      <c r="J3" s="33"/>
      <c r="K3" s="131"/>
      <c r="L3" s="33"/>
      <c r="M3" s="128" t="s">
        <v>171</v>
      </c>
      <c r="N3" s="128"/>
      <c r="O3" s="128"/>
      <c r="P3" s="252" t="b">
        <v>0</v>
      </c>
      <c r="Q3" s="379" t="s">
        <v>279</v>
      </c>
      <c r="R3" s="33"/>
      <c r="S3" s="33"/>
      <c r="T3" s="33"/>
      <c r="U3" s="33"/>
      <c r="V3" s="131"/>
      <c r="W3" s="131"/>
      <c r="X3" s="131"/>
      <c r="Y3" s="131"/>
      <c r="Z3" s="131"/>
      <c r="AA3" s="378"/>
      <c r="AB3" s="378"/>
      <c r="AC3" s="378"/>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31"/>
      <c r="B4" s="33"/>
      <c r="C4" s="189" t="s">
        <v>287</v>
      </c>
      <c r="D4" s="33"/>
      <c r="E4" s="131"/>
      <c r="F4" s="33"/>
      <c r="G4" s="131"/>
      <c r="H4" s="131"/>
      <c r="I4" s="30"/>
      <c r="J4" s="33"/>
      <c r="K4" s="131"/>
      <c r="L4" s="33"/>
      <c r="M4" s="244" t="s">
        <v>276</v>
      </c>
      <c r="N4" s="128"/>
      <c r="O4" s="128"/>
      <c r="P4" s="245">
        <v>2014</v>
      </c>
      <c r="Q4" s="373" t="s">
        <v>172</v>
      </c>
      <c r="R4" s="33"/>
      <c r="S4" s="33"/>
      <c r="T4" s="33"/>
      <c r="U4" s="33"/>
      <c r="V4" s="131"/>
      <c r="W4" s="131"/>
      <c r="X4" s="131"/>
      <c r="Y4" s="131"/>
      <c r="Z4" s="131"/>
      <c r="AA4" s="378"/>
      <c r="AB4" s="378"/>
      <c r="AC4" s="378"/>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31"/>
      <c r="B5" s="33"/>
      <c r="C5" s="189" t="s">
        <v>288</v>
      </c>
      <c r="D5" s="33"/>
      <c r="E5" s="131"/>
      <c r="F5" s="33"/>
      <c r="G5" s="131"/>
      <c r="H5" s="131"/>
      <c r="I5" s="30"/>
      <c r="J5" s="33"/>
      <c r="K5" s="131"/>
      <c r="L5" s="33"/>
      <c r="M5" s="244" t="s">
        <v>277</v>
      </c>
      <c r="N5" s="128"/>
      <c r="O5" s="375"/>
      <c r="P5" s="252" t="s">
        <v>262</v>
      </c>
      <c r="Q5" s="377" t="s">
        <v>278</v>
      </c>
      <c r="R5" s="134"/>
      <c r="S5" s="33"/>
      <c r="T5" s="33"/>
      <c r="U5" s="33"/>
      <c r="V5" s="131"/>
      <c r="W5" s="131"/>
      <c r="X5" s="131"/>
      <c r="Y5" s="131"/>
      <c r="Z5" s="131"/>
      <c r="AA5" s="378"/>
      <c r="AB5" s="378"/>
      <c r="AC5" s="378"/>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31"/>
      <c r="B6" s="33"/>
      <c r="C6" s="189" t="s">
        <v>289</v>
      </c>
      <c r="D6" s="33"/>
      <c r="E6" s="131"/>
      <c r="F6" s="33"/>
      <c r="G6" s="131"/>
      <c r="H6" s="131"/>
      <c r="I6" s="131"/>
      <c r="J6" s="131"/>
      <c r="K6" s="33"/>
      <c r="L6" s="158"/>
      <c r="M6" s="158"/>
      <c r="N6" s="528"/>
      <c r="O6" s="528"/>
      <c r="P6" s="158"/>
      <c r="Q6" s="158"/>
      <c r="R6" s="134"/>
      <c r="S6" s="131"/>
      <c r="T6" s="131"/>
      <c r="U6" s="131"/>
      <c r="V6" s="131"/>
      <c r="W6" s="131"/>
      <c r="X6" s="131"/>
      <c r="Y6" s="131"/>
      <c r="Z6" s="131"/>
      <c r="AA6" s="378"/>
      <c r="AB6" s="378"/>
      <c r="AC6" s="378"/>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 customHeight="1" thickBot="1">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c r="A14" s="131"/>
      <c r="B14" s="361"/>
      <c r="C14" s="362" t="s">
        <v>123</v>
      </c>
      <c r="D14" s="363"/>
      <c r="E14" s="363"/>
      <c r="F14" s="363"/>
      <c r="G14" s="363"/>
      <c r="H14" s="363"/>
      <c r="I14" s="363"/>
      <c r="J14" s="363"/>
      <c r="K14" s="363"/>
      <c r="L14" s="362" t="s">
        <v>128</v>
      </c>
      <c r="M14" s="363"/>
      <c r="N14" s="363"/>
      <c r="O14" s="363"/>
      <c r="P14" s="363"/>
      <c r="Q14" s="363"/>
      <c r="R14" s="363"/>
      <c r="S14" s="363"/>
      <c r="T14" s="363"/>
      <c r="U14" s="362" t="s">
        <v>124</v>
      </c>
      <c r="V14" s="363"/>
      <c r="W14" s="363"/>
      <c r="X14" s="363"/>
      <c r="Y14" s="363"/>
      <c r="Z14" s="363"/>
      <c r="AA14" s="363"/>
      <c r="AB14" s="363"/>
      <c r="AC14" s="527"/>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31"/>
      <c r="B15" s="364"/>
      <c r="C15" s="607" t="s">
        <v>125</v>
      </c>
      <c r="D15" s="605"/>
      <c r="E15" s="605"/>
      <c r="F15" s="605" t="s">
        <v>126</v>
      </c>
      <c r="G15" s="605"/>
      <c r="H15" s="605"/>
      <c r="I15" s="605" t="s">
        <v>127</v>
      </c>
      <c r="J15" s="608"/>
      <c r="K15" s="608"/>
      <c r="L15" s="607" t="s">
        <v>125</v>
      </c>
      <c r="M15" s="605"/>
      <c r="N15" s="605"/>
      <c r="O15" s="605" t="s">
        <v>126</v>
      </c>
      <c r="P15" s="605"/>
      <c r="Q15" s="605"/>
      <c r="R15" s="605" t="s">
        <v>127</v>
      </c>
      <c r="S15" s="608"/>
      <c r="T15" s="608"/>
      <c r="U15" s="607" t="s">
        <v>125</v>
      </c>
      <c r="V15" s="605"/>
      <c r="W15" s="605"/>
      <c r="X15" s="605" t="s">
        <v>126</v>
      </c>
      <c r="Y15" s="605"/>
      <c r="Z15" s="605"/>
      <c r="AA15" s="605" t="s">
        <v>127</v>
      </c>
      <c r="AB15" s="605"/>
      <c r="AC15" s="606"/>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31"/>
      <c r="B16" s="365" t="s">
        <v>115</v>
      </c>
      <c r="C16" s="316" t="s">
        <v>116</v>
      </c>
      <c r="D16" s="317" t="s">
        <v>117</v>
      </c>
      <c r="E16" s="317" t="s">
        <v>118</v>
      </c>
      <c r="F16" s="318" t="s">
        <v>116</v>
      </c>
      <c r="G16" s="317" t="s">
        <v>117</v>
      </c>
      <c r="H16" s="317" t="s">
        <v>118</v>
      </c>
      <c r="I16" s="318" t="s">
        <v>116</v>
      </c>
      <c r="J16" s="317" t="s">
        <v>117</v>
      </c>
      <c r="K16" s="317" t="s">
        <v>118</v>
      </c>
      <c r="L16" s="319" t="s">
        <v>119</v>
      </c>
      <c r="M16" s="317" t="s">
        <v>120</v>
      </c>
      <c r="N16" s="320" t="s">
        <v>118</v>
      </c>
      <c r="O16" s="321" t="s">
        <v>119</v>
      </c>
      <c r="P16" s="317" t="s">
        <v>120</v>
      </c>
      <c r="Q16" s="317" t="s">
        <v>118</v>
      </c>
      <c r="R16" s="318" t="s">
        <v>119</v>
      </c>
      <c r="S16" s="317" t="s">
        <v>120</v>
      </c>
      <c r="T16" s="320" t="s">
        <v>118</v>
      </c>
      <c r="U16" s="319" t="s">
        <v>121</v>
      </c>
      <c r="V16" s="317" t="s">
        <v>117</v>
      </c>
      <c r="W16" s="320" t="s">
        <v>118</v>
      </c>
      <c r="X16" s="321" t="s">
        <v>121</v>
      </c>
      <c r="Y16" s="317" t="s">
        <v>117</v>
      </c>
      <c r="Z16" s="317" t="s">
        <v>118</v>
      </c>
      <c r="AA16" s="318" t="s">
        <v>121</v>
      </c>
      <c r="AB16" s="317" t="s">
        <v>117</v>
      </c>
      <c r="AC16" s="522"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31"/>
      <c r="B17" s="366"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3"/>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31"/>
      <c r="B18" s="366"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7"/>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31"/>
      <c r="B19" s="366"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7"/>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31"/>
      <c r="B20" s="366"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7"/>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31"/>
      <c r="B21" s="366"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7"/>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31"/>
      <c r="B22" s="366"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7"/>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31"/>
      <c r="B23" s="366"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7"/>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31"/>
      <c r="B24" s="366"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7"/>
      <c r="AD24" s="161" t="s">
        <v>10</v>
      </c>
      <c r="AE24" s="139"/>
      <c r="AF24" s="139"/>
      <c r="AG24" s="526"/>
      <c r="AH24" s="526"/>
      <c r="AI24" s="526"/>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31"/>
      <c r="B25" s="366"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7"/>
      <c r="AD25" s="161" t="s">
        <v>11</v>
      </c>
      <c r="AE25" s="139"/>
      <c r="AF25" s="139"/>
      <c r="AG25" s="526"/>
      <c r="AH25" s="526"/>
      <c r="AI25" s="526"/>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31"/>
      <c r="B26" s="366"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7"/>
      <c r="AD26" s="161" t="s">
        <v>12</v>
      </c>
      <c r="AE26" s="139"/>
      <c r="AF26" s="139"/>
      <c r="AG26" s="526"/>
      <c r="AH26" s="526"/>
      <c r="AI26" s="526"/>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31"/>
      <c r="B27" s="366"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7"/>
      <c r="AD27" s="161" t="s">
        <v>13</v>
      </c>
      <c r="AE27" s="139"/>
      <c r="AF27" s="139"/>
      <c r="AG27" s="526"/>
      <c r="AH27" s="526"/>
      <c r="AI27" s="526"/>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31"/>
      <c r="B28" s="366"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7"/>
      <c r="AD28" s="161" t="s">
        <v>159</v>
      </c>
      <c r="AE28" s="139"/>
      <c r="AF28" s="139"/>
      <c r="AG28" s="526"/>
      <c r="AH28" s="526"/>
      <c r="AI28" s="526"/>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31"/>
      <c r="B29" s="366"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7"/>
      <c r="AD29" s="161" t="s">
        <v>14</v>
      </c>
      <c r="AE29" s="139"/>
      <c r="AF29" s="139"/>
      <c r="AG29" s="526"/>
      <c r="AH29" s="526"/>
      <c r="AI29" s="526"/>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31"/>
      <c r="B30" s="366"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7"/>
      <c r="AD30" s="161" t="s">
        <v>15</v>
      </c>
      <c r="AE30" s="139"/>
      <c r="AF30" s="139"/>
      <c r="AG30" s="526"/>
      <c r="AH30" s="526"/>
      <c r="AI30" s="526"/>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31"/>
      <c r="B31" s="366"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7"/>
      <c r="AD31" s="161" t="s">
        <v>16</v>
      </c>
      <c r="AE31" s="139"/>
      <c r="AF31" s="139"/>
      <c r="AG31" s="529"/>
      <c r="AH31" s="526"/>
      <c r="AI31" s="526"/>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31"/>
      <c r="B32" s="366"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7"/>
      <c r="AD32" s="161" t="s">
        <v>17</v>
      </c>
      <c r="AE32" s="139"/>
      <c r="AF32" s="139"/>
      <c r="AG32" s="526"/>
      <c r="AH32" s="526"/>
      <c r="AI32" s="526"/>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31"/>
      <c r="B33" s="366"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7"/>
      <c r="AD33" s="161" t="s">
        <v>18</v>
      </c>
      <c r="AE33" s="139"/>
      <c r="AF33" s="139"/>
      <c r="AG33" s="526"/>
      <c r="AH33" s="526"/>
      <c r="AI33" s="526"/>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31"/>
      <c r="B34" s="366"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7"/>
      <c r="AD34" s="161" t="s">
        <v>19</v>
      </c>
      <c r="AE34" s="139"/>
      <c r="AF34" s="139"/>
      <c r="AG34" s="526"/>
      <c r="AH34" s="526"/>
      <c r="AI34" s="526"/>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31"/>
      <c r="B35" s="366"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7"/>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31"/>
      <c r="B36" s="366"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7"/>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31"/>
      <c r="B37" s="366"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7"/>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31"/>
      <c r="B38" s="366"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7"/>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31"/>
      <c r="B39" s="366"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7"/>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31"/>
      <c r="B40" s="366"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7"/>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31"/>
      <c r="B41" s="366"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7"/>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31"/>
      <c r="B42" s="366"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7"/>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31"/>
      <c r="B43" s="366"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7"/>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31"/>
      <c r="B44" s="366"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7"/>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31"/>
      <c r="B45" s="366"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7"/>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31"/>
      <c r="B46" s="366"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7"/>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31"/>
      <c r="B47" s="366"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7"/>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31"/>
      <c r="B48" s="366"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7"/>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31"/>
      <c r="B49" s="366"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7"/>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31"/>
      <c r="B50" s="366"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7"/>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31"/>
      <c r="B51" s="366"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7"/>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31"/>
      <c r="B52" s="366"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7"/>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31"/>
      <c r="B53" s="366"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7"/>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31"/>
      <c r="B54" s="366"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7"/>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31"/>
      <c r="B55" s="366"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7"/>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31"/>
      <c r="B56" s="366"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7"/>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31"/>
      <c r="B57" s="366"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7"/>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31"/>
      <c r="B58" s="366"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7"/>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31"/>
      <c r="B59" s="366"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7"/>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31"/>
      <c r="B60" s="366"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7"/>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31"/>
      <c r="B61" s="366"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7"/>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31"/>
      <c r="B62" s="366"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7"/>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31"/>
      <c r="B63" s="366"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7"/>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31"/>
      <c r="B64" s="366"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7"/>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31"/>
      <c r="B65" s="366"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7"/>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4"/>
      <c r="B66" s="366"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7"/>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4"/>
      <c r="B67" s="368" t="s">
        <v>259</v>
      </c>
      <c r="C67" s="519"/>
      <c r="D67" s="369"/>
      <c r="E67" s="520"/>
      <c r="F67" s="521"/>
      <c r="G67" s="369"/>
      <c r="H67" s="520"/>
      <c r="I67" s="521"/>
      <c r="J67" s="369"/>
      <c r="K67" s="369"/>
      <c r="L67" s="369"/>
      <c r="M67" s="369"/>
      <c r="N67" s="369"/>
      <c r="O67" s="369"/>
      <c r="P67" s="369"/>
      <c r="Q67" s="369"/>
      <c r="R67" s="369"/>
      <c r="S67" s="369"/>
      <c r="T67" s="369"/>
      <c r="U67" s="369"/>
      <c r="V67" s="369"/>
      <c r="W67" s="369"/>
      <c r="X67" s="369"/>
      <c r="Y67" s="369"/>
      <c r="Z67" s="369"/>
      <c r="AA67" s="369"/>
      <c r="AB67" s="369"/>
      <c r="AC67" s="370"/>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31"/>
      <c r="B172" s="141"/>
      <c r="C172" s="141"/>
      <c r="D172" s="141"/>
      <c r="E172" s="141"/>
      <c r="F172" s="524"/>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31"/>
      <c r="B173" s="141"/>
      <c r="C173" s="141"/>
      <c r="D173" s="141"/>
      <c r="E173" s="525" t="b">
        <v>1</v>
      </c>
      <c r="F173" s="524"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4"/>
      <c r="B174" s="141"/>
      <c r="C174" s="141"/>
      <c r="D174" s="141"/>
      <c r="E174" s="525" t="b">
        <v>0</v>
      </c>
      <c r="F174" s="524"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31"/>
      <c r="B175" s="141"/>
      <c r="C175" s="141"/>
      <c r="D175" s="141"/>
      <c r="E175" s="525"/>
      <c r="F175" s="524"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31"/>
      <c r="B176" s="141"/>
      <c r="C176" s="141"/>
      <c r="D176" s="141"/>
      <c r="E176" s="141"/>
      <c r="F176" s="524"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31"/>
      <c r="B177" s="141"/>
      <c r="C177" s="141"/>
      <c r="D177" s="141"/>
      <c r="E177" s="141"/>
      <c r="F177" s="524"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31"/>
      <c r="B178" s="141"/>
      <c r="C178" s="141"/>
      <c r="D178" s="141"/>
      <c r="E178" s="141"/>
      <c r="F178" s="524"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31"/>
      <c r="B179" s="141"/>
      <c r="C179" s="141"/>
      <c r="D179" s="141"/>
      <c r="E179" s="141"/>
      <c r="F179" s="524"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4"/>
      <c r="B180" s="141"/>
      <c r="C180" s="141"/>
      <c r="D180" s="141"/>
      <c r="E180" s="141"/>
      <c r="F180" s="524"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31"/>
      <c r="B181" s="141"/>
      <c r="C181" s="141"/>
      <c r="D181" s="141"/>
      <c r="E181" s="141"/>
      <c r="F181" s="524"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31"/>
      <c r="B182" s="141"/>
      <c r="C182" s="141"/>
      <c r="D182" s="141"/>
      <c r="E182" s="141"/>
      <c r="F182" s="524"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31"/>
      <c r="B183" s="141"/>
      <c r="C183" s="141"/>
      <c r="D183" s="141"/>
      <c r="E183" s="141"/>
      <c r="F183" s="524"/>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31"/>
      <c r="B184" s="141"/>
      <c r="C184" s="141"/>
      <c r="D184" s="141"/>
      <c r="E184" s="141"/>
      <c r="F184" s="524"/>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31"/>
      <c r="B185" s="141"/>
      <c r="C185" s="141"/>
      <c r="D185" s="141"/>
      <c r="E185" s="141"/>
      <c r="F185" s="524"/>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4"/>
      <c r="B186" s="141"/>
      <c r="C186" s="141"/>
      <c r="D186" s="141"/>
      <c r="E186" s="141"/>
      <c r="F186" s="524"/>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31"/>
      <c r="B187" s="141"/>
      <c r="C187" s="141"/>
      <c r="D187" s="141"/>
      <c r="E187" s="141"/>
      <c r="F187" s="524"/>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31"/>
      <c r="B188" s="141"/>
      <c r="C188" s="141"/>
      <c r="D188" s="141"/>
      <c r="E188" s="141"/>
      <c r="F188" s="524"/>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31"/>
      <c r="B189" s="141"/>
      <c r="C189" s="141"/>
      <c r="D189" s="141"/>
      <c r="E189" s="141"/>
      <c r="F189" s="524"/>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31"/>
      <c r="B190" s="141"/>
      <c r="C190" s="141"/>
      <c r="D190" s="141"/>
      <c r="E190" s="141"/>
      <c r="F190" s="524"/>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31"/>
      <c r="B191" s="141"/>
      <c r="C191" s="141"/>
      <c r="D191" s="141"/>
      <c r="E191" s="141"/>
      <c r="F191" s="524"/>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opLeftCell="A10" workbookViewId="0">
      <selection activeCell="D17" sqref="D17"/>
    </sheetView>
  </sheetViews>
  <sheetFormatPr baseColWidth="10" defaultColWidth="10.83203125" defaultRowHeight="12" x14ac:dyDescent="0"/>
  <cols>
    <col min="1" max="1" width="10.83203125" style="396"/>
    <col min="2" max="2" width="15.1640625" style="396" customWidth="1"/>
    <col min="3" max="3" width="32.5" style="396" customWidth="1"/>
    <col min="4" max="4" width="10.83203125" style="396"/>
    <col min="5" max="5" width="6.1640625" style="396" bestFit="1" customWidth="1"/>
    <col min="6" max="9" width="15.5" style="396" customWidth="1"/>
    <col min="10" max="10" width="14.6640625" style="396" customWidth="1"/>
    <col min="11" max="17" width="15.5" style="396" customWidth="1"/>
    <col min="18" max="18" width="15" style="396" customWidth="1"/>
    <col min="19" max="19" width="15.33203125" style="396" customWidth="1"/>
    <col min="20" max="20" width="7.1640625" style="396" customWidth="1"/>
    <col min="21" max="21" width="47.33203125" style="396" customWidth="1"/>
    <col min="22" max="23" width="20.33203125" style="396" customWidth="1"/>
    <col min="24" max="16384" width="10.83203125" style="396"/>
  </cols>
  <sheetData>
    <row r="2" spans="2:19" ht="32">
      <c r="B2" s="475" t="s">
        <v>330</v>
      </c>
    </row>
    <row r="5" spans="2:19" ht="18" customHeight="1">
      <c r="B5" s="476" t="s">
        <v>331</v>
      </c>
      <c r="C5" s="477" t="s">
        <v>332</v>
      </c>
      <c r="H5" s="478"/>
    </row>
    <row r="6" spans="2:19" ht="18">
      <c r="E6" s="476" t="str">
        <f>C5 &amp; " Scenario"</f>
        <v>Full Everywhere Scenario</v>
      </c>
    </row>
    <row r="7" spans="2:19" ht="27" thickBot="1">
      <c r="B7" s="476" t="s">
        <v>333</v>
      </c>
      <c r="C7" s="479"/>
      <c r="F7" s="610" t="s">
        <v>125</v>
      </c>
      <c r="G7" s="611"/>
      <c r="H7" s="611"/>
      <c r="I7" s="612"/>
      <c r="J7" s="610" t="s">
        <v>126</v>
      </c>
      <c r="K7" s="611"/>
      <c r="L7" s="611"/>
      <c r="M7" s="612"/>
      <c r="N7" s="610" t="s">
        <v>127</v>
      </c>
      <c r="O7" s="611"/>
      <c r="P7" s="611"/>
      <c r="Q7" s="612"/>
    </row>
    <row r="8" spans="2:19" ht="50" customHeight="1" thickTop="1" thickBot="1">
      <c r="B8" s="480" t="s">
        <v>129</v>
      </c>
      <c r="C8" s="481" t="s">
        <v>334</v>
      </c>
      <c r="E8" s="482" t="s">
        <v>314</v>
      </c>
      <c r="F8" s="482" t="s">
        <v>335</v>
      </c>
      <c r="G8" s="483" t="s">
        <v>336</v>
      </c>
      <c r="H8" s="483" t="s">
        <v>337</v>
      </c>
      <c r="I8" s="484" t="s">
        <v>338</v>
      </c>
      <c r="J8" s="482" t="s">
        <v>335</v>
      </c>
      <c r="K8" s="483" t="s">
        <v>336</v>
      </c>
      <c r="L8" s="483" t="s">
        <v>337</v>
      </c>
      <c r="M8" s="484" t="s">
        <v>338</v>
      </c>
      <c r="N8" s="482" t="s">
        <v>335</v>
      </c>
      <c r="O8" s="483" t="s">
        <v>336</v>
      </c>
      <c r="P8" s="483" t="s">
        <v>337</v>
      </c>
      <c r="Q8" s="484" t="s">
        <v>338</v>
      </c>
      <c r="R8" s="482" t="s">
        <v>339</v>
      </c>
      <c r="S8" s="484" t="s">
        <v>340</v>
      </c>
    </row>
    <row r="9" spans="2:19" ht="18">
      <c r="B9" s="485" t="s">
        <v>130</v>
      </c>
      <c r="C9" s="486" t="b">
        <v>1</v>
      </c>
      <c r="E9" s="487" t="s">
        <v>211</v>
      </c>
      <c r="F9" s="488" t="s">
        <v>341</v>
      </c>
      <c r="G9" s="489" t="s">
        <v>341</v>
      </c>
      <c r="H9" s="489">
        <v>0</v>
      </c>
      <c r="I9" s="490">
        <v>0</v>
      </c>
      <c r="J9" s="488" t="s">
        <v>341</v>
      </c>
      <c r="K9" s="489" t="s">
        <v>341</v>
      </c>
      <c r="L9" s="489">
        <v>0</v>
      </c>
      <c r="M9" s="491">
        <v>0</v>
      </c>
      <c r="N9" s="492" t="s">
        <v>341</v>
      </c>
      <c r="O9" s="489" t="s">
        <v>341</v>
      </c>
      <c r="P9" s="489">
        <v>0</v>
      </c>
      <c r="Q9" s="491">
        <v>0</v>
      </c>
      <c r="R9" s="493">
        <v>2014</v>
      </c>
      <c r="S9" s="494">
        <v>2050</v>
      </c>
    </row>
    <row r="10" spans="2:19" ht="18">
      <c r="B10" s="495" t="s">
        <v>131</v>
      </c>
      <c r="C10" s="496" t="b">
        <v>1</v>
      </c>
      <c r="E10" s="497" t="s">
        <v>210</v>
      </c>
      <c r="F10" s="498" t="s">
        <v>341</v>
      </c>
      <c r="G10" s="499" t="s">
        <v>341</v>
      </c>
      <c r="H10" s="499">
        <v>0</v>
      </c>
      <c r="I10" s="500">
        <v>0</v>
      </c>
      <c r="J10" s="498" t="s">
        <v>341</v>
      </c>
      <c r="K10" s="499" t="s">
        <v>341</v>
      </c>
      <c r="L10" s="499">
        <v>0</v>
      </c>
      <c r="M10" s="501">
        <v>0</v>
      </c>
      <c r="N10" s="502" t="s">
        <v>341</v>
      </c>
      <c r="O10" s="499" t="s">
        <v>341</v>
      </c>
      <c r="P10" s="499">
        <v>0</v>
      </c>
      <c r="Q10" s="501">
        <v>0</v>
      </c>
      <c r="R10" s="503">
        <v>2014</v>
      </c>
      <c r="S10" s="504">
        <v>2050</v>
      </c>
    </row>
    <row r="11" spans="2:19" ht="18">
      <c r="B11" s="495" t="s">
        <v>358</v>
      </c>
      <c r="C11" s="496" t="b">
        <v>1</v>
      </c>
      <c r="E11" s="497" t="s">
        <v>213</v>
      </c>
      <c r="F11" s="498" t="s">
        <v>341</v>
      </c>
      <c r="G11" s="499" t="s">
        <v>341</v>
      </c>
      <c r="H11" s="499">
        <v>0</v>
      </c>
      <c r="I11" s="500">
        <v>0</v>
      </c>
      <c r="J11" s="498" t="s">
        <v>341</v>
      </c>
      <c r="K11" s="499" t="s">
        <v>341</v>
      </c>
      <c r="L11" s="499">
        <v>0</v>
      </c>
      <c r="M11" s="501">
        <v>0</v>
      </c>
      <c r="N11" s="502" t="s">
        <v>341</v>
      </c>
      <c r="O11" s="499" t="s">
        <v>341</v>
      </c>
      <c r="P11" s="499">
        <v>0</v>
      </c>
      <c r="Q11" s="501">
        <v>0</v>
      </c>
      <c r="R11" s="503">
        <v>2014</v>
      </c>
      <c r="S11" s="504">
        <v>2050</v>
      </c>
    </row>
    <row r="12" spans="2:19" ht="19" thickBot="1">
      <c r="B12" s="505" t="s">
        <v>152</v>
      </c>
      <c r="C12" s="506" t="b">
        <v>1</v>
      </c>
      <c r="E12" s="497" t="s">
        <v>212</v>
      </c>
      <c r="F12" s="498" t="s">
        <v>341</v>
      </c>
      <c r="G12" s="499" t="s">
        <v>341</v>
      </c>
      <c r="H12" s="499">
        <v>0</v>
      </c>
      <c r="I12" s="500">
        <v>0</v>
      </c>
      <c r="J12" s="498" t="s">
        <v>341</v>
      </c>
      <c r="K12" s="499" t="s">
        <v>341</v>
      </c>
      <c r="L12" s="499">
        <v>0</v>
      </c>
      <c r="M12" s="501">
        <v>0</v>
      </c>
      <c r="N12" s="502" t="s">
        <v>341</v>
      </c>
      <c r="O12" s="499" t="s">
        <v>341</v>
      </c>
      <c r="P12" s="499">
        <v>0</v>
      </c>
      <c r="Q12" s="501">
        <v>0</v>
      </c>
      <c r="R12" s="503">
        <v>2014</v>
      </c>
      <c r="S12" s="504">
        <v>2050</v>
      </c>
    </row>
    <row r="13" spans="2:19" ht="13" thickTop="1">
      <c r="E13" s="497" t="s">
        <v>214</v>
      </c>
      <c r="F13" s="498" t="s">
        <v>341</v>
      </c>
      <c r="G13" s="499" t="s">
        <v>341</v>
      </c>
      <c r="H13" s="499">
        <v>0</v>
      </c>
      <c r="I13" s="500">
        <v>0</v>
      </c>
      <c r="J13" s="498" t="s">
        <v>341</v>
      </c>
      <c r="K13" s="499" t="s">
        <v>341</v>
      </c>
      <c r="L13" s="499">
        <v>0</v>
      </c>
      <c r="M13" s="501">
        <v>0</v>
      </c>
      <c r="N13" s="502" t="s">
        <v>341</v>
      </c>
      <c r="O13" s="499" t="s">
        <v>341</v>
      </c>
      <c r="P13" s="499">
        <v>0</v>
      </c>
      <c r="Q13" s="501">
        <v>0</v>
      </c>
      <c r="R13" s="503">
        <v>2014</v>
      </c>
      <c r="S13" s="504">
        <v>2050</v>
      </c>
    </row>
    <row r="14" spans="2:19" ht="12" customHeight="1">
      <c r="B14" s="613" t="s">
        <v>342</v>
      </c>
      <c r="C14" s="613"/>
      <c r="E14" s="497" t="s">
        <v>215</v>
      </c>
      <c r="F14" s="498" t="s">
        <v>341</v>
      </c>
      <c r="G14" s="499" t="s">
        <v>341</v>
      </c>
      <c r="H14" s="499">
        <v>0</v>
      </c>
      <c r="I14" s="500">
        <v>0</v>
      </c>
      <c r="J14" s="498" t="s">
        <v>341</v>
      </c>
      <c r="K14" s="499" t="s">
        <v>341</v>
      </c>
      <c r="L14" s="499">
        <v>0</v>
      </c>
      <c r="M14" s="501">
        <v>0</v>
      </c>
      <c r="N14" s="502" t="s">
        <v>341</v>
      </c>
      <c r="O14" s="499" t="s">
        <v>341</v>
      </c>
      <c r="P14" s="499">
        <v>0</v>
      </c>
      <c r="Q14" s="501">
        <v>0</v>
      </c>
      <c r="R14" s="503">
        <v>2014</v>
      </c>
      <c r="S14" s="504">
        <v>2050</v>
      </c>
    </row>
    <row r="15" spans="2:19" ht="12" customHeight="1">
      <c r="B15" s="613"/>
      <c r="C15" s="613"/>
      <c r="E15" s="497" t="s">
        <v>216</v>
      </c>
      <c r="F15" s="498" t="s">
        <v>341</v>
      </c>
      <c r="G15" s="499" t="s">
        <v>341</v>
      </c>
      <c r="H15" s="499">
        <v>0</v>
      </c>
      <c r="I15" s="500">
        <v>0</v>
      </c>
      <c r="J15" s="498" t="s">
        <v>341</v>
      </c>
      <c r="K15" s="499" t="s">
        <v>341</v>
      </c>
      <c r="L15" s="499">
        <v>0</v>
      </c>
      <c r="M15" s="501">
        <v>0</v>
      </c>
      <c r="N15" s="502" t="s">
        <v>341</v>
      </c>
      <c r="O15" s="499" t="s">
        <v>341</v>
      </c>
      <c r="P15" s="499">
        <v>0</v>
      </c>
      <c r="Q15" s="501">
        <v>0</v>
      </c>
      <c r="R15" s="503">
        <v>2014</v>
      </c>
      <c r="S15" s="504">
        <v>2050</v>
      </c>
    </row>
    <row r="16" spans="2:19" ht="12" customHeight="1">
      <c r="B16" s="613"/>
      <c r="C16" s="613"/>
      <c r="E16" s="497" t="s">
        <v>11</v>
      </c>
      <c r="F16" s="498" t="s">
        <v>341</v>
      </c>
      <c r="G16" s="499" t="s">
        <v>341</v>
      </c>
      <c r="H16" s="499">
        <v>0</v>
      </c>
      <c r="I16" s="500">
        <v>0</v>
      </c>
      <c r="J16" s="498" t="s">
        <v>341</v>
      </c>
      <c r="K16" s="499" t="s">
        <v>341</v>
      </c>
      <c r="L16" s="499">
        <v>0</v>
      </c>
      <c r="M16" s="501">
        <v>0</v>
      </c>
      <c r="N16" s="502" t="s">
        <v>341</v>
      </c>
      <c r="O16" s="499" t="s">
        <v>341</v>
      </c>
      <c r="P16" s="499">
        <v>0</v>
      </c>
      <c r="Q16" s="501">
        <v>0</v>
      </c>
      <c r="R16" s="503">
        <v>2014</v>
      </c>
      <c r="S16" s="504">
        <v>2050</v>
      </c>
    </row>
    <row r="17" spans="2:19" ht="12" customHeight="1">
      <c r="B17" s="613"/>
      <c r="C17" s="613"/>
      <c r="E17" s="497" t="s">
        <v>217</v>
      </c>
      <c r="F17" s="498" t="s">
        <v>341</v>
      </c>
      <c r="G17" s="499" t="s">
        <v>341</v>
      </c>
      <c r="H17" s="499">
        <v>0</v>
      </c>
      <c r="I17" s="500">
        <v>0</v>
      </c>
      <c r="J17" s="498" t="s">
        <v>341</v>
      </c>
      <c r="K17" s="499" t="s">
        <v>341</v>
      </c>
      <c r="L17" s="499">
        <v>0</v>
      </c>
      <c r="M17" s="501">
        <v>0</v>
      </c>
      <c r="N17" s="502" t="s">
        <v>341</v>
      </c>
      <c r="O17" s="499" t="s">
        <v>341</v>
      </c>
      <c r="P17" s="499">
        <v>0</v>
      </c>
      <c r="Q17" s="501">
        <v>0</v>
      </c>
      <c r="R17" s="503">
        <v>2014</v>
      </c>
      <c r="S17" s="504">
        <v>2050</v>
      </c>
    </row>
    <row r="18" spans="2:19" ht="13" customHeight="1">
      <c r="B18" s="613"/>
      <c r="C18" s="613"/>
      <c r="E18" s="497" t="s">
        <v>218</v>
      </c>
      <c r="F18" s="498" t="s">
        <v>341</v>
      </c>
      <c r="G18" s="499" t="s">
        <v>341</v>
      </c>
      <c r="H18" s="499">
        <v>0</v>
      </c>
      <c r="I18" s="500">
        <v>0</v>
      </c>
      <c r="J18" s="498" t="s">
        <v>341</v>
      </c>
      <c r="K18" s="499" t="s">
        <v>341</v>
      </c>
      <c r="L18" s="499">
        <v>0</v>
      </c>
      <c r="M18" s="501">
        <v>0</v>
      </c>
      <c r="N18" s="502" t="s">
        <v>341</v>
      </c>
      <c r="O18" s="499" t="s">
        <v>341</v>
      </c>
      <c r="P18" s="499">
        <v>0</v>
      </c>
      <c r="Q18" s="501">
        <v>0</v>
      </c>
      <c r="R18" s="503">
        <v>2014</v>
      </c>
      <c r="S18" s="504">
        <v>2050</v>
      </c>
    </row>
    <row r="19" spans="2:19" ht="12" customHeight="1">
      <c r="B19" s="613"/>
      <c r="C19" s="613"/>
      <c r="E19" s="497" t="s">
        <v>219</v>
      </c>
      <c r="F19" s="498" t="s">
        <v>341</v>
      </c>
      <c r="G19" s="499" t="s">
        <v>341</v>
      </c>
      <c r="H19" s="499">
        <v>0</v>
      </c>
      <c r="I19" s="500">
        <v>0</v>
      </c>
      <c r="J19" s="498" t="s">
        <v>341</v>
      </c>
      <c r="K19" s="499" t="s">
        <v>341</v>
      </c>
      <c r="L19" s="499">
        <v>0</v>
      </c>
      <c r="M19" s="501">
        <v>0</v>
      </c>
      <c r="N19" s="502" t="s">
        <v>341</v>
      </c>
      <c r="O19" s="499" t="s">
        <v>341</v>
      </c>
      <c r="P19" s="499">
        <v>0</v>
      </c>
      <c r="Q19" s="501">
        <v>0</v>
      </c>
      <c r="R19" s="503">
        <v>2014</v>
      </c>
      <c r="S19" s="504">
        <v>2050</v>
      </c>
    </row>
    <row r="20" spans="2:19" ht="12" customHeight="1">
      <c r="B20" s="613"/>
      <c r="C20" s="613"/>
      <c r="E20" s="497" t="s">
        <v>220</v>
      </c>
      <c r="F20" s="498" t="s">
        <v>341</v>
      </c>
      <c r="G20" s="499" t="s">
        <v>341</v>
      </c>
      <c r="H20" s="499">
        <v>0</v>
      </c>
      <c r="I20" s="500">
        <v>0</v>
      </c>
      <c r="J20" s="498" t="s">
        <v>341</v>
      </c>
      <c r="K20" s="499" t="s">
        <v>341</v>
      </c>
      <c r="L20" s="499">
        <v>0</v>
      </c>
      <c r="M20" s="501">
        <v>0</v>
      </c>
      <c r="N20" s="502" t="s">
        <v>341</v>
      </c>
      <c r="O20" s="499" t="s">
        <v>341</v>
      </c>
      <c r="P20" s="499">
        <v>0</v>
      </c>
      <c r="Q20" s="501">
        <v>0</v>
      </c>
      <c r="R20" s="503">
        <v>2014</v>
      </c>
      <c r="S20" s="504">
        <v>2050</v>
      </c>
    </row>
    <row r="21" spans="2:19" ht="12" customHeight="1">
      <c r="B21" s="613"/>
      <c r="C21" s="613"/>
      <c r="E21" s="497" t="s">
        <v>224</v>
      </c>
      <c r="F21" s="498" t="s">
        <v>341</v>
      </c>
      <c r="G21" s="499" t="s">
        <v>341</v>
      </c>
      <c r="H21" s="499">
        <v>0</v>
      </c>
      <c r="I21" s="500">
        <v>0</v>
      </c>
      <c r="J21" s="498" t="s">
        <v>341</v>
      </c>
      <c r="K21" s="499" t="s">
        <v>341</v>
      </c>
      <c r="L21" s="499">
        <v>0</v>
      </c>
      <c r="M21" s="501">
        <v>0</v>
      </c>
      <c r="N21" s="502" t="s">
        <v>341</v>
      </c>
      <c r="O21" s="499" t="s">
        <v>341</v>
      </c>
      <c r="P21" s="499">
        <v>0</v>
      </c>
      <c r="Q21" s="501">
        <v>0</v>
      </c>
      <c r="R21" s="503">
        <v>2014</v>
      </c>
      <c r="S21" s="504">
        <v>2050</v>
      </c>
    </row>
    <row r="22" spans="2:19" ht="12" customHeight="1">
      <c r="B22" s="613"/>
      <c r="C22" s="613"/>
      <c r="E22" s="497" t="s">
        <v>221</v>
      </c>
      <c r="F22" s="498" t="s">
        <v>341</v>
      </c>
      <c r="G22" s="499" t="s">
        <v>341</v>
      </c>
      <c r="H22" s="499">
        <v>0</v>
      </c>
      <c r="I22" s="500">
        <v>0</v>
      </c>
      <c r="J22" s="498" t="s">
        <v>341</v>
      </c>
      <c r="K22" s="499" t="s">
        <v>341</v>
      </c>
      <c r="L22" s="499">
        <v>0</v>
      </c>
      <c r="M22" s="501">
        <v>0</v>
      </c>
      <c r="N22" s="502" t="s">
        <v>341</v>
      </c>
      <c r="O22" s="499" t="s">
        <v>341</v>
      </c>
      <c r="P22" s="499">
        <v>0</v>
      </c>
      <c r="Q22" s="501">
        <v>0</v>
      </c>
      <c r="R22" s="503">
        <v>2014</v>
      </c>
      <c r="S22" s="504">
        <v>2050</v>
      </c>
    </row>
    <row r="23" spans="2:19" ht="12" customHeight="1">
      <c r="B23" s="613"/>
      <c r="C23" s="613"/>
      <c r="E23" s="497" t="s">
        <v>222</v>
      </c>
      <c r="F23" s="498" t="s">
        <v>341</v>
      </c>
      <c r="G23" s="499" t="s">
        <v>341</v>
      </c>
      <c r="H23" s="499">
        <v>0</v>
      </c>
      <c r="I23" s="500">
        <v>0</v>
      </c>
      <c r="J23" s="498" t="s">
        <v>341</v>
      </c>
      <c r="K23" s="499" t="s">
        <v>341</v>
      </c>
      <c r="L23" s="499">
        <v>0</v>
      </c>
      <c r="M23" s="501">
        <v>0</v>
      </c>
      <c r="N23" s="502" t="s">
        <v>341</v>
      </c>
      <c r="O23" s="499" t="s">
        <v>341</v>
      </c>
      <c r="P23" s="499">
        <v>0</v>
      </c>
      <c r="Q23" s="501">
        <v>0</v>
      </c>
      <c r="R23" s="503">
        <v>2014</v>
      </c>
      <c r="S23" s="504">
        <v>2050</v>
      </c>
    </row>
    <row r="24" spans="2:19" ht="12" customHeight="1">
      <c r="B24" s="613"/>
      <c r="C24" s="613"/>
      <c r="E24" s="497" t="s">
        <v>223</v>
      </c>
      <c r="F24" s="498" t="s">
        <v>341</v>
      </c>
      <c r="G24" s="499" t="s">
        <v>341</v>
      </c>
      <c r="H24" s="499">
        <v>0</v>
      </c>
      <c r="I24" s="500">
        <v>0</v>
      </c>
      <c r="J24" s="498" t="s">
        <v>341</v>
      </c>
      <c r="K24" s="499" t="s">
        <v>341</v>
      </c>
      <c r="L24" s="499">
        <v>0</v>
      </c>
      <c r="M24" s="501">
        <v>0</v>
      </c>
      <c r="N24" s="502" t="s">
        <v>341</v>
      </c>
      <c r="O24" s="499" t="s">
        <v>341</v>
      </c>
      <c r="P24" s="499">
        <v>0</v>
      </c>
      <c r="Q24" s="501">
        <v>0</v>
      </c>
      <c r="R24" s="503">
        <v>2014</v>
      </c>
      <c r="S24" s="504">
        <v>2050</v>
      </c>
    </row>
    <row r="25" spans="2:19" ht="12" customHeight="1">
      <c r="B25" s="613"/>
      <c r="C25" s="613"/>
      <c r="E25" s="497" t="s">
        <v>225</v>
      </c>
      <c r="F25" s="498" t="s">
        <v>341</v>
      </c>
      <c r="G25" s="499" t="s">
        <v>341</v>
      </c>
      <c r="H25" s="499">
        <v>0</v>
      </c>
      <c r="I25" s="500">
        <v>0</v>
      </c>
      <c r="J25" s="498" t="s">
        <v>341</v>
      </c>
      <c r="K25" s="499" t="s">
        <v>341</v>
      </c>
      <c r="L25" s="499">
        <v>0</v>
      </c>
      <c r="M25" s="501">
        <v>0</v>
      </c>
      <c r="N25" s="502" t="s">
        <v>341</v>
      </c>
      <c r="O25" s="499" t="s">
        <v>341</v>
      </c>
      <c r="P25" s="499">
        <v>0</v>
      </c>
      <c r="Q25" s="501">
        <v>0</v>
      </c>
      <c r="R25" s="503">
        <v>2014</v>
      </c>
      <c r="S25" s="504">
        <v>2050</v>
      </c>
    </row>
    <row r="26" spans="2:19" ht="12" customHeight="1">
      <c r="B26" s="613"/>
      <c r="C26" s="613"/>
      <c r="E26" s="497" t="s">
        <v>226</v>
      </c>
      <c r="F26" s="498" t="s">
        <v>341</v>
      </c>
      <c r="G26" s="499" t="s">
        <v>341</v>
      </c>
      <c r="H26" s="499">
        <v>0</v>
      </c>
      <c r="I26" s="500">
        <v>0</v>
      </c>
      <c r="J26" s="498" t="s">
        <v>341</v>
      </c>
      <c r="K26" s="499" t="s">
        <v>341</v>
      </c>
      <c r="L26" s="499">
        <v>0</v>
      </c>
      <c r="M26" s="501">
        <v>0</v>
      </c>
      <c r="N26" s="502" t="s">
        <v>341</v>
      </c>
      <c r="O26" s="499" t="s">
        <v>341</v>
      </c>
      <c r="P26" s="499">
        <v>0</v>
      </c>
      <c r="Q26" s="501">
        <v>0</v>
      </c>
      <c r="R26" s="503">
        <v>2014</v>
      </c>
      <c r="S26" s="504">
        <v>2050</v>
      </c>
    </row>
    <row r="27" spans="2:19" ht="12" customHeight="1">
      <c r="B27" s="613"/>
      <c r="C27" s="613"/>
      <c r="E27" s="497" t="s">
        <v>227</v>
      </c>
      <c r="F27" s="498" t="s">
        <v>341</v>
      </c>
      <c r="G27" s="499" t="s">
        <v>341</v>
      </c>
      <c r="H27" s="499">
        <v>0</v>
      </c>
      <c r="I27" s="500">
        <v>0</v>
      </c>
      <c r="J27" s="498" t="s">
        <v>341</v>
      </c>
      <c r="K27" s="499" t="s">
        <v>341</v>
      </c>
      <c r="L27" s="499">
        <v>0</v>
      </c>
      <c r="M27" s="501">
        <v>0</v>
      </c>
      <c r="N27" s="502" t="s">
        <v>341</v>
      </c>
      <c r="O27" s="499" t="s">
        <v>341</v>
      </c>
      <c r="P27" s="499">
        <v>0</v>
      </c>
      <c r="Q27" s="501">
        <v>0</v>
      </c>
      <c r="R27" s="503">
        <v>2014</v>
      </c>
      <c r="S27" s="504">
        <v>2050</v>
      </c>
    </row>
    <row r="28" spans="2:19" ht="12" customHeight="1">
      <c r="B28" s="613"/>
      <c r="C28" s="613"/>
      <c r="E28" s="497" t="s">
        <v>230</v>
      </c>
      <c r="F28" s="498" t="s">
        <v>341</v>
      </c>
      <c r="G28" s="499" t="s">
        <v>341</v>
      </c>
      <c r="H28" s="499">
        <v>0</v>
      </c>
      <c r="I28" s="500">
        <v>0</v>
      </c>
      <c r="J28" s="498" t="s">
        <v>341</v>
      </c>
      <c r="K28" s="499" t="s">
        <v>341</v>
      </c>
      <c r="L28" s="499">
        <v>0</v>
      </c>
      <c r="M28" s="501">
        <v>0</v>
      </c>
      <c r="N28" s="502" t="s">
        <v>341</v>
      </c>
      <c r="O28" s="499" t="s">
        <v>341</v>
      </c>
      <c r="P28" s="499">
        <v>0</v>
      </c>
      <c r="Q28" s="501">
        <v>0</v>
      </c>
      <c r="R28" s="503">
        <v>2014</v>
      </c>
      <c r="S28" s="504">
        <v>2050</v>
      </c>
    </row>
    <row r="29" spans="2:19" ht="12" customHeight="1">
      <c r="B29" s="613"/>
      <c r="C29" s="613"/>
      <c r="E29" s="497" t="s">
        <v>229</v>
      </c>
      <c r="F29" s="498" t="s">
        <v>341</v>
      </c>
      <c r="G29" s="499" t="s">
        <v>341</v>
      </c>
      <c r="H29" s="499">
        <v>0</v>
      </c>
      <c r="I29" s="500">
        <v>0</v>
      </c>
      <c r="J29" s="498" t="s">
        <v>341</v>
      </c>
      <c r="K29" s="499" t="s">
        <v>341</v>
      </c>
      <c r="L29" s="499">
        <v>0</v>
      </c>
      <c r="M29" s="501">
        <v>0</v>
      </c>
      <c r="N29" s="502" t="s">
        <v>341</v>
      </c>
      <c r="O29" s="499" t="s">
        <v>341</v>
      </c>
      <c r="P29" s="499">
        <v>0</v>
      </c>
      <c r="Q29" s="501">
        <v>0</v>
      </c>
      <c r="R29" s="503">
        <v>2014</v>
      </c>
      <c r="S29" s="504">
        <v>2050</v>
      </c>
    </row>
    <row r="30" spans="2:19" ht="12" customHeight="1">
      <c r="B30" s="613"/>
      <c r="C30" s="613"/>
      <c r="E30" s="497" t="s">
        <v>228</v>
      </c>
      <c r="F30" s="498" t="s">
        <v>341</v>
      </c>
      <c r="G30" s="499" t="s">
        <v>341</v>
      </c>
      <c r="H30" s="499">
        <v>0</v>
      </c>
      <c r="I30" s="500">
        <v>0</v>
      </c>
      <c r="J30" s="498" t="s">
        <v>341</v>
      </c>
      <c r="K30" s="499" t="s">
        <v>341</v>
      </c>
      <c r="L30" s="499">
        <v>0</v>
      </c>
      <c r="M30" s="501">
        <v>0</v>
      </c>
      <c r="N30" s="502" t="s">
        <v>341</v>
      </c>
      <c r="O30" s="499" t="s">
        <v>341</v>
      </c>
      <c r="P30" s="499">
        <v>0</v>
      </c>
      <c r="Q30" s="501">
        <v>0</v>
      </c>
      <c r="R30" s="503">
        <v>2014</v>
      </c>
      <c r="S30" s="504">
        <v>2050</v>
      </c>
    </row>
    <row r="31" spans="2:19" ht="12" customHeight="1">
      <c r="B31" s="613"/>
      <c r="C31" s="613"/>
      <c r="E31" s="497" t="s">
        <v>231</v>
      </c>
      <c r="F31" s="498" t="s">
        <v>341</v>
      </c>
      <c r="G31" s="499" t="s">
        <v>341</v>
      </c>
      <c r="H31" s="499">
        <v>0</v>
      </c>
      <c r="I31" s="500">
        <v>0</v>
      </c>
      <c r="J31" s="498" t="s">
        <v>341</v>
      </c>
      <c r="K31" s="499" t="s">
        <v>341</v>
      </c>
      <c r="L31" s="499">
        <v>0</v>
      </c>
      <c r="M31" s="501">
        <v>0</v>
      </c>
      <c r="N31" s="502" t="s">
        <v>341</v>
      </c>
      <c r="O31" s="499" t="s">
        <v>341</v>
      </c>
      <c r="P31" s="499">
        <v>0</v>
      </c>
      <c r="Q31" s="501">
        <v>0</v>
      </c>
      <c r="R31" s="503">
        <v>2014</v>
      </c>
      <c r="S31" s="504">
        <v>2050</v>
      </c>
    </row>
    <row r="32" spans="2:19" ht="12" customHeight="1">
      <c r="B32" s="613"/>
      <c r="C32" s="613"/>
      <c r="E32" s="497" t="s">
        <v>232</v>
      </c>
      <c r="F32" s="498" t="s">
        <v>341</v>
      </c>
      <c r="G32" s="499" t="s">
        <v>341</v>
      </c>
      <c r="H32" s="499">
        <v>0</v>
      </c>
      <c r="I32" s="500">
        <v>0</v>
      </c>
      <c r="J32" s="498" t="s">
        <v>341</v>
      </c>
      <c r="K32" s="499" t="s">
        <v>341</v>
      </c>
      <c r="L32" s="499">
        <v>0</v>
      </c>
      <c r="M32" s="501">
        <v>0</v>
      </c>
      <c r="N32" s="502" t="s">
        <v>341</v>
      </c>
      <c r="O32" s="499" t="s">
        <v>341</v>
      </c>
      <c r="P32" s="499">
        <v>0</v>
      </c>
      <c r="Q32" s="501">
        <v>0</v>
      </c>
      <c r="R32" s="503">
        <v>2014</v>
      </c>
      <c r="S32" s="504">
        <v>2050</v>
      </c>
    </row>
    <row r="33" spans="2:19" ht="12" customHeight="1">
      <c r="B33" s="613"/>
      <c r="C33" s="613"/>
      <c r="E33" s="497" t="s">
        <v>234</v>
      </c>
      <c r="F33" s="498" t="s">
        <v>341</v>
      </c>
      <c r="G33" s="499" t="s">
        <v>341</v>
      </c>
      <c r="H33" s="499">
        <v>0</v>
      </c>
      <c r="I33" s="500">
        <v>0</v>
      </c>
      <c r="J33" s="498" t="s">
        <v>341</v>
      </c>
      <c r="K33" s="499" t="s">
        <v>341</v>
      </c>
      <c r="L33" s="499">
        <v>0</v>
      </c>
      <c r="M33" s="501">
        <v>0</v>
      </c>
      <c r="N33" s="502" t="s">
        <v>341</v>
      </c>
      <c r="O33" s="499" t="s">
        <v>341</v>
      </c>
      <c r="P33" s="499">
        <v>0</v>
      </c>
      <c r="Q33" s="501">
        <v>0</v>
      </c>
      <c r="R33" s="503">
        <v>2014</v>
      </c>
      <c r="S33" s="504">
        <v>2050</v>
      </c>
    </row>
    <row r="34" spans="2:19" ht="12" customHeight="1">
      <c r="B34" s="613"/>
      <c r="C34" s="613"/>
      <c r="E34" s="497" t="s">
        <v>233</v>
      </c>
      <c r="F34" s="498" t="s">
        <v>341</v>
      </c>
      <c r="G34" s="499" t="s">
        <v>341</v>
      </c>
      <c r="H34" s="499">
        <v>0</v>
      </c>
      <c r="I34" s="500">
        <v>0</v>
      </c>
      <c r="J34" s="498" t="s">
        <v>341</v>
      </c>
      <c r="K34" s="499" t="s">
        <v>341</v>
      </c>
      <c r="L34" s="499">
        <v>0</v>
      </c>
      <c r="M34" s="501">
        <v>0</v>
      </c>
      <c r="N34" s="502" t="s">
        <v>341</v>
      </c>
      <c r="O34" s="499" t="s">
        <v>341</v>
      </c>
      <c r="P34" s="499">
        <v>0</v>
      </c>
      <c r="Q34" s="501">
        <v>0</v>
      </c>
      <c r="R34" s="503">
        <v>2014</v>
      </c>
      <c r="S34" s="504">
        <v>2050</v>
      </c>
    </row>
    <row r="35" spans="2:19" ht="12" customHeight="1">
      <c r="B35" s="613"/>
      <c r="C35" s="613"/>
      <c r="E35" s="497" t="s">
        <v>235</v>
      </c>
      <c r="F35" s="498" t="s">
        <v>341</v>
      </c>
      <c r="G35" s="499" t="s">
        <v>341</v>
      </c>
      <c r="H35" s="499">
        <v>0</v>
      </c>
      <c r="I35" s="500">
        <v>0</v>
      </c>
      <c r="J35" s="498" t="s">
        <v>341</v>
      </c>
      <c r="K35" s="499" t="s">
        <v>341</v>
      </c>
      <c r="L35" s="499">
        <v>0</v>
      </c>
      <c r="M35" s="501">
        <v>0</v>
      </c>
      <c r="N35" s="502" t="s">
        <v>341</v>
      </c>
      <c r="O35" s="499" t="s">
        <v>341</v>
      </c>
      <c r="P35" s="499">
        <v>0</v>
      </c>
      <c r="Q35" s="501">
        <v>0</v>
      </c>
      <c r="R35" s="503">
        <v>2014</v>
      </c>
      <c r="S35" s="504">
        <v>2050</v>
      </c>
    </row>
    <row r="36" spans="2:19" ht="12" customHeight="1">
      <c r="B36" s="613"/>
      <c r="C36" s="613"/>
      <c r="E36" s="497" t="s">
        <v>242</v>
      </c>
      <c r="F36" s="498" t="s">
        <v>341</v>
      </c>
      <c r="G36" s="499" t="s">
        <v>341</v>
      </c>
      <c r="H36" s="499">
        <v>0</v>
      </c>
      <c r="I36" s="500">
        <v>0</v>
      </c>
      <c r="J36" s="498" t="s">
        <v>341</v>
      </c>
      <c r="K36" s="499" t="s">
        <v>341</v>
      </c>
      <c r="L36" s="499">
        <v>0</v>
      </c>
      <c r="M36" s="501">
        <v>0</v>
      </c>
      <c r="N36" s="502" t="s">
        <v>341</v>
      </c>
      <c r="O36" s="499" t="s">
        <v>341</v>
      </c>
      <c r="P36" s="499">
        <v>0</v>
      </c>
      <c r="Q36" s="501">
        <v>0</v>
      </c>
      <c r="R36" s="503">
        <v>2014</v>
      </c>
      <c r="S36" s="504">
        <v>2050</v>
      </c>
    </row>
    <row r="37" spans="2:19" ht="12" customHeight="1">
      <c r="B37" s="613"/>
      <c r="C37" s="613"/>
      <c r="E37" s="497" t="s">
        <v>243</v>
      </c>
      <c r="F37" s="498" t="s">
        <v>341</v>
      </c>
      <c r="G37" s="499" t="s">
        <v>341</v>
      </c>
      <c r="H37" s="499">
        <v>0</v>
      </c>
      <c r="I37" s="500">
        <v>0</v>
      </c>
      <c r="J37" s="498" t="s">
        <v>341</v>
      </c>
      <c r="K37" s="499" t="s">
        <v>341</v>
      </c>
      <c r="L37" s="499">
        <v>0</v>
      </c>
      <c r="M37" s="501">
        <v>0</v>
      </c>
      <c r="N37" s="502" t="s">
        <v>341</v>
      </c>
      <c r="O37" s="499" t="s">
        <v>341</v>
      </c>
      <c r="P37" s="499">
        <v>0</v>
      </c>
      <c r="Q37" s="501">
        <v>0</v>
      </c>
      <c r="R37" s="503">
        <v>2014</v>
      </c>
      <c r="S37" s="504">
        <v>2050</v>
      </c>
    </row>
    <row r="38" spans="2:19" ht="12" customHeight="1">
      <c r="B38" s="613"/>
      <c r="C38" s="613"/>
      <c r="E38" s="497" t="s">
        <v>236</v>
      </c>
      <c r="F38" s="498" t="s">
        <v>341</v>
      </c>
      <c r="G38" s="499" t="s">
        <v>341</v>
      </c>
      <c r="H38" s="499">
        <v>0</v>
      </c>
      <c r="I38" s="500">
        <v>0</v>
      </c>
      <c r="J38" s="498" t="s">
        <v>341</v>
      </c>
      <c r="K38" s="499" t="s">
        <v>341</v>
      </c>
      <c r="L38" s="499">
        <v>0</v>
      </c>
      <c r="M38" s="501">
        <v>0</v>
      </c>
      <c r="N38" s="502" t="s">
        <v>341</v>
      </c>
      <c r="O38" s="499" t="s">
        <v>341</v>
      </c>
      <c r="P38" s="499">
        <v>0</v>
      </c>
      <c r="Q38" s="501">
        <v>0</v>
      </c>
      <c r="R38" s="503">
        <v>2014</v>
      </c>
      <c r="S38" s="504">
        <v>2050</v>
      </c>
    </row>
    <row r="39" spans="2:19">
      <c r="B39" s="613"/>
      <c r="C39" s="613"/>
      <c r="E39" s="497" t="s">
        <v>238</v>
      </c>
      <c r="F39" s="498" t="s">
        <v>341</v>
      </c>
      <c r="G39" s="499" t="s">
        <v>341</v>
      </c>
      <c r="H39" s="499">
        <v>0</v>
      </c>
      <c r="I39" s="500">
        <v>0</v>
      </c>
      <c r="J39" s="498" t="s">
        <v>341</v>
      </c>
      <c r="K39" s="499" t="s">
        <v>341</v>
      </c>
      <c r="L39" s="499">
        <v>0</v>
      </c>
      <c r="M39" s="501">
        <v>0</v>
      </c>
      <c r="N39" s="502" t="s">
        <v>341</v>
      </c>
      <c r="O39" s="499" t="s">
        <v>341</v>
      </c>
      <c r="P39" s="499">
        <v>0</v>
      </c>
      <c r="Q39" s="501">
        <v>0</v>
      </c>
      <c r="R39" s="503">
        <v>2014</v>
      </c>
      <c r="S39" s="504">
        <v>2050</v>
      </c>
    </row>
    <row r="40" spans="2:19">
      <c r="B40" s="613"/>
      <c r="C40" s="613"/>
      <c r="E40" s="497" t="s">
        <v>239</v>
      </c>
      <c r="F40" s="498" t="s">
        <v>341</v>
      </c>
      <c r="G40" s="499" t="s">
        <v>341</v>
      </c>
      <c r="H40" s="499">
        <v>0</v>
      </c>
      <c r="I40" s="500">
        <v>0</v>
      </c>
      <c r="J40" s="498" t="s">
        <v>341</v>
      </c>
      <c r="K40" s="499" t="s">
        <v>341</v>
      </c>
      <c r="L40" s="499">
        <v>0</v>
      </c>
      <c r="M40" s="501">
        <v>0</v>
      </c>
      <c r="N40" s="502" t="s">
        <v>341</v>
      </c>
      <c r="O40" s="499" t="s">
        <v>341</v>
      </c>
      <c r="P40" s="499">
        <v>0</v>
      </c>
      <c r="Q40" s="501">
        <v>0</v>
      </c>
      <c r="R40" s="503">
        <v>2014</v>
      </c>
      <c r="S40" s="504">
        <v>2050</v>
      </c>
    </row>
    <row r="41" spans="2:19">
      <c r="B41" s="613"/>
      <c r="C41" s="613"/>
      <c r="E41" s="497" t="s">
        <v>240</v>
      </c>
      <c r="F41" s="498" t="s">
        <v>341</v>
      </c>
      <c r="G41" s="499" t="s">
        <v>341</v>
      </c>
      <c r="H41" s="499">
        <v>0</v>
      </c>
      <c r="I41" s="500">
        <v>0</v>
      </c>
      <c r="J41" s="498" t="s">
        <v>341</v>
      </c>
      <c r="K41" s="499" t="s">
        <v>341</v>
      </c>
      <c r="L41" s="499">
        <v>0</v>
      </c>
      <c r="M41" s="501">
        <v>0</v>
      </c>
      <c r="N41" s="502" t="s">
        <v>341</v>
      </c>
      <c r="O41" s="499" t="s">
        <v>341</v>
      </c>
      <c r="P41" s="499">
        <v>0</v>
      </c>
      <c r="Q41" s="501">
        <v>0</v>
      </c>
      <c r="R41" s="503">
        <v>2014</v>
      </c>
      <c r="S41" s="504">
        <v>2050</v>
      </c>
    </row>
    <row r="42" spans="2:19">
      <c r="B42" s="613"/>
      <c r="C42" s="613"/>
      <c r="E42" s="497" t="s">
        <v>237</v>
      </c>
      <c r="F42" s="498" t="s">
        <v>341</v>
      </c>
      <c r="G42" s="499" t="s">
        <v>341</v>
      </c>
      <c r="H42" s="499">
        <v>0</v>
      </c>
      <c r="I42" s="500">
        <v>0</v>
      </c>
      <c r="J42" s="498" t="s">
        <v>341</v>
      </c>
      <c r="K42" s="499" t="s">
        <v>341</v>
      </c>
      <c r="L42" s="499">
        <v>0</v>
      </c>
      <c r="M42" s="501">
        <v>0</v>
      </c>
      <c r="N42" s="502" t="s">
        <v>341</v>
      </c>
      <c r="O42" s="499" t="s">
        <v>341</v>
      </c>
      <c r="P42" s="499">
        <v>0</v>
      </c>
      <c r="Q42" s="501">
        <v>0</v>
      </c>
      <c r="R42" s="503">
        <v>2014</v>
      </c>
      <c r="S42" s="504">
        <v>2050</v>
      </c>
    </row>
    <row r="43" spans="2:19">
      <c r="B43" s="613"/>
      <c r="C43" s="613"/>
      <c r="E43" s="497" t="s">
        <v>241</v>
      </c>
      <c r="F43" s="498" t="s">
        <v>341</v>
      </c>
      <c r="G43" s="499" t="s">
        <v>341</v>
      </c>
      <c r="H43" s="499">
        <v>0</v>
      </c>
      <c r="I43" s="500">
        <v>0</v>
      </c>
      <c r="J43" s="498" t="s">
        <v>341</v>
      </c>
      <c r="K43" s="499" t="s">
        <v>341</v>
      </c>
      <c r="L43" s="499">
        <v>0</v>
      </c>
      <c r="M43" s="501">
        <v>0</v>
      </c>
      <c r="N43" s="502" t="s">
        <v>341</v>
      </c>
      <c r="O43" s="499" t="s">
        <v>341</v>
      </c>
      <c r="P43" s="499">
        <v>0</v>
      </c>
      <c r="Q43" s="501">
        <v>0</v>
      </c>
      <c r="R43" s="503">
        <v>2014</v>
      </c>
      <c r="S43" s="504">
        <v>2050</v>
      </c>
    </row>
    <row r="44" spans="2:19">
      <c r="B44" s="613"/>
      <c r="C44" s="613"/>
      <c r="E44" s="497" t="s">
        <v>244</v>
      </c>
      <c r="F44" s="498" t="s">
        <v>341</v>
      </c>
      <c r="G44" s="499" t="s">
        <v>341</v>
      </c>
      <c r="H44" s="499">
        <v>0</v>
      </c>
      <c r="I44" s="500">
        <v>0</v>
      </c>
      <c r="J44" s="498" t="s">
        <v>341</v>
      </c>
      <c r="K44" s="499" t="s">
        <v>341</v>
      </c>
      <c r="L44" s="499">
        <v>0</v>
      </c>
      <c r="M44" s="501">
        <v>0</v>
      </c>
      <c r="N44" s="502" t="s">
        <v>341</v>
      </c>
      <c r="O44" s="499" t="s">
        <v>341</v>
      </c>
      <c r="P44" s="499">
        <v>0</v>
      </c>
      <c r="Q44" s="501">
        <v>0</v>
      </c>
      <c r="R44" s="503">
        <v>2014</v>
      </c>
      <c r="S44" s="504">
        <v>2050</v>
      </c>
    </row>
    <row r="45" spans="2:19">
      <c r="B45" s="613"/>
      <c r="C45" s="613"/>
      <c r="E45" s="497" t="s">
        <v>245</v>
      </c>
      <c r="F45" s="498" t="s">
        <v>341</v>
      </c>
      <c r="G45" s="499" t="s">
        <v>341</v>
      </c>
      <c r="H45" s="499">
        <v>0</v>
      </c>
      <c r="I45" s="500">
        <v>0</v>
      </c>
      <c r="J45" s="498" t="s">
        <v>341</v>
      </c>
      <c r="K45" s="499" t="s">
        <v>341</v>
      </c>
      <c r="L45" s="499">
        <v>0</v>
      </c>
      <c r="M45" s="501">
        <v>0</v>
      </c>
      <c r="N45" s="502" t="s">
        <v>341</v>
      </c>
      <c r="O45" s="499" t="s">
        <v>341</v>
      </c>
      <c r="P45" s="499">
        <v>0</v>
      </c>
      <c r="Q45" s="501">
        <v>0</v>
      </c>
      <c r="R45" s="503">
        <v>2014</v>
      </c>
      <c r="S45" s="504">
        <v>2050</v>
      </c>
    </row>
    <row r="46" spans="2:19">
      <c r="B46" s="613"/>
      <c r="C46" s="613"/>
      <c r="E46" s="497" t="s">
        <v>246</v>
      </c>
      <c r="F46" s="498" t="s">
        <v>341</v>
      </c>
      <c r="G46" s="499" t="s">
        <v>341</v>
      </c>
      <c r="H46" s="499">
        <v>0</v>
      </c>
      <c r="I46" s="500">
        <v>0</v>
      </c>
      <c r="J46" s="498" t="s">
        <v>341</v>
      </c>
      <c r="K46" s="499" t="s">
        <v>341</v>
      </c>
      <c r="L46" s="499">
        <v>0</v>
      </c>
      <c r="M46" s="501">
        <v>0</v>
      </c>
      <c r="N46" s="502" t="s">
        <v>341</v>
      </c>
      <c r="O46" s="499" t="s">
        <v>341</v>
      </c>
      <c r="P46" s="499">
        <v>0</v>
      </c>
      <c r="Q46" s="501">
        <v>0</v>
      </c>
      <c r="R46" s="503">
        <v>2014</v>
      </c>
      <c r="S46" s="504">
        <v>2050</v>
      </c>
    </row>
    <row r="47" spans="2:19">
      <c r="B47" s="613"/>
      <c r="C47" s="613"/>
      <c r="E47" s="497" t="s">
        <v>247</v>
      </c>
      <c r="F47" s="498" t="s">
        <v>341</v>
      </c>
      <c r="G47" s="499" t="s">
        <v>341</v>
      </c>
      <c r="H47" s="499">
        <v>0</v>
      </c>
      <c r="I47" s="500">
        <v>0</v>
      </c>
      <c r="J47" s="498" t="s">
        <v>341</v>
      </c>
      <c r="K47" s="499" t="s">
        <v>341</v>
      </c>
      <c r="L47" s="499">
        <v>0</v>
      </c>
      <c r="M47" s="501">
        <v>0</v>
      </c>
      <c r="N47" s="502" t="s">
        <v>341</v>
      </c>
      <c r="O47" s="499" t="s">
        <v>341</v>
      </c>
      <c r="P47" s="499">
        <v>0</v>
      </c>
      <c r="Q47" s="501">
        <v>0</v>
      </c>
      <c r="R47" s="503">
        <v>2014</v>
      </c>
      <c r="S47" s="504">
        <v>2050</v>
      </c>
    </row>
    <row r="48" spans="2:19">
      <c r="B48" s="613"/>
      <c r="C48" s="613"/>
      <c r="E48" s="497" t="s">
        <v>248</v>
      </c>
      <c r="F48" s="498" t="s">
        <v>341</v>
      </c>
      <c r="G48" s="499" t="s">
        <v>341</v>
      </c>
      <c r="H48" s="499">
        <v>0</v>
      </c>
      <c r="I48" s="500">
        <v>0</v>
      </c>
      <c r="J48" s="498" t="s">
        <v>341</v>
      </c>
      <c r="K48" s="499" t="s">
        <v>341</v>
      </c>
      <c r="L48" s="499">
        <v>0</v>
      </c>
      <c r="M48" s="501">
        <v>0</v>
      </c>
      <c r="N48" s="502" t="s">
        <v>341</v>
      </c>
      <c r="O48" s="499" t="s">
        <v>341</v>
      </c>
      <c r="P48" s="499">
        <v>0</v>
      </c>
      <c r="Q48" s="501">
        <v>0</v>
      </c>
      <c r="R48" s="503">
        <v>2014</v>
      </c>
      <c r="S48" s="504">
        <v>2050</v>
      </c>
    </row>
    <row r="49" spans="2:19">
      <c r="B49" s="613"/>
      <c r="C49" s="613"/>
      <c r="E49" s="497" t="s">
        <v>249</v>
      </c>
      <c r="F49" s="498" t="s">
        <v>341</v>
      </c>
      <c r="G49" s="499" t="s">
        <v>341</v>
      </c>
      <c r="H49" s="499">
        <v>0</v>
      </c>
      <c r="I49" s="500">
        <v>0</v>
      </c>
      <c r="J49" s="498" t="s">
        <v>341</v>
      </c>
      <c r="K49" s="499" t="s">
        <v>341</v>
      </c>
      <c r="L49" s="499">
        <v>0</v>
      </c>
      <c r="M49" s="501">
        <v>0</v>
      </c>
      <c r="N49" s="502" t="s">
        <v>341</v>
      </c>
      <c r="O49" s="499" t="s">
        <v>341</v>
      </c>
      <c r="P49" s="499">
        <v>0</v>
      </c>
      <c r="Q49" s="501">
        <v>0</v>
      </c>
      <c r="R49" s="503">
        <v>2014</v>
      </c>
      <c r="S49" s="504">
        <v>2050</v>
      </c>
    </row>
    <row r="50" spans="2:19">
      <c r="B50" s="613"/>
      <c r="C50" s="613"/>
      <c r="E50" s="497" t="s">
        <v>250</v>
      </c>
      <c r="F50" s="498" t="s">
        <v>341</v>
      </c>
      <c r="G50" s="499" t="s">
        <v>341</v>
      </c>
      <c r="H50" s="499">
        <v>0</v>
      </c>
      <c r="I50" s="500">
        <v>0</v>
      </c>
      <c r="J50" s="498" t="s">
        <v>341</v>
      </c>
      <c r="K50" s="499" t="s">
        <v>341</v>
      </c>
      <c r="L50" s="499">
        <v>0</v>
      </c>
      <c r="M50" s="501">
        <v>0</v>
      </c>
      <c r="N50" s="502" t="s">
        <v>341</v>
      </c>
      <c r="O50" s="499" t="s">
        <v>341</v>
      </c>
      <c r="P50" s="499">
        <v>0</v>
      </c>
      <c r="Q50" s="501">
        <v>0</v>
      </c>
      <c r="R50" s="503">
        <v>2014</v>
      </c>
      <c r="S50" s="504">
        <v>2050</v>
      </c>
    </row>
    <row r="51" spans="2:19">
      <c r="B51" s="613"/>
      <c r="C51" s="613"/>
      <c r="E51" s="497" t="s">
        <v>251</v>
      </c>
      <c r="F51" s="498" t="s">
        <v>341</v>
      </c>
      <c r="G51" s="499" t="s">
        <v>341</v>
      </c>
      <c r="H51" s="499">
        <v>0</v>
      </c>
      <c r="I51" s="500">
        <v>0</v>
      </c>
      <c r="J51" s="498" t="s">
        <v>341</v>
      </c>
      <c r="K51" s="499" t="s">
        <v>341</v>
      </c>
      <c r="L51" s="499">
        <v>0</v>
      </c>
      <c r="M51" s="501">
        <v>0</v>
      </c>
      <c r="N51" s="502" t="s">
        <v>341</v>
      </c>
      <c r="O51" s="499" t="s">
        <v>341</v>
      </c>
      <c r="P51" s="499">
        <v>0</v>
      </c>
      <c r="Q51" s="501">
        <v>0</v>
      </c>
      <c r="R51" s="503">
        <v>2014</v>
      </c>
      <c r="S51" s="504">
        <v>2050</v>
      </c>
    </row>
    <row r="52" spans="2:19">
      <c r="E52" s="497" t="s">
        <v>252</v>
      </c>
      <c r="F52" s="498" t="s">
        <v>341</v>
      </c>
      <c r="G52" s="499" t="s">
        <v>341</v>
      </c>
      <c r="H52" s="499">
        <v>0</v>
      </c>
      <c r="I52" s="500">
        <v>0</v>
      </c>
      <c r="J52" s="498" t="s">
        <v>341</v>
      </c>
      <c r="K52" s="499" t="s">
        <v>341</v>
      </c>
      <c r="L52" s="499">
        <v>0</v>
      </c>
      <c r="M52" s="501">
        <v>0</v>
      </c>
      <c r="N52" s="502" t="s">
        <v>341</v>
      </c>
      <c r="O52" s="499" t="s">
        <v>341</v>
      </c>
      <c r="P52" s="499">
        <v>0</v>
      </c>
      <c r="Q52" s="501">
        <v>0</v>
      </c>
      <c r="R52" s="503">
        <v>2014</v>
      </c>
      <c r="S52" s="504">
        <v>2050</v>
      </c>
    </row>
    <row r="53" spans="2:19">
      <c r="B53" s="614" t="s">
        <v>343</v>
      </c>
      <c r="C53" s="614"/>
      <c r="E53" s="497" t="s">
        <v>253</v>
      </c>
      <c r="F53" s="498" t="s">
        <v>341</v>
      </c>
      <c r="G53" s="499" t="s">
        <v>341</v>
      </c>
      <c r="H53" s="499">
        <v>0</v>
      </c>
      <c r="I53" s="500">
        <v>0</v>
      </c>
      <c r="J53" s="498" t="s">
        <v>341</v>
      </c>
      <c r="K53" s="499" t="s">
        <v>341</v>
      </c>
      <c r="L53" s="499">
        <v>0</v>
      </c>
      <c r="M53" s="501">
        <v>0</v>
      </c>
      <c r="N53" s="502" t="s">
        <v>341</v>
      </c>
      <c r="O53" s="499" t="s">
        <v>341</v>
      </c>
      <c r="P53" s="499">
        <v>0</v>
      </c>
      <c r="Q53" s="501">
        <v>0</v>
      </c>
      <c r="R53" s="503">
        <v>2014</v>
      </c>
      <c r="S53" s="504">
        <v>2050</v>
      </c>
    </row>
    <row r="54" spans="2:19">
      <c r="B54" s="614"/>
      <c r="C54" s="614"/>
      <c r="E54" s="497" t="s">
        <v>255</v>
      </c>
      <c r="F54" s="498" t="s">
        <v>341</v>
      </c>
      <c r="G54" s="499" t="s">
        <v>341</v>
      </c>
      <c r="H54" s="499">
        <v>0</v>
      </c>
      <c r="I54" s="500">
        <v>0</v>
      </c>
      <c r="J54" s="498" t="s">
        <v>341</v>
      </c>
      <c r="K54" s="499" t="s">
        <v>341</v>
      </c>
      <c r="L54" s="499">
        <v>0</v>
      </c>
      <c r="M54" s="501">
        <v>0</v>
      </c>
      <c r="N54" s="502" t="s">
        <v>341</v>
      </c>
      <c r="O54" s="499" t="s">
        <v>341</v>
      </c>
      <c r="P54" s="499">
        <v>0</v>
      </c>
      <c r="Q54" s="501">
        <v>0</v>
      </c>
      <c r="R54" s="503">
        <v>2014</v>
      </c>
      <c r="S54" s="504">
        <v>2050</v>
      </c>
    </row>
    <row r="55" spans="2:19">
      <c r="B55" s="614"/>
      <c r="C55" s="614"/>
      <c r="E55" s="497" t="s">
        <v>254</v>
      </c>
      <c r="F55" s="498" t="s">
        <v>341</v>
      </c>
      <c r="G55" s="499" t="s">
        <v>341</v>
      </c>
      <c r="H55" s="499">
        <v>0</v>
      </c>
      <c r="I55" s="500">
        <v>0</v>
      </c>
      <c r="J55" s="498" t="s">
        <v>341</v>
      </c>
      <c r="K55" s="499" t="s">
        <v>341</v>
      </c>
      <c r="L55" s="499">
        <v>0</v>
      </c>
      <c r="M55" s="501">
        <v>0</v>
      </c>
      <c r="N55" s="502" t="s">
        <v>341</v>
      </c>
      <c r="O55" s="499" t="s">
        <v>341</v>
      </c>
      <c r="P55" s="499">
        <v>0</v>
      </c>
      <c r="Q55" s="501">
        <v>0</v>
      </c>
      <c r="R55" s="503">
        <v>2014</v>
      </c>
      <c r="S55" s="504">
        <v>2050</v>
      </c>
    </row>
    <row r="56" spans="2:19">
      <c r="E56" s="497" t="s">
        <v>256</v>
      </c>
      <c r="F56" s="498" t="s">
        <v>341</v>
      </c>
      <c r="G56" s="499" t="s">
        <v>341</v>
      </c>
      <c r="H56" s="499">
        <v>0</v>
      </c>
      <c r="I56" s="500">
        <v>0</v>
      </c>
      <c r="J56" s="498" t="s">
        <v>341</v>
      </c>
      <c r="K56" s="499" t="s">
        <v>341</v>
      </c>
      <c r="L56" s="499">
        <v>0</v>
      </c>
      <c r="M56" s="501">
        <v>0</v>
      </c>
      <c r="N56" s="502" t="s">
        <v>341</v>
      </c>
      <c r="O56" s="499" t="s">
        <v>341</v>
      </c>
      <c r="P56" s="499">
        <v>0</v>
      </c>
      <c r="Q56" s="501">
        <v>0</v>
      </c>
      <c r="R56" s="503">
        <v>2014</v>
      </c>
      <c r="S56" s="504">
        <v>2050</v>
      </c>
    </row>
    <row r="57" spans="2:19">
      <c r="B57" s="609" t="s">
        <v>344</v>
      </c>
      <c r="C57" s="609"/>
      <c r="E57" s="497" t="s">
        <v>258</v>
      </c>
      <c r="F57" s="498" t="s">
        <v>341</v>
      </c>
      <c r="G57" s="499" t="s">
        <v>341</v>
      </c>
      <c r="H57" s="499">
        <v>0</v>
      </c>
      <c r="I57" s="500">
        <v>0</v>
      </c>
      <c r="J57" s="498" t="s">
        <v>341</v>
      </c>
      <c r="K57" s="499" t="s">
        <v>341</v>
      </c>
      <c r="L57" s="499">
        <v>0</v>
      </c>
      <c r="M57" s="501">
        <v>0</v>
      </c>
      <c r="N57" s="502" t="s">
        <v>341</v>
      </c>
      <c r="O57" s="499" t="s">
        <v>341</v>
      </c>
      <c r="P57" s="499">
        <v>0</v>
      </c>
      <c r="Q57" s="501">
        <v>0</v>
      </c>
      <c r="R57" s="503">
        <v>2014</v>
      </c>
      <c r="S57" s="504">
        <v>2050</v>
      </c>
    </row>
    <row r="58" spans="2:19">
      <c r="B58" s="609"/>
      <c r="C58" s="609"/>
      <c r="E58" s="497" t="s">
        <v>257</v>
      </c>
      <c r="F58" s="498" t="s">
        <v>341</v>
      </c>
      <c r="G58" s="499" t="s">
        <v>341</v>
      </c>
      <c r="H58" s="499">
        <v>0</v>
      </c>
      <c r="I58" s="500">
        <v>0</v>
      </c>
      <c r="J58" s="498" t="s">
        <v>341</v>
      </c>
      <c r="K58" s="499" t="s">
        <v>341</v>
      </c>
      <c r="L58" s="499">
        <v>0</v>
      </c>
      <c r="M58" s="501">
        <v>0</v>
      </c>
      <c r="N58" s="502" t="s">
        <v>341</v>
      </c>
      <c r="O58" s="499" t="s">
        <v>341</v>
      </c>
      <c r="P58" s="499">
        <v>0</v>
      </c>
      <c r="Q58" s="501">
        <v>0</v>
      </c>
      <c r="R58" s="503">
        <v>2014</v>
      </c>
      <c r="S58" s="504">
        <v>2050</v>
      </c>
    </row>
    <row r="59" spans="2:19" ht="13" thickBot="1">
      <c r="B59" s="609"/>
      <c r="C59" s="609"/>
      <c r="E59" s="507" t="s">
        <v>259</v>
      </c>
      <c r="F59" s="508" t="s">
        <v>341</v>
      </c>
      <c r="G59" s="509" t="s">
        <v>341</v>
      </c>
      <c r="H59" s="509">
        <v>0</v>
      </c>
      <c r="I59" s="510">
        <v>0</v>
      </c>
      <c r="J59" s="508" t="s">
        <v>341</v>
      </c>
      <c r="K59" s="509" t="s">
        <v>341</v>
      </c>
      <c r="L59" s="509">
        <v>0</v>
      </c>
      <c r="M59" s="511">
        <v>0</v>
      </c>
      <c r="N59" s="512" t="s">
        <v>341</v>
      </c>
      <c r="O59" s="509" t="s">
        <v>341</v>
      </c>
      <c r="P59" s="509">
        <v>0</v>
      </c>
      <c r="Q59" s="511">
        <v>0</v>
      </c>
      <c r="R59" s="513">
        <v>2014</v>
      </c>
      <c r="S59" s="514">
        <v>2050</v>
      </c>
    </row>
    <row r="60" spans="2:19">
      <c r="B60" s="609"/>
      <c r="C60" s="609"/>
      <c r="M60" s="478"/>
    </row>
    <row r="125" spans="2:2">
      <c r="B125" s="515" t="s">
        <v>345</v>
      </c>
    </row>
    <row r="126" spans="2:2">
      <c r="B126" s="515" t="s">
        <v>332</v>
      </c>
    </row>
    <row r="127" spans="2:2">
      <c r="B127" s="515" t="s">
        <v>346</v>
      </c>
    </row>
    <row r="128" spans="2:2">
      <c r="B128" s="515" t="s">
        <v>347</v>
      </c>
    </row>
    <row r="129" spans="2:2">
      <c r="B129" s="515" t="s">
        <v>348</v>
      </c>
    </row>
    <row r="132" spans="2:2">
      <c r="B132" s="516">
        <v>2014</v>
      </c>
    </row>
    <row r="133" spans="2:2">
      <c r="B133" s="516">
        <v>2016</v>
      </c>
    </row>
    <row r="134" spans="2:2">
      <c r="B134" s="516">
        <v>2018</v>
      </c>
    </row>
    <row r="135" spans="2:2">
      <c r="B135" s="516">
        <v>2020</v>
      </c>
    </row>
    <row r="136" spans="2:2">
      <c r="B136" s="516">
        <v>2022</v>
      </c>
    </row>
    <row r="137" spans="2:2">
      <c r="B137" s="516">
        <v>2024</v>
      </c>
    </row>
    <row r="138" spans="2:2">
      <c r="B138" s="516">
        <v>2026</v>
      </c>
    </row>
    <row r="139" spans="2:2">
      <c r="B139" s="516">
        <v>2028</v>
      </c>
    </row>
    <row r="140" spans="2:2">
      <c r="B140" s="516">
        <v>2030</v>
      </c>
    </row>
    <row r="141" spans="2:2">
      <c r="B141" s="516">
        <v>2032</v>
      </c>
    </row>
    <row r="142" spans="2:2">
      <c r="B142" s="516">
        <v>2034</v>
      </c>
    </row>
    <row r="143" spans="2:2">
      <c r="B143" s="516">
        <v>2036</v>
      </c>
    </row>
    <row r="144" spans="2:2">
      <c r="B144" s="516">
        <v>2038</v>
      </c>
    </row>
    <row r="145" spans="2:2">
      <c r="B145" s="516">
        <v>2040</v>
      </c>
    </row>
    <row r="146" spans="2:2">
      <c r="B146" s="516">
        <v>2042</v>
      </c>
    </row>
    <row r="147" spans="2:2">
      <c r="B147" s="516">
        <v>2044</v>
      </c>
    </row>
    <row r="148" spans="2:2">
      <c r="B148" s="516">
        <v>2046</v>
      </c>
    </row>
    <row r="149" spans="2:2">
      <c r="B149" s="516">
        <v>2048</v>
      </c>
    </row>
    <row r="150" spans="2:2">
      <c r="B150" s="516">
        <v>2050</v>
      </c>
    </row>
    <row r="153" spans="2:2">
      <c r="B153" s="517" t="b">
        <v>1</v>
      </c>
    </row>
    <row r="154" spans="2:2">
      <c r="B154" s="517" t="b">
        <v>0</v>
      </c>
    </row>
    <row r="166" spans="1:4">
      <c r="A166" s="516"/>
      <c r="B166" s="516" t="s">
        <v>349</v>
      </c>
      <c r="C166" s="516" t="s">
        <v>350</v>
      </c>
      <c r="D166" s="516" t="s">
        <v>351</v>
      </c>
    </row>
    <row r="167" spans="1:4">
      <c r="A167" s="516" t="s">
        <v>211</v>
      </c>
      <c r="B167" s="516">
        <v>25</v>
      </c>
      <c r="C167" s="516">
        <v>25</v>
      </c>
      <c r="D167" s="516">
        <v>25</v>
      </c>
    </row>
    <row r="168" spans="1:4">
      <c r="A168" s="516" t="s">
        <v>210</v>
      </c>
      <c r="B168" s="516">
        <v>0</v>
      </c>
      <c r="C168" s="516">
        <v>0</v>
      </c>
      <c r="D168" s="516">
        <v>0</v>
      </c>
    </row>
    <row r="169" spans="1:4">
      <c r="A169" s="516" t="s">
        <v>213</v>
      </c>
      <c r="B169" s="516">
        <v>25</v>
      </c>
      <c r="C169" s="516">
        <v>300</v>
      </c>
      <c r="D169" s="516">
        <v>300</v>
      </c>
    </row>
    <row r="170" spans="1:4">
      <c r="A170" s="516" t="s">
        <v>212</v>
      </c>
      <c r="B170" s="516" t="s">
        <v>341</v>
      </c>
      <c r="C170" s="516" t="s">
        <v>341</v>
      </c>
      <c r="D170" s="516" t="s">
        <v>341</v>
      </c>
    </row>
    <row r="171" spans="1:4">
      <c r="A171" s="516" t="s">
        <v>214</v>
      </c>
      <c r="B171" s="516">
        <v>1000</v>
      </c>
      <c r="C171" s="516">
        <v>1000</v>
      </c>
      <c r="D171" s="516">
        <v>1000</v>
      </c>
    </row>
    <row r="172" spans="1:4">
      <c r="A172" s="516" t="s">
        <v>215</v>
      </c>
      <c r="B172" s="516" t="s">
        <v>341</v>
      </c>
      <c r="C172" s="516" t="s">
        <v>341</v>
      </c>
      <c r="D172" s="516" t="s">
        <v>341</v>
      </c>
    </row>
    <row r="173" spans="1:4">
      <c r="A173" s="516" t="s">
        <v>216</v>
      </c>
      <c r="B173" s="516">
        <v>2000</v>
      </c>
      <c r="C173" s="516">
        <v>2000</v>
      </c>
      <c r="D173" s="516">
        <v>2000</v>
      </c>
    </row>
    <row r="174" spans="1:4">
      <c r="A174" s="516" t="s">
        <v>11</v>
      </c>
      <c r="B174" s="516">
        <v>1000</v>
      </c>
      <c r="C174" s="516">
        <v>1000</v>
      </c>
      <c r="D174" s="516">
        <v>0</v>
      </c>
    </row>
    <row r="175" spans="1:4">
      <c r="A175" s="516" t="s">
        <v>217</v>
      </c>
      <c r="B175" s="516">
        <v>25</v>
      </c>
      <c r="C175" s="516">
        <v>2000</v>
      </c>
      <c r="D175" s="516">
        <v>2000</v>
      </c>
    </row>
    <row r="176" spans="1:4">
      <c r="A176" s="516" t="s">
        <v>218</v>
      </c>
      <c r="B176" s="516">
        <v>2000</v>
      </c>
      <c r="C176" s="516">
        <v>2000</v>
      </c>
      <c r="D176" s="516">
        <v>2000</v>
      </c>
    </row>
    <row r="177" spans="1:4">
      <c r="A177" s="516" t="s">
        <v>219</v>
      </c>
      <c r="B177" s="516">
        <v>10</v>
      </c>
      <c r="C177" s="516">
        <v>100</v>
      </c>
      <c r="D177" s="516">
        <v>100</v>
      </c>
    </row>
    <row r="178" spans="1:4">
      <c r="A178" s="516" t="s">
        <v>220</v>
      </c>
      <c r="B178" s="516">
        <v>100</v>
      </c>
      <c r="C178" s="516">
        <v>100</v>
      </c>
      <c r="D178" s="516">
        <v>100</v>
      </c>
    </row>
    <row r="179" spans="1:4">
      <c r="A179" s="516" t="s">
        <v>224</v>
      </c>
      <c r="B179" s="516">
        <v>500</v>
      </c>
      <c r="C179" s="516">
        <v>500</v>
      </c>
      <c r="D179" s="516">
        <v>500</v>
      </c>
    </row>
    <row r="180" spans="1:4">
      <c r="A180" s="516" t="s">
        <v>221</v>
      </c>
      <c r="B180" s="516">
        <v>0</v>
      </c>
      <c r="C180" s="516">
        <v>0</v>
      </c>
      <c r="D180" s="516">
        <v>0</v>
      </c>
    </row>
    <row r="181" spans="1:4">
      <c r="A181" s="516" t="s">
        <v>222</v>
      </c>
      <c r="B181" s="516">
        <v>40</v>
      </c>
      <c r="C181" s="516">
        <v>40</v>
      </c>
      <c r="D181" s="516">
        <v>40</v>
      </c>
    </row>
    <row r="182" spans="1:4">
      <c r="A182" s="516" t="s">
        <v>223</v>
      </c>
      <c r="B182" s="516">
        <v>1000</v>
      </c>
      <c r="C182" s="516">
        <v>1000</v>
      </c>
      <c r="D182" s="516">
        <v>1000</v>
      </c>
    </row>
    <row r="183" spans="1:4">
      <c r="A183" s="516" t="s">
        <v>225</v>
      </c>
      <c r="B183" s="516">
        <v>25</v>
      </c>
      <c r="C183" s="516">
        <v>200</v>
      </c>
      <c r="D183" s="516">
        <v>200</v>
      </c>
    </row>
    <row r="184" spans="1:4">
      <c r="A184" s="516" t="s">
        <v>226</v>
      </c>
      <c r="B184" s="516">
        <v>30</v>
      </c>
      <c r="C184" s="516">
        <v>30</v>
      </c>
      <c r="D184" s="516">
        <v>30</v>
      </c>
    </row>
    <row r="185" spans="1:4">
      <c r="A185" s="516" t="s">
        <v>227</v>
      </c>
      <c r="B185" s="516">
        <v>25</v>
      </c>
      <c r="C185" s="516">
        <v>300</v>
      </c>
      <c r="D185" s="516">
        <v>0</v>
      </c>
    </row>
    <row r="186" spans="1:4">
      <c r="A186" s="516" t="s">
        <v>230</v>
      </c>
      <c r="B186" s="516">
        <v>2000</v>
      </c>
      <c r="C186" s="516">
        <v>2000</v>
      </c>
      <c r="D186" s="516">
        <v>2000</v>
      </c>
    </row>
    <row r="187" spans="1:4">
      <c r="A187" s="516" t="s">
        <v>229</v>
      </c>
      <c r="B187" s="516">
        <v>2000</v>
      </c>
      <c r="C187" s="516">
        <v>2000</v>
      </c>
      <c r="D187" s="516">
        <v>2000</v>
      </c>
    </row>
    <row r="188" spans="1:4">
      <c r="A188" s="516" t="s">
        <v>228</v>
      </c>
      <c r="B188" s="516">
        <v>660</v>
      </c>
      <c r="C188" s="516">
        <v>660</v>
      </c>
      <c r="D188" s="516">
        <v>660</v>
      </c>
    </row>
    <row r="189" spans="1:4">
      <c r="A189" s="516" t="s">
        <v>231</v>
      </c>
      <c r="B189" s="516">
        <v>150</v>
      </c>
      <c r="C189" s="516">
        <v>150</v>
      </c>
      <c r="D189" s="516">
        <v>150</v>
      </c>
    </row>
    <row r="190" spans="1:4">
      <c r="A190" s="516" t="s">
        <v>232</v>
      </c>
      <c r="B190" s="516">
        <v>1000</v>
      </c>
      <c r="C190" s="516">
        <v>1000</v>
      </c>
      <c r="D190" s="516">
        <v>1000</v>
      </c>
    </row>
    <row r="191" spans="1:4">
      <c r="A191" s="516" t="s">
        <v>234</v>
      </c>
      <c r="B191" s="516">
        <v>100</v>
      </c>
      <c r="C191" s="516">
        <v>100</v>
      </c>
      <c r="D191" s="516">
        <v>100</v>
      </c>
    </row>
    <row r="192" spans="1:4">
      <c r="A192" s="516" t="s">
        <v>233</v>
      </c>
      <c r="B192" s="516">
        <v>0</v>
      </c>
      <c r="C192" s="516">
        <v>0</v>
      </c>
      <c r="D192" s="516">
        <v>0</v>
      </c>
    </row>
    <row r="193" spans="1:4">
      <c r="A193" s="516" t="s">
        <v>235</v>
      </c>
      <c r="B193" s="516">
        <v>50</v>
      </c>
      <c r="C193" s="516">
        <v>50</v>
      </c>
      <c r="D193" s="516">
        <v>50</v>
      </c>
    </row>
    <row r="194" spans="1:4">
      <c r="A194" s="516" t="s">
        <v>242</v>
      </c>
      <c r="B194" s="516">
        <v>1000</v>
      </c>
      <c r="C194" s="516">
        <v>1000</v>
      </c>
      <c r="D194" s="516">
        <v>1000</v>
      </c>
    </row>
    <row r="195" spans="1:4">
      <c r="A195" s="516" t="s">
        <v>243</v>
      </c>
      <c r="B195" s="516">
        <v>100</v>
      </c>
      <c r="C195" s="516">
        <v>100</v>
      </c>
      <c r="D195" s="516">
        <v>100</v>
      </c>
    </row>
    <row r="196" spans="1:4">
      <c r="A196" s="516" t="s">
        <v>236</v>
      </c>
      <c r="B196" s="516">
        <v>25</v>
      </c>
      <c r="C196" s="516">
        <v>25</v>
      </c>
      <c r="D196" s="516">
        <v>25</v>
      </c>
    </row>
    <row r="197" spans="1:4">
      <c r="A197" s="516" t="s">
        <v>238</v>
      </c>
      <c r="B197" s="516">
        <v>100</v>
      </c>
      <c r="C197" s="516">
        <v>100</v>
      </c>
      <c r="D197" s="516">
        <v>100</v>
      </c>
    </row>
    <row r="198" spans="1:4">
      <c r="A198" s="516" t="s">
        <v>239</v>
      </c>
      <c r="B198" s="516" t="s">
        <v>341</v>
      </c>
      <c r="C198" s="516" t="s">
        <v>341</v>
      </c>
      <c r="D198" s="516" t="s">
        <v>341</v>
      </c>
    </row>
    <row r="199" spans="1:4">
      <c r="A199" s="516" t="s">
        <v>240</v>
      </c>
      <c r="B199" s="516">
        <v>80000</v>
      </c>
      <c r="C199" s="516">
        <v>80000</v>
      </c>
      <c r="D199" s="516">
        <v>80000</v>
      </c>
    </row>
    <row r="200" spans="1:4">
      <c r="A200" s="516" t="s">
        <v>237</v>
      </c>
      <c r="B200" s="516">
        <v>1000</v>
      </c>
      <c r="C200" s="516">
        <v>1000</v>
      </c>
      <c r="D200" s="516">
        <v>1000</v>
      </c>
    </row>
    <row r="201" spans="1:4">
      <c r="A201" s="516" t="s">
        <v>241</v>
      </c>
      <c r="B201" s="516">
        <v>25</v>
      </c>
      <c r="C201" s="516">
        <v>2000</v>
      </c>
      <c r="D201" s="516">
        <v>2000</v>
      </c>
    </row>
    <row r="202" spans="1:4">
      <c r="A202" s="516" t="s">
        <v>244</v>
      </c>
      <c r="B202" s="516" t="s">
        <v>341</v>
      </c>
      <c r="C202" s="516" t="s">
        <v>341</v>
      </c>
      <c r="D202" s="516" t="s">
        <v>341</v>
      </c>
    </row>
    <row r="203" spans="1:4">
      <c r="A203" s="516" t="s">
        <v>245</v>
      </c>
      <c r="B203" s="516">
        <v>15</v>
      </c>
      <c r="C203" s="516">
        <v>15</v>
      </c>
      <c r="D203" s="516">
        <v>15</v>
      </c>
    </row>
    <row r="204" spans="1:4">
      <c r="A204" s="516" t="s">
        <v>246</v>
      </c>
      <c r="B204" s="516">
        <v>25</v>
      </c>
      <c r="C204" s="516">
        <v>2000</v>
      </c>
      <c r="D204" s="516">
        <v>2000</v>
      </c>
    </row>
    <row r="205" spans="1:4">
      <c r="A205" s="516" t="s">
        <v>247</v>
      </c>
      <c r="B205" s="516">
        <v>50</v>
      </c>
      <c r="C205" s="516">
        <v>3000</v>
      </c>
      <c r="D205" s="516">
        <v>3000</v>
      </c>
    </row>
    <row r="206" spans="1:4">
      <c r="A206" s="516" t="s">
        <v>248</v>
      </c>
      <c r="B206" s="516">
        <v>5000</v>
      </c>
      <c r="C206" s="516">
        <v>5000</v>
      </c>
      <c r="D206" s="516">
        <v>5000</v>
      </c>
    </row>
    <row r="207" spans="1:4">
      <c r="A207" s="516" t="s">
        <v>249</v>
      </c>
      <c r="B207" s="516">
        <v>20</v>
      </c>
      <c r="C207" s="516">
        <v>100</v>
      </c>
      <c r="D207" s="516">
        <v>100</v>
      </c>
    </row>
    <row r="208" spans="1:4">
      <c r="A208" s="516" t="s">
        <v>250</v>
      </c>
      <c r="B208" s="516">
        <v>0</v>
      </c>
      <c r="C208" s="516">
        <v>0</v>
      </c>
      <c r="D208" s="516">
        <v>0</v>
      </c>
    </row>
    <row r="209" spans="1:4">
      <c r="A209" s="516" t="s">
        <v>251</v>
      </c>
      <c r="B209" s="516">
        <v>0</v>
      </c>
      <c r="C209" s="516">
        <v>0</v>
      </c>
      <c r="D209" s="516">
        <v>0</v>
      </c>
    </row>
    <row r="210" spans="1:4">
      <c r="A210" s="516" t="s">
        <v>252</v>
      </c>
      <c r="B210" s="516">
        <v>0</v>
      </c>
      <c r="C210" s="516">
        <v>0</v>
      </c>
      <c r="D210" s="516">
        <v>0</v>
      </c>
    </row>
    <row r="211" spans="1:4">
      <c r="A211" s="516" t="s">
        <v>253</v>
      </c>
      <c r="B211" s="516">
        <v>25</v>
      </c>
      <c r="C211" s="516">
        <v>2000</v>
      </c>
      <c r="D211" s="516">
        <v>2000</v>
      </c>
    </row>
    <row r="212" spans="1:4">
      <c r="A212" s="516" t="s">
        <v>255</v>
      </c>
      <c r="B212" s="516">
        <v>10</v>
      </c>
      <c r="C212" s="516">
        <v>500</v>
      </c>
      <c r="D212" s="516">
        <v>500</v>
      </c>
    </row>
    <row r="213" spans="1:4">
      <c r="A213" s="516" t="s">
        <v>254</v>
      </c>
      <c r="B213" s="516">
        <v>500</v>
      </c>
      <c r="C213" s="516">
        <v>500</v>
      </c>
      <c r="D213" s="516">
        <v>500</v>
      </c>
    </row>
    <row r="214" spans="1:4">
      <c r="A214" s="516" t="s">
        <v>256</v>
      </c>
      <c r="B214" s="516">
        <v>100</v>
      </c>
      <c r="C214" s="516">
        <v>100</v>
      </c>
      <c r="D214" s="516">
        <v>100</v>
      </c>
    </row>
    <row r="215" spans="1:4">
      <c r="A215" s="516" t="s">
        <v>258</v>
      </c>
      <c r="B215" s="516">
        <v>100</v>
      </c>
      <c r="C215" s="516">
        <v>100</v>
      </c>
      <c r="D215" s="516">
        <v>100</v>
      </c>
    </row>
    <row r="216" spans="1:4">
      <c r="A216" s="516" t="s">
        <v>257</v>
      </c>
      <c r="B216" s="516">
        <v>25</v>
      </c>
      <c r="C216" s="516">
        <v>500</v>
      </c>
      <c r="D216" s="516">
        <v>2000</v>
      </c>
    </row>
    <row r="217" spans="1:4">
      <c r="A217" s="516" t="s">
        <v>259</v>
      </c>
      <c r="B217" s="516">
        <v>25</v>
      </c>
      <c r="C217" s="516">
        <v>25</v>
      </c>
      <c r="D217" s="516">
        <v>25</v>
      </c>
    </row>
    <row r="218" spans="1:4">
      <c r="B218" s="51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2015-02-26T19:21:47Z</dcterms:modified>
</cp:coreProperties>
</file>