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Main!#REF!</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Main!#REF!</definedName>
    <definedName name="Wind_Cost_Projections_10_kw" localSheetId="7">#REF!</definedName>
    <definedName name="Wind_Cost_Projections_10_kw">'Wind Cost'!$D$28:$V$33</definedName>
    <definedName name="Wind_Cost_Projections_100_kw" localSheetId="7">#REF!</definedName>
    <definedName name="Wind_Cost_Projections_100_kw">'Wind Cost'!$D$49:$V$54</definedName>
    <definedName name="Wind_Cost_Projections_1000_kw" localSheetId="7">#REF!</definedName>
    <definedName name="Wind_Cost_Projections_1000_kw">'Wind Cost'!$Z$35:$AR$40</definedName>
    <definedName name="Wind_Cost_Projections_1500_kw" localSheetId="7">#REF!</definedName>
    <definedName name="Wind_Cost_Projections_1500_kw">'Wind Cost'!$Z$42:$AR$47</definedName>
    <definedName name="Wind_Cost_Projections_2.5_kw" localSheetId="7">#REF!</definedName>
    <definedName name="Wind_Cost_Projections_2.5_kw">'Wind Cost'!$D$14:$V$19</definedName>
    <definedName name="Wind_Cost_Projections_20_kw" localSheetId="7">#REF!</definedName>
    <definedName name="Wind_Cost_Projections_20_kw">'Wind Cost'!$D$35:$V$40</definedName>
    <definedName name="Wind_Cost_Projections_250_kw" localSheetId="7">#REF!</definedName>
    <definedName name="Wind_Cost_Projections_250_kw">'Wind Cost'!$Z$14:$AR$19</definedName>
    <definedName name="Wind_Cost_Projections_5_kw" localSheetId="7">#REF!</definedName>
    <definedName name="Wind_Cost_Projections_5_kw">'Wind Cost'!$D$21:$V$26</definedName>
    <definedName name="Wind_Cost_Projections_50_kw" localSheetId="7">#REF!</definedName>
    <definedName name="Wind_Cost_Projections_50_kw">'Wind Cost'!$D$42:$V$47</definedName>
    <definedName name="Wind_Cost_Projections_500_kw" localSheetId="7">#REF!</definedName>
    <definedName name="Wind_Cost_Projections_500_kw">'Wind Cost'!$Z$21:$AR$26</definedName>
    <definedName name="Wind_Cost_Projections_750_kw" localSheetId="7">#REF!</definedName>
    <definedName name="Wind_Cost_Projections_750_kw">'Wind Cost'!$Z$28:$AR$33</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Y42" i="34" l="1"/>
  <c r="X42" i="34"/>
  <c r="Y35" i="34"/>
  <c r="X35" i="34"/>
  <c r="Y28" i="34"/>
  <c r="X28" i="34"/>
  <c r="Y21" i="34"/>
  <c r="X21" i="34"/>
  <c r="Y14" i="34"/>
  <c r="X14" i="34"/>
  <c r="C49" i="34"/>
  <c r="B49" i="34"/>
  <c r="C42" i="34"/>
  <c r="B42" i="34"/>
  <c r="C35" i="34"/>
  <c r="B35" i="34"/>
  <c r="C28" i="34"/>
  <c r="B28" i="34"/>
  <c r="C21" i="34"/>
  <c r="B21" i="34"/>
  <c r="BA43" i="34"/>
  <c r="BB43" i="34"/>
  <c r="BC43" i="34"/>
  <c r="AZ43" i="34"/>
  <c r="C14" i="34"/>
  <c r="B14" i="34"/>
  <c r="E22" i="34"/>
  <c r="F22" i="34"/>
  <c r="G22" i="34"/>
  <c r="H22" i="34"/>
  <c r="I22" i="34"/>
  <c r="J22" i="34"/>
  <c r="K22" i="34"/>
  <c r="L22" i="34"/>
  <c r="M22" i="34"/>
  <c r="N22" i="34"/>
  <c r="O22" i="34"/>
  <c r="P22" i="34"/>
  <c r="Q22" i="34"/>
  <c r="R22" i="34"/>
  <c r="S22" i="34"/>
  <c r="T22" i="34"/>
  <c r="U22" i="34"/>
  <c r="V22" i="34"/>
  <c r="AA29" i="34"/>
  <c r="AB29" i="34"/>
  <c r="AC29" i="34"/>
  <c r="AD29" i="34"/>
  <c r="AE29" i="34"/>
  <c r="AF29" i="34"/>
  <c r="AG29" i="34"/>
  <c r="AH29" i="34"/>
  <c r="AI29" i="34"/>
  <c r="AJ29" i="34"/>
  <c r="AK29" i="34"/>
  <c r="AL29" i="34"/>
  <c r="AM29" i="34"/>
  <c r="AN29" i="34"/>
  <c r="AO29" i="34"/>
  <c r="AP29" i="34"/>
  <c r="AQ29" i="34"/>
  <c r="AR29" i="34"/>
  <c r="E43" i="34"/>
  <c r="F43" i="34"/>
  <c r="G43" i="34"/>
  <c r="H43" i="34"/>
  <c r="I43" i="34"/>
  <c r="J43" i="34"/>
  <c r="K43" i="34"/>
  <c r="L43" i="34"/>
  <c r="M43" i="34"/>
  <c r="N43" i="34"/>
  <c r="O43" i="34"/>
  <c r="P43" i="34"/>
  <c r="Q43" i="34"/>
  <c r="R43" i="34"/>
  <c r="S43" i="34"/>
  <c r="T43" i="34"/>
  <c r="U43" i="34"/>
  <c r="V43" i="34"/>
  <c r="E50" i="34"/>
  <c r="F50" i="34"/>
  <c r="G50" i="34"/>
  <c r="H50" i="34"/>
  <c r="I50" i="34"/>
  <c r="J50" i="34"/>
  <c r="K50" i="34"/>
  <c r="L50" i="34"/>
  <c r="M50" i="34"/>
  <c r="N50" i="34"/>
  <c r="O50" i="34"/>
  <c r="P50" i="34"/>
  <c r="Q50" i="34"/>
  <c r="R50" i="34"/>
  <c r="S50" i="34"/>
  <c r="T50" i="34"/>
  <c r="U50" i="34"/>
  <c r="V50" i="34"/>
  <c r="AA36" i="34"/>
  <c r="AB36" i="34"/>
  <c r="AC36" i="34"/>
  <c r="AD36" i="34"/>
  <c r="AE36" i="34"/>
  <c r="AF36" i="34"/>
  <c r="AG36" i="34"/>
  <c r="AH36" i="34"/>
  <c r="AI36" i="34"/>
  <c r="AJ36" i="34"/>
  <c r="AK36" i="34"/>
  <c r="AL36" i="34"/>
  <c r="AM36" i="34"/>
  <c r="AN36" i="34"/>
  <c r="AO36" i="34"/>
  <c r="AP36" i="34"/>
  <c r="AQ36" i="34"/>
  <c r="AR36" i="34"/>
  <c r="E29" i="34"/>
  <c r="F29" i="34"/>
  <c r="G29" i="34"/>
  <c r="H29" i="34"/>
  <c r="I29" i="34"/>
  <c r="J29" i="34"/>
  <c r="K29" i="34"/>
  <c r="L29" i="34"/>
  <c r="M29" i="34"/>
  <c r="N29" i="34"/>
  <c r="O29" i="34"/>
  <c r="P29" i="34"/>
  <c r="Q29" i="34"/>
  <c r="R29" i="34"/>
  <c r="S29" i="34"/>
  <c r="T29" i="34"/>
  <c r="U29" i="34"/>
  <c r="V29" i="34"/>
  <c r="AA15" i="34"/>
  <c r="AB15" i="34"/>
  <c r="AC15" i="34"/>
  <c r="AD15" i="34"/>
  <c r="AE15" i="34"/>
  <c r="AF15" i="34"/>
  <c r="AG15" i="34"/>
  <c r="AH15" i="34"/>
  <c r="AI15" i="34"/>
  <c r="AJ15" i="34"/>
  <c r="AK15" i="34"/>
  <c r="AL15" i="34"/>
  <c r="AM15" i="34"/>
  <c r="AN15" i="34"/>
  <c r="AO15" i="34"/>
  <c r="AP15" i="34"/>
  <c r="AQ15" i="34"/>
  <c r="AR15" i="34"/>
  <c r="AA43" i="34"/>
  <c r="AB43" i="34"/>
  <c r="AC43" i="34"/>
  <c r="AD43" i="34"/>
  <c r="AE43" i="34"/>
  <c r="AF43" i="34"/>
  <c r="AG43" i="34"/>
  <c r="AH43" i="34"/>
  <c r="AI43" i="34"/>
  <c r="AJ43" i="34"/>
  <c r="AK43" i="34"/>
  <c r="AL43" i="34"/>
  <c r="AM43" i="34"/>
  <c r="AN43" i="34"/>
  <c r="AO43" i="34"/>
  <c r="AP43" i="34"/>
  <c r="AQ43" i="34"/>
  <c r="AR43" i="34"/>
  <c r="AA22" i="34"/>
  <c r="AB22" i="34"/>
  <c r="AC22" i="34"/>
  <c r="AD22" i="34"/>
  <c r="AE22" i="34"/>
  <c r="AF22" i="34"/>
  <c r="AG22" i="34"/>
  <c r="AH22" i="34"/>
  <c r="AI22" i="34"/>
  <c r="AJ22" i="34"/>
  <c r="AK22" i="34"/>
  <c r="AL22" i="34"/>
  <c r="AM22" i="34"/>
  <c r="AN22" i="34"/>
  <c r="AO22" i="34"/>
  <c r="AP22" i="34"/>
  <c r="AQ22" i="34"/>
  <c r="AR22" i="34"/>
  <c r="E36" i="34"/>
  <c r="F36" i="34"/>
  <c r="G36" i="34"/>
  <c r="H36" i="34"/>
  <c r="I36" i="34"/>
  <c r="J36" i="34"/>
  <c r="K36" i="34"/>
  <c r="L36" i="34"/>
  <c r="M36" i="34"/>
  <c r="N36" i="34"/>
  <c r="O36" i="34"/>
  <c r="P36" i="34"/>
  <c r="Q36" i="34"/>
  <c r="R36" i="34"/>
  <c r="S36" i="34"/>
  <c r="T36" i="34"/>
  <c r="U36" i="34"/>
  <c r="V36" i="34"/>
  <c r="E15" i="34"/>
  <c r="F15" i="34"/>
  <c r="G15" i="34"/>
  <c r="H15" i="34"/>
  <c r="I15" i="34"/>
  <c r="J15" i="34"/>
  <c r="K15" i="34"/>
  <c r="L15" i="34"/>
  <c r="M15" i="34"/>
  <c r="N15" i="34"/>
  <c r="O15" i="34"/>
  <c r="P15" i="34"/>
  <c r="Q15" i="34"/>
  <c r="R15" i="34"/>
  <c r="S15" i="34"/>
  <c r="T15" i="34"/>
  <c r="U15" i="34"/>
  <c r="V15" i="34"/>
  <c r="E6" i="38"/>
  <c r="AA47" i="34"/>
  <c r="AB47" i="34"/>
  <c r="AC47" i="34"/>
  <c r="AD47" i="34"/>
  <c r="AE47" i="34"/>
  <c r="AF47" i="34"/>
  <c r="AG47" i="34"/>
  <c r="AH47" i="34"/>
  <c r="AI47" i="34"/>
  <c r="AJ47" i="34"/>
  <c r="AK47" i="34"/>
  <c r="AL47" i="34"/>
  <c r="AM47" i="34"/>
  <c r="AN47" i="34"/>
  <c r="AO47" i="34"/>
  <c r="AP47" i="34"/>
  <c r="AQ47" i="34"/>
  <c r="AR47" i="34"/>
  <c r="AA46" i="34"/>
  <c r="AB46" i="34"/>
  <c r="AC46" i="34"/>
  <c r="AD46" i="34"/>
  <c r="AE46" i="34"/>
  <c r="AF46" i="34"/>
  <c r="AG46" i="34"/>
  <c r="AH46" i="34"/>
  <c r="AI46" i="34"/>
  <c r="AJ46" i="34"/>
  <c r="AK46" i="34"/>
  <c r="AL46" i="34"/>
  <c r="AM46" i="34"/>
  <c r="AN46" i="34"/>
  <c r="AO46" i="34"/>
  <c r="AP46" i="34"/>
  <c r="AQ46" i="34"/>
  <c r="AR46" i="34"/>
  <c r="AA40" i="34"/>
  <c r="AB40" i="34"/>
  <c r="AC40" i="34"/>
  <c r="AD40" i="34"/>
  <c r="AE40" i="34"/>
  <c r="AF40" i="34"/>
  <c r="AG40" i="34"/>
  <c r="AH40" i="34"/>
  <c r="AI40" i="34"/>
  <c r="AJ40" i="34"/>
  <c r="AK40" i="34"/>
  <c r="AL40" i="34"/>
  <c r="AM40" i="34"/>
  <c r="AN40" i="34"/>
  <c r="AO40" i="34"/>
  <c r="AP40" i="34"/>
  <c r="AQ40" i="34"/>
  <c r="AR40" i="34"/>
  <c r="AA39" i="34"/>
  <c r="AB39" i="34"/>
  <c r="AC39" i="34"/>
  <c r="AD39" i="34"/>
  <c r="AE39" i="34"/>
  <c r="AF39" i="34"/>
  <c r="AG39" i="34"/>
  <c r="AH39" i="34"/>
  <c r="AI39" i="34"/>
  <c r="AJ39" i="34"/>
  <c r="AK39" i="34"/>
  <c r="AL39" i="34"/>
  <c r="AM39" i="34"/>
  <c r="AN39" i="34"/>
  <c r="AO39" i="34"/>
  <c r="AP39" i="34"/>
  <c r="AQ39" i="34"/>
  <c r="AR39" i="34"/>
  <c r="AA33" i="34"/>
  <c r="AB33" i="34"/>
  <c r="AC33" i="34"/>
  <c r="AD33" i="34"/>
  <c r="AE33" i="34"/>
  <c r="AF33" i="34"/>
  <c r="AG33" i="34"/>
  <c r="AH33" i="34"/>
  <c r="AI33" i="34"/>
  <c r="AJ33" i="34"/>
  <c r="AK33" i="34"/>
  <c r="AL33" i="34"/>
  <c r="AM33" i="34"/>
  <c r="AN33" i="34"/>
  <c r="AO33" i="34"/>
  <c r="AP33" i="34"/>
  <c r="AQ33" i="34"/>
  <c r="AR33" i="34"/>
  <c r="AA32" i="34"/>
  <c r="AB32" i="34"/>
  <c r="AC32" i="34"/>
  <c r="AD32" i="34"/>
  <c r="AE32" i="34"/>
  <c r="AF32" i="34"/>
  <c r="AG32" i="34"/>
  <c r="AH32" i="34"/>
  <c r="AI32" i="34"/>
  <c r="AJ32" i="34"/>
  <c r="AK32" i="34"/>
  <c r="AL32" i="34"/>
  <c r="AM32" i="34"/>
  <c r="AN32" i="34"/>
  <c r="AO32" i="34"/>
  <c r="AP32" i="34"/>
  <c r="AQ32" i="34"/>
  <c r="AR32" i="34"/>
  <c r="AA26" i="34"/>
  <c r="AB26" i="34"/>
  <c r="AC26" i="34"/>
  <c r="AD26" i="34"/>
  <c r="AE26" i="34"/>
  <c r="AF26" i="34"/>
  <c r="AG26" i="34"/>
  <c r="AH26" i="34"/>
  <c r="AI26" i="34"/>
  <c r="AJ26" i="34"/>
  <c r="AK26" i="34"/>
  <c r="AL26" i="34"/>
  <c r="AM26" i="34"/>
  <c r="AN26" i="34"/>
  <c r="AO26" i="34"/>
  <c r="AP26" i="34"/>
  <c r="AQ26" i="34"/>
  <c r="AR26" i="34"/>
  <c r="AA25" i="34"/>
  <c r="AB25" i="34"/>
  <c r="AC25" i="34"/>
  <c r="AD25" i="34"/>
  <c r="AE25" i="34"/>
  <c r="AF25" i="34"/>
  <c r="AG25" i="34"/>
  <c r="AH25" i="34"/>
  <c r="AI25" i="34"/>
  <c r="AJ25" i="34"/>
  <c r="AK25" i="34"/>
  <c r="AL25" i="34"/>
  <c r="AM25" i="34"/>
  <c r="AN25" i="34"/>
  <c r="AO25" i="34"/>
  <c r="AP25" i="34"/>
  <c r="AQ25" i="34"/>
  <c r="AR25" i="34"/>
  <c r="AA19" i="34"/>
  <c r="AB19" i="34"/>
  <c r="AC19" i="34"/>
  <c r="AD19" i="34"/>
  <c r="AE19" i="34"/>
  <c r="AF19" i="34"/>
  <c r="AG19" i="34"/>
  <c r="AH19" i="34"/>
  <c r="AI19" i="34"/>
  <c r="AJ19" i="34"/>
  <c r="AK19" i="34"/>
  <c r="AL19" i="34"/>
  <c r="AM19" i="34"/>
  <c r="AN19" i="34"/>
  <c r="AO19" i="34"/>
  <c r="AP19" i="34"/>
  <c r="AQ19" i="34"/>
  <c r="AR19" i="34"/>
  <c r="AA18" i="34"/>
  <c r="AB18" i="34"/>
  <c r="AC18" i="34"/>
  <c r="AD18" i="34"/>
  <c r="AE18" i="34"/>
  <c r="AF18" i="34"/>
  <c r="AG18" i="34"/>
  <c r="AH18" i="34"/>
  <c r="AI18" i="34"/>
  <c r="AJ18" i="34"/>
  <c r="AK18" i="34"/>
  <c r="AL18" i="34"/>
  <c r="AM18" i="34"/>
  <c r="AN18" i="34"/>
  <c r="AO18" i="34"/>
  <c r="AP18" i="34"/>
  <c r="AQ18" i="34"/>
  <c r="AR18" i="34"/>
  <c r="E54" i="34"/>
  <c r="F54" i="34"/>
  <c r="G54" i="34"/>
  <c r="H54" i="34"/>
  <c r="I54" i="34"/>
  <c r="J54" i="34"/>
  <c r="K54" i="34"/>
  <c r="L54" i="34"/>
  <c r="M54" i="34"/>
  <c r="N54" i="34"/>
  <c r="O54" i="34"/>
  <c r="P54" i="34"/>
  <c r="Q54" i="34"/>
  <c r="R54" i="34"/>
  <c r="S54" i="34"/>
  <c r="T54" i="34"/>
  <c r="U54" i="34"/>
  <c r="V54" i="34"/>
  <c r="E53" i="34"/>
  <c r="F53" i="34"/>
  <c r="G53" i="34"/>
  <c r="H53" i="34"/>
  <c r="I53" i="34"/>
  <c r="J53" i="34"/>
  <c r="K53" i="34"/>
  <c r="L53" i="34"/>
  <c r="M53" i="34"/>
  <c r="N53" i="34"/>
  <c r="O53" i="34"/>
  <c r="P53" i="34"/>
  <c r="Q53" i="34"/>
  <c r="R53" i="34"/>
  <c r="S53" i="34"/>
  <c r="T53" i="34"/>
  <c r="U53" i="34"/>
  <c r="V53" i="34"/>
  <c r="E47" i="34"/>
  <c r="F47" i="34"/>
  <c r="G47" i="34"/>
  <c r="H47" i="34"/>
  <c r="I47" i="34"/>
  <c r="J47" i="34"/>
  <c r="K47" i="34"/>
  <c r="L47" i="34"/>
  <c r="M47" i="34"/>
  <c r="N47" i="34"/>
  <c r="O47" i="34"/>
  <c r="P47" i="34"/>
  <c r="Q47" i="34"/>
  <c r="R47" i="34"/>
  <c r="S47" i="34"/>
  <c r="T47" i="34"/>
  <c r="U47" i="34"/>
  <c r="V47" i="34"/>
  <c r="E46" i="34"/>
  <c r="F46" i="34"/>
  <c r="G46" i="34"/>
  <c r="H46" i="34"/>
  <c r="I46" i="34"/>
  <c r="J46" i="34"/>
  <c r="K46" i="34"/>
  <c r="L46" i="34"/>
  <c r="M46" i="34"/>
  <c r="N46" i="34"/>
  <c r="O46" i="34"/>
  <c r="P46" i="34"/>
  <c r="Q46" i="34"/>
  <c r="R46" i="34"/>
  <c r="S46" i="34"/>
  <c r="T46" i="34"/>
  <c r="U46" i="34"/>
  <c r="V46" i="34"/>
  <c r="E40" i="34"/>
  <c r="F40" i="34"/>
  <c r="G40" i="34"/>
  <c r="H40" i="34"/>
  <c r="I40" i="34"/>
  <c r="J40" i="34"/>
  <c r="K40" i="34"/>
  <c r="L40" i="34"/>
  <c r="M40" i="34"/>
  <c r="N40" i="34"/>
  <c r="O40" i="34"/>
  <c r="P40" i="34"/>
  <c r="Q40" i="34"/>
  <c r="R40" i="34"/>
  <c r="S40" i="34"/>
  <c r="T40" i="34"/>
  <c r="U40" i="34"/>
  <c r="V40" i="34"/>
  <c r="E39" i="34"/>
  <c r="F39" i="34"/>
  <c r="G39" i="34"/>
  <c r="H39" i="34"/>
  <c r="I39" i="34"/>
  <c r="J39" i="34"/>
  <c r="K39" i="34"/>
  <c r="L39" i="34"/>
  <c r="M39" i="34"/>
  <c r="N39" i="34"/>
  <c r="O39" i="34"/>
  <c r="P39" i="34"/>
  <c r="Q39" i="34"/>
  <c r="R39" i="34"/>
  <c r="S39" i="34"/>
  <c r="T39" i="34"/>
  <c r="U39" i="34"/>
  <c r="V39" i="34"/>
  <c r="E33" i="34"/>
  <c r="F33" i="34"/>
  <c r="G33" i="34"/>
  <c r="H33" i="34"/>
  <c r="I33" i="34"/>
  <c r="J33" i="34"/>
  <c r="K33" i="34"/>
  <c r="L33" i="34"/>
  <c r="M33" i="34"/>
  <c r="N33" i="34"/>
  <c r="O33" i="34"/>
  <c r="P33" i="34"/>
  <c r="Q33" i="34"/>
  <c r="R33" i="34"/>
  <c r="S33" i="34"/>
  <c r="T33" i="34"/>
  <c r="U33" i="34"/>
  <c r="V33" i="34"/>
  <c r="E32" i="34"/>
  <c r="F32" i="34"/>
  <c r="G32" i="34"/>
  <c r="H32" i="34"/>
  <c r="I32" i="34"/>
  <c r="J32" i="34"/>
  <c r="K32" i="34"/>
  <c r="L32" i="34"/>
  <c r="M32" i="34"/>
  <c r="N32" i="34"/>
  <c r="O32" i="34"/>
  <c r="P32" i="34"/>
  <c r="Q32" i="34"/>
  <c r="R32" i="34"/>
  <c r="S32" i="34"/>
  <c r="T32" i="34"/>
  <c r="U32" i="34"/>
  <c r="V32" i="34"/>
  <c r="E26" i="34"/>
  <c r="F26" i="34"/>
  <c r="G26" i="34"/>
  <c r="H26" i="34"/>
  <c r="I26" i="34"/>
  <c r="J26" i="34"/>
  <c r="K26" i="34"/>
  <c r="L26" i="34"/>
  <c r="M26" i="34"/>
  <c r="N26" i="34"/>
  <c r="O26" i="34"/>
  <c r="P26" i="34"/>
  <c r="Q26" i="34"/>
  <c r="R26" i="34"/>
  <c r="S26" i="34"/>
  <c r="T26" i="34"/>
  <c r="U26" i="34"/>
  <c r="V26" i="34"/>
  <c r="E25" i="34"/>
  <c r="F25" i="34"/>
  <c r="G25" i="34"/>
  <c r="H25" i="34"/>
  <c r="I25" i="34"/>
  <c r="J25" i="34"/>
  <c r="K25" i="34"/>
  <c r="L25" i="34"/>
  <c r="M25" i="34"/>
  <c r="N25" i="34"/>
  <c r="O25" i="34"/>
  <c r="P25" i="34"/>
  <c r="Q25" i="34"/>
  <c r="R25" i="34"/>
  <c r="S25" i="34"/>
  <c r="T25" i="34"/>
  <c r="U25" i="34"/>
  <c r="V25" i="34"/>
  <c r="E19" i="34"/>
  <c r="F19" i="34"/>
  <c r="G19" i="34"/>
  <c r="H19" i="34"/>
  <c r="I19" i="34"/>
  <c r="J19" i="34"/>
  <c r="K19" i="34"/>
  <c r="L19" i="34"/>
  <c r="M19" i="34"/>
  <c r="N19" i="34"/>
  <c r="O19" i="34"/>
  <c r="P19" i="34"/>
  <c r="Q19" i="34"/>
  <c r="R19" i="34"/>
  <c r="S19" i="34"/>
  <c r="T19" i="34"/>
  <c r="U19" i="34"/>
  <c r="V19" i="34"/>
  <c r="E18" i="34"/>
  <c r="F18" i="34"/>
  <c r="G18" i="34"/>
  <c r="H18" i="34"/>
  <c r="I18" i="34"/>
  <c r="J18" i="34"/>
  <c r="K18" i="34"/>
  <c r="L18" i="34"/>
  <c r="M18" i="34"/>
  <c r="N18" i="34"/>
  <c r="O18" i="34"/>
  <c r="P18" i="34"/>
  <c r="Q18" i="34"/>
  <c r="R18" i="34"/>
  <c r="S18" i="34"/>
  <c r="T18" i="34"/>
  <c r="U18" i="34"/>
  <c r="V18" i="34"/>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<sst xmlns="http://schemas.openxmlformats.org/spreadsheetml/2006/main" count="1320" uniqueCount="380">
  <si>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</si>
  <si>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</si>
  <si>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</si>
  <si>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</si>
  <si>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</si>
  <si>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</si>
  <si>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</si>
  <si>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</si>
  <si>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</si>
  <si>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</si>
  <si>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</si>
  <si>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</si>
  <si>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</si>
  <si>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</si>
  <si>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</si>
  <si>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</si>
  <si>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</si>
  <si>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</si>
  <si>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</si>
  <si>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</si>
  <si>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</si>
  <si>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</si>
  <si>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</si>
  <si>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</si>
  <si>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</si>
  <si>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</si>
  <si>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</si>
  <si>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</si>
  <si>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</si>
  <si>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</si>
  <si>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</si>
  <si>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</si>
  <si>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</si>
  <si>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</si>
  <si>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</si>
  <si>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</si>
  <si>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</si>
  <si>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</si>
  <si>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</si>
  <si>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</si>
  <si>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</si>
  <si>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</si>
  <si>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</si>
  <si>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</si>
  <si>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</si>
  <si>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</si>
  <si>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</si>
  <si>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</si>
  <si>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</si>
  <si>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</si>
  <si>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</si>
  <si>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</si>
  <si>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</si>
  <si>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</si>
  <si>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</si>
  <si>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</si>
  <si>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</si>
  <si>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</si>
  <si>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</si>
  <si>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</si>
  <si>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</si>
  <si>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</si>
  <si>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</si>
  <si>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</si>
  <si>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</si>
  <si>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</si>
  <si>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</si>
  <si>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</si>
  <si>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</si>
  <si>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</si>
  <si>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</si>
  <si>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</si>
  <si>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</si>
  <si>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</si>
  <si>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</si>
  <si>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</si>
  <si>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</si>
  <si>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</si>
  <si>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</si>
  <si>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</si>
  <si>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</si>
  <si>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</si>
  <si>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</si>
  <si>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</si>
  <si>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</si>
  <si>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</si>
  <si>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</si>
  <si>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</si>
  <si>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</si>
  <si>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</si>
  <si>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</si>
  <si>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</si>
  <si>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</si>
  <si>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</si>
  <si>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</si>
  <si>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</si>
  <si>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</si>
  <si>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</si>
  <si>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</si>
  <si>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</si>
  <si>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</si>
  <si>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</si>
  <si>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</si>
  <si>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</si>
  <si>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</si>
  <si>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</si>
  <si>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</si>
  <si>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</si>
  <si>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</si>
  <si>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</si>
  <si>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</si>
  <si>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</si>
  <si>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</si>
  <si>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</si>
  <si>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</si>
  <si>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</si>
  <si>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</si>
  <si>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</si>
  <si>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</si>
  <si>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</si>
  <si>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</si>
  <si>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</si>
  <si>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</si>
  <si>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</si>
  <si>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</si>
  <si>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</si>
  <si>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</si>
  <si>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</si>
  <si>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</si>
  <si>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</si>
  <si>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</si>
  <si>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</si>
  <si>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</si>
  <si>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</si>
  <si>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</si>
  <si>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</si>
  <si>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</si>
  <si>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</si>
  <si>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</si>
  <si>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</si>
  <si>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</si>
  <si>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</si>
  <si>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</si>
  <si>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</si>
  <si>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</si>
  <si>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</si>
  <si>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</si>
  <si>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</si>
  <si>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</si>
  <si>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</si>
  <si>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</si>
  <si>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</si>
  <si>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</si>
  <si>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</si>
  <si>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</si>
  <si>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</si>
  <si>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</si>
  <si>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</si>
  <si>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</si>
  <si>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</si>
  <si>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</si>
  <si>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</si>
  <si>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</si>
  <si>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</si>
  <si>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</si>
  <si>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</si>
  <si>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</si>
  <si>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</si>
  <si>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</si>
  <si>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</si>
  <si>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</si>
  <si>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</si>
  <si>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</si>
  <si>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</si>
  <si>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</si>
  <si>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</si>
  <si>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</si>
  <si>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</si>
  <si>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</si>
  <si>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</si>
  <si>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</si>
  <si>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</si>
  <si>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</si>
  <si>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</si>
  <si>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</si>
  <si>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</si>
  <si>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</si>
  <si>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</si>
  <si>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</si>
  <si>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</si>
  <si>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</si>
  <si>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</si>
  <si>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</si>
  <si>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</si>
  <si>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</si>
  <si>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</si>
  <si>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</si>
  <si>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</si>
  <si>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</si>
  <si>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</si>
  <si>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</si>
  <si>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</si>
  <si>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</si>
  <si>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</si>
  <si>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</si>
  <si>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</si>
  <si>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</si>
  <si>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</si>
  <si>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</si>
  <si>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</si>
  <si>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</si>
  <si>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</si>
  <si>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</si>
  <si>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</si>
  <si>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</si>
  <si>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</si>
  <si>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</si>
  <si>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</si>
  <si>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</si>
  <si>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</si>
  <si>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</si>
  <si>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</si>
  <si>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</si>
  <si>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</si>
  <si>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</si>
  <si>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</si>
  <si>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</si>
  <si>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</si>
  <si>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</si>
  <si>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</si>
  <si>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</si>
  <si>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</si>
  <si>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</si>
  <si>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</si>
  <si>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</si>
  <si>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</si>
  <si>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</si>
  <si>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</si>
  <si>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</si>
  <si>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</si>
  <si>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</si>
  <si>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</si>
  <si>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</si>
  <si>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</si>
  <si>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</si>
  <si>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</si>
  <si>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</si>
  <si>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</si>
  <si>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</si>
  <si>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</si>
  <si>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</si>
  <si>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</si>
  <si>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</si>
  <si>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</si>
  <si>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</si>
  <si>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</si>
  <si>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</si>
  <si>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</si>
  <si>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</si>
  <si>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</si>
  <si>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</si>
  <si>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</si>
  <si>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</si>
  <si>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</si>
  <si>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</si>
  <si>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</si>
  <si>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</si>
  <si>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</si>
  <si>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</si>
  <si>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</si>
  <si>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</si>
  <si>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</si>
  <si>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</si>
  <si>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</si>
  <si>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</si>
  <si>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</si>
  <si>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</si>
  <si>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</si>
  <si>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</si>
  <si>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</si>
  <si>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</si>
  <si>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</si>
  <si>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</si>
  <si>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</si>
  <si>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</si>
  <si>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</si>
  <si>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</si>
  <si>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</si>
  <si>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</si>
  <si>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</si>
  <si>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</si>
  <si>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</si>
  <si>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</si>
  <si>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</si>
  <si>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</si>
  <si>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</si>
  <si>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</si>
  <si>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</si>
  <si>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</si>
  <si>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</si>
  <si>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</si>
  <si>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</si>
  <si>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</si>
  <si>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</si>
  <si>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</si>
  <si>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</si>
  <si>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</si>
  <si>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</si>
  <si>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</si>
  <si>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</si>
  <si>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</si>
  <si>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</si>
  <si>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</si>
  <si>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</si>
  <si>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</si>
  <si>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</si>
  <si>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</si>
  <si>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</si>
  <si>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</si>
  <si>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</si>
  <si>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</si>
  <si>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</si>
  <si>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</si>
  <si>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</si>
  <si>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</si>
  <si>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</si>
  <si>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</si>
  <si>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</si>
  <si>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</si>
  <si>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</si>
  <si>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</si>
  <si>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</si>
  <si>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</si>
  <si>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</si>
  <si>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</si>
  <si>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</si>
  <si>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</si>
  <si>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</si>
  <si>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</si>
  <si>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</si>
  <si>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</si>
  <si>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</si>
  <si>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</si>
  <si>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</si>
  <si>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</si>
  <si>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</si>
  <si>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</si>
  <si>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</si>
  <si>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</si>
  <si>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</si>
  <si>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</si>
  <si>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</si>
  <si>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</si>
  <si>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</si>
  <si>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</si>
  <si>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</si>
  <si>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</si>
  <si>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</si>
  <si>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</si>
  <si>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</si>
  <si>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</si>
  <si>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</si>
  <si>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</si>
  <si>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</si>
  <si>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</si>
  <si>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</si>
  <si>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</si>
  <si>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</si>
  <si>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</si>
  <si>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</si>
  <si>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</si>
  <si>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</si>
  <si>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</si>
  <si>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</si>
  <si>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</si>
  <si>
    <t>AEO 2014 No Load growth after 2014</t>
  </si>
  <si>
    <t>AEO 2014 Low Growth Case</t>
  </si>
  <si>
    <t>AEO 2014 Reference Case</t>
  </si>
  <si>
    <t>AEO 2014 High Growth Case</t>
  </si>
  <si>
    <t>AEO 2014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</si>
</sst>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9" fillId="14" borderId="142" xfId="3" applyFont="1" applyFill="1" applyBorder="1" applyProtection="1">
      <protection locked="0"/>
    </xf>
    <xf numFmtId="0" fontId="9" fillId="3" borderId="141" xfId="3" applyFont="1" applyFill="1" applyBorder="1" applyProtection="1">
      <protection locked="0"/>
    </xf>
    <xf numFmtId="1" fontId="9" fillId="14" borderId="143" xfId="3" applyNumberFormat="1" applyFont="1" applyFill="1" applyBorder="1" applyProtection="1">
      <protection locked="0"/>
    </xf>
    <xf numFmtId="1" fontId="9" fillId="0" borderId="141" xfId="3" applyNumberFormat="1" applyFont="1" applyFill="1" applyBorder="1" applyProtection="1"/>
    <xf numFmtId="1" fontId="9" fillId="14" borderId="144" xfId="3" applyNumberFormat="1" applyFont="1" applyFill="1" applyBorder="1" applyProtection="1">
      <protection locked="0"/>
    </xf>
    <xf numFmtId="1" fontId="9" fillId="0" borderId="145" xfId="3" applyNumberFormat="1" applyFont="1" applyFill="1" applyBorder="1" applyProtection="1">
      <protection locked="0"/>
    </xf>
    <xf numFmtId="1" fontId="9" fillId="0" borderId="146" xfId="3" applyNumberFormat="1" applyFon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9" fillId="3" borderId="33" xfId="3" applyFont="1" applyFill="1" applyBorder="1" applyProtection="1">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3480536377464"/>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9688.30476190476</c:v>
                </c:pt>
                <c:pt idx="2">
                  <c:v>9304.609523809522</c:v>
                </c:pt>
                <c:pt idx="3">
                  <c:v>8920.914285714283</c:v>
                </c:pt>
                <c:pt idx="4">
                  <c:v>8537.219047619044</c:v>
                </c:pt>
                <c:pt idx="5">
                  <c:v>8153.523809523806</c:v>
                </c:pt>
                <c:pt idx="6">
                  <c:v>7769.828571428568</c:v>
                </c:pt>
                <c:pt idx="7">
                  <c:v>7386.13333333333</c:v>
                </c:pt>
                <c:pt idx="8">
                  <c:v>7002.438095238093</c:v>
                </c:pt>
                <c:pt idx="9">
                  <c:v>6618.742857142855</c:v>
                </c:pt>
                <c:pt idx="10">
                  <c:v>6235.047619047616</c:v>
                </c:pt>
                <c:pt idx="11">
                  <c:v>6235.047619047616</c:v>
                </c:pt>
                <c:pt idx="12">
                  <c:v>6235.047619047616</c:v>
                </c:pt>
                <c:pt idx="13">
                  <c:v>6235.047619047616</c:v>
                </c:pt>
                <c:pt idx="14">
                  <c:v>6235.047619047616</c:v>
                </c:pt>
                <c:pt idx="15">
                  <c:v>6235.047619047616</c:v>
                </c:pt>
                <c:pt idx="16">
                  <c:v>6235.047619047616</c:v>
                </c:pt>
                <c:pt idx="17">
                  <c:v>6235.047619047616</c:v>
                </c:pt>
                <c:pt idx="18">
                  <c:v>6235.047619047616</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8874.533333333333</c:v>
                </c:pt>
                <c:pt idx="2">
                  <c:v>8523.066666666666</c:v>
                </c:pt>
                <c:pt idx="3">
                  <c:v>8171.599999999998</c:v>
                </c:pt>
                <c:pt idx="4">
                  <c:v>7820.133333333331</c:v>
                </c:pt>
                <c:pt idx="5">
                  <c:v>7468.666666666664</c:v>
                </c:pt>
                <c:pt idx="6">
                  <c:v>7117.199999999997</c:v>
                </c:pt>
                <c:pt idx="7">
                  <c:v>6765.73333333333</c:v>
                </c:pt>
                <c:pt idx="8">
                  <c:v>6414.266666666662</c:v>
                </c:pt>
                <c:pt idx="9">
                  <c:v>6062.799999999996</c:v>
                </c:pt>
                <c:pt idx="10">
                  <c:v>5711.333333333328</c:v>
                </c:pt>
                <c:pt idx="11">
                  <c:v>5711.333333333328</c:v>
                </c:pt>
                <c:pt idx="12">
                  <c:v>5711.333333333328</c:v>
                </c:pt>
                <c:pt idx="13">
                  <c:v>5711.333333333328</c:v>
                </c:pt>
                <c:pt idx="14">
                  <c:v>5711.333333333328</c:v>
                </c:pt>
                <c:pt idx="15">
                  <c:v>5711.333333333328</c:v>
                </c:pt>
                <c:pt idx="16">
                  <c:v>5711.333333333328</c:v>
                </c:pt>
                <c:pt idx="17">
                  <c:v>5711.333333333328</c:v>
                </c:pt>
                <c:pt idx="18">
                  <c:v>5711.333333333328</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8060.761904761904</c:v>
                </c:pt>
                <c:pt idx="2">
                  <c:v>7741.52380952381</c:v>
                </c:pt>
                <c:pt idx="3">
                  <c:v>7422.285714285714</c:v>
                </c:pt>
                <c:pt idx="4">
                  <c:v>7103.047619047618</c:v>
                </c:pt>
                <c:pt idx="5">
                  <c:v>6783.809523809522</c:v>
                </c:pt>
                <c:pt idx="6">
                  <c:v>6464.571428571427</c:v>
                </c:pt>
                <c:pt idx="7">
                  <c:v>6145.333333333332</c:v>
                </c:pt>
                <c:pt idx="8">
                  <c:v>5826.095238095236</c:v>
                </c:pt>
                <c:pt idx="9">
                  <c:v>5506.857142857141</c:v>
                </c:pt>
                <c:pt idx="10">
                  <c:v>5187.619047619046</c:v>
                </c:pt>
                <c:pt idx="11">
                  <c:v>5187.619047619046</c:v>
                </c:pt>
                <c:pt idx="12">
                  <c:v>5187.619047619046</c:v>
                </c:pt>
                <c:pt idx="13">
                  <c:v>5187.619047619046</c:v>
                </c:pt>
                <c:pt idx="14">
                  <c:v>5187.619047619046</c:v>
                </c:pt>
                <c:pt idx="15">
                  <c:v>5187.619047619046</c:v>
                </c:pt>
                <c:pt idx="16">
                  <c:v>5187.619047619046</c:v>
                </c:pt>
                <c:pt idx="17">
                  <c:v>5187.619047619046</c:v>
                </c:pt>
                <c:pt idx="18">
                  <c:v>5187.619047619046</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7246.02857142857</c:v>
                </c:pt>
                <c:pt idx="2">
                  <c:v>6959.057142857142</c:v>
                </c:pt>
                <c:pt idx="3">
                  <c:v>6672.085714285713</c:v>
                </c:pt>
                <c:pt idx="4">
                  <c:v>6385.114285714284</c:v>
                </c:pt>
                <c:pt idx="5">
                  <c:v>6098.142857142855</c:v>
                </c:pt>
                <c:pt idx="6">
                  <c:v>5811.171428571426</c:v>
                </c:pt>
                <c:pt idx="7">
                  <c:v>5524.199999999997</c:v>
                </c:pt>
                <c:pt idx="8">
                  <c:v>5237.228571428568</c:v>
                </c:pt>
                <c:pt idx="9">
                  <c:v>4950.25714285714</c:v>
                </c:pt>
                <c:pt idx="10">
                  <c:v>4663.28571428571</c:v>
                </c:pt>
                <c:pt idx="11">
                  <c:v>4663.28571428571</c:v>
                </c:pt>
                <c:pt idx="12">
                  <c:v>4663.28571428571</c:v>
                </c:pt>
                <c:pt idx="13">
                  <c:v>4663.28571428571</c:v>
                </c:pt>
                <c:pt idx="14">
                  <c:v>4663.28571428571</c:v>
                </c:pt>
                <c:pt idx="15">
                  <c:v>4663.28571428571</c:v>
                </c:pt>
                <c:pt idx="16">
                  <c:v>4663.28571428571</c:v>
                </c:pt>
                <c:pt idx="17">
                  <c:v>4663.28571428571</c:v>
                </c:pt>
                <c:pt idx="18">
                  <c:v>4663.28571428571</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6187.982857142857</c:v>
                </c:pt>
                <c:pt idx="2">
                  <c:v>5961.965714285714</c:v>
                </c:pt>
                <c:pt idx="3">
                  <c:v>5735.948571428571</c:v>
                </c:pt>
                <c:pt idx="4">
                  <c:v>5509.931428571428</c:v>
                </c:pt>
                <c:pt idx="5">
                  <c:v>5283.914285714285</c:v>
                </c:pt>
                <c:pt idx="6">
                  <c:v>5057.897142857142</c:v>
                </c:pt>
                <c:pt idx="7">
                  <c:v>4831.88</c:v>
                </c:pt>
                <c:pt idx="8">
                  <c:v>4605.862857142856</c:v>
                </c:pt>
                <c:pt idx="9">
                  <c:v>4379.845714285713</c:v>
                </c:pt>
                <c:pt idx="10">
                  <c:v>4153.82857142857</c:v>
                </c:pt>
                <c:pt idx="11">
                  <c:v>4153.82857142857</c:v>
                </c:pt>
                <c:pt idx="12">
                  <c:v>4153.82857142857</c:v>
                </c:pt>
                <c:pt idx="13">
                  <c:v>4153.82857142857</c:v>
                </c:pt>
                <c:pt idx="14">
                  <c:v>4153.82857142857</c:v>
                </c:pt>
                <c:pt idx="15">
                  <c:v>4153.82857142857</c:v>
                </c:pt>
                <c:pt idx="16">
                  <c:v>4153.82857142857</c:v>
                </c:pt>
                <c:pt idx="17">
                  <c:v>4153.82857142857</c:v>
                </c:pt>
                <c:pt idx="18">
                  <c:v>4153.82857142857</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5382.4</c:v>
                </c:pt>
                <c:pt idx="2">
                  <c:v>5196.8</c:v>
                </c:pt>
                <c:pt idx="3">
                  <c:v>5011.199999999998</c:v>
                </c:pt>
                <c:pt idx="4">
                  <c:v>4825.599999999998</c:v>
                </c:pt>
                <c:pt idx="5">
                  <c:v>4639.999999999998</c:v>
                </c:pt>
                <c:pt idx="6">
                  <c:v>4454.399999999997</c:v>
                </c:pt>
                <c:pt idx="7">
                  <c:v>4268.799999999997</c:v>
                </c:pt>
                <c:pt idx="8">
                  <c:v>4083.199999999998</c:v>
                </c:pt>
                <c:pt idx="9">
                  <c:v>3897.599999999998</c:v>
                </c:pt>
                <c:pt idx="10">
                  <c:v>3711.999999999998</c:v>
                </c:pt>
                <c:pt idx="11">
                  <c:v>3711.999999999998</c:v>
                </c:pt>
                <c:pt idx="12">
                  <c:v>3711.999999999998</c:v>
                </c:pt>
                <c:pt idx="13">
                  <c:v>3711.999999999998</c:v>
                </c:pt>
                <c:pt idx="14">
                  <c:v>3711.999999999998</c:v>
                </c:pt>
                <c:pt idx="15">
                  <c:v>3711.999999999998</c:v>
                </c:pt>
                <c:pt idx="16">
                  <c:v>3711.999999999998</c:v>
                </c:pt>
                <c:pt idx="17">
                  <c:v>3711.999999999998</c:v>
                </c:pt>
                <c:pt idx="18">
                  <c:v>3711.999999999998</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4326.122857142857</c:v>
                </c:pt>
                <c:pt idx="2">
                  <c:v>4203.245714285715</c:v>
                </c:pt>
                <c:pt idx="3">
                  <c:v>4080.368571428572</c:v>
                </c:pt>
                <c:pt idx="4">
                  <c:v>3957.49142857143</c:v>
                </c:pt>
                <c:pt idx="5">
                  <c:v>3834.614285714287</c:v>
                </c:pt>
                <c:pt idx="6">
                  <c:v>3711.737142857144</c:v>
                </c:pt>
                <c:pt idx="7">
                  <c:v>3588.860000000001</c:v>
                </c:pt>
                <c:pt idx="8">
                  <c:v>3465.982857142859</c:v>
                </c:pt>
                <c:pt idx="9">
                  <c:v>3343.105714285716</c:v>
                </c:pt>
                <c:pt idx="10">
                  <c:v>3220.228571428574</c:v>
                </c:pt>
                <c:pt idx="11">
                  <c:v>3220.228571428574</c:v>
                </c:pt>
                <c:pt idx="12">
                  <c:v>3220.228571428574</c:v>
                </c:pt>
                <c:pt idx="13">
                  <c:v>3220.228571428574</c:v>
                </c:pt>
                <c:pt idx="14">
                  <c:v>3220.228571428574</c:v>
                </c:pt>
                <c:pt idx="15">
                  <c:v>3220.228571428574</c:v>
                </c:pt>
                <c:pt idx="16">
                  <c:v>3220.228571428574</c:v>
                </c:pt>
                <c:pt idx="17">
                  <c:v>3220.228571428574</c:v>
                </c:pt>
                <c:pt idx="18">
                  <c:v>3220.228571428574</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3524.077142857143</c:v>
                </c:pt>
                <c:pt idx="2">
                  <c:v>3445.154285714286</c:v>
                </c:pt>
                <c:pt idx="3">
                  <c:v>3366.231428571428</c:v>
                </c:pt>
                <c:pt idx="4">
                  <c:v>3287.308571428572</c:v>
                </c:pt>
                <c:pt idx="5">
                  <c:v>3208.385714285714</c:v>
                </c:pt>
                <c:pt idx="6">
                  <c:v>3129.462857142858</c:v>
                </c:pt>
                <c:pt idx="7">
                  <c:v>3050.54</c:v>
                </c:pt>
                <c:pt idx="8">
                  <c:v>2971.617142857143</c:v>
                </c:pt>
                <c:pt idx="9">
                  <c:v>2892.694285714286</c:v>
                </c:pt>
                <c:pt idx="10">
                  <c:v>2813.77142857143</c:v>
                </c:pt>
                <c:pt idx="11">
                  <c:v>2813.77142857143</c:v>
                </c:pt>
                <c:pt idx="12">
                  <c:v>2813.77142857143</c:v>
                </c:pt>
                <c:pt idx="13">
                  <c:v>2813.77142857143</c:v>
                </c:pt>
                <c:pt idx="14">
                  <c:v>2813.77142857143</c:v>
                </c:pt>
                <c:pt idx="15">
                  <c:v>2813.77142857143</c:v>
                </c:pt>
                <c:pt idx="16">
                  <c:v>2813.77142857143</c:v>
                </c:pt>
                <c:pt idx="17">
                  <c:v>2813.77142857143</c:v>
                </c:pt>
                <c:pt idx="18">
                  <c:v>2813.77142857143</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3048.8</c:v>
                </c:pt>
                <c:pt idx="2">
                  <c:v>2989.6</c:v>
                </c:pt>
                <c:pt idx="3">
                  <c:v>2930.400000000001</c:v>
                </c:pt>
                <c:pt idx="4">
                  <c:v>2871.200000000001</c:v>
                </c:pt>
                <c:pt idx="5">
                  <c:v>2812.000000000001</c:v>
                </c:pt>
                <c:pt idx="6">
                  <c:v>2752.800000000001</c:v>
                </c:pt>
                <c:pt idx="7">
                  <c:v>2693.600000000001</c:v>
                </c:pt>
                <c:pt idx="8">
                  <c:v>2634.400000000001</c:v>
                </c:pt>
                <c:pt idx="9">
                  <c:v>2575.200000000002</c:v>
                </c:pt>
                <c:pt idx="10">
                  <c:v>2516.000000000002</c:v>
                </c:pt>
                <c:pt idx="11">
                  <c:v>2516.000000000002</c:v>
                </c:pt>
                <c:pt idx="12">
                  <c:v>2516.000000000002</c:v>
                </c:pt>
                <c:pt idx="13">
                  <c:v>2516.000000000002</c:v>
                </c:pt>
                <c:pt idx="14">
                  <c:v>2516.000000000002</c:v>
                </c:pt>
                <c:pt idx="15">
                  <c:v>2516.000000000002</c:v>
                </c:pt>
                <c:pt idx="16">
                  <c:v>2516.000000000002</c:v>
                </c:pt>
                <c:pt idx="17">
                  <c:v>2516.000000000002</c:v>
                </c:pt>
                <c:pt idx="18">
                  <c:v>2516.000000000002</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2712.362857142857</c:v>
                </c:pt>
                <c:pt idx="2">
                  <c:v>2667.725714285714</c:v>
                </c:pt>
                <c:pt idx="3">
                  <c:v>2623.088571428571</c:v>
                </c:pt>
                <c:pt idx="4">
                  <c:v>2578.451428571428</c:v>
                </c:pt>
                <c:pt idx="5">
                  <c:v>2533.814285714286</c:v>
                </c:pt>
                <c:pt idx="6">
                  <c:v>2489.177142857143</c:v>
                </c:pt>
                <c:pt idx="7">
                  <c:v>2444.54</c:v>
                </c:pt>
                <c:pt idx="8">
                  <c:v>2399.902857142857</c:v>
                </c:pt>
                <c:pt idx="9">
                  <c:v>2355.265714285714</c:v>
                </c:pt>
                <c:pt idx="10">
                  <c:v>2310.628571428571</c:v>
                </c:pt>
                <c:pt idx="11">
                  <c:v>2310.628571428571</c:v>
                </c:pt>
                <c:pt idx="12">
                  <c:v>2310.628571428571</c:v>
                </c:pt>
                <c:pt idx="13">
                  <c:v>2310.628571428571</c:v>
                </c:pt>
                <c:pt idx="14">
                  <c:v>2310.628571428571</c:v>
                </c:pt>
                <c:pt idx="15">
                  <c:v>2310.628571428571</c:v>
                </c:pt>
                <c:pt idx="16">
                  <c:v>2310.628571428571</c:v>
                </c:pt>
                <c:pt idx="17">
                  <c:v>2310.628571428571</c:v>
                </c:pt>
                <c:pt idx="18">
                  <c:v>2310.628571428571</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2229.685714285714</c:v>
                </c:pt>
                <c:pt idx="2">
                  <c:v>2197.371428571428</c:v>
                </c:pt>
                <c:pt idx="3">
                  <c:v>2165.057142857143</c:v>
                </c:pt>
                <c:pt idx="4">
                  <c:v>2132.742857142857</c:v>
                </c:pt>
                <c:pt idx="5">
                  <c:v>2100.428571428572</c:v>
                </c:pt>
                <c:pt idx="6">
                  <c:v>2068.114285714286</c:v>
                </c:pt>
                <c:pt idx="7">
                  <c:v>2035.8</c:v>
                </c:pt>
                <c:pt idx="8">
                  <c:v>2003.485714285714</c:v>
                </c:pt>
                <c:pt idx="9">
                  <c:v>1971.171428571429</c:v>
                </c:pt>
                <c:pt idx="10">
                  <c:v>1938.857142857143</c:v>
                </c:pt>
                <c:pt idx="11">
                  <c:v>1938.857142857143</c:v>
                </c:pt>
                <c:pt idx="12">
                  <c:v>1938.857142857143</c:v>
                </c:pt>
                <c:pt idx="13">
                  <c:v>1938.857142857143</c:v>
                </c:pt>
                <c:pt idx="14">
                  <c:v>1938.857142857143</c:v>
                </c:pt>
                <c:pt idx="15">
                  <c:v>1938.857142857143</c:v>
                </c:pt>
                <c:pt idx="16">
                  <c:v>1938.857142857143</c:v>
                </c:pt>
                <c:pt idx="17">
                  <c:v>1938.857142857143</c:v>
                </c:pt>
                <c:pt idx="18">
                  <c:v>1938.857142857143</c:v>
                </c:pt>
              </c:numCache>
            </c:numRef>
          </c:val>
          <c:smooth val="0"/>
        </c:ser>
        <c:dLbls>
          <c:showLegendKey val="0"/>
          <c:showVal val="0"/>
          <c:showCatName val="0"/>
          <c:showSerName val="0"/>
          <c:showPercent val="0"/>
          <c:showBubbleSize val="0"/>
        </c:dLbls>
        <c:marker val="1"/>
        <c:smooth val="0"/>
        <c:axId val="-2131924040"/>
        <c:axId val="-2131921096"/>
      </c:lineChart>
      <c:catAx>
        <c:axId val="-2131924040"/>
        <c:scaling>
          <c:orientation val="minMax"/>
        </c:scaling>
        <c:delete val="0"/>
        <c:axPos val="b"/>
        <c:numFmt formatCode="0" sourceLinked="1"/>
        <c:majorTickMark val="out"/>
        <c:minorTickMark val="none"/>
        <c:tickLblPos val="nextTo"/>
        <c:crossAx val="-2131921096"/>
        <c:crosses val="autoZero"/>
        <c:auto val="1"/>
        <c:lblAlgn val="ctr"/>
        <c:lblOffset val="100"/>
        <c:noMultiLvlLbl val="0"/>
      </c:catAx>
      <c:valAx>
        <c:axId val="-2131921096"/>
        <c:scaling>
          <c:orientation val="minMax"/>
        </c:scaling>
        <c:delete val="0"/>
        <c:axPos val="l"/>
        <c:majorGridlines/>
        <c:numFmt formatCode="0" sourceLinked="1"/>
        <c:majorTickMark val="out"/>
        <c:minorTickMark val="none"/>
        <c:tickLblPos val="nextTo"/>
        <c:crossAx val="-2131924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3358264"/>
        <c:axId val="-2143359848"/>
      </c:scatterChart>
      <c:valAx>
        <c:axId val="-21433582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359848"/>
        <c:crosses val="autoZero"/>
        <c:crossBetween val="midCat"/>
      </c:valAx>
      <c:valAx>
        <c:axId val="-214335984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35826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61546520"/>
        <c:axId val="2121119896"/>
      </c:scatterChart>
      <c:valAx>
        <c:axId val="206154652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1119896"/>
        <c:crosses val="autoZero"/>
        <c:crossBetween val="midCat"/>
      </c:valAx>
      <c:valAx>
        <c:axId val="21211198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615465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1065832"/>
        <c:axId val="-2134377944"/>
      </c:scatterChart>
      <c:valAx>
        <c:axId val="212106583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4377944"/>
        <c:crosses val="autoZero"/>
        <c:crossBetween val="midCat"/>
      </c:valAx>
      <c:valAx>
        <c:axId val="-213437794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10658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4" sqref="D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111</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82" t="s">
        <v>326</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96" t="s">
        <v>100</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97" t="s">
        <v>68</v>
      </c>
      <c r="D11" s="238" t="s">
        <v>4</v>
      </c>
      <c r="E11" s="61"/>
      <c r="F11" s="131"/>
      <c r="G11" s="61"/>
      <c r="H11" s="35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98" t="s">
        <v>99</v>
      </c>
      <c r="D12" s="239">
        <v>2050</v>
      </c>
      <c r="E12" s="61"/>
      <c r="F12" s="131"/>
      <c r="G12" s="61" t="s">
        <v>258</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98" t="s">
        <v>149</v>
      </c>
      <c r="D13" s="273" t="s">
        <v>191</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9" t="s">
        <v>188</v>
      </c>
      <c r="D14" s="239" t="s">
        <v>377</v>
      </c>
      <c r="E14" s="61"/>
      <c r="F14" s="131"/>
      <c r="G14" s="135"/>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9" t="s">
        <v>64</v>
      </c>
      <c r="D15" s="239" t="s">
        <v>292</v>
      </c>
      <c r="E15" s="61"/>
      <c r="F15" s="131"/>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9" t="s">
        <v>69</v>
      </c>
      <c r="D16" s="239" t="s">
        <v>174</v>
      </c>
      <c r="E16" s="13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00" t="s">
        <v>71</v>
      </c>
      <c r="D17" s="239" t="s">
        <v>73</v>
      </c>
      <c r="E17" s="6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9" t="s">
        <v>65</v>
      </c>
      <c r="D18" s="239" t="s">
        <v>292</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9" t="s">
        <v>70</v>
      </c>
      <c r="D19" s="239" t="s">
        <v>174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00" t="s">
        <v>72</v>
      </c>
      <c r="D20" s="239" t="s">
        <v>73</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9" t="s">
        <v>177</v>
      </c>
      <c r="D21" s="239" t="s">
        <v>292</v>
      </c>
      <c r="E21" s="61"/>
      <c r="F21" s="131"/>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00" t="s">
        <v>175</v>
      </c>
      <c r="D22" s="239"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300" t="s">
        <v>176</v>
      </c>
      <c r="D23" s="239"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9" t="s">
        <v>62</v>
      </c>
      <c r="D24" s="239"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301" t="s">
        <v>280</v>
      </c>
      <c r="D25" s="240">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9" t="s">
        <v>268</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9" t="s">
        <v>269</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9" t="s">
        <v>270</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271</v>
      </c>
      <c r="F155" s="109"/>
      <c r="G155" s="110" t="s">
        <v>66</v>
      </c>
      <c r="H155" s="67"/>
      <c r="I155" s="111"/>
      <c r="J155" s="67" t="s">
        <v>189</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191</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190</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192</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375</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376</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377</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378</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379</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292</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293</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294</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802"/>
  <sheetViews>
    <sheetView topLeftCell="S1" zoomScale="70" zoomScaleNormal="70" zoomScalePageLayoutView="70" workbookViewId="0">
      <pane ySplit="12" topLeftCell="A13" activePane="bottomLeft" state="frozen"/>
      <selection pane="bottomLeft" activeCell="E10" sqref="E10"/>
    </sheetView>
  </sheetViews>
  <sheetFormatPr baseColWidth="10" defaultColWidth="9.1640625" defaultRowHeight="14" x14ac:dyDescent="0"/>
  <cols>
    <col min="1" max="1" width="4.83203125" style="91" customWidth="1"/>
    <col min="2" max="2" width="23.5" style="91" customWidth="1"/>
    <col min="3" max="3" width="40.5" style="91" customWidth="1"/>
    <col min="4" max="4" width="12.83203125" style="91" bestFit="1" customWidth="1"/>
    <col min="5" max="5" width="15.5" style="91" bestFit="1" customWidth="1"/>
    <col min="6"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4" width="25.83203125" style="91" bestFit="1" customWidth="1"/>
    <col min="15"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25.83203125" style="91" bestFit="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558"/>
      <c r="P1" s="558"/>
      <c r="Q1" s="558"/>
      <c r="R1" s="558"/>
      <c r="S1" s="558"/>
      <c r="T1" s="558"/>
      <c r="U1" s="558"/>
      <c r="V1" s="163"/>
      <c r="W1" s="558"/>
      <c r="X1" s="163"/>
      <c r="Y1" s="163"/>
      <c r="Z1" s="163"/>
      <c r="AA1" s="163"/>
      <c r="AB1" s="163"/>
      <c r="AC1" s="163"/>
      <c r="AD1" s="163"/>
      <c r="AE1" s="163"/>
      <c r="AF1" s="163"/>
      <c r="AG1" s="163"/>
      <c r="AH1" s="163"/>
      <c r="AI1" s="492"/>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52" t="s">
        <v>107</v>
      </c>
      <c r="D2" s="89"/>
      <c r="E2" s="88"/>
      <c r="F2" s="88"/>
      <c r="G2" s="88"/>
      <c r="H2" s="88"/>
      <c r="I2" s="88"/>
      <c r="J2" s="88"/>
      <c r="K2" s="88"/>
      <c r="L2" s="88"/>
      <c r="M2" s="88"/>
      <c r="N2" s="88"/>
      <c r="O2" s="163"/>
      <c r="P2" s="163"/>
      <c r="Q2" s="163"/>
      <c r="R2" s="163"/>
      <c r="S2" s="163"/>
      <c r="T2" s="163"/>
      <c r="U2" s="163"/>
      <c r="V2" s="163"/>
      <c r="W2" s="163"/>
      <c r="X2" s="163"/>
      <c r="Y2" s="559"/>
      <c r="Z2" s="163"/>
      <c r="AA2" s="558"/>
      <c r="AB2" s="558"/>
      <c r="AC2" s="558"/>
      <c r="AD2" s="558"/>
      <c r="AE2" s="558"/>
      <c r="AF2" s="558"/>
      <c r="AG2" s="558"/>
      <c r="AH2" s="559"/>
      <c r="AI2" s="513"/>
      <c r="AJ2" s="513"/>
      <c r="AK2" s="513"/>
      <c r="AL2" s="513"/>
      <c r="AM2" s="513"/>
      <c r="AN2" s="513"/>
      <c r="AO2" s="513"/>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163"/>
      <c r="P3" s="163"/>
      <c r="Q3" s="163"/>
      <c r="R3" s="163"/>
      <c r="S3" s="163"/>
      <c r="T3" s="163"/>
      <c r="U3" s="163"/>
      <c r="V3" s="163"/>
      <c r="W3" s="163"/>
      <c r="X3" s="163"/>
      <c r="Y3" s="559"/>
      <c r="Z3" s="163"/>
      <c r="AA3" s="163"/>
      <c r="AB3" s="163"/>
      <c r="AC3" s="163"/>
      <c r="AD3" s="163"/>
      <c r="AE3" s="163"/>
      <c r="AF3" s="163"/>
      <c r="AG3" s="163"/>
      <c r="AH3" s="559"/>
      <c r="AI3" s="513"/>
      <c r="AJ3" s="513"/>
      <c r="AK3" s="513"/>
      <c r="AL3" s="513"/>
      <c r="AM3" s="513"/>
      <c r="AN3" s="513"/>
      <c r="AO3" s="513"/>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1"/>
      <c r="C4" s="582"/>
      <c r="D4" s="586"/>
      <c r="E4" s="586"/>
      <c r="F4" s="163"/>
      <c r="G4" s="387"/>
      <c r="H4" s="163"/>
      <c r="I4" s="163"/>
      <c r="J4" s="163"/>
      <c r="K4" s="88"/>
      <c r="L4" s="88"/>
      <c r="M4" s="88"/>
      <c r="N4" s="88"/>
      <c r="O4" s="163"/>
      <c r="P4" s="163"/>
      <c r="Q4" s="163"/>
      <c r="R4" s="163"/>
      <c r="S4" s="163"/>
      <c r="T4" s="163"/>
      <c r="U4" s="163"/>
      <c r="V4" s="163"/>
      <c r="W4" s="163"/>
      <c r="X4" s="163"/>
      <c r="Y4" s="559"/>
      <c r="Z4" s="163"/>
      <c r="AA4" s="163"/>
      <c r="AB4" s="163"/>
      <c r="AC4" s="163"/>
      <c r="AD4" s="163"/>
      <c r="AE4" s="163"/>
      <c r="AF4" s="163"/>
      <c r="AG4" s="163"/>
      <c r="AH4" s="559"/>
      <c r="AI4" s="513"/>
      <c r="AJ4" s="513"/>
      <c r="AK4" s="513"/>
      <c r="AL4" s="513"/>
      <c r="AM4" s="513"/>
      <c r="AN4" s="513"/>
      <c r="AO4" s="513"/>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1"/>
      <c r="C5" s="583" t="s">
        <v>279</v>
      </c>
      <c r="D5" s="565"/>
      <c r="E5" s="385"/>
      <c r="F5" s="384"/>
      <c r="G5" s="385"/>
      <c r="H5" s="384"/>
      <c r="I5" s="563"/>
      <c r="J5" s="163"/>
      <c r="K5" s="88"/>
      <c r="L5" s="88"/>
      <c r="M5" s="88"/>
      <c r="N5" s="88"/>
      <c r="O5" s="163"/>
      <c r="P5" s="163"/>
      <c r="Q5" s="163"/>
      <c r="R5" s="163"/>
      <c r="S5" s="163"/>
      <c r="T5" s="163"/>
      <c r="U5" s="163"/>
      <c r="V5" s="163"/>
      <c r="W5" s="163"/>
      <c r="X5" s="163"/>
      <c r="Y5" s="559"/>
      <c r="Z5" s="163"/>
      <c r="AA5" s="163"/>
      <c r="AB5" s="163"/>
      <c r="AC5" s="163"/>
      <c r="AD5" s="163"/>
      <c r="AE5" s="163"/>
      <c r="AF5" s="163"/>
      <c r="AG5" s="163"/>
      <c r="AH5" s="559"/>
      <c r="AI5" s="513"/>
      <c r="AJ5" s="513"/>
      <c r="AK5" s="513"/>
      <c r="AL5" s="513"/>
      <c r="AM5" s="513"/>
      <c r="AN5" s="513"/>
      <c r="AO5" s="513"/>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388"/>
      <c r="C6" s="587" t="s">
        <v>340</v>
      </c>
      <c r="D6" s="565"/>
      <c r="E6" s="385"/>
      <c r="F6" s="384"/>
      <c r="G6" s="385"/>
      <c r="H6" s="386"/>
      <c r="I6" s="563"/>
      <c r="J6" s="163"/>
      <c r="K6" s="88"/>
      <c r="L6" s="88"/>
      <c r="M6" s="88"/>
      <c r="N6" s="88"/>
      <c r="O6" s="163"/>
      <c r="P6" s="163"/>
      <c r="Q6" s="163"/>
      <c r="R6" s="163"/>
      <c r="S6" s="163"/>
      <c r="T6" s="163"/>
      <c r="U6" s="163"/>
      <c r="V6" s="163"/>
      <c r="W6" s="163"/>
      <c r="X6" s="163"/>
      <c r="Y6" s="559"/>
      <c r="Z6" s="163"/>
      <c r="AA6" s="163"/>
      <c r="AB6" s="163"/>
      <c r="AC6" s="163"/>
      <c r="AD6" s="163"/>
      <c r="AE6" s="163"/>
      <c r="AF6" s="163"/>
      <c r="AG6" s="163"/>
      <c r="AH6" s="559"/>
      <c r="AI6" s="513"/>
      <c r="AJ6" s="513"/>
      <c r="AK6" s="513"/>
      <c r="AL6" s="513"/>
      <c r="AM6" s="513"/>
      <c r="AN6" s="513"/>
      <c r="AO6" s="513"/>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388"/>
      <c r="C7" s="584"/>
      <c r="D7" s="565"/>
      <c r="E7" s="385"/>
      <c r="F7" s="386"/>
      <c r="G7" s="385"/>
      <c r="H7" s="386"/>
      <c r="I7" s="163"/>
      <c r="J7" s="163"/>
      <c r="K7" s="88"/>
      <c r="L7" s="88"/>
      <c r="M7" s="88"/>
      <c r="N7" s="88"/>
      <c r="O7" s="163"/>
      <c r="P7" s="163"/>
      <c r="Q7" s="163"/>
      <c r="R7" s="163"/>
      <c r="S7" s="163"/>
      <c r="T7" s="163"/>
      <c r="U7" s="163"/>
      <c r="V7" s="163"/>
      <c r="W7" s="163"/>
      <c r="X7" s="163"/>
      <c r="Y7" s="163"/>
      <c r="Z7" s="163"/>
      <c r="AA7" s="163"/>
      <c r="AB7" s="163"/>
      <c r="AC7" s="163"/>
      <c r="AD7" s="163"/>
      <c r="AE7" s="163"/>
      <c r="AF7" s="163"/>
      <c r="AG7" s="163"/>
      <c r="AH7" s="163"/>
      <c r="AI7" s="492"/>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1"/>
      <c r="C8" s="585"/>
      <c r="D8" s="563"/>
      <c r="E8" s="563"/>
      <c r="F8" s="563"/>
      <c r="G8" s="563"/>
      <c r="H8" s="563"/>
      <c r="I8" s="563"/>
      <c r="J8" s="563"/>
      <c r="K8" s="88"/>
      <c r="L8" s="88"/>
      <c r="M8" s="88"/>
      <c r="N8" s="202"/>
      <c r="O8" s="202"/>
      <c r="P8" s="202"/>
      <c r="Q8" s="202"/>
      <c r="R8" s="202"/>
      <c r="S8" s="202"/>
      <c r="T8" s="202"/>
      <c r="U8" s="202"/>
      <c r="V8" s="202"/>
      <c r="W8" s="375"/>
      <c r="X8" s="88"/>
      <c r="Y8" s="88"/>
      <c r="Z8" s="88"/>
      <c r="AA8" s="88"/>
      <c r="AB8" s="88"/>
      <c r="AC8" s="88"/>
      <c r="AD8" s="88"/>
      <c r="AE8" s="88"/>
      <c r="AF8" s="88"/>
      <c r="AG8" s="8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251"/>
      <c r="C9" s="563"/>
      <c r="D9" s="563"/>
      <c r="E9" s="563"/>
      <c r="F9" s="563"/>
      <c r="G9" s="563"/>
      <c r="H9" s="563"/>
      <c r="I9" s="563"/>
      <c r="J9" s="563"/>
      <c r="K9" s="88"/>
      <c r="L9" s="88"/>
      <c r="M9" s="88"/>
      <c r="N9" s="202"/>
      <c r="O9" s="202"/>
      <c r="P9" s="202"/>
      <c r="Q9" s="202"/>
      <c r="R9" s="202"/>
      <c r="S9" s="202"/>
      <c r="T9" s="202"/>
      <c r="U9" s="202"/>
      <c r="V9" s="202"/>
      <c r="W9" s="375"/>
      <c r="X9" s="88"/>
      <c r="Y9" s="88"/>
      <c r="Z9" s="88"/>
      <c r="AA9" s="88"/>
      <c r="AB9" s="88"/>
      <c r="AC9" s="88"/>
      <c r="AD9" s="88"/>
      <c r="AE9" s="88"/>
      <c r="AF9" s="88"/>
      <c r="AG9" s="8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c r="A10" s="100"/>
      <c r="B10" s="251"/>
      <c r="C10" s="563"/>
      <c r="D10" s="563"/>
      <c r="E10" s="563"/>
      <c r="F10" s="563"/>
      <c r="G10" s="563"/>
      <c r="H10" s="563"/>
      <c r="I10" s="563"/>
      <c r="J10" s="563"/>
      <c r="K10" s="88"/>
      <c r="L10" s="88"/>
      <c r="M10" s="88"/>
      <c r="N10" s="202"/>
      <c r="O10" s="202"/>
      <c r="P10" s="202"/>
      <c r="Q10" s="202"/>
      <c r="R10" s="202"/>
      <c r="S10" s="202"/>
      <c r="T10" s="202"/>
      <c r="U10" s="202"/>
      <c r="V10" s="202"/>
      <c r="W10" s="375"/>
      <c r="X10" s="88"/>
      <c r="Y10" s="88"/>
      <c r="Z10" s="88"/>
      <c r="AA10" s="88"/>
      <c r="AB10" s="88"/>
      <c r="AC10" s="88"/>
      <c r="AD10" s="88"/>
      <c r="AE10" s="88"/>
      <c r="AF10" s="88"/>
      <c r="AG10" s="88"/>
      <c r="AH10" s="88"/>
      <c r="AI10" s="88"/>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c r="A11" s="100"/>
      <c r="B11" s="251"/>
      <c r="C11" s="563"/>
      <c r="D11" s="563"/>
      <c r="E11" s="563"/>
      <c r="F11" s="563"/>
      <c r="G11" s="563"/>
      <c r="H11" s="563"/>
      <c r="I11" s="563"/>
      <c r="J11" s="563"/>
      <c r="K11" s="88"/>
      <c r="L11" s="88"/>
      <c r="M11" s="88"/>
      <c r="N11" s="202"/>
      <c r="O11" s="202"/>
      <c r="P11" s="202"/>
      <c r="Q11" s="202"/>
      <c r="R11" s="202"/>
      <c r="S11" s="202"/>
      <c r="T11" s="202"/>
      <c r="U11" s="202"/>
      <c r="V11" s="202"/>
      <c r="W11" s="375"/>
      <c r="X11" s="88"/>
      <c r="Y11" s="88"/>
      <c r="Z11" s="88"/>
      <c r="AA11" s="88"/>
      <c r="AB11" s="88"/>
      <c r="AC11" s="88"/>
      <c r="AD11" s="88"/>
      <c r="AE11" s="88"/>
      <c r="AF11" s="88"/>
      <c r="AG11" s="88"/>
      <c r="AH11" s="88"/>
      <c r="AI11" s="88"/>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c r="A12" s="100"/>
      <c r="B12" s="88"/>
      <c r="C12" s="383"/>
      <c r="D12" s="88"/>
      <c r="E12" s="88"/>
      <c r="F12" s="88"/>
      <c r="G12" s="88"/>
      <c r="H12" s="88"/>
      <c r="I12" s="88"/>
      <c r="J12" s="88"/>
      <c r="K12" s="88"/>
      <c r="L12" s="88"/>
      <c r="M12" s="88"/>
      <c r="N12" s="88"/>
      <c r="O12" s="88"/>
      <c r="P12" s="88"/>
      <c r="Q12" s="88"/>
      <c r="R12" s="88"/>
      <c r="S12" s="88"/>
      <c r="T12" s="88"/>
      <c r="U12" s="88"/>
      <c r="V12" s="88"/>
      <c r="W12" s="375"/>
      <c r="X12" s="88"/>
      <c r="Y12" s="88"/>
      <c r="Z12" s="88"/>
      <c r="AA12" s="88"/>
      <c r="AB12" s="88"/>
      <c r="AC12" s="88"/>
      <c r="AD12" s="88"/>
      <c r="AE12" s="88"/>
      <c r="AF12" s="88"/>
      <c r="AG12" s="375"/>
      <c r="AH12" s="88"/>
      <c r="AI12" s="88"/>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c r="A13" s="100"/>
      <c r="B13" s="89"/>
      <c r="C13" s="88"/>
      <c r="D13" s="88"/>
      <c r="E13" s="88"/>
      <c r="F13" s="88"/>
      <c r="G13" s="88"/>
      <c r="H13" s="88"/>
      <c r="I13" s="88"/>
      <c r="J13" s="88"/>
      <c r="K13" s="88"/>
      <c r="L13" s="88"/>
      <c r="M13" s="88"/>
      <c r="N13" s="88"/>
      <c r="O13" s="88"/>
      <c r="P13" s="88"/>
      <c r="Q13" s="88"/>
      <c r="R13" s="88"/>
      <c r="S13" s="88"/>
      <c r="T13" s="88"/>
      <c r="U13" s="88"/>
      <c r="V13" s="88"/>
      <c r="W13" s="375"/>
      <c r="X13" s="88"/>
      <c r="Y13" s="88"/>
      <c r="Z13" s="88"/>
      <c r="AA13" s="88"/>
      <c r="AB13" s="88"/>
      <c r="AC13" s="88"/>
      <c r="AD13" s="88"/>
      <c r="AE13" s="88"/>
      <c r="AF13" s="88"/>
      <c r="AG13" s="375"/>
      <c r="AH13" s="88"/>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c r="A14" s="100"/>
      <c r="B14" s="580">
        <f>INDEX($AZ$44:$BC$54,MATCH(B16,$AY$44:$AY$54,0),MATCH($C$6,$AZ$43:$BC$43,0))</f>
        <v>2035</v>
      </c>
      <c r="C14" s="581">
        <f>INDEX($AZ$28:$BC$38,MATCH(B16,$AY$28:$AY$38,0),MATCH($C$6,$AZ$27:$BC$27,0))</f>
        <v>0.4</v>
      </c>
      <c r="D14" s="547">
        <v>2014</v>
      </c>
      <c r="E14" s="548">
        <v>2016</v>
      </c>
      <c r="F14" s="548">
        <v>2018</v>
      </c>
      <c r="G14" s="548">
        <v>2020</v>
      </c>
      <c r="H14" s="548">
        <v>2022</v>
      </c>
      <c r="I14" s="548">
        <v>2024</v>
      </c>
      <c r="J14" s="548">
        <v>2026</v>
      </c>
      <c r="K14" s="548">
        <v>2028</v>
      </c>
      <c r="L14" s="548">
        <v>2030</v>
      </c>
      <c r="M14" s="548">
        <v>2032</v>
      </c>
      <c r="N14" s="548">
        <v>2034</v>
      </c>
      <c r="O14" s="548">
        <v>2036</v>
      </c>
      <c r="P14" s="548">
        <v>2038</v>
      </c>
      <c r="Q14" s="548">
        <v>2040</v>
      </c>
      <c r="R14" s="548">
        <v>2042</v>
      </c>
      <c r="S14" s="548">
        <v>2044</v>
      </c>
      <c r="T14" s="548">
        <v>2046</v>
      </c>
      <c r="U14" s="548">
        <v>2048</v>
      </c>
      <c r="V14" s="549">
        <v>2050</v>
      </c>
      <c r="W14" s="375"/>
      <c r="X14" s="580">
        <f>INDEX($AZ$44:$BC$54,MATCH(X16,$AY$44:$AY$54,0),MATCH($C$6,$AZ$43:$BC$43,0))</f>
        <v>2035</v>
      </c>
      <c r="Y14" s="581">
        <f>INDEX($AZ$28:$BC$38,MATCH(X16,$AY$28:$AY$38,0),MATCH($C$6,$AZ$27:$BC$27,0))</f>
        <v>0.28999999999999998</v>
      </c>
      <c r="Z14" s="547">
        <v>2014</v>
      </c>
      <c r="AA14" s="548">
        <v>2016</v>
      </c>
      <c r="AB14" s="548">
        <v>2018</v>
      </c>
      <c r="AC14" s="548">
        <v>2020</v>
      </c>
      <c r="AD14" s="548">
        <v>2022</v>
      </c>
      <c r="AE14" s="548">
        <v>2024</v>
      </c>
      <c r="AF14" s="548">
        <v>2026</v>
      </c>
      <c r="AG14" s="548">
        <v>2028</v>
      </c>
      <c r="AH14" s="548">
        <v>2030</v>
      </c>
      <c r="AI14" s="548">
        <v>2032</v>
      </c>
      <c r="AJ14" s="548">
        <v>2034</v>
      </c>
      <c r="AK14" s="548">
        <v>2036</v>
      </c>
      <c r="AL14" s="548">
        <v>2038</v>
      </c>
      <c r="AM14" s="548">
        <v>2040</v>
      </c>
      <c r="AN14" s="548">
        <v>2042</v>
      </c>
      <c r="AO14" s="548">
        <v>2044</v>
      </c>
      <c r="AP14" s="548">
        <v>2046</v>
      </c>
      <c r="AQ14" s="548">
        <v>2048</v>
      </c>
      <c r="AR14" s="549">
        <v>2050</v>
      </c>
      <c r="AS14" s="89"/>
      <c r="AT14" s="94"/>
      <c r="AU14" s="94"/>
      <c r="AV14" s="94"/>
      <c r="AW14" s="94"/>
      <c r="AX14" s="94"/>
      <c r="AY14" s="94"/>
      <c r="AZ14" s="89"/>
      <c r="BA14" s="89"/>
      <c r="BB14" s="89"/>
      <c r="BC14" s="89"/>
      <c r="BD14" s="89"/>
      <c r="BE14" s="89"/>
      <c r="BF14" s="89"/>
    </row>
    <row r="15" spans="1:121" ht="19.5" customHeight="1">
      <c r="A15" s="100"/>
      <c r="B15" s="252"/>
      <c r="C15" s="253" t="s">
        <v>108</v>
      </c>
      <c r="D15" s="550">
        <v>10072</v>
      </c>
      <c r="E15" s="254">
        <f>IF(E$14&gt;$B14,D15,D15-($D15*2*$C14/($B14-$D$14)))</f>
        <v>9688.3047619047611</v>
      </c>
      <c r="F15" s="254">
        <f t="shared" ref="F15:V15" si="0">IF(F$14&gt;$B14,E15,E15-($D15*2*$C14/($B14-$D$14)))</f>
        <v>9304.6095238095222</v>
      </c>
      <c r="G15" s="254">
        <f t="shared" si="0"/>
        <v>8920.9142857142833</v>
      </c>
      <c r="H15" s="254">
        <f t="shared" si="0"/>
        <v>8537.2190476190444</v>
      </c>
      <c r="I15" s="254">
        <f t="shared" si="0"/>
        <v>8153.5238095238064</v>
      </c>
      <c r="J15" s="254">
        <f t="shared" si="0"/>
        <v>7769.8285714285685</v>
      </c>
      <c r="K15" s="254">
        <f t="shared" si="0"/>
        <v>7386.1333333333305</v>
      </c>
      <c r="L15" s="254">
        <f t="shared" si="0"/>
        <v>7002.4380952380925</v>
      </c>
      <c r="M15" s="254">
        <f t="shared" si="0"/>
        <v>6618.7428571428545</v>
      </c>
      <c r="N15" s="254">
        <f t="shared" si="0"/>
        <v>6235.0476190476165</v>
      </c>
      <c r="O15" s="254">
        <f t="shared" si="0"/>
        <v>6235.0476190476165</v>
      </c>
      <c r="P15" s="254">
        <f t="shared" si="0"/>
        <v>6235.0476190476165</v>
      </c>
      <c r="Q15" s="254">
        <f t="shared" si="0"/>
        <v>6235.0476190476165</v>
      </c>
      <c r="R15" s="254">
        <f t="shared" si="0"/>
        <v>6235.0476190476165</v>
      </c>
      <c r="S15" s="254">
        <f t="shared" si="0"/>
        <v>6235.0476190476165</v>
      </c>
      <c r="T15" s="254">
        <f t="shared" si="0"/>
        <v>6235.0476190476165</v>
      </c>
      <c r="U15" s="254">
        <f t="shared" si="0"/>
        <v>6235.0476190476165</v>
      </c>
      <c r="V15" s="254">
        <f t="shared" si="0"/>
        <v>6235.0476190476165</v>
      </c>
      <c r="W15" s="250"/>
      <c r="X15" s="252"/>
      <c r="Y15" s="253" t="s">
        <v>108</v>
      </c>
      <c r="Z15" s="550">
        <v>4449</v>
      </c>
      <c r="AA15" s="254">
        <f>IF(AA14&gt;$X14,Z15,Z15-($Z15*2*$Y14/($B14-$Z14)))</f>
        <v>4326.1228571428574</v>
      </c>
      <c r="AB15" s="254">
        <f t="shared" ref="AB15:AR15" si="1">IF(AB14&gt;$X14,AA15,AA15-($Z15*2*$Y14/($B14-$Z14)))</f>
        <v>4203.2457142857147</v>
      </c>
      <c r="AC15" s="254">
        <f t="shared" si="1"/>
        <v>4080.3685714285721</v>
      </c>
      <c r="AD15" s="254">
        <f t="shared" si="1"/>
        <v>3957.4914285714294</v>
      </c>
      <c r="AE15" s="254">
        <f t="shared" si="1"/>
        <v>3834.6142857142868</v>
      </c>
      <c r="AF15" s="254">
        <f t="shared" si="1"/>
        <v>3711.7371428571441</v>
      </c>
      <c r="AG15" s="254">
        <f t="shared" si="1"/>
        <v>3588.8600000000015</v>
      </c>
      <c r="AH15" s="254">
        <f t="shared" si="1"/>
        <v>3465.9828571428588</v>
      </c>
      <c r="AI15" s="254">
        <f t="shared" si="1"/>
        <v>3343.1057142857162</v>
      </c>
      <c r="AJ15" s="254">
        <f t="shared" si="1"/>
        <v>3220.2285714285736</v>
      </c>
      <c r="AK15" s="254">
        <f t="shared" si="1"/>
        <v>3220.2285714285736</v>
      </c>
      <c r="AL15" s="254">
        <f t="shared" si="1"/>
        <v>3220.2285714285736</v>
      </c>
      <c r="AM15" s="254">
        <f t="shared" si="1"/>
        <v>3220.2285714285736</v>
      </c>
      <c r="AN15" s="254">
        <f t="shared" si="1"/>
        <v>3220.2285714285736</v>
      </c>
      <c r="AO15" s="254">
        <f t="shared" si="1"/>
        <v>3220.2285714285736</v>
      </c>
      <c r="AP15" s="254">
        <f t="shared" si="1"/>
        <v>3220.2285714285736</v>
      </c>
      <c r="AQ15" s="254">
        <f t="shared" si="1"/>
        <v>3220.2285714285736</v>
      </c>
      <c r="AR15" s="254">
        <f t="shared" si="1"/>
        <v>3220.2285714285736</v>
      </c>
      <c r="AS15" s="89"/>
      <c r="AT15" s="94"/>
      <c r="AU15" s="94"/>
      <c r="AV15" s="94"/>
      <c r="AW15" s="94"/>
      <c r="AX15" s="94"/>
      <c r="AY15" s="94"/>
      <c r="AZ15" s="89"/>
      <c r="BA15" s="89"/>
      <c r="BB15" s="89"/>
      <c r="BC15" s="89"/>
      <c r="BD15" s="89"/>
      <c r="BE15" s="89"/>
      <c r="BF15" s="89"/>
    </row>
    <row r="16" spans="1:121" ht="20.25" customHeight="1">
      <c r="A16" s="100"/>
      <c r="B16" s="209" t="s">
        <v>167</v>
      </c>
      <c r="C16" s="255" t="s">
        <v>110</v>
      </c>
      <c r="D16" s="163">
        <v>28</v>
      </c>
      <c r="E16" s="163">
        <v>28</v>
      </c>
      <c r="F16" s="163">
        <v>28</v>
      </c>
      <c r="G16" s="163">
        <v>28</v>
      </c>
      <c r="H16" s="163">
        <v>28</v>
      </c>
      <c r="I16" s="163">
        <v>28</v>
      </c>
      <c r="J16" s="163">
        <v>28</v>
      </c>
      <c r="K16" s="163">
        <v>28</v>
      </c>
      <c r="L16" s="163">
        <v>28</v>
      </c>
      <c r="M16" s="163">
        <v>28</v>
      </c>
      <c r="N16" s="163">
        <v>28</v>
      </c>
      <c r="O16" s="163">
        <v>28</v>
      </c>
      <c r="P16" s="163">
        <v>28</v>
      </c>
      <c r="Q16" s="163">
        <v>28</v>
      </c>
      <c r="R16" s="163">
        <v>28</v>
      </c>
      <c r="S16" s="163">
        <v>28</v>
      </c>
      <c r="T16" s="163">
        <v>28</v>
      </c>
      <c r="U16" s="163">
        <v>28</v>
      </c>
      <c r="V16" s="163">
        <v>28</v>
      </c>
      <c r="W16" s="88"/>
      <c r="X16" s="209" t="s">
        <v>168</v>
      </c>
      <c r="Y16" s="255" t="s">
        <v>110</v>
      </c>
      <c r="Z16" s="551">
        <v>75.936074811893462</v>
      </c>
      <c r="AA16" s="251">
        <v>75.936074811893462</v>
      </c>
      <c r="AB16" s="251">
        <v>75.936074811893462</v>
      </c>
      <c r="AC16" s="251">
        <v>75.936074811893462</v>
      </c>
      <c r="AD16" s="251">
        <v>75.936074811893462</v>
      </c>
      <c r="AE16" s="251">
        <v>75.936074811893462</v>
      </c>
      <c r="AF16" s="251">
        <v>75.936074811893462</v>
      </c>
      <c r="AG16" s="251">
        <v>75.936074811893462</v>
      </c>
      <c r="AH16" s="251">
        <v>75.936074811893462</v>
      </c>
      <c r="AI16" s="251">
        <v>75.936074811893462</v>
      </c>
      <c r="AJ16" s="251">
        <v>75.936074811893462</v>
      </c>
      <c r="AK16" s="251">
        <v>75.936074811893462</v>
      </c>
      <c r="AL16" s="251">
        <v>75.936074811893462</v>
      </c>
      <c r="AM16" s="251">
        <v>75.936074811893462</v>
      </c>
      <c r="AN16" s="251">
        <v>75.936074811893462</v>
      </c>
      <c r="AO16" s="251">
        <v>75.936074811893462</v>
      </c>
      <c r="AP16" s="251">
        <v>75.936074811893462</v>
      </c>
      <c r="AQ16" s="251">
        <v>75.936074811893462</v>
      </c>
      <c r="AR16" s="552">
        <v>75.936074811893462</v>
      </c>
      <c r="AS16" s="89"/>
      <c r="AT16" s="94"/>
      <c r="AU16" s="94"/>
      <c r="AV16" s="94"/>
      <c r="AW16" s="94"/>
      <c r="AX16" s="94"/>
      <c r="AY16" s="94"/>
      <c r="AZ16" s="89"/>
      <c r="BA16" s="89"/>
      <c r="BB16" s="89"/>
      <c r="BC16" s="89"/>
      <c r="BD16" s="89"/>
      <c r="BE16" s="89"/>
      <c r="BF16" s="89"/>
    </row>
    <row r="17" spans="1:62" ht="20.25" customHeight="1">
      <c r="A17" s="100"/>
      <c r="B17" s="256" t="s">
        <v>153</v>
      </c>
      <c r="C17" s="255" t="s">
        <v>156</v>
      </c>
      <c r="D17" s="551">
        <v>0</v>
      </c>
      <c r="E17" s="251">
        <v>0</v>
      </c>
      <c r="F17" s="251">
        <v>0</v>
      </c>
      <c r="G17" s="251">
        <v>0</v>
      </c>
      <c r="H17" s="251">
        <v>0</v>
      </c>
      <c r="I17" s="251">
        <v>0</v>
      </c>
      <c r="J17" s="251">
        <v>0</v>
      </c>
      <c r="K17" s="251">
        <v>0</v>
      </c>
      <c r="L17" s="251">
        <v>0</v>
      </c>
      <c r="M17" s="251">
        <v>0</v>
      </c>
      <c r="N17" s="251">
        <v>0</v>
      </c>
      <c r="O17" s="251">
        <v>0</v>
      </c>
      <c r="P17" s="251">
        <v>0</v>
      </c>
      <c r="Q17" s="251">
        <v>0</v>
      </c>
      <c r="R17" s="251">
        <v>0</v>
      </c>
      <c r="S17" s="251">
        <v>0</v>
      </c>
      <c r="T17" s="251">
        <v>0</v>
      </c>
      <c r="U17" s="251">
        <v>0</v>
      </c>
      <c r="V17" s="251">
        <v>0</v>
      </c>
      <c r="W17" s="88"/>
      <c r="X17" s="256" t="s">
        <v>153</v>
      </c>
      <c r="Y17" s="255" t="s">
        <v>156</v>
      </c>
      <c r="Z17" s="551">
        <v>0</v>
      </c>
      <c r="AA17" s="251">
        <v>0</v>
      </c>
      <c r="AB17" s="251">
        <v>0</v>
      </c>
      <c r="AC17" s="251">
        <v>0</v>
      </c>
      <c r="AD17" s="251">
        <v>0</v>
      </c>
      <c r="AE17" s="251">
        <v>0</v>
      </c>
      <c r="AF17" s="251">
        <v>0</v>
      </c>
      <c r="AG17" s="251">
        <v>0</v>
      </c>
      <c r="AH17" s="251">
        <v>0</v>
      </c>
      <c r="AI17" s="251">
        <v>0</v>
      </c>
      <c r="AJ17" s="251">
        <v>0</v>
      </c>
      <c r="AK17" s="251">
        <v>0</v>
      </c>
      <c r="AL17" s="251">
        <v>0</v>
      </c>
      <c r="AM17" s="251">
        <v>0</v>
      </c>
      <c r="AN17" s="251">
        <v>0</v>
      </c>
      <c r="AO17" s="251">
        <v>0</v>
      </c>
      <c r="AP17" s="251">
        <v>0</v>
      </c>
      <c r="AQ17" s="251">
        <v>0</v>
      </c>
      <c r="AR17" s="251">
        <v>0</v>
      </c>
      <c r="AS17" s="89"/>
      <c r="AT17" s="94"/>
      <c r="AU17" s="94"/>
      <c r="AV17" s="94"/>
      <c r="AW17" s="94"/>
      <c r="AX17" s="94"/>
      <c r="AY17" s="94"/>
      <c r="AZ17" s="89"/>
      <c r="BA17" s="89"/>
      <c r="BB17" s="89"/>
      <c r="BC17" s="89"/>
      <c r="BD17" s="89"/>
      <c r="BE17" s="89"/>
      <c r="BF17" s="89"/>
    </row>
    <row r="18" spans="1:62" ht="14.25" customHeight="1">
      <c r="A18" s="100"/>
      <c r="B18" s="257"/>
      <c r="C18" s="255" t="s">
        <v>109</v>
      </c>
      <c r="D18" s="553">
        <v>30</v>
      </c>
      <c r="E18" s="117">
        <f>D18</f>
        <v>30</v>
      </c>
      <c r="F18" s="117">
        <f t="shared" ref="F18:V18" si="2">E18</f>
        <v>30</v>
      </c>
      <c r="G18" s="117">
        <f t="shared" si="2"/>
        <v>30</v>
      </c>
      <c r="H18" s="117">
        <f t="shared" si="2"/>
        <v>30</v>
      </c>
      <c r="I18" s="117">
        <f t="shared" si="2"/>
        <v>30</v>
      </c>
      <c r="J18" s="117">
        <f t="shared" si="2"/>
        <v>30</v>
      </c>
      <c r="K18" s="117">
        <f t="shared" si="2"/>
        <v>30</v>
      </c>
      <c r="L18" s="117">
        <f t="shared" si="2"/>
        <v>30</v>
      </c>
      <c r="M18" s="117">
        <f t="shared" si="2"/>
        <v>30</v>
      </c>
      <c r="N18" s="117">
        <f t="shared" si="2"/>
        <v>30</v>
      </c>
      <c r="O18" s="117">
        <f t="shared" si="2"/>
        <v>30</v>
      </c>
      <c r="P18" s="117">
        <f t="shared" si="2"/>
        <v>30</v>
      </c>
      <c r="Q18" s="117">
        <f t="shared" si="2"/>
        <v>30</v>
      </c>
      <c r="R18" s="117">
        <f t="shared" si="2"/>
        <v>30</v>
      </c>
      <c r="S18" s="117">
        <f t="shared" si="2"/>
        <v>30</v>
      </c>
      <c r="T18" s="117">
        <f t="shared" si="2"/>
        <v>30</v>
      </c>
      <c r="U18" s="117">
        <f t="shared" si="2"/>
        <v>30</v>
      </c>
      <c r="V18" s="554">
        <f t="shared" si="2"/>
        <v>30</v>
      </c>
      <c r="W18" s="88"/>
      <c r="X18" s="257"/>
      <c r="Y18" s="255" t="s">
        <v>109</v>
      </c>
      <c r="Z18" s="553">
        <v>50</v>
      </c>
      <c r="AA18" s="117">
        <f>Z18</f>
        <v>50</v>
      </c>
      <c r="AB18" s="117">
        <f t="shared" ref="AB18:AR18" si="3">AA18</f>
        <v>50</v>
      </c>
      <c r="AC18" s="117">
        <f t="shared" si="3"/>
        <v>50</v>
      </c>
      <c r="AD18" s="117">
        <f t="shared" si="3"/>
        <v>50</v>
      </c>
      <c r="AE18" s="117">
        <f t="shared" si="3"/>
        <v>50</v>
      </c>
      <c r="AF18" s="117">
        <f t="shared" si="3"/>
        <v>50</v>
      </c>
      <c r="AG18" s="117">
        <f t="shared" si="3"/>
        <v>50</v>
      </c>
      <c r="AH18" s="117">
        <f t="shared" si="3"/>
        <v>50</v>
      </c>
      <c r="AI18" s="117">
        <f t="shared" si="3"/>
        <v>50</v>
      </c>
      <c r="AJ18" s="117">
        <f t="shared" si="3"/>
        <v>50</v>
      </c>
      <c r="AK18" s="117">
        <f t="shared" si="3"/>
        <v>50</v>
      </c>
      <c r="AL18" s="117">
        <f t="shared" si="3"/>
        <v>50</v>
      </c>
      <c r="AM18" s="117">
        <f t="shared" si="3"/>
        <v>50</v>
      </c>
      <c r="AN18" s="117">
        <f t="shared" si="3"/>
        <v>50</v>
      </c>
      <c r="AO18" s="117">
        <f t="shared" si="3"/>
        <v>50</v>
      </c>
      <c r="AP18" s="117">
        <f t="shared" si="3"/>
        <v>50</v>
      </c>
      <c r="AQ18" s="117">
        <f t="shared" si="3"/>
        <v>50</v>
      </c>
      <c r="AR18" s="554">
        <f t="shared" si="3"/>
        <v>50</v>
      </c>
      <c r="AS18" s="90"/>
      <c r="AT18" s="94"/>
      <c r="AU18" s="94"/>
      <c r="AV18" s="94"/>
      <c r="AW18" s="94"/>
      <c r="AX18" s="94"/>
      <c r="AY18" s="94"/>
      <c r="AZ18" s="89"/>
      <c r="BA18" s="89"/>
      <c r="BB18" s="89"/>
      <c r="BC18" s="89"/>
      <c r="BD18" s="89"/>
      <c r="BE18" s="89"/>
      <c r="BF18" s="89"/>
    </row>
    <row r="19" spans="1:62" ht="18.75" customHeight="1" thickBot="1">
      <c r="A19" s="88"/>
      <c r="B19" s="129"/>
      <c r="C19" s="258" t="s">
        <v>187</v>
      </c>
      <c r="D19" s="555">
        <v>216</v>
      </c>
      <c r="E19" s="556">
        <f>D19</f>
        <v>216</v>
      </c>
      <c r="F19" s="556">
        <f t="shared" ref="F19:V19" si="4">E19</f>
        <v>216</v>
      </c>
      <c r="G19" s="556">
        <f t="shared" si="4"/>
        <v>216</v>
      </c>
      <c r="H19" s="556">
        <f t="shared" si="4"/>
        <v>216</v>
      </c>
      <c r="I19" s="556">
        <f t="shared" si="4"/>
        <v>216</v>
      </c>
      <c r="J19" s="556">
        <f t="shared" si="4"/>
        <v>216</v>
      </c>
      <c r="K19" s="556">
        <f t="shared" si="4"/>
        <v>216</v>
      </c>
      <c r="L19" s="556">
        <f t="shared" si="4"/>
        <v>216</v>
      </c>
      <c r="M19" s="556">
        <f t="shared" si="4"/>
        <v>216</v>
      </c>
      <c r="N19" s="556">
        <f t="shared" si="4"/>
        <v>216</v>
      </c>
      <c r="O19" s="556">
        <f t="shared" si="4"/>
        <v>216</v>
      </c>
      <c r="P19" s="556">
        <f t="shared" si="4"/>
        <v>216</v>
      </c>
      <c r="Q19" s="556">
        <f t="shared" si="4"/>
        <v>216</v>
      </c>
      <c r="R19" s="556">
        <f t="shared" si="4"/>
        <v>216</v>
      </c>
      <c r="S19" s="556">
        <f t="shared" si="4"/>
        <v>216</v>
      </c>
      <c r="T19" s="556">
        <f t="shared" si="4"/>
        <v>216</v>
      </c>
      <c r="U19" s="556">
        <f t="shared" si="4"/>
        <v>216</v>
      </c>
      <c r="V19" s="557">
        <f t="shared" si="4"/>
        <v>216</v>
      </c>
      <c r="W19" s="88"/>
      <c r="X19" s="129"/>
      <c r="Y19" s="258" t="s">
        <v>187</v>
      </c>
      <c r="Z19" s="555">
        <v>10.757999999999999</v>
      </c>
      <c r="AA19" s="556">
        <f>Z19</f>
        <v>10.757999999999999</v>
      </c>
      <c r="AB19" s="556">
        <f t="shared" ref="AB19:AR19" si="5">AA19</f>
        <v>10.757999999999999</v>
      </c>
      <c r="AC19" s="556">
        <f t="shared" si="5"/>
        <v>10.757999999999999</v>
      </c>
      <c r="AD19" s="556">
        <f t="shared" si="5"/>
        <v>10.757999999999999</v>
      </c>
      <c r="AE19" s="556">
        <f t="shared" si="5"/>
        <v>10.757999999999999</v>
      </c>
      <c r="AF19" s="556">
        <f t="shared" si="5"/>
        <v>10.757999999999999</v>
      </c>
      <c r="AG19" s="556">
        <f t="shared" si="5"/>
        <v>10.757999999999999</v>
      </c>
      <c r="AH19" s="556">
        <f t="shared" si="5"/>
        <v>10.757999999999999</v>
      </c>
      <c r="AI19" s="556">
        <f t="shared" si="5"/>
        <v>10.757999999999999</v>
      </c>
      <c r="AJ19" s="556">
        <f t="shared" si="5"/>
        <v>10.757999999999999</v>
      </c>
      <c r="AK19" s="556">
        <f t="shared" si="5"/>
        <v>10.757999999999999</v>
      </c>
      <c r="AL19" s="556">
        <f t="shared" si="5"/>
        <v>10.757999999999999</v>
      </c>
      <c r="AM19" s="556">
        <f t="shared" si="5"/>
        <v>10.757999999999999</v>
      </c>
      <c r="AN19" s="556">
        <f t="shared" si="5"/>
        <v>10.757999999999999</v>
      </c>
      <c r="AO19" s="556">
        <f t="shared" si="5"/>
        <v>10.757999999999999</v>
      </c>
      <c r="AP19" s="556">
        <f t="shared" si="5"/>
        <v>10.757999999999999</v>
      </c>
      <c r="AQ19" s="556">
        <f t="shared" si="5"/>
        <v>10.757999999999999</v>
      </c>
      <c r="AR19" s="557">
        <f t="shared" si="5"/>
        <v>10.757999999999999</v>
      </c>
      <c r="AS19" s="94"/>
      <c r="AT19" s="94"/>
      <c r="AU19" s="94"/>
      <c r="AV19" s="94"/>
      <c r="AW19" s="94"/>
      <c r="AX19" s="94"/>
      <c r="AY19" s="94"/>
      <c r="AZ19" s="93"/>
      <c r="BA19" s="89"/>
      <c r="BB19" s="89"/>
      <c r="BC19" s="89"/>
      <c r="BD19" s="89"/>
      <c r="BE19" s="89"/>
      <c r="BF19" s="89"/>
      <c r="BG19" s="89"/>
      <c r="BH19" s="89"/>
    </row>
    <row r="20" spans="1:62" ht="16" thickTop="1" thickBot="1">
      <c r="A20" s="88"/>
      <c r="B20" s="88"/>
      <c r="C20" s="259"/>
      <c r="D20" s="260"/>
      <c r="E20" s="260"/>
      <c r="F20" s="260"/>
      <c r="G20" s="260"/>
      <c r="H20" s="260"/>
      <c r="I20" s="260"/>
      <c r="J20" s="260"/>
      <c r="K20" s="260"/>
      <c r="L20" s="260"/>
      <c r="M20" s="260"/>
      <c r="N20" s="260"/>
      <c r="O20" s="260"/>
      <c r="P20" s="260"/>
      <c r="Q20" s="260"/>
      <c r="R20" s="260"/>
      <c r="S20" s="260"/>
      <c r="T20" s="260"/>
      <c r="U20" s="260"/>
      <c r="V20" s="260"/>
      <c r="W20" s="260"/>
      <c r="X20" s="260"/>
      <c r="Y20" s="88"/>
      <c r="Z20" s="88"/>
      <c r="AA20" s="88"/>
      <c r="AB20" s="88"/>
      <c r="AC20" s="88"/>
      <c r="AD20" s="88"/>
      <c r="AE20" s="88"/>
      <c r="AF20" s="88"/>
      <c r="AG20" s="88"/>
      <c r="AH20" s="88"/>
      <c r="AI20" s="88"/>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 thickTop="1">
      <c r="A21" s="88"/>
      <c r="B21" s="580">
        <f>INDEX($AZ$44:$BC$54,MATCH(B23,$AY$44:$AY$54,0),MATCH($C$6,$AZ$43:$BC$43,0))</f>
        <v>2035</v>
      </c>
      <c r="C21" s="581">
        <f>INDEX($AZ$28:$BC$38,MATCH(B23,$AY$28:$AY$38,0),MATCH($C$6,$AZ$27:$BC$27,0))</f>
        <v>0.4</v>
      </c>
      <c r="D21" s="547">
        <v>2014</v>
      </c>
      <c r="E21" s="548">
        <v>2016</v>
      </c>
      <c r="F21" s="548">
        <v>2018</v>
      </c>
      <c r="G21" s="548">
        <v>2020</v>
      </c>
      <c r="H21" s="548">
        <v>2022</v>
      </c>
      <c r="I21" s="548">
        <v>2024</v>
      </c>
      <c r="J21" s="548">
        <v>2026</v>
      </c>
      <c r="K21" s="548">
        <v>2028</v>
      </c>
      <c r="L21" s="548">
        <v>2030</v>
      </c>
      <c r="M21" s="548">
        <v>2032</v>
      </c>
      <c r="N21" s="548">
        <v>2034</v>
      </c>
      <c r="O21" s="548">
        <v>2036</v>
      </c>
      <c r="P21" s="548">
        <v>2038</v>
      </c>
      <c r="Q21" s="548">
        <v>2040</v>
      </c>
      <c r="R21" s="548">
        <v>2042</v>
      </c>
      <c r="S21" s="548">
        <v>2044</v>
      </c>
      <c r="T21" s="548">
        <v>2046</v>
      </c>
      <c r="U21" s="548">
        <v>2048</v>
      </c>
      <c r="V21" s="549">
        <v>2050</v>
      </c>
      <c r="W21" s="88"/>
      <c r="X21" s="580">
        <f>INDEX($AZ$44:$BC$54,MATCH(X23,$AY$44:$AY$54,0),MATCH($C$6,$AZ$43:$BC$43,0))</f>
        <v>2035</v>
      </c>
      <c r="Y21" s="581">
        <f>INDEX($AZ$28:$BC$38,MATCH(X23,$AY$28:$AY$38,0),MATCH($C$6,$AZ$27:$BC$27,0))</f>
        <v>0.23</v>
      </c>
      <c r="Z21" s="547">
        <v>2014</v>
      </c>
      <c r="AA21" s="548">
        <v>2016</v>
      </c>
      <c r="AB21" s="548">
        <v>2018</v>
      </c>
      <c r="AC21" s="548">
        <v>2020</v>
      </c>
      <c r="AD21" s="548">
        <v>2022</v>
      </c>
      <c r="AE21" s="548">
        <v>2024</v>
      </c>
      <c r="AF21" s="548">
        <v>2026</v>
      </c>
      <c r="AG21" s="548">
        <v>2028</v>
      </c>
      <c r="AH21" s="548">
        <v>2030</v>
      </c>
      <c r="AI21" s="548">
        <v>2032</v>
      </c>
      <c r="AJ21" s="548">
        <v>2034</v>
      </c>
      <c r="AK21" s="548">
        <v>2036</v>
      </c>
      <c r="AL21" s="548">
        <v>2038</v>
      </c>
      <c r="AM21" s="548">
        <v>2040</v>
      </c>
      <c r="AN21" s="548">
        <v>2042</v>
      </c>
      <c r="AO21" s="548">
        <v>2044</v>
      </c>
      <c r="AP21" s="548">
        <v>2046</v>
      </c>
      <c r="AQ21" s="548">
        <v>2048</v>
      </c>
      <c r="AR21" s="549">
        <v>2050</v>
      </c>
      <c r="AS21" s="89"/>
      <c r="AT21" s="94"/>
      <c r="AU21" s="94"/>
      <c r="AV21" s="94"/>
      <c r="AW21" s="94"/>
      <c r="AX21" s="94"/>
      <c r="AY21" s="94"/>
      <c r="AZ21" s="95"/>
      <c r="BA21" s="96"/>
      <c r="BB21" s="93"/>
      <c r="BC21" s="89"/>
      <c r="BD21" s="89"/>
      <c r="BE21" s="89"/>
      <c r="BF21" s="89"/>
      <c r="BG21" s="89"/>
      <c r="BH21" s="89"/>
      <c r="BI21" s="89"/>
      <c r="BJ21" s="89"/>
    </row>
    <row r="22" spans="1:62" ht="15">
      <c r="A22" s="88"/>
      <c r="B22" s="252"/>
      <c r="C22" s="253" t="s">
        <v>108</v>
      </c>
      <c r="D22" s="550">
        <v>9226</v>
      </c>
      <c r="E22" s="254">
        <f>IF(E$21&gt;$B21,D22,D22-($D22*2*$C21/($B21-$D21)))</f>
        <v>8874.5333333333328</v>
      </c>
      <c r="F22" s="254">
        <f t="shared" ref="F22:V22" si="6">IF(F$21&gt;$B21,E22,E22-($D22*2*$C21/($B21-$D21)))</f>
        <v>8523.0666666666657</v>
      </c>
      <c r="G22" s="254">
        <f t="shared" si="6"/>
        <v>8171.5999999999985</v>
      </c>
      <c r="H22" s="254">
        <f t="shared" si="6"/>
        <v>7820.1333333333314</v>
      </c>
      <c r="I22" s="254">
        <f t="shared" si="6"/>
        <v>7468.6666666666642</v>
      </c>
      <c r="J22" s="254">
        <f t="shared" si="6"/>
        <v>7117.1999999999971</v>
      </c>
      <c r="K22" s="254">
        <f t="shared" si="6"/>
        <v>6765.7333333333299</v>
      </c>
      <c r="L22" s="254">
        <f t="shared" si="6"/>
        <v>6414.2666666666628</v>
      </c>
      <c r="M22" s="254">
        <f t="shared" si="6"/>
        <v>6062.7999999999956</v>
      </c>
      <c r="N22" s="254">
        <f t="shared" si="6"/>
        <v>5711.3333333333285</v>
      </c>
      <c r="O22" s="254">
        <f t="shared" si="6"/>
        <v>5711.3333333333285</v>
      </c>
      <c r="P22" s="254">
        <f t="shared" si="6"/>
        <v>5711.3333333333285</v>
      </c>
      <c r="Q22" s="254">
        <f t="shared" si="6"/>
        <v>5711.3333333333285</v>
      </c>
      <c r="R22" s="254">
        <f t="shared" si="6"/>
        <v>5711.3333333333285</v>
      </c>
      <c r="S22" s="254">
        <f t="shared" si="6"/>
        <v>5711.3333333333285</v>
      </c>
      <c r="T22" s="254">
        <f t="shared" si="6"/>
        <v>5711.3333333333285</v>
      </c>
      <c r="U22" s="254">
        <f t="shared" si="6"/>
        <v>5711.3333333333285</v>
      </c>
      <c r="V22" s="254">
        <f t="shared" si="6"/>
        <v>5711.3333333333285</v>
      </c>
      <c r="W22" s="88"/>
      <c r="X22" s="252"/>
      <c r="Y22" s="253" t="s">
        <v>108</v>
      </c>
      <c r="Z22" s="550">
        <v>3603</v>
      </c>
      <c r="AA22" s="254">
        <f>IF(AA21&gt;$X21,Z22,Z22-($Z22*2*$Y21/($B21-$Z21)))</f>
        <v>3524.0771428571429</v>
      </c>
      <c r="AB22" s="254">
        <f t="shared" ref="AB22" si="7">IF(AB21&gt;$X21,AA22,AA22-($Z22*2*$Y21/($B21-$Z21)))</f>
        <v>3445.1542857142858</v>
      </c>
      <c r="AC22" s="254">
        <f t="shared" ref="AC22" si="8">IF(AC21&gt;$X21,AB22,AB22-($Z22*2*$Y21/($B21-$Z21)))</f>
        <v>3366.2314285714288</v>
      </c>
      <c r="AD22" s="254">
        <f t="shared" ref="AD22" si="9">IF(AD21&gt;$X21,AC22,AC22-($Z22*2*$Y21/($B21-$Z21)))</f>
        <v>3287.3085714285717</v>
      </c>
      <c r="AE22" s="254">
        <f t="shared" ref="AE22" si="10">IF(AE21&gt;$X21,AD22,AD22-($Z22*2*$Y21/($B21-$Z21)))</f>
        <v>3208.3857142857146</v>
      </c>
      <c r="AF22" s="254">
        <f t="shared" ref="AF22" si="11">IF(AF21&gt;$X21,AE22,AE22-($Z22*2*$Y21/($B21-$Z21)))</f>
        <v>3129.4628571428575</v>
      </c>
      <c r="AG22" s="254">
        <f t="shared" ref="AG22" si="12">IF(AG21&gt;$X21,AF22,AF22-($Z22*2*$Y21/($B21-$Z21)))</f>
        <v>3050.5400000000004</v>
      </c>
      <c r="AH22" s="254">
        <f t="shared" ref="AH22" si="13">IF(AH21&gt;$X21,AG22,AG22-($Z22*2*$Y21/($B21-$Z21)))</f>
        <v>2971.6171428571433</v>
      </c>
      <c r="AI22" s="254">
        <f t="shared" ref="AI22" si="14">IF(AI21&gt;$X21,AH22,AH22-($Z22*2*$Y21/($B21-$Z21)))</f>
        <v>2892.6942857142863</v>
      </c>
      <c r="AJ22" s="254">
        <f t="shared" ref="AJ22" si="15">IF(AJ21&gt;$X21,AI22,AI22-($Z22*2*$Y21/($B21-$Z21)))</f>
        <v>2813.7714285714292</v>
      </c>
      <c r="AK22" s="254">
        <f t="shared" ref="AK22" si="16">IF(AK21&gt;$X21,AJ22,AJ22-($Z22*2*$Y21/($B21-$Z21)))</f>
        <v>2813.7714285714292</v>
      </c>
      <c r="AL22" s="254">
        <f t="shared" ref="AL22" si="17">IF(AL21&gt;$X21,AK22,AK22-($Z22*2*$Y21/($B21-$Z21)))</f>
        <v>2813.7714285714292</v>
      </c>
      <c r="AM22" s="254">
        <f t="shared" ref="AM22" si="18">IF(AM21&gt;$X21,AL22,AL22-($Z22*2*$Y21/($B21-$Z21)))</f>
        <v>2813.7714285714292</v>
      </c>
      <c r="AN22" s="254">
        <f t="shared" ref="AN22" si="19">IF(AN21&gt;$X21,AM22,AM22-($Z22*2*$Y21/($B21-$Z21)))</f>
        <v>2813.7714285714292</v>
      </c>
      <c r="AO22" s="254">
        <f t="shared" ref="AO22" si="20">IF(AO21&gt;$X21,AN22,AN22-($Z22*2*$Y21/($B21-$Z21)))</f>
        <v>2813.7714285714292</v>
      </c>
      <c r="AP22" s="254">
        <f t="shared" ref="AP22" si="21">IF(AP21&gt;$X21,AO22,AO22-($Z22*2*$Y21/($B21-$Z21)))</f>
        <v>2813.7714285714292</v>
      </c>
      <c r="AQ22" s="254">
        <f t="shared" ref="AQ22" si="22">IF(AQ21&gt;$X21,AP22,AP22-($Z22*2*$Y21/($B21-$Z21)))</f>
        <v>2813.7714285714292</v>
      </c>
      <c r="AR22" s="254">
        <f t="shared" ref="AR22" si="23">IF(AR21&gt;$X21,AQ22,AQ22-($Z22*2*$Y21/($B21-$Z21)))</f>
        <v>2813.7714285714292</v>
      </c>
      <c r="AS22" s="89"/>
      <c r="AT22" s="94"/>
      <c r="AU22" s="94"/>
      <c r="AV22" s="94"/>
      <c r="AW22" s="94"/>
      <c r="AX22" s="94"/>
      <c r="AY22" s="569"/>
      <c r="AZ22" s="566"/>
      <c r="BA22" s="570"/>
      <c r="BB22" s="571"/>
      <c r="BC22" s="571"/>
      <c r="BD22" s="571"/>
      <c r="BE22" s="571"/>
      <c r="BF22" s="571"/>
      <c r="BG22" s="89"/>
      <c r="BH22" s="89"/>
      <c r="BI22" s="89"/>
      <c r="BJ22" s="89"/>
    </row>
    <row r="23" spans="1:62" ht="18">
      <c r="A23" s="88"/>
      <c r="B23" s="209" t="s">
        <v>112</v>
      </c>
      <c r="C23" s="255" t="s">
        <v>110</v>
      </c>
      <c r="D23" s="551">
        <v>22</v>
      </c>
      <c r="E23" s="251">
        <v>22</v>
      </c>
      <c r="F23" s="251">
        <v>22</v>
      </c>
      <c r="G23" s="251">
        <v>22</v>
      </c>
      <c r="H23" s="251">
        <v>22</v>
      </c>
      <c r="I23" s="251">
        <v>22</v>
      </c>
      <c r="J23" s="251">
        <v>22</v>
      </c>
      <c r="K23" s="251">
        <v>22</v>
      </c>
      <c r="L23" s="251">
        <v>22</v>
      </c>
      <c r="M23" s="251">
        <v>22</v>
      </c>
      <c r="N23" s="251">
        <v>22</v>
      </c>
      <c r="O23" s="251">
        <v>22</v>
      </c>
      <c r="P23" s="251">
        <v>22</v>
      </c>
      <c r="Q23" s="251">
        <v>22</v>
      </c>
      <c r="R23" s="251">
        <v>22</v>
      </c>
      <c r="S23" s="251">
        <v>22</v>
      </c>
      <c r="T23" s="251">
        <v>22</v>
      </c>
      <c r="U23" s="251">
        <v>22</v>
      </c>
      <c r="V23" s="251">
        <v>22</v>
      </c>
      <c r="W23" s="88"/>
      <c r="X23" s="209" t="s">
        <v>134</v>
      </c>
      <c r="Y23" s="255" t="s">
        <v>110</v>
      </c>
      <c r="Z23" s="551">
        <v>64.375766134514691</v>
      </c>
      <c r="AA23" s="251">
        <v>64.375766134514691</v>
      </c>
      <c r="AB23" s="251">
        <v>64.375766134514691</v>
      </c>
      <c r="AC23" s="251">
        <v>64.375766134514691</v>
      </c>
      <c r="AD23" s="251">
        <v>64.375766134514691</v>
      </c>
      <c r="AE23" s="251">
        <v>64.375766134514691</v>
      </c>
      <c r="AF23" s="251">
        <v>64.375766134514691</v>
      </c>
      <c r="AG23" s="251">
        <v>64.375766134514691</v>
      </c>
      <c r="AH23" s="251">
        <v>64.375766134514691</v>
      </c>
      <c r="AI23" s="251">
        <v>64.375766134514691</v>
      </c>
      <c r="AJ23" s="251">
        <v>64.375766134514691</v>
      </c>
      <c r="AK23" s="251">
        <v>64.375766134514691</v>
      </c>
      <c r="AL23" s="251">
        <v>64.375766134514691</v>
      </c>
      <c r="AM23" s="251">
        <v>64.375766134514691</v>
      </c>
      <c r="AN23" s="251">
        <v>64.375766134514691</v>
      </c>
      <c r="AO23" s="251">
        <v>64.375766134514691</v>
      </c>
      <c r="AP23" s="251">
        <v>64.375766134514691</v>
      </c>
      <c r="AQ23" s="251">
        <v>64.375766134514691</v>
      </c>
      <c r="AR23" s="552">
        <v>64.375766134514691</v>
      </c>
      <c r="AS23" s="89"/>
      <c r="AT23" s="94"/>
      <c r="AU23" s="94"/>
      <c r="AV23" s="94"/>
      <c r="AW23" s="94"/>
      <c r="AX23" s="94"/>
      <c r="AY23" s="569"/>
      <c r="AZ23" s="573" t="s">
        <v>366</v>
      </c>
      <c r="BA23" s="570"/>
      <c r="BB23" s="571"/>
      <c r="BC23" s="571"/>
      <c r="BD23" s="571"/>
      <c r="BE23" s="571"/>
      <c r="BF23" s="571"/>
      <c r="BG23" s="89"/>
      <c r="BH23" s="89"/>
      <c r="BI23" s="89"/>
      <c r="BJ23" s="89"/>
    </row>
    <row r="24" spans="1:62" ht="18">
      <c r="A24" s="88"/>
      <c r="B24" s="256" t="s">
        <v>153</v>
      </c>
      <c r="C24" s="255" t="s">
        <v>156</v>
      </c>
      <c r="D24" s="551">
        <v>0</v>
      </c>
      <c r="E24" s="251">
        <v>0</v>
      </c>
      <c r="F24" s="251">
        <v>0</v>
      </c>
      <c r="G24" s="251">
        <v>0</v>
      </c>
      <c r="H24" s="251">
        <v>0</v>
      </c>
      <c r="I24" s="251">
        <v>0</v>
      </c>
      <c r="J24" s="251">
        <v>0</v>
      </c>
      <c r="K24" s="251">
        <v>0</v>
      </c>
      <c r="L24" s="251">
        <v>0</v>
      </c>
      <c r="M24" s="251">
        <v>0</v>
      </c>
      <c r="N24" s="251">
        <v>0</v>
      </c>
      <c r="O24" s="251">
        <v>0</v>
      </c>
      <c r="P24" s="251">
        <v>0</v>
      </c>
      <c r="Q24" s="251">
        <v>0</v>
      </c>
      <c r="R24" s="251">
        <v>0</v>
      </c>
      <c r="S24" s="251">
        <v>0</v>
      </c>
      <c r="T24" s="251">
        <v>0</v>
      </c>
      <c r="U24" s="251">
        <v>0</v>
      </c>
      <c r="V24" s="251">
        <v>0</v>
      </c>
      <c r="W24" s="88"/>
      <c r="X24" s="256" t="s">
        <v>153</v>
      </c>
      <c r="Y24" s="255" t="s">
        <v>156</v>
      </c>
      <c r="Z24" s="551">
        <v>0</v>
      </c>
      <c r="AA24" s="251">
        <v>0</v>
      </c>
      <c r="AB24" s="251">
        <v>0</v>
      </c>
      <c r="AC24" s="251">
        <v>0</v>
      </c>
      <c r="AD24" s="251">
        <v>0</v>
      </c>
      <c r="AE24" s="251">
        <v>0</v>
      </c>
      <c r="AF24" s="251">
        <v>0</v>
      </c>
      <c r="AG24" s="251">
        <v>0</v>
      </c>
      <c r="AH24" s="251">
        <v>0</v>
      </c>
      <c r="AI24" s="251">
        <v>0</v>
      </c>
      <c r="AJ24" s="251">
        <v>0</v>
      </c>
      <c r="AK24" s="251">
        <v>0</v>
      </c>
      <c r="AL24" s="251">
        <v>0</v>
      </c>
      <c r="AM24" s="251">
        <v>0</v>
      </c>
      <c r="AN24" s="251">
        <v>0</v>
      </c>
      <c r="AO24" s="251">
        <v>0</v>
      </c>
      <c r="AP24" s="251">
        <v>0</v>
      </c>
      <c r="AQ24" s="251">
        <v>0</v>
      </c>
      <c r="AR24" s="251">
        <v>0</v>
      </c>
      <c r="AS24" s="89"/>
      <c r="AT24" s="94"/>
      <c r="AU24" s="94"/>
      <c r="AV24" s="94"/>
      <c r="AW24" s="94"/>
      <c r="AX24" s="94"/>
      <c r="AY24" s="569"/>
      <c r="AZ24" s="566"/>
      <c r="BA24" s="570"/>
      <c r="BB24" s="571"/>
      <c r="BC24" s="571"/>
      <c r="BD24" s="571"/>
      <c r="BE24" s="571"/>
      <c r="BF24" s="571"/>
      <c r="BG24" s="89"/>
      <c r="BH24" s="89"/>
      <c r="BI24" s="89"/>
      <c r="BJ24" s="89"/>
    </row>
    <row r="25" spans="1:62" ht="15">
      <c r="A25" s="88"/>
      <c r="B25" s="257"/>
      <c r="C25" s="255" t="s">
        <v>109</v>
      </c>
      <c r="D25" s="553">
        <v>30</v>
      </c>
      <c r="E25" s="117">
        <f>D25</f>
        <v>30</v>
      </c>
      <c r="F25" s="117">
        <f t="shared" ref="F25:V25" si="24">E25</f>
        <v>30</v>
      </c>
      <c r="G25" s="117">
        <f t="shared" si="24"/>
        <v>30</v>
      </c>
      <c r="H25" s="117">
        <f t="shared" si="24"/>
        <v>30</v>
      </c>
      <c r="I25" s="117">
        <f t="shared" si="24"/>
        <v>30</v>
      </c>
      <c r="J25" s="117">
        <f t="shared" si="24"/>
        <v>30</v>
      </c>
      <c r="K25" s="117">
        <f t="shared" si="24"/>
        <v>30</v>
      </c>
      <c r="L25" s="117">
        <f t="shared" si="24"/>
        <v>30</v>
      </c>
      <c r="M25" s="117">
        <f t="shared" si="24"/>
        <v>30</v>
      </c>
      <c r="N25" s="117">
        <f t="shared" si="24"/>
        <v>30</v>
      </c>
      <c r="O25" s="117">
        <f t="shared" si="24"/>
        <v>30</v>
      </c>
      <c r="P25" s="117">
        <f t="shared" si="24"/>
        <v>30</v>
      </c>
      <c r="Q25" s="117">
        <f t="shared" si="24"/>
        <v>30</v>
      </c>
      <c r="R25" s="117">
        <f t="shared" si="24"/>
        <v>30</v>
      </c>
      <c r="S25" s="117">
        <f t="shared" si="24"/>
        <v>30</v>
      </c>
      <c r="T25" s="117">
        <f t="shared" si="24"/>
        <v>30</v>
      </c>
      <c r="U25" s="117">
        <f t="shared" si="24"/>
        <v>30</v>
      </c>
      <c r="V25" s="554">
        <f t="shared" si="24"/>
        <v>30</v>
      </c>
      <c r="W25" s="88"/>
      <c r="X25" s="257"/>
      <c r="Y25" s="255" t="s">
        <v>109</v>
      </c>
      <c r="Z25" s="553">
        <v>50</v>
      </c>
      <c r="AA25" s="117">
        <f>Z25</f>
        <v>50</v>
      </c>
      <c r="AB25" s="117">
        <f t="shared" ref="AB25:AR25" si="25">AA25</f>
        <v>50</v>
      </c>
      <c r="AC25" s="117">
        <f t="shared" si="25"/>
        <v>50</v>
      </c>
      <c r="AD25" s="117">
        <f t="shared" si="25"/>
        <v>50</v>
      </c>
      <c r="AE25" s="117">
        <f t="shared" si="25"/>
        <v>50</v>
      </c>
      <c r="AF25" s="117">
        <f t="shared" si="25"/>
        <v>50</v>
      </c>
      <c r="AG25" s="117">
        <f t="shared" si="25"/>
        <v>50</v>
      </c>
      <c r="AH25" s="117">
        <f t="shared" si="25"/>
        <v>50</v>
      </c>
      <c r="AI25" s="117">
        <f t="shared" si="25"/>
        <v>50</v>
      </c>
      <c r="AJ25" s="117">
        <f t="shared" si="25"/>
        <v>50</v>
      </c>
      <c r="AK25" s="117">
        <f t="shared" si="25"/>
        <v>50</v>
      </c>
      <c r="AL25" s="117">
        <f t="shared" si="25"/>
        <v>50</v>
      </c>
      <c r="AM25" s="117">
        <f t="shared" si="25"/>
        <v>50</v>
      </c>
      <c r="AN25" s="117">
        <f t="shared" si="25"/>
        <v>50</v>
      </c>
      <c r="AO25" s="117">
        <f t="shared" si="25"/>
        <v>50</v>
      </c>
      <c r="AP25" s="117">
        <f t="shared" si="25"/>
        <v>50</v>
      </c>
      <c r="AQ25" s="117">
        <f t="shared" si="25"/>
        <v>50</v>
      </c>
      <c r="AR25" s="554">
        <f t="shared" si="25"/>
        <v>50</v>
      </c>
      <c r="AS25" s="89"/>
      <c r="AT25" s="94"/>
      <c r="AU25" s="94"/>
      <c r="AV25" s="94"/>
      <c r="AW25" s="94"/>
      <c r="AX25" s="94"/>
      <c r="AY25" s="569"/>
      <c r="AZ25" s="571"/>
      <c r="BA25" s="570" t="s">
        <v>370</v>
      </c>
      <c r="BB25" s="571"/>
      <c r="BC25" s="571"/>
      <c r="BD25" s="571"/>
      <c r="BE25" s="571"/>
      <c r="BF25" s="571"/>
      <c r="BG25" s="89"/>
      <c r="BH25" s="89"/>
      <c r="BI25" s="89"/>
      <c r="BJ25" s="89"/>
    </row>
    <row r="26" spans="1:62" ht="15" thickBot="1">
      <c r="A26" s="88"/>
      <c r="B26" s="129"/>
      <c r="C26" s="258" t="s">
        <v>187</v>
      </c>
      <c r="D26" s="555">
        <v>164.29</v>
      </c>
      <c r="E26" s="556">
        <f>D26</f>
        <v>164.29</v>
      </c>
      <c r="F26" s="556">
        <f t="shared" ref="F26:V26" si="26">E26</f>
        <v>164.29</v>
      </c>
      <c r="G26" s="556">
        <f t="shared" si="26"/>
        <v>164.29</v>
      </c>
      <c r="H26" s="556">
        <f t="shared" si="26"/>
        <v>164.29</v>
      </c>
      <c r="I26" s="556">
        <f t="shared" si="26"/>
        <v>164.29</v>
      </c>
      <c r="J26" s="556">
        <f t="shared" si="26"/>
        <v>164.29</v>
      </c>
      <c r="K26" s="556">
        <f t="shared" si="26"/>
        <v>164.29</v>
      </c>
      <c r="L26" s="556">
        <f t="shared" si="26"/>
        <v>164.29</v>
      </c>
      <c r="M26" s="556">
        <f t="shared" si="26"/>
        <v>164.29</v>
      </c>
      <c r="N26" s="556">
        <f t="shared" si="26"/>
        <v>164.29</v>
      </c>
      <c r="O26" s="556">
        <f t="shared" si="26"/>
        <v>164.29</v>
      </c>
      <c r="P26" s="556">
        <f t="shared" si="26"/>
        <v>164.29</v>
      </c>
      <c r="Q26" s="556">
        <f t="shared" si="26"/>
        <v>164.29</v>
      </c>
      <c r="R26" s="556">
        <f t="shared" si="26"/>
        <v>164.29</v>
      </c>
      <c r="S26" s="556">
        <f t="shared" si="26"/>
        <v>164.29</v>
      </c>
      <c r="T26" s="556">
        <f t="shared" si="26"/>
        <v>164.29</v>
      </c>
      <c r="U26" s="556">
        <f t="shared" si="26"/>
        <v>164.29</v>
      </c>
      <c r="V26" s="557">
        <f t="shared" si="26"/>
        <v>164.29</v>
      </c>
      <c r="W26" s="88"/>
      <c r="X26" s="129"/>
      <c r="Y26" s="258" t="s">
        <v>187</v>
      </c>
      <c r="Z26" s="555">
        <v>9.8829999999999991</v>
      </c>
      <c r="AA26" s="556">
        <f>Z26</f>
        <v>9.8829999999999991</v>
      </c>
      <c r="AB26" s="556">
        <f t="shared" ref="AB26:AR26" si="27">AA26</f>
        <v>9.8829999999999991</v>
      </c>
      <c r="AC26" s="556">
        <f t="shared" si="27"/>
        <v>9.8829999999999991</v>
      </c>
      <c r="AD26" s="556">
        <f t="shared" si="27"/>
        <v>9.8829999999999991</v>
      </c>
      <c r="AE26" s="556">
        <f t="shared" si="27"/>
        <v>9.8829999999999991</v>
      </c>
      <c r="AF26" s="556">
        <f t="shared" si="27"/>
        <v>9.8829999999999991</v>
      </c>
      <c r="AG26" s="556">
        <f t="shared" si="27"/>
        <v>9.8829999999999991</v>
      </c>
      <c r="AH26" s="556">
        <f t="shared" si="27"/>
        <v>9.8829999999999991</v>
      </c>
      <c r="AI26" s="556">
        <f t="shared" si="27"/>
        <v>9.8829999999999991</v>
      </c>
      <c r="AJ26" s="556">
        <f t="shared" si="27"/>
        <v>9.8829999999999991</v>
      </c>
      <c r="AK26" s="556">
        <f t="shared" si="27"/>
        <v>9.8829999999999991</v>
      </c>
      <c r="AL26" s="556">
        <f t="shared" si="27"/>
        <v>9.8829999999999991</v>
      </c>
      <c r="AM26" s="556">
        <f t="shared" si="27"/>
        <v>9.8829999999999991</v>
      </c>
      <c r="AN26" s="556">
        <f t="shared" si="27"/>
        <v>9.8829999999999991</v>
      </c>
      <c r="AO26" s="556">
        <f t="shared" si="27"/>
        <v>9.8829999999999991</v>
      </c>
      <c r="AP26" s="556">
        <f t="shared" si="27"/>
        <v>9.8829999999999991</v>
      </c>
      <c r="AQ26" s="556">
        <f t="shared" si="27"/>
        <v>9.8829999999999991</v>
      </c>
      <c r="AR26" s="557">
        <f t="shared" si="27"/>
        <v>9.8829999999999991</v>
      </c>
      <c r="AS26" s="89"/>
      <c r="AT26" s="94"/>
      <c r="AU26" s="94"/>
      <c r="AV26" s="94"/>
      <c r="AW26" s="94"/>
      <c r="AX26" s="94"/>
      <c r="AY26" s="569"/>
      <c r="AZ26" s="566"/>
      <c r="BA26" s="570"/>
      <c r="BB26" s="571"/>
      <c r="BC26" s="571"/>
      <c r="BD26" s="571"/>
      <c r="BE26" s="571"/>
      <c r="BF26" s="571"/>
      <c r="BG26" s="89"/>
      <c r="BH26" s="89"/>
      <c r="BI26" s="89"/>
      <c r="BJ26" s="89"/>
    </row>
    <row r="27" spans="1:62" ht="16" thickTop="1" thickBot="1">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9"/>
      <c r="AK27" s="89"/>
      <c r="AL27" s="89"/>
      <c r="AM27" s="89"/>
      <c r="AN27" s="89"/>
      <c r="AO27" s="89"/>
      <c r="AP27" s="89"/>
      <c r="AQ27" s="89"/>
      <c r="AR27" s="89"/>
      <c r="AS27" s="89"/>
      <c r="AT27" s="94"/>
      <c r="AU27" s="94"/>
      <c r="AV27" s="94"/>
      <c r="AW27" s="94"/>
      <c r="AX27" s="94"/>
      <c r="AY27" s="569"/>
      <c r="AZ27" s="566" t="s">
        <v>367</v>
      </c>
      <c r="BA27" s="570" t="s">
        <v>368</v>
      </c>
      <c r="BB27" s="571" t="s">
        <v>340</v>
      </c>
      <c r="BC27" s="571" t="s">
        <v>369</v>
      </c>
      <c r="BD27" s="571"/>
      <c r="BE27" s="571"/>
      <c r="BF27" s="571"/>
      <c r="BG27" s="89"/>
      <c r="BH27" s="89"/>
      <c r="BI27" s="89"/>
      <c r="BJ27" s="89"/>
    </row>
    <row r="28" spans="1:62" ht="24" thickTop="1">
      <c r="A28" s="88"/>
      <c r="B28" s="580">
        <f>INDEX($AZ$44:$BC$54,MATCH(B30,$AY$44:$AY$54,0),MATCH($C$6,$AZ$43:$BC$43,0))</f>
        <v>2035</v>
      </c>
      <c r="C28" s="581">
        <f>INDEX($AZ$28:$BC$38,MATCH(B30,$AY$28:$AY$38,0),MATCH($C$6,$AZ$27:$BC$27,0))</f>
        <v>0.4</v>
      </c>
      <c r="D28" s="547">
        <v>2014</v>
      </c>
      <c r="E28" s="548">
        <v>2016</v>
      </c>
      <c r="F28" s="548">
        <v>2018</v>
      </c>
      <c r="G28" s="548">
        <v>2020</v>
      </c>
      <c r="H28" s="548">
        <v>2022</v>
      </c>
      <c r="I28" s="548">
        <v>2024</v>
      </c>
      <c r="J28" s="548">
        <v>2026</v>
      </c>
      <c r="K28" s="548">
        <v>2028</v>
      </c>
      <c r="L28" s="548">
        <v>2030</v>
      </c>
      <c r="M28" s="548">
        <v>2032</v>
      </c>
      <c r="N28" s="548">
        <v>2034</v>
      </c>
      <c r="O28" s="548">
        <v>2036</v>
      </c>
      <c r="P28" s="548">
        <v>2038</v>
      </c>
      <c r="Q28" s="548">
        <v>2040</v>
      </c>
      <c r="R28" s="548">
        <v>2042</v>
      </c>
      <c r="S28" s="548">
        <v>2044</v>
      </c>
      <c r="T28" s="548">
        <v>2046</v>
      </c>
      <c r="U28" s="548">
        <v>2048</v>
      </c>
      <c r="V28" s="549">
        <v>2050</v>
      </c>
      <c r="W28" s="88"/>
      <c r="X28" s="580">
        <f>INDEX($AZ$44:$BC$54,MATCH(X30,$AY$44:$AY$54,0),MATCH($C$6,$AZ$43:$BC$43,0))</f>
        <v>2035</v>
      </c>
      <c r="Y28" s="581">
        <f>INDEX($AZ$28:$BC$38,MATCH(X30,$AY$28:$AY$38,0),MATCH($C$6,$AZ$27:$BC$27,0))</f>
        <v>0.2</v>
      </c>
      <c r="Z28" s="547">
        <v>2014</v>
      </c>
      <c r="AA28" s="548">
        <v>2016</v>
      </c>
      <c r="AB28" s="548">
        <v>2018</v>
      </c>
      <c r="AC28" s="548">
        <v>2020</v>
      </c>
      <c r="AD28" s="548">
        <v>2022</v>
      </c>
      <c r="AE28" s="548">
        <v>2024</v>
      </c>
      <c r="AF28" s="548">
        <v>2026</v>
      </c>
      <c r="AG28" s="548">
        <v>2028</v>
      </c>
      <c r="AH28" s="548">
        <v>2030</v>
      </c>
      <c r="AI28" s="548">
        <v>2032</v>
      </c>
      <c r="AJ28" s="548">
        <v>2034</v>
      </c>
      <c r="AK28" s="548">
        <v>2036</v>
      </c>
      <c r="AL28" s="548">
        <v>2038</v>
      </c>
      <c r="AM28" s="548">
        <v>2040</v>
      </c>
      <c r="AN28" s="548">
        <v>2042</v>
      </c>
      <c r="AO28" s="548">
        <v>2044</v>
      </c>
      <c r="AP28" s="548">
        <v>2046</v>
      </c>
      <c r="AQ28" s="548">
        <v>2048</v>
      </c>
      <c r="AR28" s="549">
        <v>2050</v>
      </c>
      <c r="AS28" s="89"/>
      <c r="AT28" s="94"/>
      <c r="AU28" s="94"/>
      <c r="AV28" s="94"/>
      <c r="AW28" s="94"/>
      <c r="AX28" s="94"/>
      <c r="AY28" s="574" t="s">
        <v>167</v>
      </c>
      <c r="AZ28" s="567">
        <v>0</v>
      </c>
      <c r="BA28" s="568">
        <v>0.4</v>
      </c>
      <c r="BB28" s="568">
        <v>0.4</v>
      </c>
      <c r="BC28" s="568">
        <v>0.5</v>
      </c>
      <c r="BD28" s="571"/>
      <c r="BE28" s="571"/>
      <c r="BF28" s="571"/>
      <c r="BG28" s="89"/>
      <c r="BH28" s="89"/>
      <c r="BI28" s="89"/>
      <c r="BJ28" s="89"/>
    </row>
    <row r="29" spans="1:62" ht="23">
      <c r="A29" s="88"/>
      <c r="B29" s="252"/>
      <c r="C29" s="253" t="s">
        <v>108</v>
      </c>
      <c r="D29" s="550">
        <v>8380</v>
      </c>
      <c r="E29" s="254">
        <f>IF(E28&gt;$B28,D29,D29-($D29*2*$C28/($B28-$D28)))</f>
        <v>8060.7619047619046</v>
      </c>
      <c r="F29" s="254">
        <f t="shared" ref="F29:V29" si="28">IF(F28&gt;$B28,E29,E29-($D29*2*$C28/($B28-$D28)))</f>
        <v>7741.5238095238092</v>
      </c>
      <c r="G29" s="254">
        <f t="shared" si="28"/>
        <v>7422.2857142857138</v>
      </c>
      <c r="H29" s="254">
        <f t="shared" si="28"/>
        <v>7103.0476190476184</v>
      </c>
      <c r="I29" s="254">
        <f t="shared" si="28"/>
        <v>6783.8095238095229</v>
      </c>
      <c r="J29" s="254">
        <f t="shared" si="28"/>
        <v>6464.5714285714275</v>
      </c>
      <c r="K29" s="254">
        <f t="shared" si="28"/>
        <v>6145.3333333333321</v>
      </c>
      <c r="L29" s="254">
        <f t="shared" si="28"/>
        <v>5826.0952380952367</v>
      </c>
      <c r="M29" s="254">
        <f t="shared" si="28"/>
        <v>5506.8571428571413</v>
      </c>
      <c r="N29" s="254">
        <f t="shared" si="28"/>
        <v>5187.6190476190459</v>
      </c>
      <c r="O29" s="254">
        <f t="shared" si="28"/>
        <v>5187.6190476190459</v>
      </c>
      <c r="P29" s="254">
        <f t="shared" si="28"/>
        <v>5187.6190476190459</v>
      </c>
      <c r="Q29" s="254">
        <f t="shared" si="28"/>
        <v>5187.6190476190459</v>
      </c>
      <c r="R29" s="254">
        <f t="shared" si="28"/>
        <v>5187.6190476190459</v>
      </c>
      <c r="S29" s="254">
        <f t="shared" si="28"/>
        <v>5187.6190476190459</v>
      </c>
      <c r="T29" s="254">
        <f t="shared" si="28"/>
        <v>5187.6190476190459</v>
      </c>
      <c r="U29" s="254">
        <f t="shared" si="28"/>
        <v>5187.6190476190459</v>
      </c>
      <c r="V29" s="254">
        <f t="shared" si="28"/>
        <v>5187.6190476190459</v>
      </c>
      <c r="W29" s="88"/>
      <c r="X29" s="252"/>
      <c r="Y29" s="253" t="s">
        <v>108</v>
      </c>
      <c r="Z29" s="550">
        <v>3108</v>
      </c>
      <c r="AA29" s="254">
        <f>IF(AA28&gt;$X28,Z29,Z29-($Z29*2*$Y28/($B28-$Z28)))</f>
        <v>3048.8</v>
      </c>
      <c r="AB29" s="254">
        <f t="shared" ref="AB29" si="29">IF(AB28&gt;$X28,AA29,AA29-($Z29*2*$Y28/($B28-$Z28)))</f>
        <v>2989.6000000000004</v>
      </c>
      <c r="AC29" s="254">
        <f t="shared" ref="AC29" si="30">IF(AC28&gt;$X28,AB29,AB29-($Z29*2*$Y28/($B28-$Z28)))</f>
        <v>2930.4000000000005</v>
      </c>
      <c r="AD29" s="254">
        <f t="shared" ref="AD29" si="31">IF(AD28&gt;$X28,AC29,AC29-($Z29*2*$Y28/($B28-$Z28)))</f>
        <v>2871.2000000000007</v>
      </c>
      <c r="AE29" s="254">
        <f t="shared" ref="AE29" si="32">IF(AE28&gt;$X28,AD29,AD29-($Z29*2*$Y28/($B28-$Z28)))</f>
        <v>2812.0000000000009</v>
      </c>
      <c r="AF29" s="254">
        <f t="shared" ref="AF29" si="33">IF(AF28&gt;$X28,AE29,AE29-($Z29*2*$Y28/($B28-$Z28)))</f>
        <v>2752.8000000000011</v>
      </c>
      <c r="AG29" s="254">
        <f t="shared" ref="AG29" si="34">IF(AG28&gt;$X28,AF29,AF29-($Z29*2*$Y28/($B28-$Z28)))</f>
        <v>2693.6000000000013</v>
      </c>
      <c r="AH29" s="254">
        <f t="shared" ref="AH29" si="35">IF(AH28&gt;$X28,AG29,AG29-($Z29*2*$Y28/($B28-$Z28)))</f>
        <v>2634.4000000000015</v>
      </c>
      <c r="AI29" s="254">
        <f t="shared" ref="AI29" si="36">IF(AI28&gt;$X28,AH29,AH29-($Z29*2*$Y28/($B28-$Z28)))</f>
        <v>2575.2000000000016</v>
      </c>
      <c r="AJ29" s="254">
        <f t="shared" ref="AJ29" si="37">IF(AJ28&gt;$X28,AI29,AI29-($Z29*2*$Y28/($B28-$Z28)))</f>
        <v>2516.0000000000018</v>
      </c>
      <c r="AK29" s="254">
        <f t="shared" ref="AK29" si="38">IF(AK28&gt;$X28,AJ29,AJ29-($Z29*2*$Y28/($B28-$Z28)))</f>
        <v>2516.0000000000018</v>
      </c>
      <c r="AL29" s="254">
        <f t="shared" ref="AL29" si="39">IF(AL28&gt;$X28,AK29,AK29-($Z29*2*$Y28/($B28-$Z28)))</f>
        <v>2516.0000000000018</v>
      </c>
      <c r="AM29" s="254">
        <f t="shared" ref="AM29" si="40">IF(AM28&gt;$X28,AL29,AL29-($Z29*2*$Y28/($B28-$Z28)))</f>
        <v>2516.0000000000018</v>
      </c>
      <c r="AN29" s="254">
        <f t="shared" ref="AN29" si="41">IF(AN28&gt;$X28,AM29,AM29-($Z29*2*$Y28/($B28-$Z28)))</f>
        <v>2516.0000000000018</v>
      </c>
      <c r="AO29" s="254">
        <f t="shared" ref="AO29" si="42">IF(AO28&gt;$X28,AN29,AN29-($Z29*2*$Y28/($B28-$Z28)))</f>
        <v>2516.0000000000018</v>
      </c>
      <c r="AP29" s="254">
        <f t="shared" ref="AP29" si="43">IF(AP28&gt;$X28,AO29,AO29-($Z29*2*$Y28/($B28-$Z28)))</f>
        <v>2516.0000000000018</v>
      </c>
      <c r="AQ29" s="254">
        <f t="shared" ref="AQ29" si="44">IF(AQ28&gt;$X28,AP29,AP29-($Z29*2*$Y28/($B28-$Z28)))</f>
        <v>2516.0000000000018</v>
      </c>
      <c r="AR29" s="254">
        <f t="shared" ref="AR29" si="45">IF(AR28&gt;$X28,AQ29,AQ29-($Z29*2*$Y28/($B28-$Z28)))</f>
        <v>2516.0000000000018</v>
      </c>
      <c r="AS29" s="89"/>
      <c r="AT29" s="94"/>
      <c r="AU29" s="94"/>
      <c r="AV29" s="94"/>
      <c r="AW29" s="94"/>
      <c r="AX29" s="94"/>
      <c r="AY29" s="574" t="s">
        <v>112</v>
      </c>
      <c r="AZ29" s="567">
        <v>0</v>
      </c>
      <c r="BA29" s="568">
        <v>0.4</v>
      </c>
      <c r="BB29" s="568">
        <v>0.4</v>
      </c>
      <c r="BC29" s="568">
        <v>0.5</v>
      </c>
      <c r="BD29" s="571"/>
      <c r="BE29" s="571"/>
      <c r="BF29" s="571"/>
      <c r="BG29" s="89"/>
      <c r="BH29" s="89"/>
      <c r="BI29" s="89"/>
      <c r="BJ29" s="89"/>
    </row>
    <row r="30" spans="1:62" ht="23">
      <c r="A30" s="88"/>
      <c r="B30" s="209" t="s">
        <v>131</v>
      </c>
      <c r="C30" s="255" t="s">
        <v>110</v>
      </c>
      <c r="D30" s="551">
        <v>32.999640111033258</v>
      </c>
      <c r="E30" s="251">
        <v>32.999640111033258</v>
      </c>
      <c r="F30" s="251">
        <v>32.999640111033258</v>
      </c>
      <c r="G30" s="251">
        <v>32.999640111033258</v>
      </c>
      <c r="H30" s="251">
        <v>32.999640111033258</v>
      </c>
      <c r="I30" s="251">
        <v>32.999640111033258</v>
      </c>
      <c r="J30" s="251">
        <v>32.999640111033258</v>
      </c>
      <c r="K30" s="251">
        <v>32.999640111033258</v>
      </c>
      <c r="L30" s="251">
        <v>32.999640111033258</v>
      </c>
      <c r="M30" s="251">
        <v>32.999640111033258</v>
      </c>
      <c r="N30" s="251">
        <v>32.999640111033258</v>
      </c>
      <c r="O30" s="251">
        <v>32.999640111033258</v>
      </c>
      <c r="P30" s="251">
        <v>32.999640111033258</v>
      </c>
      <c r="Q30" s="251">
        <v>32.999640111033258</v>
      </c>
      <c r="R30" s="251">
        <v>32.999640111033258</v>
      </c>
      <c r="S30" s="251">
        <v>32.999640111033258</v>
      </c>
      <c r="T30" s="251">
        <v>32.999640111033258</v>
      </c>
      <c r="U30" s="251">
        <v>32.999640111033258</v>
      </c>
      <c r="V30" s="552">
        <v>32.999640111033258</v>
      </c>
      <c r="W30" s="88"/>
      <c r="X30" s="209" t="s">
        <v>169</v>
      </c>
      <c r="Y30" s="255" t="s">
        <v>110</v>
      </c>
      <c r="Z30" s="551">
        <v>57.613419061486724</v>
      </c>
      <c r="AA30" s="251">
        <v>57.613419061486724</v>
      </c>
      <c r="AB30" s="251">
        <v>57.613419061486724</v>
      </c>
      <c r="AC30" s="251">
        <v>57.613419061486724</v>
      </c>
      <c r="AD30" s="251">
        <v>57.613419061486724</v>
      </c>
      <c r="AE30" s="251">
        <v>57.613419061486724</v>
      </c>
      <c r="AF30" s="251">
        <v>57.613419061486724</v>
      </c>
      <c r="AG30" s="251">
        <v>57.613419061486724</v>
      </c>
      <c r="AH30" s="251">
        <v>57.613419061486724</v>
      </c>
      <c r="AI30" s="251">
        <v>57.613419061486724</v>
      </c>
      <c r="AJ30" s="251">
        <v>57.613419061486724</v>
      </c>
      <c r="AK30" s="251">
        <v>57.613419061486724</v>
      </c>
      <c r="AL30" s="251">
        <v>57.613419061486724</v>
      </c>
      <c r="AM30" s="251">
        <v>57.613419061486724</v>
      </c>
      <c r="AN30" s="251">
        <v>57.613419061486724</v>
      </c>
      <c r="AO30" s="251">
        <v>57.613419061486724</v>
      </c>
      <c r="AP30" s="251">
        <v>57.613419061486724</v>
      </c>
      <c r="AQ30" s="251">
        <v>57.613419061486724</v>
      </c>
      <c r="AR30" s="552">
        <v>57.613419061486724</v>
      </c>
      <c r="AS30" s="89"/>
      <c r="AT30" s="94"/>
      <c r="AU30" s="94"/>
      <c r="AV30" s="94"/>
      <c r="AW30" s="94"/>
      <c r="AX30" s="94"/>
      <c r="AY30" s="574" t="s">
        <v>131</v>
      </c>
      <c r="AZ30" s="567">
        <v>0</v>
      </c>
      <c r="BA30" s="568">
        <v>0.4</v>
      </c>
      <c r="BB30" s="568">
        <v>0.4</v>
      </c>
      <c r="BC30" s="568">
        <v>0.49</v>
      </c>
      <c r="BD30" s="571"/>
      <c r="BE30" s="571"/>
      <c r="BF30" s="571"/>
      <c r="BG30" s="89"/>
      <c r="BH30" s="89"/>
      <c r="BI30" s="89"/>
      <c r="BJ30" s="89"/>
    </row>
    <row r="31" spans="1:62" ht="23">
      <c r="A31" s="88"/>
      <c r="B31" s="256" t="s">
        <v>153</v>
      </c>
      <c r="C31" s="255" t="s">
        <v>156</v>
      </c>
      <c r="D31" s="551">
        <v>0</v>
      </c>
      <c r="E31" s="251">
        <v>0</v>
      </c>
      <c r="F31" s="251">
        <v>0</v>
      </c>
      <c r="G31" s="251">
        <v>0</v>
      </c>
      <c r="H31" s="251">
        <v>0</v>
      </c>
      <c r="I31" s="251">
        <v>0</v>
      </c>
      <c r="J31" s="251">
        <v>0</v>
      </c>
      <c r="K31" s="251">
        <v>0</v>
      </c>
      <c r="L31" s="251">
        <v>0</v>
      </c>
      <c r="M31" s="251">
        <v>0</v>
      </c>
      <c r="N31" s="251">
        <v>0</v>
      </c>
      <c r="O31" s="251">
        <v>0</v>
      </c>
      <c r="P31" s="251">
        <v>0</v>
      </c>
      <c r="Q31" s="251">
        <v>0</v>
      </c>
      <c r="R31" s="251">
        <v>0</v>
      </c>
      <c r="S31" s="251">
        <v>0</v>
      </c>
      <c r="T31" s="251">
        <v>0</v>
      </c>
      <c r="U31" s="251">
        <v>0</v>
      </c>
      <c r="V31" s="251">
        <v>0</v>
      </c>
      <c r="W31" s="88"/>
      <c r="X31" s="256" t="s">
        <v>153</v>
      </c>
      <c r="Y31" s="255" t="s">
        <v>156</v>
      </c>
      <c r="Z31" s="551">
        <v>0</v>
      </c>
      <c r="AA31" s="251">
        <v>0</v>
      </c>
      <c r="AB31" s="251">
        <v>0</v>
      </c>
      <c r="AC31" s="251">
        <v>0</v>
      </c>
      <c r="AD31" s="251">
        <v>0</v>
      </c>
      <c r="AE31" s="251">
        <v>0</v>
      </c>
      <c r="AF31" s="251">
        <v>0</v>
      </c>
      <c r="AG31" s="251">
        <v>0</v>
      </c>
      <c r="AH31" s="251">
        <v>0</v>
      </c>
      <c r="AI31" s="251">
        <v>0</v>
      </c>
      <c r="AJ31" s="251">
        <v>0</v>
      </c>
      <c r="AK31" s="251">
        <v>0</v>
      </c>
      <c r="AL31" s="251">
        <v>0</v>
      </c>
      <c r="AM31" s="251">
        <v>0</v>
      </c>
      <c r="AN31" s="251">
        <v>0</v>
      </c>
      <c r="AO31" s="251">
        <v>0</v>
      </c>
      <c r="AP31" s="251">
        <v>0</v>
      </c>
      <c r="AQ31" s="251">
        <v>0</v>
      </c>
      <c r="AR31" s="251">
        <v>0</v>
      </c>
      <c r="AS31" s="89"/>
      <c r="AT31" s="94"/>
      <c r="AU31" s="94"/>
      <c r="AV31" s="94"/>
      <c r="AW31" s="94"/>
      <c r="AX31" s="94"/>
      <c r="AY31" s="574" t="s">
        <v>130</v>
      </c>
      <c r="AZ31" s="567">
        <v>0</v>
      </c>
      <c r="BA31" s="568">
        <v>0.4</v>
      </c>
      <c r="BB31" s="568">
        <v>0.4</v>
      </c>
      <c r="BC31" s="568">
        <v>0.47</v>
      </c>
      <c r="BD31" s="571"/>
      <c r="BE31" s="571"/>
      <c r="BF31" s="571"/>
      <c r="BG31" s="89"/>
      <c r="BH31" s="89"/>
      <c r="BI31" s="89"/>
      <c r="BJ31" s="89"/>
    </row>
    <row r="32" spans="1:62" ht="23">
      <c r="A32" s="88"/>
      <c r="B32" s="257"/>
      <c r="C32" s="255" t="s">
        <v>109</v>
      </c>
      <c r="D32" s="553">
        <v>30</v>
      </c>
      <c r="E32" s="117">
        <f>D32</f>
        <v>30</v>
      </c>
      <c r="F32" s="117">
        <f t="shared" ref="F32:V32" si="46">E32</f>
        <v>30</v>
      </c>
      <c r="G32" s="117">
        <f t="shared" si="46"/>
        <v>30</v>
      </c>
      <c r="H32" s="117">
        <f t="shared" si="46"/>
        <v>30</v>
      </c>
      <c r="I32" s="117">
        <f t="shared" si="46"/>
        <v>30</v>
      </c>
      <c r="J32" s="117">
        <f t="shared" si="46"/>
        <v>30</v>
      </c>
      <c r="K32" s="117">
        <f t="shared" si="46"/>
        <v>30</v>
      </c>
      <c r="L32" s="117">
        <f t="shared" si="46"/>
        <v>30</v>
      </c>
      <c r="M32" s="117">
        <f t="shared" si="46"/>
        <v>30</v>
      </c>
      <c r="N32" s="117">
        <f t="shared" si="46"/>
        <v>30</v>
      </c>
      <c r="O32" s="117">
        <f t="shared" si="46"/>
        <v>30</v>
      </c>
      <c r="P32" s="117">
        <f t="shared" si="46"/>
        <v>30</v>
      </c>
      <c r="Q32" s="117">
        <f t="shared" si="46"/>
        <v>30</v>
      </c>
      <c r="R32" s="117">
        <f t="shared" si="46"/>
        <v>30</v>
      </c>
      <c r="S32" s="117">
        <f t="shared" si="46"/>
        <v>30</v>
      </c>
      <c r="T32" s="117">
        <f t="shared" si="46"/>
        <v>30</v>
      </c>
      <c r="U32" s="117">
        <f t="shared" si="46"/>
        <v>30</v>
      </c>
      <c r="V32" s="554">
        <f t="shared" si="46"/>
        <v>30</v>
      </c>
      <c r="W32" s="88"/>
      <c r="X32" s="257"/>
      <c r="Y32" s="255" t="s">
        <v>109</v>
      </c>
      <c r="Z32" s="553">
        <v>50</v>
      </c>
      <c r="AA32" s="117">
        <f>Z32</f>
        <v>50</v>
      </c>
      <c r="AB32" s="117">
        <f t="shared" ref="AB32:AR32" si="47">AA32</f>
        <v>50</v>
      </c>
      <c r="AC32" s="117">
        <f t="shared" si="47"/>
        <v>50</v>
      </c>
      <c r="AD32" s="117">
        <f t="shared" si="47"/>
        <v>50</v>
      </c>
      <c r="AE32" s="117">
        <f t="shared" si="47"/>
        <v>50</v>
      </c>
      <c r="AF32" s="117">
        <f t="shared" si="47"/>
        <v>50</v>
      </c>
      <c r="AG32" s="117">
        <f t="shared" si="47"/>
        <v>50</v>
      </c>
      <c r="AH32" s="117">
        <f t="shared" si="47"/>
        <v>50</v>
      </c>
      <c r="AI32" s="117">
        <f t="shared" si="47"/>
        <v>50</v>
      </c>
      <c r="AJ32" s="117">
        <f t="shared" si="47"/>
        <v>50</v>
      </c>
      <c r="AK32" s="117">
        <f t="shared" si="47"/>
        <v>50</v>
      </c>
      <c r="AL32" s="117">
        <f t="shared" si="47"/>
        <v>50</v>
      </c>
      <c r="AM32" s="117">
        <f t="shared" si="47"/>
        <v>50</v>
      </c>
      <c r="AN32" s="117">
        <f t="shared" si="47"/>
        <v>50</v>
      </c>
      <c r="AO32" s="117">
        <f t="shared" si="47"/>
        <v>50</v>
      </c>
      <c r="AP32" s="117">
        <f t="shared" si="47"/>
        <v>50</v>
      </c>
      <c r="AQ32" s="117">
        <f t="shared" si="47"/>
        <v>50</v>
      </c>
      <c r="AR32" s="554">
        <f t="shared" si="47"/>
        <v>50</v>
      </c>
      <c r="AS32" s="89"/>
      <c r="AT32" s="94"/>
      <c r="AU32" s="94"/>
      <c r="AV32" s="94"/>
      <c r="AW32" s="94"/>
      <c r="AX32" s="94"/>
      <c r="AY32" s="574" t="s">
        <v>132</v>
      </c>
      <c r="AZ32" s="567">
        <v>0</v>
      </c>
      <c r="BA32" s="568">
        <v>0.37</v>
      </c>
      <c r="BB32" s="568">
        <v>0.37</v>
      </c>
      <c r="BC32" s="568">
        <v>0.42</v>
      </c>
      <c r="BD32" s="571"/>
      <c r="BE32" s="571"/>
      <c r="BF32" s="571"/>
      <c r="BG32" s="89"/>
      <c r="BH32" s="89"/>
      <c r="BI32" s="89"/>
      <c r="BJ32" s="89"/>
    </row>
    <row r="33" spans="1:62" ht="24" thickBot="1">
      <c r="A33" s="88"/>
      <c r="B33" s="129"/>
      <c r="C33" s="258" t="s">
        <v>187</v>
      </c>
      <c r="D33" s="555">
        <v>117.77</v>
      </c>
      <c r="E33" s="556">
        <f>D33</f>
        <v>117.77</v>
      </c>
      <c r="F33" s="556">
        <f t="shared" ref="F33:V33" si="48">E33</f>
        <v>117.77</v>
      </c>
      <c r="G33" s="556">
        <f t="shared" si="48"/>
        <v>117.77</v>
      </c>
      <c r="H33" s="556">
        <f t="shared" si="48"/>
        <v>117.77</v>
      </c>
      <c r="I33" s="556">
        <f t="shared" si="48"/>
        <v>117.77</v>
      </c>
      <c r="J33" s="556">
        <f t="shared" si="48"/>
        <v>117.77</v>
      </c>
      <c r="K33" s="556">
        <f t="shared" si="48"/>
        <v>117.77</v>
      </c>
      <c r="L33" s="556">
        <f t="shared" si="48"/>
        <v>117.77</v>
      </c>
      <c r="M33" s="556">
        <f t="shared" si="48"/>
        <v>117.77</v>
      </c>
      <c r="N33" s="556">
        <f t="shared" si="48"/>
        <v>117.77</v>
      </c>
      <c r="O33" s="556">
        <f t="shared" si="48"/>
        <v>117.77</v>
      </c>
      <c r="P33" s="556">
        <f t="shared" si="48"/>
        <v>117.77</v>
      </c>
      <c r="Q33" s="556">
        <f t="shared" si="48"/>
        <v>117.77</v>
      </c>
      <c r="R33" s="556">
        <f t="shared" si="48"/>
        <v>117.77</v>
      </c>
      <c r="S33" s="556">
        <f t="shared" si="48"/>
        <v>117.77</v>
      </c>
      <c r="T33" s="556">
        <f t="shared" si="48"/>
        <v>117.77</v>
      </c>
      <c r="U33" s="556">
        <f t="shared" si="48"/>
        <v>117.77</v>
      </c>
      <c r="V33" s="557">
        <f t="shared" si="48"/>
        <v>117.77</v>
      </c>
      <c r="W33" s="88"/>
      <c r="X33" s="129"/>
      <c r="Y33" s="258" t="s">
        <v>187</v>
      </c>
      <c r="Z33" s="555">
        <v>9.0079999999999991</v>
      </c>
      <c r="AA33" s="556">
        <f>Z33</f>
        <v>9.0079999999999991</v>
      </c>
      <c r="AB33" s="556">
        <f t="shared" ref="AB33:AR33" si="49">AA33</f>
        <v>9.0079999999999991</v>
      </c>
      <c r="AC33" s="556">
        <f t="shared" si="49"/>
        <v>9.0079999999999991</v>
      </c>
      <c r="AD33" s="556">
        <f t="shared" si="49"/>
        <v>9.0079999999999991</v>
      </c>
      <c r="AE33" s="556">
        <f t="shared" si="49"/>
        <v>9.0079999999999991</v>
      </c>
      <c r="AF33" s="556">
        <f t="shared" si="49"/>
        <v>9.0079999999999991</v>
      </c>
      <c r="AG33" s="556">
        <f t="shared" si="49"/>
        <v>9.0079999999999991</v>
      </c>
      <c r="AH33" s="556">
        <f t="shared" si="49"/>
        <v>9.0079999999999991</v>
      </c>
      <c r="AI33" s="556">
        <f t="shared" si="49"/>
        <v>9.0079999999999991</v>
      </c>
      <c r="AJ33" s="556">
        <f t="shared" si="49"/>
        <v>9.0079999999999991</v>
      </c>
      <c r="AK33" s="556">
        <f t="shared" si="49"/>
        <v>9.0079999999999991</v>
      </c>
      <c r="AL33" s="556">
        <f t="shared" si="49"/>
        <v>9.0079999999999991</v>
      </c>
      <c r="AM33" s="556">
        <f t="shared" si="49"/>
        <v>9.0079999999999991</v>
      </c>
      <c r="AN33" s="556">
        <f t="shared" si="49"/>
        <v>9.0079999999999991</v>
      </c>
      <c r="AO33" s="556">
        <f t="shared" si="49"/>
        <v>9.0079999999999991</v>
      </c>
      <c r="AP33" s="556">
        <f t="shared" si="49"/>
        <v>9.0079999999999991</v>
      </c>
      <c r="AQ33" s="556">
        <f t="shared" si="49"/>
        <v>9.0079999999999991</v>
      </c>
      <c r="AR33" s="557">
        <f t="shared" si="49"/>
        <v>9.0079999999999991</v>
      </c>
      <c r="AS33" s="89"/>
      <c r="AT33" s="94"/>
      <c r="AU33" s="94"/>
      <c r="AV33" s="94"/>
      <c r="AW33" s="94"/>
      <c r="AX33" s="94"/>
      <c r="AY33" s="574" t="s">
        <v>133</v>
      </c>
      <c r="AZ33" s="567">
        <v>0</v>
      </c>
      <c r="BA33" s="568">
        <v>0.35</v>
      </c>
      <c r="BB33" s="568">
        <v>0.35</v>
      </c>
      <c r="BC33" s="568">
        <v>0.38</v>
      </c>
      <c r="BD33" s="571"/>
      <c r="BE33" s="571"/>
      <c r="BF33" s="571"/>
      <c r="BG33" s="89"/>
      <c r="BH33" s="89"/>
      <c r="BI33" s="89"/>
      <c r="BJ33" s="89"/>
    </row>
    <row r="34" spans="1:62" ht="25" thickTop="1" thickBot="1">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9"/>
      <c r="AK34" s="89"/>
      <c r="AL34" s="89"/>
      <c r="AM34" s="89"/>
      <c r="AN34" s="89"/>
      <c r="AO34" s="89"/>
      <c r="AP34" s="89"/>
      <c r="AQ34" s="89"/>
      <c r="AR34" s="89"/>
      <c r="AS34" s="89"/>
      <c r="AT34" s="94"/>
      <c r="AU34" s="94"/>
      <c r="AV34" s="94"/>
      <c r="AW34" s="94"/>
      <c r="AX34" s="94"/>
      <c r="AY34" s="574" t="s">
        <v>168</v>
      </c>
      <c r="AZ34" s="567">
        <v>0</v>
      </c>
      <c r="BA34" s="568">
        <v>0.28999999999999998</v>
      </c>
      <c r="BB34" s="568">
        <v>0.28999999999999998</v>
      </c>
      <c r="BC34" s="568">
        <v>0.32</v>
      </c>
      <c r="BD34" s="571"/>
      <c r="BE34" s="571"/>
      <c r="BF34" s="571"/>
      <c r="BG34" s="89"/>
      <c r="BH34" s="89"/>
      <c r="BI34" s="89"/>
      <c r="BJ34" s="89"/>
    </row>
    <row r="35" spans="1:62" ht="24" thickTop="1">
      <c r="A35" s="88"/>
      <c r="B35" s="580">
        <f>INDEX($AZ$44:$BC$54,MATCH(B37,$AY$44:$AY$54,0),MATCH($C$6,$AZ$43:$BC$43,0))</f>
        <v>2035</v>
      </c>
      <c r="C35" s="581">
        <f>INDEX($AZ$28:$BC$38,MATCH(B37,$AY$28:$AY$38,0),MATCH($C$6,$AZ$27:$BC$27,0))</f>
        <v>0.4</v>
      </c>
      <c r="D35" s="547">
        <v>2014</v>
      </c>
      <c r="E35" s="548">
        <v>2016</v>
      </c>
      <c r="F35" s="548">
        <v>2018</v>
      </c>
      <c r="G35" s="548">
        <v>2020</v>
      </c>
      <c r="H35" s="548">
        <v>2022</v>
      </c>
      <c r="I35" s="548">
        <v>2024</v>
      </c>
      <c r="J35" s="548">
        <v>2026</v>
      </c>
      <c r="K35" s="548">
        <v>2028</v>
      </c>
      <c r="L35" s="548">
        <v>2030</v>
      </c>
      <c r="M35" s="548">
        <v>2032</v>
      </c>
      <c r="N35" s="548">
        <v>2034</v>
      </c>
      <c r="O35" s="548">
        <v>2036</v>
      </c>
      <c r="P35" s="548">
        <v>2038</v>
      </c>
      <c r="Q35" s="548">
        <v>2040</v>
      </c>
      <c r="R35" s="548">
        <v>2042</v>
      </c>
      <c r="S35" s="548">
        <v>2044</v>
      </c>
      <c r="T35" s="548">
        <v>2046</v>
      </c>
      <c r="U35" s="548">
        <v>2048</v>
      </c>
      <c r="V35" s="549">
        <v>2050</v>
      </c>
      <c r="W35" s="88"/>
      <c r="X35" s="580">
        <f>INDEX($AZ$44:$BC$54,MATCH(X37,$AY$44:$AY$54,0),MATCH($C$6,$AZ$43:$BC$43,0))</f>
        <v>2035</v>
      </c>
      <c r="Y35" s="581">
        <f>INDEX($AZ$28:$BC$38,MATCH(X37,$AY$28:$AY$38,0),MATCH($C$6,$AZ$27:$BC$27,0))</f>
        <v>0.17</v>
      </c>
      <c r="Z35" s="547">
        <v>2014</v>
      </c>
      <c r="AA35" s="548">
        <v>2016</v>
      </c>
      <c r="AB35" s="548">
        <v>2018</v>
      </c>
      <c r="AC35" s="548">
        <v>2020</v>
      </c>
      <c r="AD35" s="548">
        <v>2022</v>
      </c>
      <c r="AE35" s="548">
        <v>2024</v>
      </c>
      <c r="AF35" s="548">
        <v>2026</v>
      </c>
      <c r="AG35" s="548">
        <v>2028</v>
      </c>
      <c r="AH35" s="548">
        <v>2030</v>
      </c>
      <c r="AI35" s="548">
        <v>2032</v>
      </c>
      <c r="AJ35" s="548">
        <v>2034</v>
      </c>
      <c r="AK35" s="548">
        <v>2036</v>
      </c>
      <c r="AL35" s="548">
        <v>2038</v>
      </c>
      <c r="AM35" s="548">
        <v>2040</v>
      </c>
      <c r="AN35" s="548">
        <v>2042</v>
      </c>
      <c r="AO35" s="548">
        <v>2044</v>
      </c>
      <c r="AP35" s="548">
        <v>2046</v>
      </c>
      <c r="AQ35" s="548">
        <v>2048</v>
      </c>
      <c r="AR35" s="549">
        <v>2050</v>
      </c>
      <c r="AS35" s="89"/>
      <c r="AT35" s="94"/>
      <c r="AU35" s="94"/>
      <c r="AV35" s="94"/>
      <c r="AW35" s="94"/>
      <c r="AX35" s="94"/>
      <c r="AY35" s="574" t="s">
        <v>134</v>
      </c>
      <c r="AZ35" s="567">
        <v>0</v>
      </c>
      <c r="BA35" s="568">
        <v>0.23</v>
      </c>
      <c r="BB35" s="568">
        <v>0.23</v>
      </c>
      <c r="BC35" s="568">
        <v>0.26</v>
      </c>
      <c r="BD35" s="571"/>
      <c r="BE35" s="571"/>
      <c r="BF35" s="571"/>
      <c r="BG35" s="89"/>
      <c r="BH35" s="89"/>
      <c r="BI35" s="89"/>
      <c r="BJ35" s="89"/>
    </row>
    <row r="36" spans="1:62" ht="23">
      <c r="A36" s="88"/>
      <c r="B36" s="252"/>
      <c r="C36" s="253" t="s">
        <v>108</v>
      </c>
      <c r="D36" s="550">
        <v>7533</v>
      </c>
      <c r="E36" s="254">
        <f>IF(E35&gt;$B35,D36,D36-($D36*2*$C35/($B35-$D35)))</f>
        <v>7246.028571428571</v>
      </c>
      <c r="F36" s="254">
        <f t="shared" ref="F36" si="50">IF(F35&gt;$B35,E36,E36-($D36*2*$C35/($B35-$D35)))</f>
        <v>6959.057142857142</v>
      </c>
      <c r="G36" s="254">
        <f t="shared" ref="G36" si="51">IF(G35&gt;$B35,F36,F36-($D36*2*$C35/($B35-$D35)))</f>
        <v>6672.085714285713</v>
      </c>
      <c r="H36" s="254">
        <f t="shared" ref="H36" si="52">IF(H35&gt;$B35,G36,G36-($D36*2*$C35/($B35-$D35)))</f>
        <v>6385.1142857142841</v>
      </c>
      <c r="I36" s="254">
        <f t="shared" ref="I36" si="53">IF(I35&gt;$B35,H36,H36-($D36*2*$C35/($B35-$D35)))</f>
        <v>6098.1428571428551</v>
      </c>
      <c r="J36" s="254">
        <f t="shared" ref="J36" si="54">IF(J35&gt;$B35,I36,I36-($D36*2*$C35/($B35-$D35)))</f>
        <v>5811.1714285714261</v>
      </c>
      <c r="K36" s="254">
        <f t="shared" ref="K36" si="55">IF(K35&gt;$B35,J36,J36-($D36*2*$C35/($B35-$D35)))</f>
        <v>5524.1999999999971</v>
      </c>
      <c r="L36" s="254">
        <f t="shared" ref="L36" si="56">IF(L35&gt;$B35,K36,K36-($D36*2*$C35/($B35-$D35)))</f>
        <v>5237.2285714285681</v>
      </c>
      <c r="M36" s="254">
        <f t="shared" ref="M36" si="57">IF(M35&gt;$B35,L36,L36-($D36*2*$C35/($B35-$D35)))</f>
        <v>4950.2571428571391</v>
      </c>
      <c r="N36" s="254">
        <f t="shared" ref="N36" si="58">IF(N35&gt;$B35,M36,M36-($D36*2*$C35/($B35-$D35)))</f>
        <v>4663.2857142857101</v>
      </c>
      <c r="O36" s="254">
        <f t="shared" ref="O36" si="59">IF(O35&gt;$B35,N36,N36-($D36*2*$C35/($B35-$D35)))</f>
        <v>4663.2857142857101</v>
      </c>
      <c r="P36" s="254">
        <f t="shared" ref="P36" si="60">IF(P35&gt;$B35,O36,O36-($D36*2*$C35/($B35-$D35)))</f>
        <v>4663.2857142857101</v>
      </c>
      <c r="Q36" s="254">
        <f t="shared" ref="Q36" si="61">IF(Q35&gt;$B35,P36,P36-($D36*2*$C35/($B35-$D35)))</f>
        <v>4663.2857142857101</v>
      </c>
      <c r="R36" s="254">
        <f t="shared" ref="R36" si="62">IF(R35&gt;$B35,Q36,Q36-($D36*2*$C35/($B35-$D35)))</f>
        <v>4663.2857142857101</v>
      </c>
      <c r="S36" s="254">
        <f t="shared" ref="S36" si="63">IF(S35&gt;$B35,R36,R36-($D36*2*$C35/($B35-$D35)))</f>
        <v>4663.2857142857101</v>
      </c>
      <c r="T36" s="254">
        <f t="shared" ref="T36" si="64">IF(T35&gt;$B35,S36,S36-($D36*2*$C35/($B35-$D35)))</f>
        <v>4663.2857142857101</v>
      </c>
      <c r="U36" s="254">
        <f t="shared" ref="U36" si="65">IF(U35&gt;$B35,T36,T36-($D36*2*$C35/($B35-$D35)))</f>
        <v>4663.2857142857101</v>
      </c>
      <c r="V36" s="254">
        <f t="shared" ref="V36" si="66">IF(V35&gt;$B35,U36,U36-($D36*2*$C35/($B35-$D35)))</f>
        <v>4663.2857142857101</v>
      </c>
      <c r="W36" s="88"/>
      <c r="X36" s="252"/>
      <c r="Y36" s="253" t="s">
        <v>108</v>
      </c>
      <c r="Z36" s="550">
        <v>2757</v>
      </c>
      <c r="AA36" s="254">
        <f>IF(AA35&gt;$X35,Z36,Z36-($Z36*2*$Y35/($B35-$Z35)))</f>
        <v>2712.3628571428571</v>
      </c>
      <c r="AB36" s="254">
        <f t="shared" ref="AB36" si="67">IF(AB35&gt;$X35,AA36,AA36-($Z36*2*$Y35/($B35-$Z35)))</f>
        <v>2667.7257142857143</v>
      </c>
      <c r="AC36" s="254">
        <f t="shared" ref="AC36" si="68">IF(AC35&gt;$X35,AB36,AB36-($Z36*2*$Y35/($B35-$Z35)))</f>
        <v>2623.0885714285714</v>
      </c>
      <c r="AD36" s="254">
        <f t="shared" ref="AD36" si="69">IF(AD35&gt;$X35,AC36,AC36-($Z36*2*$Y35/($B35-$Z35)))</f>
        <v>2578.4514285714286</v>
      </c>
      <c r="AE36" s="254">
        <f t="shared" ref="AE36" si="70">IF(AE35&gt;$X35,AD36,AD36-($Z36*2*$Y35/($B35-$Z35)))</f>
        <v>2533.8142857142857</v>
      </c>
      <c r="AF36" s="254">
        <f t="shared" ref="AF36" si="71">IF(AF35&gt;$X35,AE36,AE36-($Z36*2*$Y35/($B35-$Z35)))</f>
        <v>2489.1771428571428</v>
      </c>
      <c r="AG36" s="254">
        <f t="shared" ref="AG36" si="72">IF(AG35&gt;$X35,AF36,AF36-($Z36*2*$Y35/($B35-$Z35)))</f>
        <v>2444.54</v>
      </c>
      <c r="AH36" s="254">
        <f t="shared" ref="AH36" si="73">IF(AH35&gt;$X35,AG36,AG36-($Z36*2*$Y35/($B35-$Z35)))</f>
        <v>2399.9028571428571</v>
      </c>
      <c r="AI36" s="254">
        <f t="shared" ref="AI36" si="74">IF(AI35&gt;$X35,AH36,AH36-($Z36*2*$Y35/($B35-$Z35)))</f>
        <v>2355.2657142857142</v>
      </c>
      <c r="AJ36" s="254">
        <f t="shared" ref="AJ36" si="75">IF(AJ35&gt;$X35,AI36,AI36-($Z36*2*$Y35/($B35-$Z35)))</f>
        <v>2310.6285714285714</v>
      </c>
      <c r="AK36" s="254">
        <f t="shared" ref="AK36" si="76">IF(AK35&gt;$X35,AJ36,AJ36-($Z36*2*$Y35/($B35-$Z35)))</f>
        <v>2310.6285714285714</v>
      </c>
      <c r="AL36" s="254">
        <f t="shared" ref="AL36" si="77">IF(AL35&gt;$X35,AK36,AK36-($Z36*2*$Y35/($B35-$Z35)))</f>
        <v>2310.6285714285714</v>
      </c>
      <c r="AM36" s="254">
        <f t="shared" ref="AM36" si="78">IF(AM35&gt;$X35,AL36,AL36-($Z36*2*$Y35/($B35-$Z35)))</f>
        <v>2310.6285714285714</v>
      </c>
      <c r="AN36" s="254">
        <f t="shared" ref="AN36" si="79">IF(AN35&gt;$X35,AM36,AM36-($Z36*2*$Y35/($B35-$Z35)))</f>
        <v>2310.6285714285714</v>
      </c>
      <c r="AO36" s="254">
        <f t="shared" ref="AO36" si="80">IF(AO35&gt;$X35,AN36,AN36-($Z36*2*$Y35/($B35-$Z35)))</f>
        <v>2310.6285714285714</v>
      </c>
      <c r="AP36" s="254">
        <f t="shared" ref="AP36" si="81">IF(AP35&gt;$X35,AO36,AO36-($Z36*2*$Y35/($B35-$Z35)))</f>
        <v>2310.6285714285714</v>
      </c>
      <c r="AQ36" s="254">
        <f t="shared" ref="AQ36" si="82">IF(AQ35&gt;$X35,AP36,AP36-($Z36*2*$Y35/($B35-$Z35)))</f>
        <v>2310.6285714285714</v>
      </c>
      <c r="AR36" s="254">
        <f t="shared" ref="AR36" si="83">IF(AR35&gt;$X35,AQ36,AQ36-($Z36*2*$Y35/($B35-$Z35)))</f>
        <v>2310.6285714285714</v>
      </c>
      <c r="AS36" s="89"/>
      <c r="AT36" s="94"/>
      <c r="AU36" s="94"/>
      <c r="AV36" s="94"/>
      <c r="AW36" s="94"/>
      <c r="AX36" s="94"/>
      <c r="AY36" s="574" t="s">
        <v>169</v>
      </c>
      <c r="AZ36" s="567">
        <v>0</v>
      </c>
      <c r="BA36" s="568">
        <v>0.2</v>
      </c>
      <c r="BB36" s="568">
        <v>0.2</v>
      </c>
      <c r="BC36" s="568">
        <v>0.23</v>
      </c>
      <c r="BD36" s="571"/>
      <c r="BE36" s="571"/>
      <c r="BF36" s="571"/>
      <c r="BG36" s="89"/>
      <c r="BH36" s="89"/>
      <c r="BI36" s="89"/>
      <c r="BJ36" s="89"/>
    </row>
    <row r="37" spans="1:62" ht="23">
      <c r="A37" s="88"/>
      <c r="B37" s="209" t="s">
        <v>130</v>
      </c>
      <c r="C37" s="255" t="s">
        <v>110</v>
      </c>
      <c r="D37" s="551">
        <v>26.106655160924049</v>
      </c>
      <c r="E37" s="251">
        <v>26.106655160924049</v>
      </c>
      <c r="F37" s="251">
        <v>26.106655160924049</v>
      </c>
      <c r="G37" s="251">
        <v>26.106655160924049</v>
      </c>
      <c r="H37" s="251">
        <v>26.106655160924049</v>
      </c>
      <c r="I37" s="251">
        <v>26.106655160924049</v>
      </c>
      <c r="J37" s="251">
        <v>26.106655160924049</v>
      </c>
      <c r="K37" s="251">
        <v>26.106655160924049</v>
      </c>
      <c r="L37" s="251">
        <v>26.106655160924049</v>
      </c>
      <c r="M37" s="251">
        <v>26.106655160924049</v>
      </c>
      <c r="N37" s="251">
        <v>26.106655160924049</v>
      </c>
      <c r="O37" s="251">
        <v>26.106655160924049</v>
      </c>
      <c r="P37" s="251">
        <v>26.106655160924049</v>
      </c>
      <c r="Q37" s="251">
        <v>26.106655160924049</v>
      </c>
      <c r="R37" s="251">
        <v>26.106655160924049</v>
      </c>
      <c r="S37" s="251">
        <v>26.106655160924049</v>
      </c>
      <c r="T37" s="251">
        <v>26.106655160924049</v>
      </c>
      <c r="U37" s="251">
        <v>26.106655160924049</v>
      </c>
      <c r="V37" s="552">
        <v>26.106655160924049</v>
      </c>
      <c r="W37" s="88"/>
      <c r="X37" s="209" t="s">
        <v>170</v>
      </c>
      <c r="Y37" s="255" t="s">
        <v>110</v>
      </c>
      <c r="Z37" s="551">
        <v>52.815457457135928</v>
      </c>
      <c r="AA37" s="251">
        <v>52.815457457135928</v>
      </c>
      <c r="AB37" s="251">
        <v>52.815457457135928</v>
      </c>
      <c r="AC37" s="251">
        <v>52.815457457135928</v>
      </c>
      <c r="AD37" s="251">
        <v>52.815457457135928</v>
      </c>
      <c r="AE37" s="251">
        <v>52.815457457135928</v>
      </c>
      <c r="AF37" s="251">
        <v>52.815457457135928</v>
      </c>
      <c r="AG37" s="251">
        <v>52.815457457135928</v>
      </c>
      <c r="AH37" s="251">
        <v>52.815457457135928</v>
      </c>
      <c r="AI37" s="251">
        <v>52.815457457135928</v>
      </c>
      <c r="AJ37" s="251">
        <v>52.815457457135928</v>
      </c>
      <c r="AK37" s="251">
        <v>52.815457457135928</v>
      </c>
      <c r="AL37" s="251">
        <v>52.815457457135928</v>
      </c>
      <c r="AM37" s="251">
        <v>52.815457457135928</v>
      </c>
      <c r="AN37" s="251">
        <v>52.815457457135928</v>
      </c>
      <c r="AO37" s="251">
        <v>52.815457457135928</v>
      </c>
      <c r="AP37" s="251">
        <v>52.815457457135928</v>
      </c>
      <c r="AQ37" s="251">
        <v>52.815457457135928</v>
      </c>
      <c r="AR37" s="552">
        <v>52.815457457135928</v>
      </c>
      <c r="AS37" s="89"/>
      <c r="AT37" s="93"/>
      <c r="AU37" s="94"/>
      <c r="AV37" s="97"/>
      <c r="AW37" s="94"/>
      <c r="AX37" s="96"/>
      <c r="AY37" s="574" t="s">
        <v>170</v>
      </c>
      <c r="AZ37" s="567">
        <v>0</v>
      </c>
      <c r="BA37" s="568">
        <v>0.17</v>
      </c>
      <c r="BB37" s="568">
        <v>0.17</v>
      </c>
      <c r="BC37" s="568">
        <v>0.2</v>
      </c>
      <c r="BD37" s="571"/>
      <c r="BE37" s="571"/>
      <c r="BF37" s="571"/>
      <c r="BG37" s="89"/>
      <c r="BH37" s="89"/>
      <c r="BI37" s="89"/>
      <c r="BJ37" s="89"/>
    </row>
    <row r="38" spans="1:62" ht="23">
      <c r="A38" s="88"/>
      <c r="B38" s="256" t="s">
        <v>153</v>
      </c>
      <c r="C38" s="255" t="s">
        <v>156</v>
      </c>
      <c r="D38" s="551">
        <v>0</v>
      </c>
      <c r="E38" s="251">
        <v>0</v>
      </c>
      <c r="F38" s="251">
        <v>0</v>
      </c>
      <c r="G38" s="251">
        <v>0</v>
      </c>
      <c r="H38" s="251">
        <v>0</v>
      </c>
      <c r="I38" s="251">
        <v>0</v>
      </c>
      <c r="J38" s="251">
        <v>0</v>
      </c>
      <c r="K38" s="251">
        <v>0</v>
      </c>
      <c r="L38" s="251">
        <v>0</v>
      </c>
      <c r="M38" s="251">
        <v>0</v>
      </c>
      <c r="N38" s="251">
        <v>0</v>
      </c>
      <c r="O38" s="251">
        <v>0</v>
      </c>
      <c r="P38" s="251">
        <v>0</v>
      </c>
      <c r="Q38" s="251">
        <v>0</v>
      </c>
      <c r="R38" s="251">
        <v>0</v>
      </c>
      <c r="S38" s="251">
        <v>0</v>
      </c>
      <c r="T38" s="251">
        <v>0</v>
      </c>
      <c r="U38" s="251">
        <v>0</v>
      </c>
      <c r="V38" s="251">
        <v>0</v>
      </c>
      <c r="W38" s="88"/>
      <c r="X38" s="256" t="s">
        <v>153</v>
      </c>
      <c r="Y38" s="255" t="s">
        <v>156</v>
      </c>
      <c r="Z38" s="551">
        <v>0</v>
      </c>
      <c r="AA38" s="251">
        <v>0</v>
      </c>
      <c r="AB38" s="251">
        <v>0</v>
      </c>
      <c r="AC38" s="251">
        <v>0</v>
      </c>
      <c r="AD38" s="251">
        <v>0</v>
      </c>
      <c r="AE38" s="251">
        <v>0</v>
      </c>
      <c r="AF38" s="251">
        <v>0</v>
      </c>
      <c r="AG38" s="251">
        <v>0</v>
      </c>
      <c r="AH38" s="251">
        <v>0</v>
      </c>
      <c r="AI38" s="251">
        <v>0</v>
      </c>
      <c r="AJ38" s="251">
        <v>0</v>
      </c>
      <c r="AK38" s="251">
        <v>0</v>
      </c>
      <c r="AL38" s="251">
        <v>0</v>
      </c>
      <c r="AM38" s="251">
        <v>0</v>
      </c>
      <c r="AN38" s="251">
        <v>0</v>
      </c>
      <c r="AO38" s="251">
        <v>0</v>
      </c>
      <c r="AP38" s="251">
        <v>0</v>
      </c>
      <c r="AQ38" s="251">
        <v>0</v>
      </c>
      <c r="AR38" s="251">
        <v>0</v>
      </c>
      <c r="AS38" s="89"/>
      <c r="AT38" s="93"/>
      <c r="AU38" s="94"/>
      <c r="AV38" s="95"/>
      <c r="AW38" s="94"/>
      <c r="AX38" s="96"/>
      <c r="AY38" s="574" t="s">
        <v>171</v>
      </c>
      <c r="AZ38" s="567">
        <v>0</v>
      </c>
      <c r="BA38" s="568">
        <v>0.15</v>
      </c>
      <c r="BB38" s="568">
        <v>0.15</v>
      </c>
      <c r="BC38" s="568">
        <v>0.2</v>
      </c>
      <c r="BD38" s="571"/>
      <c r="BE38" s="571"/>
      <c r="BF38" s="571"/>
      <c r="BG38" s="89"/>
      <c r="BH38" s="89"/>
      <c r="BI38" s="89"/>
      <c r="BJ38" s="89"/>
    </row>
    <row r="39" spans="1:62" ht="15">
      <c r="A39" s="88"/>
      <c r="B39" s="257"/>
      <c r="C39" s="255" t="s">
        <v>109</v>
      </c>
      <c r="D39" s="553">
        <v>30</v>
      </c>
      <c r="E39" s="117">
        <f>D39</f>
        <v>30</v>
      </c>
      <c r="F39" s="117">
        <f t="shared" ref="F39:V39" si="84">E39</f>
        <v>30</v>
      </c>
      <c r="G39" s="117">
        <f t="shared" si="84"/>
        <v>30</v>
      </c>
      <c r="H39" s="117">
        <f t="shared" si="84"/>
        <v>30</v>
      </c>
      <c r="I39" s="117">
        <f t="shared" si="84"/>
        <v>30</v>
      </c>
      <c r="J39" s="117">
        <f t="shared" si="84"/>
        <v>30</v>
      </c>
      <c r="K39" s="117">
        <f t="shared" si="84"/>
        <v>30</v>
      </c>
      <c r="L39" s="117">
        <f t="shared" si="84"/>
        <v>30</v>
      </c>
      <c r="M39" s="117">
        <f t="shared" si="84"/>
        <v>30</v>
      </c>
      <c r="N39" s="117">
        <f t="shared" si="84"/>
        <v>30</v>
      </c>
      <c r="O39" s="117">
        <f t="shared" si="84"/>
        <v>30</v>
      </c>
      <c r="P39" s="117">
        <f t="shared" si="84"/>
        <v>30</v>
      </c>
      <c r="Q39" s="117">
        <f t="shared" si="84"/>
        <v>30</v>
      </c>
      <c r="R39" s="117">
        <f t="shared" si="84"/>
        <v>30</v>
      </c>
      <c r="S39" s="117">
        <f t="shared" si="84"/>
        <v>30</v>
      </c>
      <c r="T39" s="117">
        <f t="shared" si="84"/>
        <v>30</v>
      </c>
      <c r="U39" s="117">
        <f t="shared" si="84"/>
        <v>30</v>
      </c>
      <c r="V39" s="554">
        <f t="shared" si="84"/>
        <v>30</v>
      </c>
      <c r="W39" s="88"/>
      <c r="X39" s="257"/>
      <c r="Y39" s="255" t="s">
        <v>109</v>
      </c>
      <c r="Z39" s="553">
        <v>80</v>
      </c>
      <c r="AA39" s="117">
        <f>Z39</f>
        <v>80</v>
      </c>
      <c r="AB39" s="117">
        <f t="shared" ref="AB39:AR39" si="85">AA39</f>
        <v>80</v>
      </c>
      <c r="AC39" s="117">
        <f t="shared" si="85"/>
        <v>80</v>
      </c>
      <c r="AD39" s="117">
        <f t="shared" si="85"/>
        <v>80</v>
      </c>
      <c r="AE39" s="117">
        <f t="shared" si="85"/>
        <v>80</v>
      </c>
      <c r="AF39" s="117">
        <f t="shared" si="85"/>
        <v>80</v>
      </c>
      <c r="AG39" s="117">
        <f t="shared" si="85"/>
        <v>80</v>
      </c>
      <c r="AH39" s="117">
        <f t="shared" si="85"/>
        <v>80</v>
      </c>
      <c r="AI39" s="117">
        <f t="shared" si="85"/>
        <v>80</v>
      </c>
      <c r="AJ39" s="117">
        <f t="shared" si="85"/>
        <v>80</v>
      </c>
      <c r="AK39" s="117">
        <f t="shared" si="85"/>
        <v>80</v>
      </c>
      <c r="AL39" s="117">
        <f t="shared" si="85"/>
        <v>80</v>
      </c>
      <c r="AM39" s="117">
        <f t="shared" si="85"/>
        <v>80</v>
      </c>
      <c r="AN39" s="117">
        <f t="shared" si="85"/>
        <v>80</v>
      </c>
      <c r="AO39" s="117">
        <f t="shared" si="85"/>
        <v>80</v>
      </c>
      <c r="AP39" s="117">
        <f t="shared" si="85"/>
        <v>80</v>
      </c>
      <c r="AQ39" s="117">
        <f t="shared" si="85"/>
        <v>80</v>
      </c>
      <c r="AR39" s="554">
        <f t="shared" si="85"/>
        <v>80</v>
      </c>
      <c r="AS39" s="89"/>
      <c r="AT39" s="93"/>
      <c r="AU39" s="94"/>
      <c r="AV39" s="95"/>
      <c r="AW39" s="94"/>
      <c r="AX39" s="96"/>
      <c r="AY39" s="574"/>
      <c r="AZ39" s="572"/>
      <c r="BA39" s="570"/>
      <c r="BB39" s="571"/>
      <c r="BC39" s="571"/>
      <c r="BD39" s="571"/>
      <c r="BE39" s="571"/>
      <c r="BF39" s="571"/>
      <c r="BG39" s="89"/>
      <c r="BH39" s="89"/>
      <c r="BI39" s="89"/>
      <c r="BJ39" s="89"/>
    </row>
    <row r="40" spans="1:62" ht="16" thickBot="1">
      <c r="A40" s="88"/>
      <c r="B40" s="129"/>
      <c r="C40" s="258" t="s">
        <v>187</v>
      </c>
      <c r="D40" s="555">
        <v>71.260000000000005</v>
      </c>
      <c r="E40" s="556">
        <f>D40</f>
        <v>71.260000000000005</v>
      </c>
      <c r="F40" s="556">
        <f t="shared" ref="F40:V40" si="86">E40</f>
        <v>71.260000000000005</v>
      </c>
      <c r="G40" s="556">
        <f t="shared" si="86"/>
        <v>71.260000000000005</v>
      </c>
      <c r="H40" s="556">
        <f t="shared" si="86"/>
        <v>71.260000000000005</v>
      </c>
      <c r="I40" s="556">
        <f t="shared" si="86"/>
        <v>71.260000000000005</v>
      </c>
      <c r="J40" s="556">
        <f t="shared" si="86"/>
        <v>71.260000000000005</v>
      </c>
      <c r="K40" s="556">
        <f t="shared" si="86"/>
        <v>71.260000000000005</v>
      </c>
      <c r="L40" s="556">
        <f t="shared" si="86"/>
        <v>71.260000000000005</v>
      </c>
      <c r="M40" s="556">
        <f t="shared" si="86"/>
        <v>71.260000000000005</v>
      </c>
      <c r="N40" s="556">
        <f t="shared" si="86"/>
        <v>71.260000000000005</v>
      </c>
      <c r="O40" s="556">
        <f t="shared" si="86"/>
        <v>71.260000000000005</v>
      </c>
      <c r="P40" s="556">
        <f t="shared" si="86"/>
        <v>71.260000000000005</v>
      </c>
      <c r="Q40" s="556">
        <f t="shared" si="86"/>
        <v>71.260000000000005</v>
      </c>
      <c r="R40" s="556">
        <f t="shared" si="86"/>
        <v>71.260000000000005</v>
      </c>
      <c r="S40" s="556">
        <f t="shared" si="86"/>
        <v>71.260000000000005</v>
      </c>
      <c r="T40" s="556">
        <f t="shared" si="86"/>
        <v>71.260000000000005</v>
      </c>
      <c r="U40" s="556">
        <f t="shared" si="86"/>
        <v>71.260000000000005</v>
      </c>
      <c r="V40" s="557">
        <f t="shared" si="86"/>
        <v>71.260000000000005</v>
      </c>
      <c r="W40" s="88"/>
      <c r="X40" s="129"/>
      <c r="Y40" s="258" t="s">
        <v>187</v>
      </c>
      <c r="Z40" s="555">
        <v>8.1329999999999991</v>
      </c>
      <c r="AA40" s="556">
        <f>Z40</f>
        <v>8.1329999999999991</v>
      </c>
      <c r="AB40" s="556">
        <f t="shared" ref="AB40:AR40" si="87">AA40</f>
        <v>8.1329999999999991</v>
      </c>
      <c r="AC40" s="556">
        <f t="shared" si="87"/>
        <v>8.1329999999999991</v>
      </c>
      <c r="AD40" s="556">
        <f t="shared" si="87"/>
        <v>8.1329999999999991</v>
      </c>
      <c r="AE40" s="556">
        <f t="shared" si="87"/>
        <v>8.1329999999999991</v>
      </c>
      <c r="AF40" s="556">
        <f t="shared" si="87"/>
        <v>8.1329999999999991</v>
      </c>
      <c r="AG40" s="556">
        <f t="shared" si="87"/>
        <v>8.1329999999999991</v>
      </c>
      <c r="AH40" s="556">
        <f t="shared" si="87"/>
        <v>8.1329999999999991</v>
      </c>
      <c r="AI40" s="556">
        <f t="shared" si="87"/>
        <v>8.1329999999999991</v>
      </c>
      <c r="AJ40" s="556">
        <f t="shared" si="87"/>
        <v>8.1329999999999991</v>
      </c>
      <c r="AK40" s="556">
        <f t="shared" si="87"/>
        <v>8.1329999999999991</v>
      </c>
      <c r="AL40" s="556">
        <f t="shared" si="87"/>
        <v>8.1329999999999991</v>
      </c>
      <c r="AM40" s="556">
        <f t="shared" si="87"/>
        <v>8.1329999999999991</v>
      </c>
      <c r="AN40" s="556">
        <f t="shared" si="87"/>
        <v>8.1329999999999991</v>
      </c>
      <c r="AO40" s="556">
        <f t="shared" si="87"/>
        <v>8.1329999999999991</v>
      </c>
      <c r="AP40" s="556">
        <f t="shared" si="87"/>
        <v>8.1329999999999991</v>
      </c>
      <c r="AQ40" s="556">
        <f t="shared" si="87"/>
        <v>8.1329999999999991</v>
      </c>
      <c r="AR40" s="557">
        <f t="shared" si="87"/>
        <v>8.1329999999999991</v>
      </c>
      <c r="AS40" s="89"/>
      <c r="AT40" s="93"/>
      <c r="AU40" s="94"/>
      <c r="AV40" s="95"/>
      <c r="AW40" s="94"/>
      <c r="AX40" s="96"/>
      <c r="AY40" s="574"/>
      <c r="AZ40" s="572"/>
      <c r="BA40" s="570"/>
      <c r="BB40" s="571"/>
      <c r="BC40" s="571"/>
      <c r="BD40" s="571"/>
      <c r="BE40" s="571"/>
      <c r="BF40" s="571"/>
      <c r="BG40" s="89"/>
      <c r="BH40" s="89"/>
      <c r="BI40" s="89"/>
      <c r="BJ40" s="89"/>
    </row>
    <row r="41" spans="1:62" ht="17" thickTop="1" thickBot="1">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9"/>
      <c r="AK41" s="89"/>
      <c r="AL41" s="89"/>
      <c r="AM41" s="89"/>
      <c r="AN41" s="89"/>
      <c r="AO41" s="89"/>
      <c r="AP41" s="89"/>
      <c r="AQ41" s="89"/>
      <c r="AR41" s="89"/>
      <c r="AS41" s="89"/>
      <c r="AT41" s="93"/>
      <c r="AU41" s="94"/>
      <c r="AV41" s="95"/>
      <c r="AW41" s="94"/>
      <c r="AX41" s="96"/>
      <c r="AY41" s="574"/>
      <c r="AZ41" s="572"/>
      <c r="BA41" s="570" t="s">
        <v>371</v>
      </c>
      <c r="BB41" s="571"/>
      <c r="BC41" s="571"/>
      <c r="BD41" s="571"/>
      <c r="BE41" s="571"/>
      <c r="BF41" s="571"/>
      <c r="BG41" s="89"/>
      <c r="BH41" s="89"/>
      <c r="BI41" s="89"/>
      <c r="BJ41" s="89"/>
    </row>
    <row r="42" spans="1:62" ht="16" thickTop="1">
      <c r="A42" s="88"/>
      <c r="B42" s="580">
        <f>INDEX($AZ$44:$BC$54,MATCH(B44,$AY$44:$AY$54,0),MATCH($C$6,$AZ$43:$BC$43,0))</f>
        <v>2035</v>
      </c>
      <c r="C42" s="581">
        <f>INDEX($AZ$28:$BC$38,MATCH(B44,$AY$28:$AY$38,0),MATCH($C$6,$AZ$27:$BC$27,0))</f>
        <v>0.37</v>
      </c>
      <c r="D42" s="547">
        <v>2014</v>
      </c>
      <c r="E42" s="548">
        <v>2016</v>
      </c>
      <c r="F42" s="548">
        <v>2018</v>
      </c>
      <c r="G42" s="548">
        <v>2020</v>
      </c>
      <c r="H42" s="548">
        <v>2022</v>
      </c>
      <c r="I42" s="548">
        <v>2024</v>
      </c>
      <c r="J42" s="548">
        <v>2026</v>
      </c>
      <c r="K42" s="548">
        <v>2028</v>
      </c>
      <c r="L42" s="548">
        <v>2030</v>
      </c>
      <c r="M42" s="548">
        <v>2032</v>
      </c>
      <c r="N42" s="548">
        <v>2034</v>
      </c>
      <c r="O42" s="548">
        <v>2036</v>
      </c>
      <c r="P42" s="548">
        <v>2038</v>
      </c>
      <c r="Q42" s="548">
        <v>2040</v>
      </c>
      <c r="R42" s="548">
        <v>2042</v>
      </c>
      <c r="S42" s="548">
        <v>2044</v>
      </c>
      <c r="T42" s="548">
        <v>2046</v>
      </c>
      <c r="U42" s="548">
        <v>2048</v>
      </c>
      <c r="V42" s="549">
        <v>2050</v>
      </c>
      <c r="W42" s="88"/>
      <c r="X42" s="580">
        <f>INDEX($AZ$44:$BC$54,MATCH(X44,$AY$44:$AY$54,0),MATCH($C$6,$AZ$43:$BC$43,0))</f>
        <v>2035</v>
      </c>
      <c r="Y42" s="581">
        <f>INDEX($AZ$28:$BC$38,MATCH(X44,$AY$28:$AY$38,0),MATCH($C$6,$AZ$27:$BC$27,0))</f>
        <v>0.15</v>
      </c>
      <c r="Z42" s="547">
        <v>2014</v>
      </c>
      <c r="AA42" s="548">
        <v>2016</v>
      </c>
      <c r="AB42" s="548">
        <v>2018</v>
      </c>
      <c r="AC42" s="548">
        <v>2020</v>
      </c>
      <c r="AD42" s="548">
        <v>2022</v>
      </c>
      <c r="AE42" s="548">
        <v>2024</v>
      </c>
      <c r="AF42" s="548">
        <v>2026</v>
      </c>
      <c r="AG42" s="548">
        <v>2028</v>
      </c>
      <c r="AH42" s="548">
        <v>2030</v>
      </c>
      <c r="AI42" s="548">
        <v>2032</v>
      </c>
      <c r="AJ42" s="548">
        <v>2034</v>
      </c>
      <c r="AK42" s="548">
        <v>2036</v>
      </c>
      <c r="AL42" s="548">
        <v>2038</v>
      </c>
      <c r="AM42" s="548">
        <v>2040</v>
      </c>
      <c r="AN42" s="548">
        <v>2042</v>
      </c>
      <c r="AO42" s="548">
        <v>2044</v>
      </c>
      <c r="AP42" s="548">
        <v>2046</v>
      </c>
      <c r="AQ42" s="548">
        <v>2048</v>
      </c>
      <c r="AR42" s="549">
        <v>2050</v>
      </c>
      <c r="AS42" s="89"/>
      <c r="AT42" s="93"/>
      <c r="AU42" s="94"/>
      <c r="AV42" s="95"/>
      <c r="AW42" s="94"/>
      <c r="AX42" s="96"/>
      <c r="AY42" s="574"/>
      <c r="AZ42" s="566"/>
      <c r="BA42" s="570"/>
      <c r="BB42" s="571"/>
      <c r="BC42" s="571"/>
      <c r="BD42" s="571"/>
      <c r="BE42" s="571"/>
      <c r="BF42" s="571"/>
      <c r="BG42" s="89"/>
      <c r="BH42" s="89"/>
      <c r="BI42" s="89"/>
      <c r="BJ42" s="89"/>
    </row>
    <row r="43" spans="1:62" ht="15">
      <c r="A43" s="88"/>
      <c r="B43" s="252"/>
      <c r="C43" s="253" t="s">
        <v>108</v>
      </c>
      <c r="D43" s="550">
        <v>6414</v>
      </c>
      <c r="E43" s="254">
        <f>IF(E42&gt;$B42,D43,D43-($D43*2*$C42/($B42-$D42)))</f>
        <v>6187.982857142857</v>
      </c>
      <c r="F43" s="254">
        <f t="shared" ref="F43" si="88">IF(F42&gt;$B42,E43,E43-($D43*2*$C42/($B42-$D42)))</f>
        <v>5961.9657142857141</v>
      </c>
      <c r="G43" s="254">
        <f t="shared" ref="G43" si="89">IF(G42&gt;$B42,F43,F43-($D43*2*$C42/($B42-$D42)))</f>
        <v>5735.9485714285711</v>
      </c>
      <c r="H43" s="254">
        <f t="shared" ref="H43" si="90">IF(H42&gt;$B42,G43,G43-($D43*2*$C42/($B42-$D42)))</f>
        <v>5509.9314285714281</v>
      </c>
      <c r="I43" s="254">
        <f t="shared" ref="I43" si="91">IF(I42&gt;$B42,H43,H43-($D43*2*$C42/($B42-$D42)))</f>
        <v>5283.9142857142851</v>
      </c>
      <c r="J43" s="254">
        <f t="shared" ref="J43" si="92">IF(J42&gt;$B42,I43,I43-($D43*2*$C42/($B42-$D42)))</f>
        <v>5057.8971428571422</v>
      </c>
      <c r="K43" s="254">
        <f t="shared" ref="K43" si="93">IF(K42&gt;$B42,J43,J43-($D43*2*$C42/($B42-$D42)))</f>
        <v>4831.8799999999992</v>
      </c>
      <c r="L43" s="254">
        <f t="shared" ref="L43" si="94">IF(L42&gt;$B42,K43,K43-($D43*2*$C42/($B42-$D42)))</f>
        <v>4605.8628571428562</v>
      </c>
      <c r="M43" s="254">
        <f t="shared" ref="M43" si="95">IF(M42&gt;$B42,L43,L43-($D43*2*$C42/($B42-$D42)))</f>
        <v>4379.8457142857133</v>
      </c>
      <c r="N43" s="254">
        <f t="shared" ref="N43" si="96">IF(N42&gt;$B42,M43,M43-($D43*2*$C42/($B42-$D42)))</f>
        <v>4153.8285714285703</v>
      </c>
      <c r="O43" s="254">
        <f t="shared" ref="O43" si="97">IF(O42&gt;$B42,N43,N43-($D43*2*$C42/($B42-$D42)))</f>
        <v>4153.8285714285703</v>
      </c>
      <c r="P43" s="254">
        <f t="shared" ref="P43" si="98">IF(P42&gt;$B42,O43,O43-($D43*2*$C42/($B42-$D42)))</f>
        <v>4153.8285714285703</v>
      </c>
      <c r="Q43" s="254">
        <f t="shared" ref="Q43" si="99">IF(Q42&gt;$B42,P43,P43-($D43*2*$C42/($B42-$D42)))</f>
        <v>4153.8285714285703</v>
      </c>
      <c r="R43" s="254">
        <f t="shared" ref="R43" si="100">IF(R42&gt;$B42,Q43,Q43-($D43*2*$C42/($B42-$D42)))</f>
        <v>4153.8285714285703</v>
      </c>
      <c r="S43" s="254">
        <f t="shared" ref="S43" si="101">IF(S42&gt;$B42,R43,R43-($D43*2*$C42/($B42-$D42)))</f>
        <v>4153.8285714285703</v>
      </c>
      <c r="T43" s="254">
        <f t="shared" ref="T43" si="102">IF(T42&gt;$B42,S43,S43-($D43*2*$C42/($B42-$D42)))</f>
        <v>4153.8285714285703</v>
      </c>
      <c r="U43" s="254">
        <f t="shared" ref="U43" si="103">IF(U42&gt;$B42,T43,T43-($D43*2*$C42/($B42-$D42)))</f>
        <v>4153.8285714285703</v>
      </c>
      <c r="V43" s="254">
        <f t="shared" ref="V43" si="104">IF(V42&gt;$B42,U43,U43-($D43*2*$C42/($B42-$D42)))</f>
        <v>4153.8285714285703</v>
      </c>
      <c r="W43" s="88"/>
      <c r="X43" s="252"/>
      <c r="Y43" s="253" t="s">
        <v>108</v>
      </c>
      <c r="Z43" s="550">
        <v>2262</v>
      </c>
      <c r="AA43" s="254">
        <f>IF(AA42&gt;$X42,Z43,Z43-($Z43*2*$Y42/($B42-$Z42)))</f>
        <v>2229.6857142857143</v>
      </c>
      <c r="AB43" s="254">
        <f t="shared" ref="AB43" si="105">IF(AB42&gt;$X42,AA43,AA43-($Z43*2*$Y42/($B42-$Z42)))</f>
        <v>2197.3714285714286</v>
      </c>
      <c r="AC43" s="254">
        <f t="shared" ref="AC43" si="106">IF(AC42&gt;$X42,AB43,AB43-($Z43*2*$Y42/($B42-$Z42)))</f>
        <v>2165.0571428571429</v>
      </c>
      <c r="AD43" s="254">
        <f t="shared" ref="AD43" si="107">IF(AD42&gt;$X42,AC43,AC43-($Z43*2*$Y42/($B42-$Z42)))</f>
        <v>2132.7428571428572</v>
      </c>
      <c r="AE43" s="254">
        <f t="shared" ref="AE43" si="108">IF(AE42&gt;$X42,AD43,AD43-($Z43*2*$Y42/($B42-$Z42)))</f>
        <v>2100.4285714285716</v>
      </c>
      <c r="AF43" s="254">
        <f t="shared" ref="AF43" si="109">IF(AF42&gt;$X42,AE43,AE43-($Z43*2*$Y42/($B42-$Z42)))</f>
        <v>2068.1142857142859</v>
      </c>
      <c r="AG43" s="254">
        <f t="shared" ref="AG43" si="110">IF(AG42&gt;$X42,AF43,AF43-($Z43*2*$Y42/($B42-$Z42)))</f>
        <v>2035.8000000000002</v>
      </c>
      <c r="AH43" s="254">
        <f t="shared" ref="AH43" si="111">IF(AH42&gt;$X42,AG43,AG43-($Z43*2*$Y42/($B42-$Z42)))</f>
        <v>2003.4857142857145</v>
      </c>
      <c r="AI43" s="254">
        <f t="shared" ref="AI43" si="112">IF(AI42&gt;$X42,AH43,AH43-($Z43*2*$Y42/($B42-$Z42)))</f>
        <v>1971.1714285714288</v>
      </c>
      <c r="AJ43" s="254">
        <f t="shared" ref="AJ43" si="113">IF(AJ42&gt;$X42,AI43,AI43-($Z43*2*$Y42/($B42-$Z42)))</f>
        <v>1938.8571428571431</v>
      </c>
      <c r="AK43" s="254">
        <f t="shared" ref="AK43" si="114">IF(AK42&gt;$X42,AJ43,AJ43-($Z43*2*$Y42/($B42-$Z42)))</f>
        <v>1938.8571428571431</v>
      </c>
      <c r="AL43" s="254">
        <f t="shared" ref="AL43" si="115">IF(AL42&gt;$X42,AK43,AK43-($Z43*2*$Y42/($B42-$Z42)))</f>
        <v>1938.8571428571431</v>
      </c>
      <c r="AM43" s="254">
        <f t="shared" ref="AM43" si="116">IF(AM42&gt;$X42,AL43,AL43-($Z43*2*$Y42/($B42-$Z42)))</f>
        <v>1938.8571428571431</v>
      </c>
      <c r="AN43" s="254">
        <f t="shared" ref="AN43" si="117">IF(AN42&gt;$X42,AM43,AM43-($Z43*2*$Y42/($B42-$Z42)))</f>
        <v>1938.8571428571431</v>
      </c>
      <c r="AO43" s="254">
        <f t="shared" ref="AO43" si="118">IF(AO42&gt;$X42,AN43,AN43-($Z43*2*$Y42/($B42-$Z42)))</f>
        <v>1938.8571428571431</v>
      </c>
      <c r="AP43" s="254">
        <f t="shared" ref="AP43" si="119">IF(AP42&gt;$X42,AO43,AO43-($Z43*2*$Y42/($B42-$Z42)))</f>
        <v>1938.8571428571431</v>
      </c>
      <c r="AQ43" s="254">
        <f t="shared" ref="AQ43" si="120">IF(AQ42&gt;$X42,AP43,AP43-($Z43*2*$Y42/($B42-$Z42)))</f>
        <v>1938.8571428571431</v>
      </c>
      <c r="AR43" s="254">
        <f t="shared" ref="AR43" si="121">IF(AR42&gt;$X42,AQ43,AQ43-($Z43*2*$Y42/($B42-$Z42)))</f>
        <v>1938.8571428571431</v>
      </c>
      <c r="AS43" s="89"/>
      <c r="AT43" s="93"/>
      <c r="AU43" s="94"/>
      <c r="AV43" s="95"/>
      <c r="AW43" s="94"/>
      <c r="AX43" s="96"/>
      <c r="AY43" s="574"/>
      <c r="AZ43" s="566" t="str">
        <f>AZ27</f>
        <v>No Improvement</v>
      </c>
      <c r="BA43" s="566" t="str">
        <f t="shared" ref="BA43:BC43" si="122">BA27</f>
        <v>Conservative</v>
      </c>
      <c r="BB43" s="566" t="str">
        <f t="shared" si="122"/>
        <v>Reference</v>
      </c>
      <c r="BC43" s="566" t="str">
        <f t="shared" si="122"/>
        <v>Aggressive</v>
      </c>
      <c r="BD43" s="571"/>
      <c r="BE43" s="571"/>
      <c r="BF43" s="571"/>
      <c r="BG43" s="89"/>
      <c r="BH43" s="89"/>
      <c r="BI43" s="89"/>
      <c r="BJ43" s="89"/>
    </row>
    <row r="44" spans="1:62" ht="18">
      <c r="A44" s="88"/>
      <c r="B44" s="209" t="s">
        <v>132</v>
      </c>
      <c r="C44" s="255" t="s">
        <v>110</v>
      </c>
      <c r="D44" s="551">
        <v>102.77828031546937</v>
      </c>
      <c r="E44" s="251">
        <v>102.77828031546937</v>
      </c>
      <c r="F44" s="251">
        <v>102.77828031546937</v>
      </c>
      <c r="G44" s="251">
        <v>102.77828031546937</v>
      </c>
      <c r="H44" s="251">
        <v>102.77828031546937</v>
      </c>
      <c r="I44" s="251">
        <v>102.77828031546937</v>
      </c>
      <c r="J44" s="251">
        <v>102.77828031546937</v>
      </c>
      <c r="K44" s="251">
        <v>102.77828031546937</v>
      </c>
      <c r="L44" s="251">
        <v>102.77828031546937</v>
      </c>
      <c r="M44" s="251">
        <v>102.77828031546937</v>
      </c>
      <c r="N44" s="251">
        <v>102.77828031546937</v>
      </c>
      <c r="O44" s="251">
        <v>102.77828031546937</v>
      </c>
      <c r="P44" s="251">
        <v>102.77828031546937</v>
      </c>
      <c r="Q44" s="251">
        <v>102.77828031546937</v>
      </c>
      <c r="R44" s="251">
        <v>102.77828031546937</v>
      </c>
      <c r="S44" s="251">
        <v>102.77828031546937</v>
      </c>
      <c r="T44" s="251">
        <v>102.77828031546937</v>
      </c>
      <c r="U44" s="251">
        <v>102.77828031546937</v>
      </c>
      <c r="V44" s="552">
        <v>102.77828031546937</v>
      </c>
      <c r="W44" s="88"/>
      <c r="X44" s="209" t="s">
        <v>171</v>
      </c>
      <c r="Y44" s="255" t="s">
        <v>110</v>
      </c>
      <c r="Z44" s="551">
        <v>46.053110384107953</v>
      </c>
      <c r="AA44" s="251">
        <v>46.053110384107953</v>
      </c>
      <c r="AB44" s="251">
        <v>46.053110384107953</v>
      </c>
      <c r="AC44" s="251">
        <v>46.053110384107953</v>
      </c>
      <c r="AD44" s="251">
        <v>46.053110384107953</v>
      </c>
      <c r="AE44" s="251">
        <v>46.053110384107953</v>
      </c>
      <c r="AF44" s="251">
        <v>46.053110384107953</v>
      </c>
      <c r="AG44" s="251">
        <v>46.053110384107953</v>
      </c>
      <c r="AH44" s="251">
        <v>46.053110384107953</v>
      </c>
      <c r="AI44" s="251">
        <v>46.053110384107953</v>
      </c>
      <c r="AJ44" s="251">
        <v>46.053110384107953</v>
      </c>
      <c r="AK44" s="251">
        <v>46.053110384107953</v>
      </c>
      <c r="AL44" s="251">
        <v>46.053110384107953</v>
      </c>
      <c r="AM44" s="251">
        <v>46.053110384107953</v>
      </c>
      <c r="AN44" s="251">
        <v>46.053110384107953</v>
      </c>
      <c r="AO44" s="251">
        <v>46.053110384107953</v>
      </c>
      <c r="AP44" s="251">
        <v>46.053110384107953</v>
      </c>
      <c r="AQ44" s="251">
        <v>46.053110384107953</v>
      </c>
      <c r="AR44" s="552">
        <v>46.053110384107953</v>
      </c>
      <c r="AS44" s="89"/>
      <c r="AT44" s="93"/>
      <c r="AU44" s="94"/>
      <c r="AV44" s="95"/>
      <c r="AW44" s="94"/>
      <c r="AX44" s="96"/>
      <c r="AY44" s="574" t="s">
        <v>167</v>
      </c>
      <c r="AZ44" s="577">
        <v>2050</v>
      </c>
      <c r="BA44" s="578">
        <v>2040</v>
      </c>
      <c r="BB44" s="579">
        <v>2035</v>
      </c>
      <c r="BC44" s="579">
        <v>2030</v>
      </c>
      <c r="BD44" s="571"/>
      <c r="BE44" s="571"/>
      <c r="BF44" s="571"/>
      <c r="BG44" s="89"/>
      <c r="BH44" s="89"/>
      <c r="BI44" s="89"/>
      <c r="BJ44" s="89"/>
    </row>
    <row r="45" spans="1:62" ht="18">
      <c r="A45" s="88"/>
      <c r="B45" s="256" t="s">
        <v>153</v>
      </c>
      <c r="C45" s="255" t="s">
        <v>156</v>
      </c>
      <c r="D45" s="551">
        <v>0</v>
      </c>
      <c r="E45" s="251">
        <v>0</v>
      </c>
      <c r="F45" s="251">
        <v>0</v>
      </c>
      <c r="G45" s="251">
        <v>0</v>
      </c>
      <c r="H45" s="251">
        <v>0</v>
      </c>
      <c r="I45" s="251">
        <v>0</v>
      </c>
      <c r="J45" s="251">
        <v>0</v>
      </c>
      <c r="K45" s="251">
        <v>0</v>
      </c>
      <c r="L45" s="251">
        <v>0</v>
      </c>
      <c r="M45" s="251">
        <v>0</v>
      </c>
      <c r="N45" s="251">
        <v>0</v>
      </c>
      <c r="O45" s="251">
        <v>0</v>
      </c>
      <c r="P45" s="251">
        <v>0</v>
      </c>
      <c r="Q45" s="251">
        <v>0</v>
      </c>
      <c r="R45" s="251">
        <v>0</v>
      </c>
      <c r="S45" s="251">
        <v>0</v>
      </c>
      <c r="T45" s="251">
        <v>0</v>
      </c>
      <c r="U45" s="251">
        <v>0</v>
      </c>
      <c r="V45" s="251">
        <v>0</v>
      </c>
      <c r="W45" s="88"/>
      <c r="X45" s="256" t="s">
        <v>153</v>
      </c>
      <c r="Y45" s="255" t="s">
        <v>156</v>
      </c>
      <c r="Z45" s="551">
        <v>0</v>
      </c>
      <c r="AA45" s="251">
        <v>0</v>
      </c>
      <c r="AB45" s="251">
        <v>0</v>
      </c>
      <c r="AC45" s="251">
        <v>0</v>
      </c>
      <c r="AD45" s="251">
        <v>0</v>
      </c>
      <c r="AE45" s="251">
        <v>0</v>
      </c>
      <c r="AF45" s="251">
        <v>0</v>
      </c>
      <c r="AG45" s="251">
        <v>0</v>
      </c>
      <c r="AH45" s="251">
        <v>0</v>
      </c>
      <c r="AI45" s="251">
        <v>0</v>
      </c>
      <c r="AJ45" s="251">
        <v>0</v>
      </c>
      <c r="AK45" s="251">
        <v>0</v>
      </c>
      <c r="AL45" s="251">
        <v>0</v>
      </c>
      <c r="AM45" s="251">
        <v>0</v>
      </c>
      <c r="AN45" s="251">
        <v>0</v>
      </c>
      <c r="AO45" s="251">
        <v>0</v>
      </c>
      <c r="AP45" s="251">
        <v>0</v>
      </c>
      <c r="AQ45" s="251">
        <v>0</v>
      </c>
      <c r="AR45" s="251">
        <v>0</v>
      </c>
      <c r="AS45" s="89"/>
      <c r="AT45" s="93"/>
      <c r="AU45" s="94"/>
      <c r="AV45" s="95"/>
      <c r="AW45" s="94"/>
      <c r="AX45" s="96"/>
      <c r="AY45" s="574" t="s">
        <v>112</v>
      </c>
      <c r="AZ45" s="577">
        <v>2050</v>
      </c>
      <c r="BA45" s="578">
        <v>2040</v>
      </c>
      <c r="BB45" s="579">
        <v>2035</v>
      </c>
      <c r="BC45" s="579">
        <v>2030</v>
      </c>
      <c r="BD45" s="571"/>
      <c r="BE45" s="571"/>
      <c r="BF45" s="571"/>
      <c r="BG45" s="89"/>
      <c r="BH45" s="89"/>
      <c r="BI45" s="89"/>
      <c r="BJ45" s="89"/>
    </row>
    <row r="46" spans="1:62" ht="15">
      <c r="A46" s="88"/>
      <c r="B46" s="257"/>
      <c r="C46" s="255" t="s">
        <v>109</v>
      </c>
      <c r="D46" s="553">
        <v>30</v>
      </c>
      <c r="E46" s="117">
        <f>D46</f>
        <v>30</v>
      </c>
      <c r="F46" s="117">
        <f t="shared" ref="F46:V46" si="123">E46</f>
        <v>30</v>
      </c>
      <c r="G46" s="117">
        <f t="shared" si="123"/>
        <v>30</v>
      </c>
      <c r="H46" s="117">
        <f t="shared" si="123"/>
        <v>30</v>
      </c>
      <c r="I46" s="117">
        <f t="shared" si="123"/>
        <v>30</v>
      </c>
      <c r="J46" s="117">
        <f t="shared" si="123"/>
        <v>30</v>
      </c>
      <c r="K46" s="117">
        <f t="shared" si="123"/>
        <v>30</v>
      </c>
      <c r="L46" s="117">
        <f t="shared" si="123"/>
        <v>30</v>
      </c>
      <c r="M46" s="117">
        <f t="shared" si="123"/>
        <v>30</v>
      </c>
      <c r="N46" s="117">
        <f t="shared" si="123"/>
        <v>30</v>
      </c>
      <c r="O46" s="117">
        <f t="shared" si="123"/>
        <v>30</v>
      </c>
      <c r="P46" s="117">
        <f t="shared" si="123"/>
        <v>30</v>
      </c>
      <c r="Q46" s="117">
        <f t="shared" si="123"/>
        <v>30</v>
      </c>
      <c r="R46" s="117">
        <f t="shared" si="123"/>
        <v>30</v>
      </c>
      <c r="S46" s="117">
        <f t="shared" si="123"/>
        <v>30</v>
      </c>
      <c r="T46" s="117">
        <f t="shared" si="123"/>
        <v>30</v>
      </c>
      <c r="U46" s="117">
        <f t="shared" si="123"/>
        <v>30</v>
      </c>
      <c r="V46" s="554">
        <f t="shared" si="123"/>
        <v>30</v>
      </c>
      <c r="W46" s="88"/>
      <c r="X46" s="257"/>
      <c r="Y46" s="255" t="s">
        <v>109</v>
      </c>
      <c r="Z46" s="553">
        <v>80</v>
      </c>
      <c r="AA46" s="117">
        <f>Z46</f>
        <v>80</v>
      </c>
      <c r="AB46" s="117">
        <f t="shared" ref="AB46:AR46" si="124">AA46</f>
        <v>80</v>
      </c>
      <c r="AC46" s="117">
        <f t="shared" si="124"/>
        <v>80</v>
      </c>
      <c r="AD46" s="117">
        <f t="shared" si="124"/>
        <v>80</v>
      </c>
      <c r="AE46" s="117">
        <f t="shared" si="124"/>
        <v>80</v>
      </c>
      <c r="AF46" s="117">
        <f t="shared" si="124"/>
        <v>80</v>
      </c>
      <c r="AG46" s="117">
        <f t="shared" si="124"/>
        <v>80</v>
      </c>
      <c r="AH46" s="117">
        <f t="shared" si="124"/>
        <v>80</v>
      </c>
      <c r="AI46" s="117">
        <f t="shared" si="124"/>
        <v>80</v>
      </c>
      <c r="AJ46" s="117">
        <f t="shared" si="124"/>
        <v>80</v>
      </c>
      <c r="AK46" s="117">
        <f t="shared" si="124"/>
        <v>80</v>
      </c>
      <c r="AL46" s="117">
        <f t="shared" si="124"/>
        <v>80</v>
      </c>
      <c r="AM46" s="117">
        <f t="shared" si="124"/>
        <v>80</v>
      </c>
      <c r="AN46" s="117">
        <f t="shared" si="124"/>
        <v>80</v>
      </c>
      <c r="AO46" s="117">
        <f t="shared" si="124"/>
        <v>80</v>
      </c>
      <c r="AP46" s="117">
        <f t="shared" si="124"/>
        <v>80</v>
      </c>
      <c r="AQ46" s="117">
        <f t="shared" si="124"/>
        <v>80</v>
      </c>
      <c r="AR46" s="554">
        <f t="shared" si="124"/>
        <v>80</v>
      </c>
      <c r="AS46" s="89"/>
      <c r="AT46" s="93"/>
      <c r="AU46" s="94"/>
      <c r="AV46" s="95"/>
      <c r="AW46" s="94"/>
      <c r="AX46" s="96"/>
      <c r="AY46" s="574" t="s">
        <v>131</v>
      </c>
      <c r="AZ46" s="577">
        <v>2050</v>
      </c>
      <c r="BA46" s="578">
        <v>2040</v>
      </c>
      <c r="BB46" s="579">
        <v>2035</v>
      </c>
      <c r="BC46" s="579">
        <v>2030</v>
      </c>
      <c r="BD46" s="571"/>
      <c r="BE46" s="571"/>
      <c r="BF46" s="571"/>
      <c r="BG46" s="89"/>
      <c r="BH46" s="89"/>
      <c r="BI46" s="89"/>
      <c r="BJ46" s="89"/>
    </row>
    <row r="47" spans="1:62" ht="16" thickBot="1">
      <c r="A47" s="88"/>
      <c r="B47" s="129"/>
      <c r="C47" s="258" t="s">
        <v>187</v>
      </c>
      <c r="D47" s="555">
        <v>13.12</v>
      </c>
      <c r="E47" s="556">
        <f>D47</f>
        <v>13.12</v>
      </c>
      <c r="F47" s="556">
        <f t="shared" ref="F47:V47" si="125">E47</f>
        <v>13.12</v>
      </c>
      <c r="G47" s="556">
        <f t="shared" si="125"/>
        <v>13.12</v>
      </c>
      <c r="H47" s="556">
        <f t="shared" si="125"/>
        <v>13.12</v>
      </c>
      <c r="I47" s="556">
        <f t="shared" si="125"/>
        <v>13.12</v>
      </c>
      <c r="J47" s="556">
        <f t="shared" si="125"/>
        <v>13.12</v>
      </c>
      <c r="K47" s="556">
        <f t="shared" si="125"/>
        <v>13.12</v>
      </c>
      <c r="L47" s="556">
        <f t="shared" si="125"/>
        <v>13.12</v>
      </c>
      <c r="M47" s="556">
        <f t="shared" si="125"/>
        <v>13.12</v>
      </c>
      <c r="N47" s="556">
        <f t="shared" si="125"/>
        <v>13.12</v>
      </c>
      <c r="O47" s="556">
        <f t="shared" si="125"/>
        <v>13.12</v>
      </c>
      <c r="P47" s="556">
        <f t="shared" si="125"/>
        <v>13.12</v>
      </c>
      <c r="Q47" s="556">
        <f t="shared" si="125"/>
        <v>13.12</v>
      </c>
      <c r="R47" s="556">
        <f t="shared" si="125"/>
        <v>13.12</v>
      </c>
      <c r="S47" s="556">
        <f t="shared" si="125"/>
        <v>13.12</v>
      </c>
      <c r="T47" s="556">
        <f t="shared" si="125"/>
        <v>13.12</v>
      </c>
      <c r="U47" s="556">
        <f t="shared" si="125"/>
        <v>13.12</v>
      </c>
      <c r="V47" s="557">
        <f t="shared" si="125"/>
        <v>13.12</v>
      </c>
      <c r="W47" s="88"/>
      <c r="X47" s="129"/>
      <c r="Y47" s="258" t="s">
        <v>187</v>
      </c>
      <c r="Z47" s="555">
        <v>6.3829999999999991</v>
      </c>
      <c r="AA47" s="556">
        <f>Z47</f>
        <v>6.3829999999999991</v>
      </c>
      <c r="AB47" s="556">
        <f t="shared" ref="AB47:AR47" si="126">AA47</f>
        <v>6.3829999999999991</v>
      </c>
      <c r="AC47" s="556">
        <f t="shared" si="126"/>
        <v>6.3829999999999991</v>
      </c>
      <c r="AD47" s="556">
        <f t="shared" si="126"/>
        <v>6.3829999999999991</v>
      </c>
      <c r="AE47" s="556">
        <f t="shared" si="126"/>
        <v>6.3829999999999991</v>
      </c>
      <c r="AF47" s="556">
        <f t="shared" si="126"/>
        <v>6.3829999999999991</v>
      </c>
      <c r="AG47" s="556">
        <f t="shared" si="126"/>
        <v>6.3829999999999991</v>
      </c>
      <c r="AH47" s="556">
        <f t="shared" si="126"/>
        <v>6.3829999999999991</v>
      </c>
      <c r="AI47" s="556">
        <f t="shared" si="126"/>
        <v>6.3829999999999991</v>
      </c>
      <c r="AJ47" s="556">
        <f t="shared" si="126"/>
        <v>6.3829999999999991</v>
      </c>
      <c r="AK47" s="556">
        <f t="shared" si="126"/>
        <v>6.3829999999999991</v>
      </c>
      <c r="AL47" s="556">
        <f t="shared" si="126"/>
        <v>6.3829999999999991</v>
      </c>
      <c r="AM47" s="556">
        <f t="shared" si="126"/>
        <v>6.3829999999999991</v>
      </c>
      <c r="AN47" s="556">
        <f t="shared" si="126"/>
        <v>6.3829999999999991</v>
      </c>
      <c r="AO47" s="556">
        <f t="shared" si="126"/>
        <v>6.3829999999999991</v>
      </c>
      <c r="AP47" s="556">
        <f t="shared" si="126"/>
        <v>6.3829999999999991</v>
      </c>
      <c r="AQ47" s="556">
        <f t="shared" si="126"/>
        <v>6.3829999999999991</v>
      </c>
      <c r="AR47" s="557">
        <f t="shared" si="126"/>
        <v>6.3829999999999991</v>
      </c>
      <c r="AS47" s="89"/>
      <c r="AT47" s="93"/>
      <c r="AU47" s="94"/>
      <c r="AV47" s="95"/>
      <c r="AW47" s="94"/>
      <c r="AX47" s="96"/>
      <c r="AY47" s="574" t="s">
        <v>130</v>
      </c>
      <c r="AZ47" s="577">
        <v>2050</v>
      </c>
      <c r="BA47" s="578">
        <v>2040</v>
      </c>
      <c r="BB47" s="579">
        <v>2035</v>
      </c>
      <c r="BC47" s="579">
        <v>2030</v>
      </c>
      <c r="BD47" s="571"/>
      <c r="BE47" s="571"/>
      <c r="BF47" s="571"/>
      <c r="BG47" s="89"/>
      <c r="BH47" s="89"/>
      <c r="BI47" s="89"/>
      <c r="BJ47" s="89"/>
    </row>
    <row r="48" spans="1:62" ht="17" thickTop="1" thickBot="1">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9"/>
      <c r="AK48" s="89"/>
      <c r="AL48" s="89"/>
      <c r="AM48" s="89"/>
      <c r="AN48" s="89"/>
      <c r="AO48" s="89"/>
      <c r="AP48" s="89"/>
      <c r="AQ48" s="89"/>
      <c r="AR48" s="89"/>
      <c r="AS48" s="89"/>
      <c r="AT48" s="93"/>
      <c r="AU48" s="94"/>
      <c r="AV48" s="95"/>
      <c r="AW48" s="94"/>
      <c r="AX48" s="96"/>
      <c r="AY48" s="574" t="s">
        <v>132</v>
      </c>
      <c r="AZ48" s="577">
        <v>2050</v>
      </c>
      <c r="BA48" s="578">
        <v>2040</v>
      </c>
      <c r="BB48" s="579">
        <v>2035</v>
      </c>
      <c r="BC48" s="579">
        <v>2030</v>
      </c>
      <c r="BD48" s="571"/>
      <c r="BE48" s="571"/>
      <c r="BF48" s="571"/>
      <c r="BG48" s="89"/>
      <c r="BH48" s="89"/>
      <c r="BI48" s="89"/>
      <c r="BJ48" s="89"/>
    </row>
    <row r="49" spans="1:62" ht="15" customHeight="1" thickTop="1">
      <c r="A49" s="88"/>
      <c r="B49" s="580">
        <f>INDEX($AZ$44:$BC$54,MATCH(B51,$AY$44:$AY$54,0),MATCH($C$6,$AZ$43:$BC$43,0))</f>
        <v>2035</v>
      </c>
      <c r="C49" s="581">
        <f>INDEX($AZ$28:$BC$38,MATCH(B51,$AY$28:$AY$38,0),MATCH($C$6,$AZ$27:$BC$27,0))</f>
        <v>0.35</v>
      </c>
      <c r="D49" s="547">
        <v>2014</v>
      </c>
      <c r="E49" s="548">
        <v>2016</v>
      </c>
      <c r="F49" s="548">
        <v>2018</v>
      </c>
      <c r="G49" s="548">
        <v>2020</v>
      </c>
      <c r="H49" s="548">
        <v>2022</v>
      </c>
      <c r="I49" s="548">
        <v>2024</v>
      </c>
      <c r="J49" s="548">
        <v>2026</v>
      </c>
      <c r="K49" s="548">
        <v>2028</v>
      </c>
      <c r="L49" s="548">
        <v>2030</v>
      </c>
      <c r="M49" s="548">
        <v>2032</v>
      </c>
      <c r="N49" s="548">
        <v>2034</v>
      </c>
      <c r="O49" s="548">
        <v>2036</v>
      </c>
      <c r="P49" s="548">
        <v>2038</v>
      </c>
      <c r="Q49" s="548">
        <v>2040</v>
      </c>
      <c r="R49" s="548">
        <v>2042</v>
      </c>
      <c r="S49" s="548">
        <v>2044</v>
      </c>
      <c r="T49" s="548">
        <v>2046</v>
      </c>
      <c r="U49" s="548">
        <v>2048</v>
      </c>
      <c r="V49" s="549">
        <v>2050</v>
      </c>
      <c r="W49" s="88"/>
      <c r="X49" s="595" t="s">
        <v>273</v>
      </c>
      <c r="Y49" s="595"/>
      <c r="Z49" s="595"/>
      <c r="AA49" s="595"/>
      <c r="AB49" s="595"/>
      <c r="AC49" s="595"/>
      <c r="AD49" s="595"/>
      <c r="AE49" s="595"/>
      <c r="AF49" s="595"/>
      <c r="AG49" s="595"/>
      <c r="AH49" s="595"/>
      <c r="AI49" s="595"/>
      <c r="AJ49" s="595"/>
      <c r="AK49" s="595"/>
      <c r="AL49" s="595"/>
      <c r="AM49" s="595"/>
      <c r="AN49" s="595"/>
      <c r="AO49" s="595"/>
      <c r="AP49" s="595"/>
      <c r="AQ49" s="595"/>
      <c r="AR49" s="595"/>
      <c r="AS49" s="89"/>
      <c r="AT49" s="93"/>
      <c r="AU49" s="94"/>
      <c r="AV49" s="95"/>
      <c r="AW49" s="94"/>
      <c r="AX49" s="96"/>
      <c r="AY49" s="574" t="s">
        <v>133</v>
      </c>
      <c r="AZ49" s="577">
        <v>2050</v>
      </c>
      <c r="BA49" s="578">
        <v>2040</v>
      </c>
      <c r="BB49" s="579">
        <v>2035</v>
      </c>
      <c r="BC49" s="579">
        <v>2030</v>
      </c>
      <c r="BD49" s="571"/>
      <c r="BE49" s="571"/>
      <c r="BF49" s="571"/>
      <c r="BG49" s="89"/>
      <c r="BH49" s="89"/>
      <c r="BI49" s="89"/>
      <c r="BJ49" s="89"/>
    </row>
    <row r="50" spans="1:62" ht="15">
      <c r="A50" s="88"/>
      <c r="B50" s="252"/>
      <c r="C50" s="253" t="s">
        <v>108</v>
      </c>
      <c r="D50" s="550">
        <v>5568</v>
      </c>
      <c r="E50" s="254">
        <f>IF(E49&gt;$B49,D50,D50-($D50*2*$C49/($B49-$D49)))</f>
        <v>5382.4</v>
      </c>
      <c r="F50" s="254">
        <f t="shared" ref="F50" si="127">IF(F49&gt;$B49,E50,E50-($D50*2*$C49/($B49-$D49)))</f>
        <v>5196.7999999999993</v>
      </c>
      <c r="G50" s="254">
        <f t="shared" ref="G50" si="128">IF(G49&gt;$B49,F50,F50-($D50*2*$C49/($B49-$D49)))</f>
        <v>5011.1999999999989</v>
      </c>
      <c r="H50" s="254">
        <f t="shared" ref="H50" si="129">IF(H49&gt;$B49,G50,G50-($D50*2*$C49/($B49-$D49)))</f>
        <v>4825.5999999999985</v>
      </c>
      <c r="I50" s="254">
        <f t="shared" ref="I50" si="130">IF(I49&gt;$B49,H50,H50-($D50*2*$C49/($B49-$D49)))</f>
        <v>4639.9999999999982</v>
      </c>
      <c r="J50" s="254">
        <f t="shared" ref="J50" si="131">IF(J49&gt;$B49,I50,I50-($D50*2*$C49/($B49-$D49)))</f>
        <v>4454.3999999999978</v>
      </c>
      <c r="K50" s="254">
        <f t="shared" ref="K50" si="132">IF(K49&gt;$B49,J50,J50-($D50*2*$C49/($B49-$D49)))</f>
        <v>4268.7999999999975</v>
      </c>
      <c r="L50" s="254">
        <f t="shared" ref="L50" si="133">IF(L49&gt;$B49,K50,K50-($D50*2*$C49/($B49-$D49)))</f>
        <v>4083.1999999999975</v>
      </c>
      <c r="M50" s="254">
        <f t="shared" ref="M50" si="134">IF(M49&gt;$B49,L50,L50-($D50*2*$C49/($B49-$D49)))</f>
        <v>3897.5999999999976</v>
      </c>
      <c r="N50" s="254">
        <f t="shared" ref="N50" si="135">IF(N49&gt;$B49,M50,M50-($D50*2*$C49/($B49-$D49)))</f>
        <v>3711.9999999999977</v>
      </c>
      <c r="O50" s="254">
        <f t="shared" ref="O50" si="136">IF(O49&gt;$B49,N50,N50-($D50*2*$C49/($B49-$D49)))</f>
        <v>3711.9999999999977</v>
      </c>
      <c r="P50" s="254">
        <f t="shared" ref="P50" si="137">IF(P49&gt;$B49,O50,O50-($D50*2*$C49/($B49-$D49)))</f>
        <v>3711.9999999999977</v>
      </c>
      <c r="Q50" s="254">
        <f t="shared" ref="Q50" si="138">IF(Q49&gt;$B49,P50,P50-($D50*2*$C49/($B49-$D49)))</f>
        <v>3711.9999999999977</v>
      </c>
      <c r="R50" s="254">
        <f t="shared" ref="R50" si="139">IF(R49&gt;$B49,Q50,Q50-($D50*2*$C49/($B49-$D49)))</f>
        <v>3711.9999999999977</v>
      </c>
      <c r="S50" s="254">
        <f t="shared" ref="S50" si="140">IF(S49&gt;$B49,R50,R50-($D50*2*$C49/($B49-$D49)))</f>
        <v>3711.9999999999977</v>
      </c>
      <c r="T50" s="254">
        <f t="shared" ref="T50" si="141">IF(T49&gt;$B49,S50,S50-($D50*2*$C49/($B49-$D49)))</f>
        <v>3711.9999999999977</v>
      </c>
      <c r="U50" s="254">
        <f t="shared" ref="U50" si="142">IF(U49&gt;$B49,T50,T50-($D50*2*$C49/($B49-$D49)))</f>
        <v>3711.9999999999977</v>
      </c>
      <c r="V50" s="254">
        <f t="shared" ref="V50" si="143">IF(V49&gt;$B49,U50,U50-($D50*2*$C49/($B49-$D49)))</f>
        <v>3711.9999999999977</v>
      </c>
      <c r="W50" s="88"/>
      <c r="X50" s="595"/>
      <c r="Y50" s="595"/>
      <c r="Z50" s="595"/>
      <c r="AA50" s="595"/>
      <c r="AB50" s="595"/>
      <c r="AC50" s="595"/>
      <c r="AD50" s="595"/>
      <c r="AE50" s="595"/>
      <c r="AF50" s="595"/>
      <c r="AG50" s="595"/>
      <c r="AH50" s="595"/>
      <c r="AI50" s="595"/>
      <c r="AJ50" s="595"/>
      <c r="AK50" s="595"/>
      <c r="AL50" s="595"/>
      <c r="AM50" s="595"/>
      <c r="AN50" s="595"/>
      <c r="AO50" s="595"/>
      <c r="AP50" s="595"/>
      <c r="AQ50" s="595"/>
      <c r="AR50" s="595"/>
      <c r="AS50" s="89"/>
      <c r="AT50" s="93"/>
      <c r="AU50" s="94"/>
      <c r="AV50" s="95"/>
      <c r="AW50" s="94"/>
      <c r="AX50" s="96"/>
      <c r="AY50" s="574" t="s">
        <v>168</v>
      </c>
      <c r="AZ50" s="577">
        <v>2050</v>
      </c>
      <c r="BA50" s="578">
        <v>2040</v>
      </c>
      <c r="BB50" s="579">
        <v>2035</v>
      </c>
      <c r="BC50" s="579">
        <v>2030</v>
      </c>
      <c r="BD50" s="571"/>
      <c r="BE50" s="571"/>
      <c r="BF50" s="571"/>
      <c r="BG50" s="89"/>
      <c r="BH50" s="89"/>
      <c r="BI50" s="89"/>
      <c r="BJ50" s="89"/>
    </row>
    <row r="51" spans="1:62" ht="18">
      <c r="A51" s="88"/>
      <c r="B51" s="209" t="s">
        <v>133</v>
      </c>
      <c r="C51" s="255" t="s">
        <v>110</v>
      </c>
      <c r="D51" s="551">
        <v>91.217971638090603</v>
      </c>
      <c r="E51" s="251">
        <v>91.217971638090603</v>
      </c>
      <c r="F51" s="251">
        <v>91.217971638090603</v>
      </c>
      <c r="G51" s="251">
        <v>91.217971638090603</v>
      </c>
      <c r="H51" s="251">
        <v>91.217971638090603</v>
      </c>
      <c r="I51" s="251">
        <v>91.217971638090603</v>
      </c>
      <c r="J51" s="251">
        <v>91.217971638090603</v>
      </c>
      <c r="K51" s="251">
        <v>91.217971638090603</v>
      </c>
      <c r="L51" s="251">
        <v>91.217971638090603</v>
      </c>
      <c r="M51" s="251">
        <v>91.217971638090603</v>
      </c>
      <c r="N51" s="251">
        <v>91.217971638090603</v>
      </c>
      <c r="O51" s="251">
        <v>91.217971638090603</v>
      </c>
      <c r="P51" s="251">
        <v>91.217971638090603</v>
      </c>
      <c r="Q51" s="251">
        <v>91.217971638090603</v>
      </c>
      <c r="R51" s="251">
        <v>91.217971638090603</v>
      </c>
      <c r="S51" s="251">
        <v>91.217971638090603</v>
      </c>
      <c r="T51" s="251">
        <v>91.217971638090603</v>
      </c>
      <c r="U51" s="251">
        <v>91.217971638090603</v>
      </c>
      <c r="V51" s="552">
        <v>91.217971638090603</v>
      </c>
      <c r="W51" s="88"/>
      <c r="X51" s="595"/>
      <c r="Y51" s="595"/>
      <c r="Z51" s="595"/>
      <c r="AA51" s="595"/>
      <c r="AB51" s="595"/>
      <c r="AC51" s="595"/>
      <c r="AD51" s="595"/>
      <c r="AE51" s="595"/>
      <c r="AF51" s="595"/>
      <c r="AG51" s="595"/>
      <c r="AH51" s="595"/>
      <c r="AI51" s="595"/>
      <c r="AJ51" s="595"/>
      <c r="AK51" s="595"/>
      <c r="AL51" s="595"/>
      <c r="AM51" s="595"/>
      <c r="AN51" s="595"/>
      <c r="AO51" s="595"/>
      <c r="AP51" s="595"/>
      <c r="AQ51" s="595"/>
      <c r="AR51" s="595"/>
      <c r="AS51" s="89"/>
      <c r="AT51" s="93"/>
      <c r="AU51" s="94"/>
      <c r="AV51" s="95"/>
      <c r="AW51" s="94"/>
      <c r="AX51" s="96"/>
      <c r="AY51" s="574" t="s">
        <v>134</v>
      </c>
      <c r="AZ51" s="577">
        <v>2050</v>
      </c>
      <c r="BA51" s="578">
        <v>2040</v>
      </c>
      <c r="BB51" s="579">
        <v>2035</v>
      </c>
      <c r="BC51" s="579">
        <v>2030</v>
      </c>
      <c r="BD51" s="571"/>
      <c r="BE51" s="571"/>
      <c r="BF51" s="571"/>
      <c r="BG51" s="89"/>
      <c r="BH51" s="89"/>
      <c r="BI51" s="89"/>
      <c r="BJ51" s="89"/>
    </row>
    <row r="52" spans="1:62" ht="18">
      <c r="A52" s="88"/>
      <c r="B52" s="256" t="s">
        <v>153</v>
      </c>
      <c r="C52" s="255" t="s">
        <v>156</v>
      </c>
      <c r="D52" s="551">
        <v>0</v>
      </c>
      <c r="E52" s="251">
        <v>0</v>
      </c>
      <c r="F52" s="251">
        <v>0</v>
      </c>
      <c r="G52" s="251">
        <v>0</v>
      </c>
      <c r="H52" s="251">
        <v>0</v>
      </c>
      <c r="I52" s="251">
        <v>0</v>
      </c>
      <c r="J52" s="251">
        <v>0</v>
      </c>
      <c r="K52" s="251">
        <v>0</v>
      </c>
      <c r="L52" s="251">
        <v>0</v>
      </c>
      <c r="M52" s="251">
        <v>0</v>
      </c>
      <c r="N52" s="251">
        <v>0</v>
      </c>
      <c r="O52" s="251">
        <v>0</v>
      </c>
      <c r="P52" s="251">
        <v>0</v>
      </c>
      <c r="Q52" s="251">
        <v>0</v>
      </c>
      <c r="R52" s="251">
        <v>0</v>
      </c>
      <c r="S52" s="251">
        <v>0</v>
      </c>
      <c r="T52" s="251">
        <v>0</v>
      </c>
      <c r="U52" s="251">
        <v>0</v>
      </c>
      <c r="V52" s="251">
        <v>0</v>
      </c>
      <c r="W52" s="88"/>
      <c r="X52" s="595"/>
      <c r="Y52" s="595"/>
      <c r="Z52" s="595"/>
      <c r="AA52" s="595"/>
      <c r="AB52" s="595"/>
      <c r="AC52" s="595"/>
      <c r="AD52" s="595"/>
      <c r="AE52" s="595"/>
      <c r="AF52" s="595"/>
      <c r="AG52" s="595"/>
      <c r="AH52" s="595"/>
      <c r="AI52" s="595"/>
      <c r="AJ52" s="595"/>
      <c r="AK52" s="595"/>
      <c r="AL52" s="595"/>
      <c r="AM52" s="595"/>
      <c r="AN52" s="595"/>
      <c r="AO52" s="595"/>
      <c r="AP52" s="595"/>
      <c r="AQ52" s="595"/>
      <c r="AR52" s="595"/>
      <c r="AS52" s="89"/>
      <c r="AT52" s="93"/>
      <c r="AU52" s="94"/>
      <c r="AV52" s="95"/>
      <c r="AW52" s="94"/>
      <c r="AX52" s="96"/>
      <c r="AY52" s="574" t="s">
        <v>169</v>
      </c>
      <c r="AZ52" s="577">
        <v>2050</v>
      </c>
      <c r="BA52" s="578">
        <v>2040</v>
      </c>
      <c r="BB52" s="579">
        <v>2035</v>
      </c>
      <c r="BC52" s="579">
        <v>2030</v>
      </c>
      <c r="BD52" s="571"/>
      <c r="BE52" s="571"/>
      <c r="BF52" s="571"/>
      <c r="BG52" s="89"/>
      <c r="BH52" s="89"/>
      <c r="BI52" s="89"/>
      <c r="BJ52" s="89"/>
    </row>
    <row r="53" spans="1:62" ht="15">
      <c r="A53" s="88"/>
      <c r="B53" s="257"/>
      <c r="C53" s="255" t="s">
        <v>109</v>
      </c>
      <c r="D53" s="553">
        <v>40</v>
      </c>
      <c r="E53" s="117">
        <f>D53</f>
        <v>40</v>
      </c>
      <c r="F53" s="117">
        <f t="shared" ref="F53:V53" si="144">E53</f>
        <v>40</v>
      </c>
      <c r="G53" s="117">
        <f t="shared" si="144"/>
        <v>40</v>
      </c>
      <c r="H53" s="117">
        <f t="shared" si="144"/>
        <v>40</v>
      </c>
      <c r="I53" s="117">
        <f t="shared" si="144"/>
        <v>40</v>
      </c>
      <c r="J53" s="117">
        <f t="shared" si="144"/>
        <v>40</v>
      </c>
      <c r="K53" s="117">
        <f t="shared" si="144"/>
        <v>40</v>
      </c>
      <c r="L53" s="117">
        <f t="shared" si="144"/>
        <v>40</v>
      </c>
      <c r="M53" s="117">
        <f t="shared" si="144"/>
        <v>40</v>
      </c>
      <c r="N53" s="117">
        <f t="shared" si="144"/>
        <v>40</v>
      </c>
      <c r="O53" s="117">
        <f t="shared" si="144"/>
        <v>40</v>
      </c>
      <c r="P53" s="117">
        <f t="shared" si="144"/>
        <v>40</v>
      </c>
      <c r="Q53" s="117">
        <f t="shared" si="144"/>
        <v>40</v>
      </c>
      <c r="R53" s="117">
        <f t="shared" si="144"/>
        <v>40</v>
      </c>
      <c r="S53" s="117">
        <f t="shared" si="144"/>
        <v>40</v>
      </c>
      <c r="T53" s="117">
        <f t="shared" si="144"/>
        <v>40</v>
      </c>
      <c r="U53" s="117">
        <f t="shared" si="144"/>
        <v>40</v>
      </c>
      <c r="V53" s="554">
        <f t="shared" si="144"/>
        <v>40</v>
      </c>
      <c r="W53" s="88"/>
      <c r="X53" s="595"/>
      <c r="Y53" s="595"/>
      <c r="Z53" s="595"/>
      <c r="AA53" s="595"/>
      <c r="AB53" s="595"/>
      <c r="AC53" s="595"/>
      <c r="AD53" s="595"/>
      <c r="AE53" s="595"/>
      <c r="AF53" s="595"/>
      <c r="AG53" s="595"/>
      <c r="AH53" s="595"/>
      <c r="AI53" s="595"/>
      <c r="AJ53" s="595"/>
      <c r="AK53" s="595"/>
      <c r="AL53" s="595"/>
      <c r="AM53" s="595"/>
      <c r="AN53" s="595"/>
      <c r="AO53" s="595"/>
      <c r="AP53" s="595"/>
      <c r="AQ53" s="595"/>
      <c r="AR53" s="595"/>
      <c r="AS53" s="89"/>
      <c r="AT53" s="93"/>
      <c r="AU53" s="94"/>
      <c r="AV53" s="95"/>
      <c r="AW53" s="94"/>
      <c r="AX53" s="96"/>
      <c r="AY53" s="574" t="s">
        <v>170</v>
      </c>
      <c r="AZ53" s="577">
        <v>2050</v>
      </c>
      <c r="BA53" s="578">
        <v>2040</v>
      </c>
      <c r="BB53" s="579">
        <v>2035</v>
      </c>
      <c r="BC53" s="579">
        <v>2030</v>
      </c>
      <c r="BD53" s="571"/>
      <c r="BE53" s="571"/>
      <c r="BF53" s="571"/>
      <c r="BG53" s="89"/>
      <c r="BH53" s="89"/>
      <c r="BI53" s="89"/>
      <c r="BJ53" s="89"/>
    </row>
    <row r="54" spans="1:62" ht="16" thickBot="1">
      <c r="A54" s="88"/>
      <c r="B54" s="129"/>
      <c r="C54" s="258" t="s">
        <v>187</v>
      </c>
      <c r="D54" s="555">
        <v>11.28</v>
      </c>
      <c r="E54" s="556">
        <f>D54</f>
        <v>11.28</v>
      </c>
      <c r="F54" s="556">
        <f t="shared" ref="F54:V54" si="145">E54</f>
        <v>11.28</v>
      </c>
      <c r="G54" s="556">
        <f t="shared" si="145"/>
        <v>11.28</v>
      </c>
      <c r="H54" s="556">
        <f t="shared" si="145"/>
        <v>11.28</v>
      </c>
      <c r="I54" s="556">
        <f t="shared" si="145"/>
        <v>11.28</v>
      </c>
      <c r="J54" s="556">
        <f t="shared" si="145"/>
        <v>11.28</v>
      </c>
      <c r="K54" s="556">
        <f t="shared" si="145"/>
        <v>11.28</v>
      </c>
      <c r="L54" s="556">
        <f t="shared" si="145"/>
        <v>11.28</v>
      </c>
      <c r="M54" s="556">
        <f t="shared" si="145"/>
        <v>11.28</v>
      </c>
      <c r="N54" s="556">
        <f t="shared" si="145"/>
        <v>11.28</v>
      </c>
      <c r="O54" s="556">
        <f t="shared" si="145"/>
        <v>11.28</v>
      </c>
      <c r="P54" s="556">
        <f t="shared" si="145"/>
        <v>11.28</v>
      </c>
      <c r="Q54" s="556">
        <f t="shared" si="145"/>
        <v>11.28</v>
      </c>
      <c r="R54" s="556">
        <f t="shared" si="145"/>
        <v>11.28</v>
      </c>
      <c r="S54" s="556">
        <f t="shared" si="145"/>
        <v>11.28</v>
      </c>
      <c r="T54" s="556">
        <f t="shared" si="145"/>
        <v>11.28</v>
      </c>
      <c r="U54" s="556">
        <f t="shared" si="145"/>
        <v>11.28</v>
      </c>
      <c r="V54" s="557">
        <f t="shared" si="145"/>
        <v>11.28</v>
      </c>
      <c r="W54" s="88"/>
      <c r="X54" s="595"/>
      <c r="Y54" s="595"/>
      <c r="Z54" s="595"/>
      <c r="AA54" s="595"/>
      <c r="AB54" s="595"/>
      <c r="AC54" s="595"/>
      <c r="AD54" s="595"/>
      <c r="AE54" s="595"/>
      <c r="AF54" s="595"/>
      <c r="AG54" s="595"/>
      <c r="AH54" s="595"/>
      <c r="AI54" s="595"/>
      <c r="AJ54" s="595"/>
      <c r="AK54" s="595"/>
      <c r="AL54" s="595"/>
      <c r="AM54" s="595"/>
      <c r="AN54" s="595"/>
      <c r="AO54" s="595"/>
      <c r="AP54" s="595"/>
      <c r="AQ54" s="595"/>
      <c r="AR54" s="595"/>
      <c r="AS54" s="89"/>
      <c r="AT54" s="93"/>
      <c r="AU54" s="94"/>
      <c r="AV54" s="95"/>
      <c r="AW54" s="94"/>
      <c r="AX54" s="96"/>
      <c r="AY54" s="574" t="s">
        <v>171</v>
      </c>
      <c r="AZ54" s="577">
        <v>2050</v>
      </c>
      <c r="BA54" s="578">
        <v>2040</v>
      </c>
      <c r="BB54" s="579">
        <v>2035</v>
      </c>
      <c r="BC54" s="579">
        <v>2030</v>
      </c>
      <c r="BD54" s="571"/>
      <c r="BE54" s="571"/>
      <c r="BF54" s="571"/>
      <c r="BG54" s="89"/>
      <c r="BH54" s="89"/>
      <c r="BI54" s="89"/>
      <c r="BJ54" s="89"/>
    </row>
    <row r="55" spans="1:62" ht="15" thickTop="1">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BD55" s="571"/>
      <c r="BE55" s="571"/>
      <c r="BF55" s="571"/>
      <c r="BG55" s="89"/>
      <c r="BH55" s="89"/>
      <c r="BI55" s="89"/>
      <c r="BJ55" s="89"/>
    </row>
    <row r="56" spans="1:62" ht="18">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575"/>
      <c r="AZ56" s="566"/>
      <c r="BA56" s="570"/>
      <c r="BB56" s="571"/>
      <c r="BC56" s="571"/>
      <c r="BD56" s="571"/>
      <c r="BE56" s="571"/>
      <c r="BF56" s="571"/>
      <c r="BG56" s="89"/>
      <c r="BH56" s="89"/>
      <c r="BI56" s="89"/>
      <c r="BJ56" s="89"/>
    </row>
    <row r="57" spans="1:62" ht="1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576"/>
      <c r="AZ57" s="566"/>
      <c r="BA57" s="570"/>
      <c r="BB57" s="571"/>
      <c r="BC57" s="571"/>
      <c r="BD57" s="571"/>
      <c r="BE57" s="571"/>
      <c r="BF57" s="571"/>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412"/>
      <c r="AZ58" s="566"/>
      <c r="BA58" s="570"/>
      <c r="BB58" s="571"/>
      <c r="BC58" s="571"/>
      <c r="BD58" s="571"/>
      <c r="BE58" s="571"/>
      <c r="BF58" s="571"/>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412"/>
      <c r="AZ59" s="566"/>
      <c r="BA59" s="570"/>
      <c r="BB59" s="571"/>
      <c r="BC59" s="571"/>
      <c r="BD59" s="571"/>
      <c r="BE59" s="571"/>
      <c r="BF59" s="571"/>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412"/>
      <c r="AZ60" s="566"/>
      <c r="BA60" s="570"/>
      <c r="BB60" s="571"/>
      <c r="BC60" s="571"/>
      <c r="BD60" s="571"/>
      <c r="BE60" s="571"/>
      <c r="BF60" s="571"/>
      <c r="BG60" s="89"/>
      <c r="BH60" s="89"/>
      <c r="BI60" s="89"/>
      <c r="BJ60" s="89"/>
    </row>
    <row r="61" spans="1:62" ht="1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574"/>
      <c r="AZ61" s="566"/>
      <c r="BA61" s="570"/>
      <c r="BB61" s="571"/>
      <c r="BC61" s="571"/>
      <c r="BD61" s="571"/>
      <c r="BE61" s="571"/>
      <c r="BF61" s="571"/>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571"/>
      <c r="AZ62" s="566"/>
      <c r="BA62" s="570"/>
      <c r="BB62" s="571"/>
      <c r="BC62" s="571"/>
      <c r="BD62" s="571"/>
      <c r="BE62" s="571"/>
      <c r="BF62" s="571"/>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5"/>
      <c r="AW63" s="94"/>
      <c r="AX63" s="96"/>
      <c r="AY63" s="569"/>
      <c r="AZ63" s="566"/>
      <c r="BA63" s="570"/>
      <c r="BB63" s="571"/>
      <c r="BC63" s="571"/>
      <c r="BD63" s="571"/>
      <c r="BE63" s="571"/>
      <c r="BF63" s="571"/>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5"/>
      <c r="AW64" s="94"/>
      <c r="AX64" s="96"/>
      <c r="AY64" s="569"/>
      <c r="AZ64" s="566"/>
      <c r="BA64" s="570"/>
      <c r="BB64" s="571"/>
      <c r="BC64" s="571"/>
      <c r="BD64" s="571"/>
      <c r="BE64" s="571"/>
      <c r="BF64" s="571"/>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5"/>
      <c r="AW65" s="94"/>
      <c r="AX65" s="96"/>
      <c r="AY65" s="569"/>
      <c r="AZ65" s="566"/>
      <c r="BA65" s="570"/>
      <c r="BB65" s="571"/>
      <c r="BC65" s="571"/>
      <c r="BD65" s="571"/>
      <c r="BE65" s="571"/>
      <c r="BF65" s="571"/>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569"/>
      <c r="AZ66" s="566"/>
      <c r="BA66" s="570"/>
      <c r="BB66" s="571"/>
      <c r="BC66" s="571"/>
      <c r="BD66" s="571"/>
      <c r="BE66" s="571"/>
      <c r="BF66" s="571"/>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569"/>
      <c r="AZ67" s="566"/>
      <c r="BA67" s="570"/>
      <c r="BB67" s="571"/>
      <c r="BC67" s="571"/>
      <c r="BD67" s="571"/>
      <c r="BE67" s="571"/>
      <c r="BF67" s="571"/>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569"/>
      <c r="AZ68" s="566"/>
      <c r="BA68" s="570"/>
      <c r="BB68" s="571"/>
      <c r="BC68" s="571"/>
      <c r="BD68" s="571"/>
      <c r="BE68" s="571"/>
      <c r="BF68" s="571"/>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98"/>
      <c r="AD626" s="98"/>
      <c r="AE626" s="98"/>
      <c r="AF626" s="98"/>
      <c r="AG626" s="98"/>
      <c r="AH626" s="98"/>
      <c r="AI626" s="98"/>
    </row>
    <row r="627" spans="1:35">
      <c r="A627" s="9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98"/>
      <c r="AD627" s="98"/>
      <c r="AE627" s="98"/>
      <c r="AF627" s="98"/>
      <c r="AG627" s="98"/>
      <c r="AH627" s="98"/>
      <c r="AI627" s="98"/>
    </row>
    <row r="628" spans="1:35">
      <c r="A628" s="9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98"/>
      <c r="AD628" s="98"/>
      <c r="AE628" s="98"/>
      <c r="AF628" s="98"/>
      <c r="AG628" s="98"/>
      <c r="AH628" s="98"/>
      <c r="AI628" s="98"/>
    </row>
    <row r="629" spans="1:35">
      <c r="A629" s="98"/>
      <c r="B629" s="98"/>
      <c r="C629" s="88"/>
      <c r="D629" s="88"/>
      <c r="E629" s="88"/>
      <c r="F629" s="88"/>
      <c r="G629" s="88"/>
      <c r="H629" s="88"/>
      <c r="I629" s="88"/>
      <c r="J629" s="88"/>
      <c r="K629" s="88"/>
      <c r="L629" s="88"/>
      <c r="M629" s="88"/>
      <c r="N629" s="88"/>
      <c r="O629" s="88"/>
      <c r="P629" s="88"/>
      <c r="Q629" s="88"/>
      <c r="R629" s="88"/>
      <c r="S629" s="88"/>
      <c r="T629" s="88"/>
      <c r="U629" s="88"/>
      <c r="V629" s="88"/>
      <c r="W629" s="88"/>
      <c r="X629" s="88"/>
      <c r="Y629" s="98"/>
      <c r="Z629" s="98"/>
      <c r="AA629" s="98"/>
      <c r="AB629" s="98"/>
      <c r="AC629" s="98"/>
      <c r="AD629" s="98"/>
      <c r="AE629" s="98"/>
      <c r="AF629" s="98"/>
      <c r="AG629" s="98"/>
      <c r="AH629" s="98"/>
      <c r="AI629" s="98"/>
    </row>
    <row r="630" spans="1:35">
      <c r="A630" s="98"/>
      <c r="B630" s="98"/>
      <c r="C630" s="88"/>
      <c r="D630" s="88"/>
      <c r="E630" s="88"/>
      <c r="F630" s="88"/>
      <c r="G630" s="88"/>
      <c r="H630" s="88"/>
      <c r="I630" s="88"/>
      <c r="J630" s="88"/>
      <c r="K630" s="88"/>
      <c r="L630" s="88"/>
      <c r="M630" s="88"/>
      <c r="N630" s="88"/>
      <c r="O630" s="88"/>
      <c r="P630" s="88"/>
      <c r="Q630" s="88"/>
      <c r="R630" s="88"/>
      <c r="S630" s="88"/>
      <c r="T630" s="88"/>
      <c r="U630" s="88"/>
      <c r="V630" s="88"/>
      <c r="W630" s="88"/>
      <c r="X630" s="8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A798" s="98"/>
      <c r="B798" s="98"/>
      <c r="C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c r="AE798" s="98"/>
      <c r="AF798" s="98"/>
      <c r="AG798" s="98"/>
      <c r="AH798" s="98"/>
      <c r="AI798" s="98"/>
    </row>
    <row r="799" spans="1:35">
      <c r="A799" s="98"/>
      <c r="B799" s="98"/>
      <c r="C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c r="AE799" s="98"/>
      <c r="AF799" s="98"/>
      <c r="AG799" s="98"/>
      <c r="AH799" s="98"/>
      <c r="AI799" s="98"/>
    </row>
    <row r="800" spans="1:35">
      <c r="A800" s="98"/>
      <c r="B800" s="98"/>
      <c r="C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c r="AE800" s="98"/>
      <c r="AF800" s="98"/>
      <c r="AG800" s="98"/>
      <c r="AH800" s="98"/>
      <c r="AI800" s="98"/>
    </row>
    <row r="801" spans="3:24">
      <c r="C801" s="98"/>
      <c r="D801" s="98"/>
      <c r="E801" s="98"/>
      <c r="F801" s="98"/>
      <c r="G801" s="98"/>
      <c r="H801" s="98"/>
      <c r="I801" s="98"/>
      <c r="J801" s="98"/>
      <c r="K801" s="98"/>
      <c r="L801" s="98"/>
      <c r="M801" s="98"/>
      <c r="N801" s="98"/>
      <c r="O801" s="98"/>
      <c r="P801" s="98"/>
      <c r="Q801" s="98"/>
      <c r="R801" s="98"/>
      <c r="S801" s="98"/>
      <c r="T801" s="98"/>
      <c r="U801" s="98"/>
      <c r="V801" s="98"/>
      <c r="W801" s="98"/>
      <c r="X801" s="98"/>
    </row>
    <row r="802" spans="3:24">
      <c r="C802" s="98"/>
      <c r="D802" s="98"/>
      <c r="E802" s="98"/>
      <c r="F802" s="98"/>
      <c r="G802" s="98"/>
      <c r="H802" s="98"/>
      <c r="I802" s="98"/>
      <c r="J802" s="98"/>
      <c r="K802" s="98"/>
      <c r="L802" s="98"/>
      <c r="M802" s="98"/>
      <c r="N802" s="98"/>
      <c r="O802" s="98"/>
      <c r="P802" s="98"/>
      <c r="Q802" s="98"/>
      <c r="R802" s="98"/>
      <c r="S802" s="98"/>
      <c r="T802" s="98"/>
      <c r="U802" s="98"/>
      <c r="V802" s="98"/>
      <c r="W802" s="98"/>
      <c r="X802" s="98"/>
    </row>
  </sheetData>
  <mergeCells count="1">
    <mergeCell ref="X49:AR54"/>
  </mergeCells>
  <phoneticPr fontId="4" type="noConversion"/>
  <dataValidations count="7">
    <dataValidation type="list" allowBlank="1" showInputMessage="1" showErrorMessage="1" sqref="D18 D25 D32">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31" zoomScale="55" zoomScaleNormal="55" zoomScalePageLayoutView="55" workbookViewId="0">
      <selection activeCell="AB17" sqref="AB17"/>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0" width="12.1640625" style="91" customWidth="1"/>
    <col min="31" max="31" width="11.83203125" style="91" customWidth="1"/>
    <col min="32" max="34" width="6.1640625" style="91" bestFit="1" customWidth="1"/>
    <col min="35" max="39" width="6.5" style="91" bestFit="1" customWidth="1"/>
    <col min="40" max="40" width="6.83203125" style="91" customWidth="1"/>
    <col min="41" max="41" width="6.5" style="91" customWidth="1"/>
    <col min="42" max="46" width="6.5" style="91" bestFit="1" customWidth="1"/>
    <col min="47" max="50" width="6.5" style="99" bestFit="1" customWidth="1"/>
    <col min="51" max="51" width="14.1640625" style="91" customWidth="1"/>
    <col min="52" max="52" width="18.33203125" style="91" customWidth="1"/>
    <col min="53" max="53" width="16.83203125" style="91" customWidth="1"/>
    <col min="54" max="58" width="9.1640625" style="91"/>
    <col min="59" max="121" width="9.1640625" style="202"/>
    <col min="122" max="16384" width="9.1640625" style="91"/>
  </cols>
  <sheetData>
    <row r="1" spans="1:58">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c r="A2" s="88"/>
      <c r="B2" s="88"/>
      <c r="C2" s="88"/>
      <c r="D2" s="199"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61" t="s">
        <v>363</v>
      </c>
      <c r="AO2" s="89"/>
      <c r="AP2" s="89"/>
      <c r="AQ2" s="89"/>
      <c r="AR2" s="89"/>
      <c r="AS2" s="89"/>
      <c r="AT2" s="89"/>
      <c r="AU2" s="90"/>
      <c r="AV2" s="90"/>
      <c r="AW2" s="90"/>
      <c r="AX2" s="90"/>
      <c r="AY2" s="89"/>
      <c r="AZ2" s="89"/>
      <c r="BA2" s="89"/>
      <c r="BB2" s="89"/>
      <c r="BC2" s="89"/>
      <c r="BD2" s="89"/>
      <c r="BE2" s="89"/>
      <c r="BF2" s="89"/>
    </row>
    <row r="3" spans="1:58" ht="29.25" customHeight="1" thickBot="1">
      <c r="A3" s="88"/>
      <c r="B3" s="188"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92"/>
      <c r="AF3" s="492"/>
      <c r="AG3" s="492"/>
      <c r="AH3" s="492"/>
      <c r="AI3" s="492"/>
      <c r="AJ3" s="202"/>
      <c r="AK3" s="202"/>
      <c r="AL3" s="202"/>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7"/>
      <c r="AE4" s="338"/>
      <c r="AF4" s="270">
        <v>2014</v>
      </c>
      <c r="AG4" s="271">
        <v>2016</v>
      </c>
      <c r="AH4" s="271">
        <v>2018</v>
      </c>
      <c r="AI4" s="271">
        <v>2020</v>
      </c>
      <c r="AJ4" s="271">
        <v>2022</v>
      </c>
      <c r="AK4" s="271">
        <v>2024</v>
      </c>
      <c r="AL4" s="271">
        <v>2026</v>
      </c>
      <c r="AM4" s="271">
        <v>2028</v>
      </c>
      <c r="AN4" s="271">
        <v>2030</v>
      </c>
      <c r="AO4" s="271">
        <v>2032</v>
      </c>
      <c r="AP4" s="271">
        <v>2034</v>
      </c>
      <c r="AQ4" s="271">
        <v>2036</v>
      </c>
      <c r="AR4" s="271">
        <v>2038</v>
      </c>
      <c r="AS4" s="271">
        <v>2040</v>
      </c>
      <c r="AT4" s="271">
        <v>2042</v>
      </c>
      <c r="AU4" s="271">
        <v>2044</v>
      </c>
      <c r="AV4" s="271">
        <v>2046</v>
      </c>
      <c r="AW4" s="271">
        <v>2048</v>
      </c>
      <c r="AX4" s="272">
        <v>2050</v>
      </c>
      <c r="AY4" s="89"/>
      <c r="AZ4" s="89"/>
      <c r="BA4" s="89"/>
      <c r="BB4" s="89"/>
      <c r="BC4" s="89"/>
      <c r="BD4" s="89"/>
      <c r="BE4" s="89"/>
      <c r="BF4" s="89"/>
    </row>
    <row r="5" spans="1:58" ht="17" thickTop="1" thickBo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61" t="s">
        <v>167</v>
      </c>
      <c r="AE5" s="267" t="s">
        <v>137</v>
      </c>
      <c r="AF5" s="130">
        <v>1</v>
      </c>
      <c r="AG5" s="130">
        <v>1</v>
      </c>
      <c r="AH5" s="130">
        <v>1</v>
      </c>
      <c r="AI5" s="130">
        <v>1</v>
      </c>
      <c r="AJ5" s="130">
        <v>1</v>
      </c>
      <c r="AK5" s="130">
        <v>1</v>
      </c>
      <c r="AL5" s="130">
        <v>1</v>
      </c>
      <c r="AM5" s="130">
        <v>1</v>
      </c>
      <c r="AN5" s="130">
        <v>1</v>
      </c>
      <c r="AO5" s="130">
        <v>1</v>
      </c>
      <c r="AP5" s="130">
        <v>1</v>
      </c>
      <c r="AQ5" s="130">
        <v>1</v>
      </c>
      <c r="AR5" s="130">
        <v>1</v>
      </c>
      <c r="AS5" s="130">
        <v>1</v>
      </c>
      <c r="AT5" s="130">
        <v>1</v>
      </c>
      <c r="AU5" s="130">
        <v>1</v>
      </c>
      <c r="AV5" s="130">
        <v>1</v>
      </c>
      <c r="AW5" s="130">
        <v>1</v>
      </c>
      <c r="AX5" s="130">
        <v>1</v>
      </c>
      <c r="AY5" s="88"/>
      <c r="AZ5" s="88"/>
      <c r="BA5" s="88"/>
      <c r="BB5" s="88"/>
      <c r="BC5" s="89"/>
      <c r="BD5" s="89"/>
      <c r="BE5" s="89"/>
      <c r="BF5" s="89"/>
    </row>
    <row r="6" spans="1:58" ht="20" thickTop="1" thickBot="1">
      <c r="A6" s="100"/>
      <c r="B6" s="101"/>
      <c r="C6" s="100"/>
      <c r="D6" s="164" t="s">
        <v>136</v>
      </c>
      <c r="E6" s="88"/>
      <c r="F6" s="88"/>
      <c r="G6" s="88"/>
      <c r="H6" s="88"/>
      <c r="I6" s="88"/>
      <c r="J6" s="88"/>
      <c r="K6" s="88"/>
      <c r="L6" s="88"/>
      <c r="M6" s="88"/>
      <c r="N6" s="88"/>
      <c r="O6" s="88"/>
      <c r="P6" s="88"/>
      <c r="Q6" s="88"/>
      <c r="R6" s="88"/>
      <c r="S6" s="88"/>
      <c r="T6" s="88"/>
      <c r="U6" s="88"/>
      <c r="V6" s="88"/>
      <c r="W6" s="88"/>
      <c r="X6" s="164" t="s">
        <v>194</v>
      </c>
      <c r="Y6" s="412"/>
      <c r="Z6" s="412"/>
      <c r="AA6" s="412"/>
      <c r="AB6" s="412"/>
      <c r="AC6" s="88"/>
      <c r="AD6" s="261" t="s">
        <v>112</v>
      </c>
      <c r="AE6" s="267" t="s">
        <v>137</v>
      </c>
      <c r="AF6" s="130">
        <v>1</v>
      </c>
      <c r="AG6" s="130">
        <v>1</v>
      </c>
      <c r="AH6" s="130">
        <v>1</v>
      </c>
      <c r="AI6" s="130">
        <v>1</v>
      </c>
      <c r="AJ6" s="130">
        <v>1</v>
      </c>
      <c r="AK6" s="130">
        <v>1</v>
      </c>
      <c r="AL6" s="130">
        <v>1</v>
      </c>
      <c r="AM6" s="130">
        <v>1</v>
      </c>
      <c r="AN6" s="130">
        <v>1</v>
      </c>
      <c r="AO6" s="130">
        <v>1</v>
      </c>
      <c r="AP6" s="130">
        <v>1</v>
      </c>
      <c r="AQ6" s="130">
        <v>1</v>
      </c>
      <c r="AR6" s="130">
        <v>1</v>
      </c>
      <c r="AS6" s="130">
        <v>1</v>
      </c>
      <c r="AT6" s="130">
        <v>1</v>
      </c>
      <c r="AU6" s="130">
        <v>1</v>
      </c>
      <c r="AV6" s="130">
        <v>1</v>
      </c>
      <c r="AW6" s="130">
        <v>1</v>
      </c>
      <c r="AX6" s="130">
        <v>1</v>
      </c>
      <c r="AY6" s="88"/>
      <c r="AZ6" s="88"/>
      <c r="BA6" s="88"/>
      <c r="BB6" s="88"/>
      <c r="BC6" s="89"/>
      <c r="BD6" s="89"/>
      <c r="BE6" s="89"/>
      <c r="BF6" s="89"/>
    </row>
    <row r="7" spans="1:58" ht="17" thickTop="1" thickBot="1">
      <c r="A7" s="100"/>
      <c r="B7" s="337"/>
      <c r="C7" s="338"/>
      <c r="D7" s="270">
        <v>2014</v>
      </c>
      <c r="E7" s="271">
        <v>2016</v>
      </c>
      <c r="F7" s="271">
        <v>2018</v>
      </c>
      <c r="G7" s="271">
        <v>2020</v>
      </c>
      <c r="H7" s="271">
        <v>2022</v>
      </c>
      <c r="I7" s="271">
        <v>2024</v>
      </c>
      <c r="J7" s="271">
        <v>2026</v>
      </c>
      <c r="K7" s="271">
        <v>2028</v>
      </c>
      <c r="L7" s="271">
        <v>2030</v>
      </c>
      <c r="M7" s="271">
        <v>2032</v>
      </c>
      <c r="N7" s="271">
        <v>2034</v>
      </c>
      <c r="O7" s="271">
        <v>2036</v>
      </c>
      <c r="P7" s="271">
        <v>2038</v>
      </c>
      <c r="Q7" s="271">
        <v>2040</v>
      </c>
      <c r="R7" s="271">
        <v>2042</v>
      </c>
      <c r="S7" s="271">
        <v>2044</v>
      </c>
      <c r="T7" s="271">
        <v>2046</v>
      </c>
      <c r="U7" s="271">
        <v>2048</v>
      </c>
      <c r="V7" s="272">
        <v>2050</v>
      </c>
      <c r="W7" s="88"/>
      <c r="X7" s="319" t="s">
        <v>195</v>
      </c>
      <c r="Y7" s="320" t="s">
        <v>196</v>
      </c>
      <c r="Z7" s="320"/>
      <c r="AA7" s="321"/>
      <c r="AB7" s="321"/>
      <c r="AC7" s="88"/>
      <c r="AD7" s="263" t="s">
        <v>131</v>
      </c>
      <c r="AE7" s="268" t="s">
        <v>137</v>
      </c>
      <c r="AF7" s="130">
        <v>1</v>
      </c>
      <c r="AG7" s="130">
        <v>1</v>
      </c>
      <c r="AH7" s="130">
        <v>1</v>
      </c>
      <c r="AI7" s="130">
        <v>1</v>
      </c>
      <c r="AJ7" s="130">
        <v>1</v>
      </c>
      <c r="AK7" s="130">
        <v>1</v>
      </c>
      <c r="AL7" s="130">
        <v>1</v>
      </c>
      <c r="AM7" s="130">
        <v>1</v>
      </c>
      <c r="AN7" s="130">
        <v>1</v>
      </c>
      <c r="AO7" s="130">
        <v>1</v>
      </c>
      <c r="AP7" s="130">
        <v>1</v>
      </c>
      <c r="AQ7" s="130">
        <v>1</v>
      </c>
      <c r="AR7" s="130">
        <v>1</v>
      </c>
      <c r="AS7" s="130">
        <v>1</v>
      </c>
      <c r="AT7" s="130">
        <v>1</v>
      </c>
      <c r="AU7" s="130">
        <v>1</v>
      </c>
      <c r="AV7" s="130">
        <v>1</v>
      </c>
      <c r="AW7" s="130">
        <v>1</v>
      </c>
      <c r="AX7" s="130">
        <v>1</v>
      </c>
      <c r="AY7" s="88"/>
      <c r="AZ7" s="88"/>
      <c r="BA7" s="88"/>
      <c r="BB7" s="88"/>
      <c r="BC7" s="89"/>
      <c r="BD7" s="89"/>
      <c r="BE7" s="89"/>
      <c r="BF7" s="89"/>
    </row>
    <row r="8" spans="1:58" ht="17" thickTop="1" thickBot="1">
      <c r="A8" s="100"/>
      <c r="B8" s="261" t="s">
        <v>167</v>
      </c>
      <c r="C8" s="267" t="s">
        <v>137</v>
      </c>
      <c r="D8" s="130">
        <v>1</v>
      </c>
      <c r="E8" s="130">
        <v>1</v>
      </c>
      <c r="F8" s="130">
        <v>5</v>
      </c>
      <c r="G8" s="130">
        <v>5</v>
      </c>
      <c r="H8" s="130">
        <v>5</v>
      </c>
      <c r="I8" s="130">
        <v>6</v>
      </c>
      <c r="J8" s="130">
        <v>6</v>
      </c>
      <c r="K8" s="130">
        <v>6</v>
      </c>
      <c r="L8" s="130">
        <v>6</v>
      </c>
      <c r="M8" s="130">
        <v>6</v>
      </c>
      <c r="N8" s="130">
        <v>6</v>
      </c>
      <c r="O8" s="130">
        <v>6</v>
      </c>
      <c r="P8" s="130">
        <v>6</v>
      </c>
      <c r="Q8" s="130">
        <v>6</v>
      </c>
      <c r="R8" s="130">
        <v>6</v>
      </c>
      <c r="S8" s="130">
        <v>6</v>
      </c>
      <c r="T8" s="130">
        <v>6</v>
      </c>
      <c r="U8" s="130">
        <v>6</v>
      </c>
      <c r="V8" s="262">
        <v>6</v>
      </c>
      <c r="W8" s="88"/>
      <c r="X8" s="322">
        <v>1</v>
      </c>
      <c r="Y8" s="541" t="s">
        <v>284</v>
      </c>
      <c r="Z8" s="323"/>
      <c r="AA8" s="323"/>
      <c r="AB8" s="324"/>
      <c r="AC8" s="88"/>
      <c r="AD8" s="263" t="s">
        <v>130</v>
      </c>
      <c r="AE8" s="268" t="s">
        <v>137</v>
      </c>
      <c r="AF8" s="130">
        <v>1</v>
      </c>
      <c r="AG8" s="130">
        <v>1</v>
      </c>
      <c r="AH8" s="130">
        <v>1</v>
      </c>
      <c r="AI8" s="130">
        <v>1</v>
      </c>
      <c r="AJ8" s="130">
        <v>1</v>
      </c>
      <c r="AK8" s="130">
        <v>1</v>
      </c>
      <c r="AL8" s="130">
        <v>1</v>
      </c>
      <c r="AM8" s="130">
        <v>1</v>
      </c>
      <c r="AN8" s="130">
        <v>1</v>
      </c>
      <c r="AO8" s="130">
        <v>1</v>
      </c>
      <c r="AP8" s="130">
        <v>1</v>
      </c>
      <c r="AQ8" s="130">
        <v>1</v>
      </c>
      <c r="AR8" s="130">
        <v>1</v>
      </c>
      <c r="AS8" s="130">
        <v>1</v>
      </c>
      <c r="AT8" s="130">
        <v>1</v>
      </c>
      <c r="AU8" s="130">
        <v>1</v>
      </c>
      <c r="AV8" s="130">
        <v>1</v>
      </c>
      <c r="AW8" s="130">
        <v>1</v>
      </c>
      <c r="AX8" s="130">
        <v>1</v>
      </c>
      <c r="AY8" s="88"/>
      <c r="AZ8" s="88"/>
      <c r="BA8" s="88"/>
      <c r="BB8" s="88"/>
      <c r="BC8" s="89"/>
      <c r="BD8" s="89"/>
      <c r="BE8" s="89"/>
      <c r="BF8" s="89"/>
    </row>
    <row r="9" spans="1:58" ht="16" thickTop="1">
      <c r="A9" s="100"/>
      <c r="B9" s="261" t="s">
        <v>112</v>
      </c>
      <c r="C9" s="267" t="s">
        <v>137</v>
      </c>
      <c r="D9" s="130">
        <v>1</v>
      </c>
      <c r="E9" s="130">
        <v>1</v>
      </c>
      <c r="F9" s="130">
        <v>5</v>
      </c>
      <c r="G9" s="130">
        <v>5</v>
      </c>
      <c r="H9" s="130">
        <v>5</v>
      </c>
      <c r="I9" s="130">
        <v>6</v>
      </c>
      <c r="J9" s="130">
        <v>6</v>
      </c>
      <c r="K9" s="130">
        <v>6</v>
      </c>
      <c r="L9" s="130">
        <v>6</v>
      </c>
      <c r="M9" s="130">
        <v>6</v>
      </c>
      <c r="N9" s="130">
        <v>6</v>
      </c>
      <c r="O9" s="130">
        <v>6</v>
      </c>
      <c r="P9" s="130">
        <v>6</v>
      </c>
      <c r="Q9" s="130">
        <v>6</v>
      </c>
      <c r="R9" s="130">
        <v>6</v>
      </c>
      <c r="S9" s="130">
        <v>6</v>
      </c>
      <c r="T9" s="130">
        <v>6</v>
      </c>
      <c r="U9" s="130">
        <v>6</v>
      </c>
      <c r="V9" s="262">
        <v>6</v>
      </c>
      <c r="W9" s="88"/>
      <c r="X9" s="325">
        <v>2</v>
      </c>
      <c r="Y9" s="326" t="s">
        <v>285</v>
      </c>
      <c r="Z9" s="327"/>
      <c r="AA9" s="327"/>
      <c r="AB9" s="328"/>
      <c r="AC9" s="88"/>
      <c r="AD9" s="263" t="s">
        <v>132</v>
      </c>
      <c r="AE9" s="268" t="s">
        <v>137</v>
      </c>
      <c r="AF9" s="130">
        <v>2</v>
      </c>
      <c r="AG9" s="130">
        <v>2</v>
      </c>
      <c r="AH9" s="130">
        <v>2</v>
      </c>
      <c r="AI9" s="130">
        <v>2</v>
      </c>
      <c r="AJ9" s="130">
        <v>2</v>
      </c>
      <c r="AK9" s="130">
        <v>2</v>
      </c>
      <c r="AL9" s="130">
        <v>2</v>
      </c>
      <c r="AM9" s="130">
        <v>2</v>
      </c>
      <c r="AN9" s="130">
        <v>2</v>
      </c>
      <c r="AO9" s="130">
        <v>2</v>
      </c>
      <c r="AP9" s="130">
        <v>2</v>
      </c>
      <c r="AQ9" s="130">
        <v>2</v>
      </c>
      <c r="AR9" s="130">
        <v>2</v>
      </c>
      <c r="AS9" s="130">
        <v>2</v>
      </c>
      <c r="AT9" s="130">
        <v>2</v>
      </c>
      <c r="AU9" s="130">
        <v>2</v>
      </c>
      <c r="AV9" s="130">
        <v>2</v>
      </c>
      <c r="AW9" s="130">
        <v>2</v>
      </c>
      <c r="AX9" s="130">
        <v>2</v>
      </c>
      <c r="AY9" s="88"/>
      <c r="AZ9" s="88"/>
      <c r="BA9" s="88"/>
      <c r="BB9" s="88"/>
      <c r="BC9" s="89"/>
      <c r="BD9" s="89"/>
      <c r="BE9" s="89"/>
      <c r="BF9" s="89"/>
    </row>
    <row r="10" spans="1:58" ht="15">
      <c r="A10" s="100"/>
      <c r="B10" s="263" t="s">
        <v>131</v>
      </c>
      <c r="C10" s="268" t="s">
        <v>137</v>
      </c>
      <c r="D10" s="130">
        <v>1</v>
      </c>
      <c r="E10" s="130">
        <v>1</v>
      </c>
      <c r="F10" s="130">
        <v>5</v>
      </c>
      <c r="G10" s="130">
        <v>5</v>
      </c>
      <c r="H10" s="130">
        <v>5</v>
      </c>
      <c r="I10" s="130">
        <v>6</v>
      </c>
      <c r="J10" s="130">
        <v>6</v>
      </c>
      <c r="K10" s="130">
        <v>6</v>
      </c>
      <c r="L10" s="130">
        <v>6</v>
      </c>
      <c r="M10" s="130">
        <v>6</v>
      </c>
      <c r="N10" s="130">
        <v>6</v>
      </c>
      <c r="O10" s="130">
        <v>6</v>
      </c>
      <c r="P10" s="130">
        <v>6</v>
      </c>
      <c r="Q10" s="130">
        <v>6</v>
      </c>
      <c r="R10" s="130">
        <v>6</v>
      </c>
      <c r="S10" s="130">
        <v>6</v>
      </c>
      <c r="T10" s="130">
        <v>6</v>
      </c>
      <c r="U10" s="130">
        <v>6</v>
      </c>
      <c r="V10" s="262">
        <v>6</v>
      </c>
      <c r="W10" s="88"/>
      <c r="X10" s="329">
        <v>3</v>
      </c>
      <c r="Y10" s="326" t="s">
        <v>286</v>
      </c>
      <c r="Z10" s="327"/>
      <c r="AA10" s="330"/>
      <c r="AB10" s="331"/>
      <c r="AC10" s="88"/>
      <c r="AD10" s="263" t="s">
        <v>133</v>
      </c>
      <c r="AE10" s="268" t="s">
        <v>137</v>
      </c>
      <c r="AF10" s="130">
        <v>2</v>
      </c>
      <c r="AG10" s="130">
        <v>2</v>
      </c>
      <c r="AH10" s="130">
        <v>2</v>
      </c>
      <c r="AI10" s="130">
        <v>2</v>
      </c>
      <c r="AJ10" s="130">
        <v>2</v>
      </c>
      <c r="AK10" s="130">
        <v>2</v>
      </c>
      <c r="AL10" s="130">
        <v>2</v>
      </c>
      <c r="AM10" s="130">
        <v>2</v>
      </c>
      <c r="AN10" s="130">
        <v>2</v>
      </c>
      <c r="AO10" s="130">
        <v>2</v>
      </c>
      <c r="AP10" s="130">
        <v>2</v>
      </c>
      <c r="AQ10" s="130">
        <v>2</v>
      </c>
      <c r="AR10" s="130">
        <v>2</v>
      </c>
      <c r="AS10" s="130">
        <v>2</v>
      </c>
      <c r="AT10" s="130">
        <v>2</v>
      </c>
      <c r="AU10" s="130">
        <v>2</v>
      </c>
      <c r="AV10" s="130">
        <v>2</v>
      </c>
      <c r="AW10" s="130">
        <v>2</v>
      </c>
      <c r="AX10" s="130">
        <v>2</v>
      </c>
      <c r="AY10" s="88"/>
      <c r="AZ10" s="88"/>
      <c r="BA10" s="88"/>
      <c r="BB10" s="88"/>
      <c r="BC10" s="89"/>
      <c r="BD10" s="89"/>
      <c r="BE10" s="89"/>
      <c r="BF10" s="89"/>
    </row>
    <row r="11" spans="1:58" ht="15">
      <c r="A11" s="100"/>
      <c r="B11" s="263" t="s">
        <v>130</v>
      </c>
      <c r="C11" s="268" t="s">
        <v>137</v>
      </c>
      <c r="D11" s="130">
        <v>1</v>
      </c>
      <c r="E11" s="130">
        <v>1</v>
      </c>
      <c r="F11" s="130">
        <v>5</v>
      </c>
      <c r="G11" s="130">
        <v>5</v>
      </c>
      <c r="H11" s="130">
        <v>5</v>
      </c>
      <c r="I11" s="130">
        <v>6</v>
      </c>
      <c r="J11" s="130">
        <v>6</v>
      </c>
      <c r="K11" s="130">
        <v>6</v>
      </c>
      <c r="L11" s="130">
        <v>6</v>
      </c>
      <c r="M11" s="130">
        <v>6</v>
      </c>
      <c r="N11" s="130">
        <v>6</v>
      </c>
      <c r="O11" s="130">
        <v>6</v>
      </c>
      <c r="P11" s="130">
        <v>6</v>
      </c>
      <c r="Q11" s="130">
        <v>6</v>
      </c>
      <c r="R11" s="166">
        <v>6</v>
      </c>
      <c r="S11" s="130">
        <v>6</v>
      </c>
      <c r="T11" s="130">
        <v>6</v>
      </c>
      <c r="U11" s="130">
        <v>6</v>
      </c>
      <c r="V11" s="262">
        <v>6</v>
      </c>
      <c r="W11" s="88"/>
      <c r="X11" s="329">
        <v>4</v>
      </c>
      <c r="Y11" s="326" t="s">
        <v>287</v>
      </c>
      <c r="Z11" s="327"/>
      <c r="AA11" s="330"/>
      <c r="AB11" s="331"/>
      <c r="AC11" s="88"/>
      <c r="AD11" s="263" t="s">
        <v>168</v>
      </c>
      <c r="AE11" s="268" t="s">
        <v>137</v>
      </c>
      <c r="AF11" s="130">
        <v>3</v>
      </c>
      <c r="AG11" s="130">
        <v>3</v>
      </c>
      <c r="AH11" s="130">
        <v>3</v>
      </c>
      <c r="AI11" s="130">
        <v>3</v>
      </c>
      <c r="AJ11" s="130">
        <v>3</v>
      </c>
      <c r="AK11" s="130">
        <v>3</v>
      </c>
      <c r="AL11" s="130">
        <v>3</v>
      </c>
      <c r="AM11" s="130">
        <v>3</v>
      </c>
      <c r="AN11" s="130">
        <v>3</v>
      </c>
      <c r="AO11" s="130">
        <v>3</v>
      </c>
      <c r="AP11" s="130">
        <v>3</v>
      </c>
      <c r="AQ11" s="130">
        <v>3</v>
      </c>
      <c r="AR11" s="130">
        <v>3</v>
      </c>
      <c r="AS11" s="130">
        <v>3</v>
      </c>
      <c r="AT11" s="130">
        <v>3</v>
      </c>
      <c r="AU11" s="130">
        <v>3</v>
      </c>
      <c r="AV11" s="130">
        <v>3</v>
      </c>
      <c r="AW11" s="130">
        <v>3</v>
      </c>
      <c r="AX11" s="130">
        <v>3</v>
      </c>
      <c r="AY11" s="88"/>
      <c r="AZ11" s="88"/>
      <c r="BA11" s="88"/>
      <c r="BB11" s="88"/>
      <c r="BC11" s="89"/>
      <c r="BD11" s="89"/>
      <c r="BE11" s="89"/>
      <c r="BF11" s="89"/>
    </row>
    <row r="12" spans="1:58" ht="15">
      <c r="A12" s="100"/>
      <c r="B12" s="263" t="s">
        <v>132</v>
      </c>
      <c r="C12" s="268" t="s">
        <v>137</v>
      </c>
      <c r="D12" s="130">
        <v>2</v>
      </c>
      <c r="E12" s="130">
        <v>2</v>
      </c>
      <c r="F12" s="130">
        <v>2</v>
      </c>
      <c r="G12" s="130">
        <v>4</v>
      </c>
      <c r="H12" s="130">
        <v>4</v>
      </c>
      <c r="I12" s="130">
        <v>4</v>
      </c>
      <c r="J12" s="130">
        <v>4</v>
      </c>
      <c r="K12" s="130">
        <v>6</v>
      </c>
      <c r="L12" s="130">
        <v>6</v>
      </c>
      <c r="M12" s="130">
        <v>6</v>
      </c>
      <c r="N12" s="130">
        <v>6</v>
      </c>
      <c r="O12" s="130">
        <v>6</v>
      </c>
      <c r="P12" s="130">
        <v>6</v>
      </c>
      <c r="Q12" s="130">
        <v>6</v>
      </c>
      <c r="R12" s="130">
        <v>6</v>
      </c>
      <c r="S12" s="130">
        <v>6</v>
      </c>
      <c r="T12" s="130">
        <v>6</v>
      </c>
      <c r="U12" s="130">
        <v>6</v>
      </c>
      <c r="V12" s="262">
        <v>6</v>
      </c>
      <c r="W12" s="88"/>
      <c r="X12" s="329">
        <v>5</v>
      </c>
      <c r="Y12" s="326" t="s">
        <v>288</v>
      </c>
      <c r="Z12" s="327"/>
      <c r="AA12" s="330"/>
      <c r="AB12" s="331"/>
      <c r="AC12" s="88"/>
      <c r="AD12" s="263" t="s">
        <v>134</v>
      </c>
      <c r="AE12" s="268" t="s">
        <v>137</v>
      </c>
      <c r="AF12" s="130">
        <v>3</v>
      </c>
      <c r="AG12" s="130">
        <v>3</v>
      </c>
      <c r="AH12" s="130">
        <v>3</v>
      </c>
      <c r="AI12" s="130">
        <v>3</v>
      </c>
      <c r="AJ12" s="130">
        <v>3</v>
      </c>
      <c r="AK12" s="130">
        <v>3</v>
      </c>
      <c r="AL12" s="130">
        <v>3</v>
      </c>
      <c r="AM12" s="130">
        <v>3</v>
      </c>
      <c r="AN12" s="130">
        <v>3</v>
      </c>
      <c r="AO12" s="130">
        <v>3</v>
      </c>
      <c r="AP12" s="130">
        <v>3</v>
      </c>
      <c r="AQ12" s="130">
        <v>3</v>
      </c>
      <c r="AR12" s="130">
        <v>3</v>
      </c>
      <c r="AS12" s="130">
        <v>3</v>
      </c>
      <c r="AT12" s="130">
        <v>3</v>
      </c>
      <c r="AU12" s="130">
        <v>3</v>
      </c>
      <c r="AV12" s="130">
        <v>3</v>
      </c>
      <c r="AW12" s="130">
        <v>3</v>
      </c>
      <c r="AX12" s="130">
        <v>3</v>
      </c>
      <c r="AY12" s="88"/>
      <c r="AZ12" s="88"/>
      <c r="BA12" s="88"/>
      <c r="BB12" s="88"/>
      <c r="BC12" s="89"/>
      <c r="BD12" s="89"/>
      <c r="BE12" s="89"/>
      <c r="BF12" s="89"/>
    </row>
    <row r="13" spans="1:58" ht="15">
      <c r="A13" s="100"/>
      <c r="B13" s="263" t="s">
        <v>133</v>
      </c>
      <c r="C13" s="268" t="s">
        <v>137</v>
      </c>
      <c r="D13" s="130">
        <v>2</v>
      </c>
      <c r="E13" s="130">
        <v>2</v>
      </c>
      <c r="F13" s="130">
        <v>2</v>
      </c>
      <c r="G13" s="130">
        <v>4</v>
      </c>
      <c r="H13" s="130">
        <v>4</v>
      </c>
      <c r="I13" s="130">
        <v>4</v>
      </c>
      <c r="J13" s="130">
        <v>4</v>
      </c>
      <c r="K13" s="130">
        <v>6</v>
      </c>
      <c r="L13" s="130">
        <v>6</v>
      </c>
      <c r="M13" s="130">
        <v>6</v>
      </c>
      <c r="N13" s="130">
        <v>6</v>
      </c>
      <c r="O13" s="130">
        <v>6</v>
      </c>
      <c r="P13" s="130">
        <v>6</v>
      </c>
      <c r="Q13" s="130">
        <v>6</v>
      </c>
      <c r="R13" s="130">
        <v>6</v>
      </c>
      <c r="S13" s="130">
        <v>6</v>
      </c>
      <c r="T13" s="130">
        <v>6</v>
      </c>
      <c r="U13" s="130">
        <v>6</v>
      </c>
      <c r="V13" s="262">
        <v>6</v>
      </c>
      <c r="W13" s="88"/>
      <c r="X13" s="329">
        <v>6</v>
      </c>
      <c r="Y13" s="326" t="s">
        <v>289</v>
      </c>
      <c r="Z13" s="327"/>
      <c r="AA13" s="330"/>
      <c r="AB13" s="331"/>
      <c r="AC13" s="88"/>
      <c r="AD13" s="263" t="s">
        <v>169</v>
      </c>
      <c r="AE13" s="268" t="s">
        <v>137</v>
      </c>
      <c r="AF13" s="130">
        <v>3</v>
      </c>
      <c r="AG13" s="130">
        <v>3</v>
      </c>
      <c r="AH13" s="130">
        <v>3</v>
      </c>
      <c r="AI13" s="130">
        <v>3</v>
      </c>
      <c r="AJ13" s="130">
        <v>3</v>
      </c>
      <c r="AK13" s="130">
        <v>3</v>
      </c>
      <c r="AL13" s="130">
        <v>3</v>
      </c>
      <c r="AM13" s="130">
        <v>3</v>
      </c>
      <c r="AN13" s="130">
        <v>3</v>
      </c>
      <c r="AO13" s="130">
        <v>3</v>
      </c>
      <c r="AP13" s="130">
        <v>3</v>
      </c>
      <c r="AQ13" s="130">
        <v>3</v>
      </c>
      <c r="AR13" s="130">
        <v>3</v>
      </c>
      <c r="AS13" s="130">
        <v>3</v>
      </c>
      <c r="AT13" s="130">
        <v>3</v>
      </c>
      <c r="AU13" s="130">
        <v>3</v>
      </c>
      <c r="AV13" s="130">
        <v>3</v>
      </c>
      <c r="AW13" s="130">
        <v>3</v>
      </c>
      <c r="AX13" s="130">
        <v>3</v>
      </c>
      <c r="AY13" s="88"/>
      <c r="AZ13" s="88"/>
      <c r="BA13" s="88"/>
      <c r="BB13" s="88"/>
      <c r="BC13" s="89"/>
      <c r="BD13" s="89"/>
      <c r="BE13" s="89"/>
      <c r="BF13" s="89"/>
    </row>
    <row r="14" spans="1:58" ht="15">
      <c r="A14" s="100"/>
      <c r="B14" s="263" t="s">
        <v>168</v>
      </c>
      <c r="C14" s="268" t="s">
        <v>137</v>
      </c>
      <c r="D14" s="130">
        <v>3</v>
      </c>
      <c r="E14" s="130">
        <v>3</v>
      </c>
      <c r="F14" s="130">
        <v>7</v>
      </c>
      <c r="G14" s="130">
        <v>7</v>
      </c>
      <c r="H14" s="130">
        <v>7</v>
      </c>
      <c r="I14" s="130">
        <v>7</v>
      </c>
      <c r="J14" s="130">
        <v>7</v>
      </c>
      <c r="K14" s="130">
        <v>7</v>
      </c>
      <c r="L14" s="130">
        <v>8</v>
      </c>
      <c r="M14" s="130">
        <v>8</v>
      </c>
      <c r="N14" s="130">
        <v>8</v>
      </c>
      <c r="O14" s="130">
        <v>8</v>
      </c>
      <c r="P14" s="130">
        <v>8</v>
      </c>
      <c r="Q14" s="130">
        <v>8</v>
      </c>
      <c r="R14" s="130">
        <v>8</v>
      </c>
      <c r="S14" s="130">
        <v>8</v>
      </c>
      <c r="T14" s="130">
        <v>8</v>
      </c>
      <c r="U14" s="130">
        <v>8</v>
      </c>
      <c r="V14" s="262">
        <v>8</v>
      </c>
      <c r="W14" s="88"/>
      <c r="X14" s="329">
        <v>7</v>
      </c>
      <c r="Y14" s="326" t="s">
        <v>290</v>
      </c>
      <c r="Z14" s="327"/>
      <c r="AA14" s="330"/>
      <c r="AB14" s="331"/>
      <c r="AC14" s="88"/>
      <c r="AD14" s="263" t="s">
        <v>170</v>
      </c>
      <c r="AE14" s="268" t="s">
        <v>137</v>
      </c>
      <c r="AF14" s="130">
        <v>3</v>
      </c>
      <c r="AG14" s="130">
        <v>3</v>
      </c>
      <c r="AH14" s="130">
        <v>3</v>
      </c>
      <c r="AI14" s="130">
        <v>3</v>
      </c>
      <c r="AJ14" s="130">
        <v>3</v>
      </c>
      <c r="AK14" s="130">
        <v>3</v>
      </c>
      <c r="AL14" s="130">
        <v>3</v>
      </c>
      <c r="AM14" s="130">
        <v>3</v>
      </c>
      <c r="AN14" s="130">
        <v>3</v>
      </c>
      <c r="AO14" s="130">
        <v>3</v>
      </c>
      <c r="AP14" s="130">
        <v>3</v>
      </c>
      <c r="AQ14" s="130">
        <v>3</v>
      </c>
      <c r="AR14" s="130">
        <v>3</v>
      </c>
      <c r="AS14" s="130">
        <v>3</v>
      </c>
      <c r="AT14" s="130">
        <v>3</v>
      </c>
      <c r="AU14" s="130">
        <v>3</v>
      </c>
      <c r="AV14" s="130">
        <v>3</v>
      </c>
      <c r="AW14" s="130">
        <v>3</v>
      </c>
      <c r="AX14" s="130">
        <v>3</v>
      </c>
      <c r="AY14" s="88"/>
      <c r="AZ14" s="88"/>
      <c r="BA14" s="88"/>
      <c r="BB14" s="88"/>
      <c r="BC14" s="89"/>
      <c r="BD14" s="89"/>
      <c r="BE14" s="89"/>
      <c r="BF14" s="89"/>
    </row>
    <row r="15" spans="1:58" ht="16" thickBot="1">
      <c r="A15" s="100"/>
      <c r="B15" s="263" t="s">
        <v>134</v>
      </c>
      <c r="C15" s="268" t="s">
        <v>137</v>
      </c>
      <c r="D15" s="130">
        <v>3</v>
      </c>
      <c r="E15" s="130">
        <v>3</v>
      </c>
      <c r="F15" s="130">
        <v>7</v>
      </c>
      <c r="G15" s="130">
        <v>7</v>
      </c>
      <c r="H15" s="130">
        <v>7</v>
      </c>
      <c r="I15" s="130">
        <v>7</v>
      </c>
      <c r="J15" s="130">
        <v>7</v>
      </c>
      <c r="K15" s="130">
        <v>7</v>
      </c>
      <c r="L15" s="130">
        <v>8</v>
      </c>
      <c r="M15" s="130">
        <v>8</v>
      </c>
      <c r="N15" s="130">
        <v>8</v>
      </c>
      <c r="O15" s="130">
        <v>8</v>
      </c>
      <c r="P15" s="130">
        <v>8</v>
      </c>
      <c r="Q15" s="130">
        <v>8</v>
      </c>
      <c r="R15" s="130">
        <v>8</v>
      </c>
      <c r="S15" s="130">
        <v>8</v>
      </c>
      <c r="T15" s="130">
        <v>8</v>
      </c>
      <c r="U15" s="130">
        <v>8</v>
      </c>
      <c r="V15" s="262">
        <v>8</v>
      </c>
      <c r="W15" s="88"/>
      <c r="X15" s="332">
        <v>8</v>
      </c>
      <c r="Y15" s="542" t="s">
        <v>291</v>
      </c>
      <c r="Z15" s="543"/>
      <c r="AA15" s="333"/>
      <c r="AB15" s="334"/>
      <c r="AC15" s="88"/>
      <c r="AD15" s="264" t="s">
        <v>171</v>
      </c>
      <c r="AE15" s="269" t="s">
        <v>137</v>
      </c>
      <c r="AF15" s="265">
        <v>4</v>
      </c>
      <c r="AG15" s="265">
        <v>4</v>
      </c>
      <c r="AH15" s="265">
        <v>4</v>
      </c>
      <c r="AI15" s="265">
        <v>4</v>
      </c>
      <c r="AJ15" s="265">
        <v>4</v>
      </c>
      <c r="AK15" s="265">
        <v>4</v>
      </c>
      <c r="AL15" s="265">
        <v>4</v>
      </c>
      <c r="AM15" s="265">
        <v>4</v>
      </c>
      <c r="AN15" s="265">
        <v>4</v>
      </c>
      <c r="AO15" s="265">
        <v>4</v>
      </c>
      <c r="AP15" s="265">
        <v>4</v>
      </c>
      <c r="AQ15" s="265">
        <v>4</v>
      </c>
      <c r="AR15" s="265">
        <v>4</v>
      </c>
      <c r="AS15" s="265">
        <v>4</v>
      </c>
      <c r="AT15" s="265">
        <v>4</v>
      </c>
      <c r="AU15" s="265">
        <v>4</v>
      </c>
      <c r="AV15" s="265">
        <v>4</v>
      </c>
      <c r="AW15" s="265">
        <v>4</v>
      </c>
      <c r="AX15" s="265">
        <v>4</v>
      </c>
      <c r="AY15" s="88"/>
      <c r="AZ15" s="88"/>
      <c r="BA15" s="88"/>
      <c r="BB15" s="88"/>
      <c r="BC15" s="89"/>
      <c r="BD15" s="89"/>
      <c r="BE15" s="89"/>
      <c r="BF15" s="89"/>
    </row>
    <row r="16" spans="1:58" ht="21" customHeight="1" thickTop="1" thickBot="1">
      <c r="A16" s="100"/>
      <c r="B16" s="263" t="s">
        <v>169</v>
      </c>
      <c r="C16" s="268" t="s">
        <v>137</v>
      </c>
      <c r="D16" s="130">
        <v>3</v>
      </c>
      <c r="E16" s="130">
        <v>3</v>
      </c>
      <c r="F16" s="130">
        <v>7</v>
      </c>
      <c r="G16" s="130">
        <v>7</v>
      </c>
      <c r="H16" s="130">
        <v>7</v>
      </c>
      <c r="I16" s="130">
        <v>7</v>
      </c>
      <c r="J16" s="130">
        <v>7</v>
      </c>
      <c r="K16" s="130">
        <v>7</v>
      </c>
      <c r="L16" s="130">
        <v>8</v>
      </c>
      <c r="M16" s="130">
        <v>8</v>
      </c>
      <c r="N16" s="130">
        <v>8</v>
      </c>
      <c r="O16" s="130">
        <v>8</v>
      </c>
      <c r="P16" s="130">
        <v>8</v>
      </c>
      <c r="Q16" s="130">
        <v>8</v>
      </c>
      <c r="R16" s="130">
        <v>8</v>
      </c>
      <c r="S16" s="130">
        <v>8</v>
      </c>
      <c r="T16" s="130">
        <v>8</v>
      </c>
      <c r="U16" s="130">
        <v>8</v>
      </c>
      <c r="V16" s="262">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c r="A17" s="100"/>
      <c r="B17" s="263" t="s">
        <v>170</v>
      </c>
      <c r="C17" s="268" t="s">
        <v>137</v>
      </c>
      <c r="D17" s="130">
        <v>3</v>
      </c>
      <c r="E17" s="130">
        <v>3</v>
      </c>
      <c r="F17" s="130">
        <v>3</v>
      </c>
      <c r="G17" s="130">
        <v>7</v>
      </c>
      <c r="H17" s="130">
        <v>7</v>
      </c>
      <c r="I17" s="130">
        <v>7</v>
      </c>
      <c r="J17" s="130">
        <v>7</v>
      </c>
      <c r="K17" s="130">
        <v>7</v>
      </c>
      <c r="L17" s="130">
        <v>8</v>
      </c>
      <c r="M17" s="130">
        <v>8</v>
      </c>
      <c r="N17" s="130">
        <v>8</v>
      </c>
      <c r="O17" s="130">
        <v>8</v>
      </c>
      <c r="P17" s="130">
        <v>8</v>
      </c>
      <c r="Q17" s="130">
        <v>8</v>
      </c>
      <c r="R17" s="130">
        <v>8</v>
      </c>
      <c r="S17" s="130">
        <v>8</v>
      </c>
      <c r="T17" s="130">
        <v>8</v>
      </c>
      <c r="U17" s="130">
        <v>8</v>
      </c>
      <c r="V17" s="262">
        <v>8</v>
      </c>
      <c r="W17" s="88"/>
      <c r="X17" s="544" t="s">
        <v>274</v>
      </c>
      <c r="Y17" s="545"/>
      <c r="Z17" s="545"/>
      <c r="AA17" s="545"/>
      <c r="AB17" s="546" t="s">
        <v>361</v>
      </c>
      <c r="AC17" s="201"/>
      <c r="AD17" s="88"/>
      <c r="AE17" s="88"/>
      <c r="AF17" s="88"/>
      <c r="AG17" s="88"/>
      <c r="AH17" s="88"/>
      <c r="AI17" s="88"/>
      <c r="AJ17" s="89"/>
      <c r="AK17" s="89"/>
      <c r="AL17" s="89"/>
      <c r="AM17" s="89"/>
      <c r="AN17" s="561" t="s">
        <v>364</v>
      </c>
      <c r="AO17" s="89"/>
      <c r="AP17" s="89"/>
      <c r="AQ17" s="89"/>
      <c r="AR17" s="89"/>
      <c r="AS17" s="89"/>
      <c r="AT17" s="89"/>
      <c r="AU17" s="90"/>
      <c r="AV17" s="90"/>
      <c r="AW17" s="90"/>
      <c r="AX17" s="90"/>
      <c r="AY17" s="88"/>
      <c r="AZ17" s="88"/>
      <c r="BA17" s="88"/>
      <c r="BB17" s="88"/>
      <c r="BC17" s="89"/>
      <c r="BD17" s="89"/>
      <c r="BE17" s="89"/>
      <c r="BF17" s="89"/>
    </row>
    <row r="18" spans="1:121" ht="16" thickBot="1">
      <c r="A18" s="88"/>
      <c r="B18" s="264" t="s">
        <v>171</v>
      </c>
      <c r="C18" s="269" t="s">
        <v>137</v>
      </c>
      <c r="D18" s="265">
        <v>4</v>
      </c>
      <c r="E18" s="265">
        <v>4</v>
      </c>
      <c r="F18" s="265">
        <v>4</v>
      </c>
      <c r="G18" s="265">
        <v>4</v>
      </c>
      <c r="H18" s="265">
        <v>8</v>
      </c>
      <c r="I18" s="265">
        <v>8</v>
      </c>
      <c r="J18" s="265">
        <v>8</v>
      </c>
      <c r="K18" s="265">
        <v>8</v>
      </c>
      <c r="L18" s="265">
        <v>8</v>
      </c>
      <c r="M18" s="265">
        <v>8</v>
      </c>
      <c r="N18" s="265">
        <v>8</v>
      </c>
      <c r="O18" s="265">
        <v>8</v>
      </c>
      <c r="P18" s="265">
        <v>8</v>
      </c>
      <c r="Q18" s="265">
        <v>8</v>
      </c>
      <c r="R18" s="265">
        <v>8</v>
      </c>
      <c r="S18" s="265">
        <v>8</v>
      </c>
      <c r="T18" s="265">
        <v>8</v>
      </c>
      <c r="U18" s="265">
        <v>8</v>
      </c>
      <c r="V18" s="266">
        <v>8</v>
      </c>
      <c r="W18" s="88"/>
      <c r="X18" s="88"/>
      <c r="Y18" s="88"/>
      <c r="Z18" s="88"/>
      <c r="AA18" s="88"/>
      <c r="AB18" s="88"/>
      <c r="AC18" s="88"/>
      <c r="AD18" s="88"/>
      <c r="AE18" s="492"/>
      <c r="AF18" s="492"/>
      <c r="AG18" s="492"/>
      <c r="AH18" s="492"/>
      <c r="AI18" s="492"/>
      <c r="AJ18" s="202"/>
      <c r="AK18" s="202"/>
      <c r="AL18" s="202"/>
      <c r="AM18" s="89"/>
      <c r="AN18" s="89"/>
      <c r="AO18" s="89"/>
      <c r="AP18" s="89"/>
      <c r="AQ18" s="89"/>
      <c r="AR18" s="89"/>
      <c r="AS18" s="89"/>
      <c r="AT18" s="89"/>
      <c r="AU18" s="90"/>
      <c r="AV18" s="90"/>
      <c r="AW18" s="90"/>
      <c r="AX18" s="90"/>
      <c r="AY18" s="88"/>
      <c r="AZ18" s="88"/>
      <c r="BA18" s="88"/>
      <c r="BB18" s="88"/>
      <c r="BC18" s="89"/>
      <c r="BD18" s="89"/>
      <c r="BE18" s="89"/>
      <c r="BF18" s="89"/>
    </row>
    <row r="19" spans="1:121" ht="16" thickTop="1" thickBot="1">
      <c r="A19" s="88"/>
      <c r="B19" s="359"/>
      <c r="C19" s="359"/>
      <c r="D19" s="359"/>
      <c r="E19" s="359"/>
      <c r="F19" s="359"/>
      <c r="G19" s="359"/>
      <c r="H19" s="359"/>
      <c r="I19" s="359"/>
      <c r="J19" s="359"/>
      <c r="K19" s="359"/>
      <c r="L19" s="359"/>
      <c r="M19" s="359"/>
      <c r="N19" s="359"/>
      <c r="O19" s="359"/>
      <c r="P19" s="359"/>
      <c r="Q19" s="359"/>
      <c r="R19" s="359"/>
      <c r="S19" s="359"/>
      <c r="T19" s="359"/>
      <c r="U19" s="359"/>
      <c r="V19" s="359"/>
      <c r="W19" s="103"/>
      <c r="X19" s="88"/>
      <c r="Y19" s="88"/>
      <c r="Z19" s="88"/>
      <c r="AA19" s="88"/>
      <c r="AB19" s="88"/>
      <c r="AC19" s="88"/>
      <c r="AD19" s="337"/>
      <c r="AE19" s="338"/>
      <c r="AF19" s="270">
        <v>2014</v>
      </c>
      <c r="AG19" s="271">
        <v>2016</v>
      </c>
      <c r="AH19" s="271">
        <v>2018</v>
      </c>
      <c r="AI19" s="271">
        <v>2020</v>
      </c>
      <c r="AJ19" s="271">
        <v>2022</v>
      </c>
      <c r="AK19" s="271">
        <v>2024</v>
      </c>
      <c r="AL19" s="271">
        <v>2026</v>
      </c>
      <c r="AM19" s="271">
        <v>2028</v>
      </c>
      <c r="AN19" s="271">
        <v>2030</v>
      </c>
      <c r="AO19" s="271">
        <v>2032</v>
      </c>
      <c r="AP19" s="271">
        <v>2034</v>
      </c>
      <c r="AQ19" s="271">
        <v>2036</v>
      </c>
      <c r="AR19" s="271">
        <v>2038</v>
      </c>
      <c r="AS19" s="271">
        <v>2040</v>
      </c>
      <c r="AT19" s="271">
        <v>2042</v>
      </c>
      <c r="AU19" s="271">
        <v>2044</v>
      </c>
      <c r="AV19" s="271">
        <v>2046</v>
      </c>
      <c r="AW19" s="271">
        <v>2048</v>
      </c>
      <c r="AX19" s="272">
        <v>2050</v>
      </c>
      <c r="AY19" s="88"/>
      <c r="AZ19" s="88"/>
      <c r="BA19" s="88"/>
      <c r="BB19" s="88"/>
      <c r="BC19" s="89"/>
      <c r="BD19" s="89"/>
      <c r="BE19" s="89"/>
      <c r="BF19" s="89"/>
    </row>
    <row r="20" spans="1:121" s="186" customFormat="1" ht="21" customHeight="1" thickTop="1" thickBo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261" t="s">
        <v>167</v>
      </c>
      <c r="AE20" s="267" t="s">
        <v>137</v>
      </c>
      <c r="AF20" s="130">
        <v>1</v>
      </c>
      <c r="AG20" s="130">
        <v>1</v>
      </c>
      <c r="AH20" s="130">
        <v>1</v>
      </c>
      <c r="AI20" s="130">
        <v>5</v>
      </c>
      <c r="AJ20" s="130">
        <v>5</v>
      </c>
      <c r="AK20" s="130">
        <v>5</v>
      </c>
      <c r="AL20" s="130">
        <v>5</v>
      </c>
      <c r="AM20" s="130">
        <v>5</v>
      </c>
      <c r="AN20" s="130">
        <v>5</v>
      </c>
      <c r="AO20" s="130">
        <v>5</v>
      </c>
      <c r="AP20" s="130">
        <v>5</v>
      </c>
      <c r="AQ20" s="130">
        <v>5</v>
      </c>
      <c r="AR20" s="130">
        <v>5</v>
      </c>
      <c r="AS20" s="130">
        <v>6</v>
      </c>
      <c r="AT20" s="130">
        <v>6</v>
      </c>
      <c r="AU20" s="130">
        <v>6</v>
      </c>
      <c r="AV20" s="130">
        <v>6</v>
      </c>
      <c r="AW20" s="130">
        <v>6</v>
      </c>
      <c r="AX20" s="262">
        <v>6</v>
      </c>
      <c r="AY20" s="88"/>
      <c r="AZ20" s="88"/>
      <c r="BA20" s="88"/>
      <c r="BB20" s="88"/>
      <c r="BC20" s="185"/>
      <c r="BD20" s="184"/>
      <c r="BE20" s="184"/>
      <c r="BF20" s="184"/>
      <c r="BG20" s="564"/>
      <c r="BH20" s="564"/>
      <c r="BI20" s="564"/>
      <c r="BJ20" s="564"/>
      <c r="BK20" s="564"/>
      <c r="BL20" s="564"/>
      <c r="BM20" s="564"/>
      <c r="BN20" s="564"/>
      <c r="BO20" s="564"/>
      <c r="BP20" s="564"/>
      <c r="BQ20" s="564"/>
      <c r="BR20" s="564"/>
      <c r="BS20" s="564"/>
      <c r="BT20" s="564"/>
      <c r="BU20" s="564"/>
      <c r="BV20" s="564"/>
      <c r="BW20" s="564"/>
      <c r="BX20" s="564"/>
      <c r="BY20" s="564"/>
      <c r="BZ20" s="564"/>
      <c r="CA20" s="564"/>
      <c r="CB20" s="564"/>
      <c r="CC20" s="564"/>
      <c r="CD20" s="564"/>
      <c r="CE20" s="564"/>
      <c r="CF20" s="564"/>
      <c r="CG20" s="564"/>
      <c r="CH20" s="564"/>
      <c r="CI20" s="564"/>
      <c r="CJ20" s="564"/>
      <c r="CK20" s="564"/>
      <c r="CL20" s="564"/>
      <c r="CM20" s="564"/>
      <c r="CN20" s="564"/>
      <c r="CO20" s="564"/>
      <c r="CP20" s="564"/>
      <c r="CQ20" s="564"/>
      <c r="CR20" s="564"/>
      <c r="CS20" s="564"/>
      <c r="CT20" s="564"/>
      <c r="CU20" s="564"/>
      <c r="CV20" s="564"/>
      <c r="CW20" s="564"/>
      <c r="CX20" s="564"/>
      <c r="CY20" s="564"/>
      <c r="CZ20" s="564"/>
      <c r="DA20" s="564"/>
      <c r="DB20" s="564"/>
      <c r="DC20" s="564"/>
      <c r="DD20" s="564"/>
      <c r="DE20" s="564"/>
      <c r="DF20" s="564"/>
      <c r="DG20" s="564"/>
      <c r="DH20" s="564"/>
      <c r="DI20" s="564"/>
      <c r="DJ20" s="564"/>
      <c r="DK20" s="564"/>
      <c r="DL20" s="564"/>
      <c r="DM20" s="564"/>
      <c r="DN20" s="564"/>
      <c r="DO20" s="564"/>
      <c r="DP20" s="564"/>
      <c r="DQ20" s="564"/>
    </row>
    <row r="21" spans="1:121" ht="27.75" customHeight="1" thickTop="1">
      <c r="A21" s="88"/>
      <c r="B21" s="164" t="s">
        <v>157</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261" t="s">
        <v>112</v>
      </c>
      <c r="AE21" s="267" t="s">
        <v>137</v>
      </c>
      <c r="AF21" s="130">
        <v>1</v>
      </c>
      <c r="AG21" s="130">
        <v>1</v>
      </c>
      <c r="AH21" s="130">
        <v>1</v>
      </c>
      <c r="AI21" s="130">
        <v>5</v>
      </c>
      <c r="AJ21" s="130">
        <v>5</v>
      </c>
      <c r="AK21" s="130">
        <v>5</v>
      </c>
      <c r="AL21" s="130">
        <v>5</v>
      </c>
      <c r="AM21" s="130">
        <v>5</v>
      </c>
      <c r="AN21" s="130">
        <v>5</v>
      </c>
      <c r="AO21" s="130">
        <v>5</v>
      </c>
      <c r="AP21" s="130">
        <v>5</v>
      </c>
      <c r="AQ21" s="130">
        <v>5</v>
      </c>
      <c r="AR21" s="130">
        <v>5</v>
      </c>
      <c r="AS21" s="130">
        <v>6</v>
      </c>
      <c r="AT21" s="130">
        <v>6</v>
      </c>
      <c r="AU21" s="130">
        <v>6</v>
      </c>
      <c r="AV21" s="130">
        <v>6</v>
      </c>
      <c r="AW21" s="130">
        <v>6</v>
      </c>
      <c r="AX21" s="262">
        <v>6</v>
      </c>
      <c r="AY21" s="88"/>
      <c r="AZ21" s="88"/>
      <c r="BA21" s="88"/>
      <c r="BB21" s="88"/>
      <c r="BC21" s="95"/>
      <c r="BD21" s="96"/>
      <c r="BE21" s="93"/>
      <c r="BF21" s="89"/>
    </row>
    <row r="22" spans="1:121" ht="24" customHeight="1" thickBot="1">
      <c r="A22" s="163"/>
      <c r="B22" s="336" t="s">
        <v>259</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63" t="s">
        <v>131</v>
      </c>
      <c r="AE22" s="268" t="s">
        <v>137</v>
      </c>
      <c r="AF22" s="130">
        <v>1</v>
      </c>
      <c r="AG22" s="130">
        <v>1</v>
      </c>
      <c r="AH22" s="130">
        <v>1</v>
      </c>
      <c r="AI22" s="130">
        <v>5</v>
      </c>
      <c r="AJ22" s="130">
        <v>5</v>
      </c>
      <c r="AK22" s="130">
        <v>5</v>
      </c>
      <c r="AL22" s="130">
        <v>5</v>
      </c>
      <c r="AM22" s="130">
        <v>5</v>
      </c>
      <c r="AN22" s="130">
        <v>5</v>
      </c>
      <c r="AO22" s="130">
        <v>5</v>
      </c>
      <c r="AP22" s="130">
        <v>5</v>
      </c>
      <c r="AQ22" s="130">
        <v>5</v>
      </c>
      <c r="AR22" s="130">
        <v>5</v>
      </c>
      <c r="AS22" s="130">
        <v>6</v>
      </c>
      <c r="AT22" s="130">
        <v>6</v>
      </c>
      <c r="AU22" s="130">
        <v>6</v>
      </c>
      <c r="AV22" s="130">
        <v>6</v>
      </c>
      <c r="AW22" s="130">
        <v>6</v>
      </c>
      <c r="AX22" s="262">
        <v>6</v>
      </c>
      <c r="AY22" s="88"/>
      <c r="AZ22" s="88"/>
      <c r="BA22" s="88"/>
      <c r="BB22" s="88"/>
      <c r="BC22" s="96"/>
      <c r="BD22" s="93"/>
      <c r="BE22" s="89"/>
      <c r="BF22" s="89"/>
    </row>
    <row r="23" spans="1:121" ht="33" customHeight="1" thickTop="1" thickBot="1">
      <c r="A23" s="163"/>
      <c r="B23" s="187"/>
      <c r="C23" s="282"/>
      <c r="D23" s="283" t="s">
        <v>158</v>
      </c>
      <c r="E23" s="284"/>
      <c r="F23" s="284"/>
      <c r="G23" s="284"/>
      <c r="H23" s="284"/>
      <c r="I23" s="284"/>
      <c r="J23" s="285"/>
      <c r="K23" s="413"/>
      <c r="L23" s="88"/>
      <c r="M23" s="88"/>
      <c r="N23" s="88"/>
      <c r="O23" s="88"/>
      <c r="P23" s="88"/>
      <c r="Q23" s="88"/>
      <c r="R23" s="88"/>
      <c r="S23" s="88"/>
      <c r="T23" s="88"/>
      <c r="U23" s="88"/>
      <c r="V23" s="88"/>
      <c r="W23" s="88"/>
      <c r="X23" s="88"/>
      <c r="Y23" s="88"/>
      <c r="Z23" s="88"/>
      <c r="AA23" s="88"/>
      <c r="AB23" s="88"/>
      <c r="AC23" s="88"/>
      <c r="AD23" s="263" t="s">
        <v>130</v>
      </c>
      <c r="AE23" s="268" t="s">
        <v>137</v>
      </c>
      <c r="AF23" s="130">
        <v>1</v>
      </c>
      <c r="AG23" s="130">
        <v>1</v>
      </c>
      <c r="AH23" s="130">
        <v>1</v>
      </c>
      <c r="AI23" s="130">
        <v>5</v>
      </c>
      <c r="AJ23" s="130">
        <v>5</v>
      </c>
      <c r="AK23" s="130">
        <v>5</v>
      </c>
      <c r="AL23" s="130">
        <v>5</v>
      </c>
      <c r="AM23" s="130">
        <v>5</v>
      </c>
      <c r="AN23" s="130">
        <v>5</v>
      </c>
      <c r="AO23" s="130">
        <v>5</v>
      </c>
      <c r="AP23" s="130">
        <v>5</v>
      </c>
      <c r="AQ23" s="130">
        <v>5</v>
      </c>
      <c r="AR23" s="130">
        <v>5</v>
      </c>
      <c r="AS23" s="130">
        <v>6</v>
      </c>
      <c r="AT23" s="166">
        <v>6</v>
      </c>
      <c r="AU23" s="130">
        <v>6</v>
      </c>
      <c r="AV23" s="130">
        <v>6</v>
      </c>
      <c r="AW23" s="130">
        <v>6</v>
      </c>
      <c r="AX23" s="262">
        <v>6</v>
      </c>
      <c r="AY23" s="88"/>
      <c r="AZ23" s="88"/>
      <c r="BA23" s="88"/>
      <c r="BB23" s="88"/>
      <c r="BC23" s="96"/>
      <c r="BD23" s="93"/>
      <c r="BE23" s="89"/>
      <c r="BF23" s="89"/>
    </row>
    <row r="24" spans="1:121" ht="61" thickBot="1">
      <c r="A24" s="163"/>
      <c r="B24" s="286" t="s">
        <v>135</v>
      </c>
      <c r="C24" s="287">
        <v>1</v>
      </c>
      <c r="D24" s="288">
        <v>2</v>
      </c>
      <c r="E24" s="288">
        <v>3</v>
      </c>
      <c r="F24" s="288">
        <v>4</v>
      </c>
      <c r="G24" s="288">
        <v>5</v>
      </c>
      <c r="H24" s="288">
        <v>6</v>
      </c>
      <c r="I24" s="288">
        <v>7</v>
      </c>
      <c r="J24" s="289">
        <v>8</v>
      </c>
      <c r="K24" s="205" t="s">
        <v>135</v>
      </c>
      <c r="L24" s="88"/>
      <c r="M24" s="88"/>
      <c r="N24" s="88"/>
      <c r="O24" s="88"/>
      <c r="P24" s="88"/>
      <c r="Q24" s="88"/>
      <c r="R24" s="88"/>
      <c r="S24" s="88"/>
      <c r="T24" s="88"/>
      <c r="U24" s="88"/>
      <c r="V24" s="88"/>
      <c r="W24" s="88"/>
      <c r="X24" s="88"/>
      <c r="Y24" s="88"/>
      <c r="Z24" s="88"/>
      <c r="AA24" s="88"/>
      <c r="AB24" s="88"/>
      <c r="AC24" s="88"/>
      <c r="AD24" s="263" t="s">
        <v>132</v>
      </c>
      <c r="AE24" s="268" t="s">
        <v>137</v>
      </c>
      <c r="AF24" s="130">
        <v>2</v>
      </c>
      <c r="AG24" s="130">
        <v>2</v>
      </c>
      <c r="AH24" s="130">
        <v>2</v>
      </c>
      <c r="AI24" s="130">
        <v>4</v>
      </c>
      <c r="AJ24" s="130">
        <v>4</v>
      </c>
      <c r="AK24" s="130">
        <v>4</v>
      </c>
      <c r="AL24" s="130">
        <v>4</v>
      </c>
      <c r="AM24" s="130">
        <v>4</v>
      </c>
      <c r="AN24" s="130">
        <v>4</v>
      </c>
      <c r="AO24" s="130">
        <v>4</v>
      </c>
      <c r="AP24" s="130">
        <v>4</v>
      </c>
      <c r="AQ24" s="130">
        <v>4</v>
      </c>
      <c r="AR24" s="130">
        <v>4</v>
      </c>
      <c r="AS24" s="130">
        <v>6</v>
      </c>
      <c r="AT24" s="130">
        <v>6</v>
      </c>
      <c r="AU24" s="130">
        <v>6</v>
      </c>
      <c r="AV24" s="130">
        <v>6</v>
      </c>
      <c r="AW24" s="130">
        <v>6</v>
      </c>
      <c r="AX24" s="130">
        <v>6</v>
      </c>
      <c r="AY24" s="88"/>
      <c r="AZ24" s="88"/>
      <c r="BA24" s="88"/>
      <c r="BB24" s="88"/>
      <c r="BC24" s="96"/>
      <c r="BD24" s="93"/>
      <c r="BE24" s="89"/>
      <c r="BF24" s="89"/>
    </row>
    <row r="25" spans="1:121" ht="16" thickTop="1">
      <c r="A25" s="163"/>
      <c r="B25" s="290">
        <v>1</v>
      </c>
      <c r="C25" s="203">
        <v>0</v>
      </c>
      <c r="D25" s="204">
        <v>0</v>
      </c>
      <c r="E25" s="204">
        <v>0</v>
      </c>
      <c r="F25" s="204">
        <v>0</v>
      </c>
      <c r="G25" s="204">
        <v>0</v>
      </c>
      <c r="H25" s="204">
        <v>0</v>
      </c>
      <c r="I25" s="204">
        <v>0</v>
      </c>
      <c r="J25" s="291">
        <v>0</v>
      </c>
      <c r="K25" s="206">
        <v>1</v>
      </c>
      <c r="L25" s="88"/>
      <c r="M25" s="88"/>
      <c r="N25" s="88"/>
      <c r="O25" s="88"/>
      <c r="P25" s="88"/>
      <c r="Q25" s="88"/>
      <c r="R25" s="88"/>
      <c r="S25" s="88"/>
      <c r="T25" s="88"/>
      <c r="U25" s="88"/>
      <c r="V25" s="88"/>
      <c r="W25" s="88"/>
      <c r="X25" s="88"/>
      <c r="Y25" s="88"/>
      <c r="Z25" s="88"/>
      <c r="AA25" s="88"/>
      <c r="AB25" s="88"/>
      <c r="AC25" s="88"/>
      <c r="AD25" s="263" t="s">
        <v>133</v>
      </c>
      <c r="AE25" s="268" t="s">
        <v>137</v>
      </c>
      <c r="AF25" s="130">
        <v>2</v>
      </c>
      <c r="AG25" s="130">
        <v>2</v>
      </c>
      <c r="AH25" s="130">
        <v>2</v>
      </c>
      <c r="AI25" s="130">
        <v>4</v>
      </c>
      <c r="AJ25" s="130">
        <v>4</v>
      </c>
      <c r="AK25" s="130">
        <v>4</v>
      </c>
      <c r="AL25" s="130">
        <v>4</v>
      </c>
      <c r="AM25" s="130">
        <v>4</v>
      </c>
      <c r="AN25" s="130">
        <v>4</v>
      </c>
      <c r="AO25" s="130">
        <v>4</v>
      </c>
      <c r="AP25" s="130">
        <v>4</v>
      </c>
      <c r="AQ25" s="130">
        <v>4</v>
      </c>
      <c r="AR25" s="130">
        <v>4</v>
      </c>
      <c r="AS25" s="130">
        <v>6</v>
      </c>
      <c r="AT25" s="130">
        <v>6</v>
      </c>
      <c r="AU25" s="130">
        <v>6</v>
      </c>
      <c r="AV25" s="130">
        <v>6</v>
      </c>
      <c r="AW25" s="130">
        <v>6</v>
      </c>
      <c r="AX25" s="130">
        <v>6</v>
      </c>
      <c r="AY25" s="88"/>
      <c r="AZ25" s="88"/>
      <c r="BA25" s="88"/>
      <c r="BB25" s="88"/>
      <c r="BC25" s="96"/>
      <c r="BD25" s="93"/>
      <c r="BE25" s="89"/>
      <c r="BF25" s="89"/>
    </row>
    <row r="26" spans="1:121" ht="15">
      <c r="A26" s="163"/>
      <c r="B26" s="290">
        <v>2</v>
      </c>
      <c r="C26" s="203">
        <v>0</v>
      </c>
      <c r="D26" s="204">
        <v>0</v>
      </c>
      <c r="E26" s="204">
        <v>0</v>
      </c>
      <c r="F26" s="204">
        <v>0</v>
      </c>
      <c r="G26" s="204">
        <v>0</v>
      </c>
      <c r="H26" s="204">
        <v>0</v>
      </c>
      <c r="I26" s="204">
        <v>0</v>
      </c>
      <c r="J26" s="291">
        <v>0</v>
      </c>
      <c r="K26" s="206">
        <v>2</v>
      </c>
      <c r="L26" s="88"/>
      <c r="M26" s="88"/>
      <c r="N26" s="88"/>
      <c r="O26" s="88"/>
      <c r="P26" s="88"/>
      <c r="Q26" s="88"/>
      <c r="R26" s="88"/>
      <c r="S26" s="88"/>
      <c r="T26" s="88"/>
      <c r="U26" s="88"/>
      <c r="V26" s="88"/>
      <c r="W26" s="88"/>
      <c r="X26" s="88"/>
      <c r="Y26" s="88"/>
      <c r="Z26" s="88"/>
      <c r="AA26" s="88"/>
      <c r="AB26" s="88"/>
      <c r="AC26" s="88"/>
      <c r="AD26" s="263" t="s">
        <v>168</v>
      </c>
      <c r="AE26" s="268" t="s">
        <v>137</v>
      </c>
      <c r="AF26" s="130">
        <v>3</v>
      </c>
      <c r="AG26" s="130">
        <v>3</v>
      </c>
      <c r="AH26" s="130">
        <v>3</v>
      </c>
      <c r="AI26" s="130">
        <v>7</v>
      </c>
      <c r="AJ26" s="130">
        <v>7</v>
      </c>
      <c r="AK26" s="130">
        <v>7</v>
      </c>
      <c r="AL26" s="130">
        <v>7</v>
      </c>
      <c r="AM26" s="130">
        <v>7</v>
      </c>
      <c r="AN26" s="130">
        <v>7</v>
      </c>
      <c r="AO26" s="130">
        <v>7</v>
      </c>
      <c r="AP26" s="130">
        <v>7</v>
      </c>
      <c r="AQ26" s="130">
        <v>7</v>
      </c>
      <c r="AR26" s="130">
        <v>7</v>
      </c>
      <c r="AS26" s="130">
        <v>8</v>
      </c>
      <c r="AT26" s="130">
        <v>8</v>
      </c>
      <c r="AU26" s="130">
        <v>8</v>
      </c>
      <c r="AV26" s="130">
        <v>8</v>
      </c>
      <c r="AW26" s="130">
        <v>8</v>
      </c>
      <c r="AX26" s="262">
        <v>8</v>
      </c>
      <c r="AY26" s="88"/>
      <c r="AZ26" s="88"/>
      <c r="BA26" s="88"/>
      <c r="BB26" s="88"/>
      <c r="BC26" s="96"/>
      <c r="BD26" s="93"/>
      <c r="BE26" s="89"/>
      <c r="BF26" s="89"/>
    </row>
    <row r="27" spans="1:121" ht="15">
      <c r="A27" s="163"/>
      <c r="B27" s="290">
        <v>3</v>
      </c>
      <c r="C27" s="203">
        <v>1.4723336E-2</v>
      </c>
      <c r="D27" s="204">
        <v>2.5476018999999999E-2</v>
      </c>
      <c r="E27" s="204">
        <v>2.1531825000000001E-2</v>
      </c>
      <c r="F27" s="204">
        <v>3.1197994E-2</v>
      </c>
      <c r="G27" s="204">
        <v>2.149875E-2</v>
      </c>
      <c r="H27" s="204">
        <v>3.3075E-2</v>
      </c>
      <c r="I27" s="204">
        <v>2.9866725E-2</v>
      </c>
      <c r="J27" s="291">
        <v>3.7837799999999998E-2</v>
      </c>
      <c r="K27" s="206">
        <v>3</v>
      </c>
      <c r="L27" s="88"/>
      <c r="M27" s="88"/>
      <c r="N27" s="88"/>
      <c r="O27" s="88"/>
      <c r="P27" s="88"/>
      <c r="Q27" s="88"/>
      <c r="R27" s="88"/>
      <c r="S27" s="88"/>
      <c r="T27" s="88"/>
      <c r="U27" s="88"/>
      <c r="V27" s="88"/>
      <c r="W27" s="88"/>
      <c r="X27" s="88"/>
      <c r="Y27" s="88"/>
      <c r="Z27" s="88"/>
      <c r="AA27" s="88"/>
      <c r="AB27" s="88"/>
      <c r="AC27" s="88"/>
      <c r="AD27" s="263" t="s">
        <v>134</v>
      </c>
      <c r="AE27" s="268" t="s">
        <v>137</v>
      </c>
      <c r="AF27" s="130">
        <v>3</v>
      </c>
      <c r="AG27" s="130">
        <v>3</v>
      </c>
      <c r="AH27" s="130">
        <v>3</v>
      </c>
      <c r="AI27" s="130">
        <v>7</v>
      </c>
      <c r="AJ27" s="130">
        <v>7</v>
      </c>
      <c r="AK27" s="130">
        <v>7</v>
      </c>
      <c r="AL27" s="130">
        <v>7</v>
      </c>
      <c r="AM27" s="130">
        <v>7</v>
      </c>
      <c r="AN27" s="130">
        <v>7</v>
      </c>
      <c r="AO27" s="130">
        <v>7</v>
      </c>
      <c r="AP27" s="130">
        <v>7</v>
      </c>
      <c r="AQ27" s="130">
        <v>7</v>
      </c>
      <c r="AR27" s="130">
        <v>7</v>
      </c>
      <c r="AS27" s="130">
        <v>8</v>
      </c>
      <c r="AT27" s="130">
        <v>8</v>
      </c>
      <c r="AU27" s="130">
        <v>8</v>
      </c>
      <c r="AV27" s="130">
        <v>8</v>
      </c>
      <c r="AW27" s="130">
        <v>8</v>
      </c>
      <c r="AX27" s="262">
        <v>8</v>
      </c>
      <c r="AY27" s="88"/>
      <c r="AZ27" s="96"/>
      <c r="BA27" s="94"/>
      <c r="BB27" s="95"/>
      <c r="BC27" s="96"/>
      <c r="BD27" s="93"/>
      <c r="BE27" s="89"/>
      <c r="BF27" s="89"/>
    </row>
    <row r="28" spans="1:121" ht="15">
      <c r="A28" s="163"/>
      <c r="B28" s="290">
        <v>4</v>
      </c>
      <c r="C28" s="203">
        <v>3.4899760000000002E-2</v>
      </c>
      <c r="D28" s="204">
        <v>6.03876E-2</v>
      </c>
      <c r="E28" s="204">
        <v>5.1038399999999998E-2</v>
      </c>
      <c r="F28" s="204">
        <v>7.3950799999999997E-2</v>
      </c>
      <c r="G28" s="204">
        <v>5.0959999999999998E-2</v>
      </c>
      <c r="H28" s="204">
        <v>7.8399999999999997E-2</v>
      </c>
      <c r="I28" s="204">
        <v>7.0795200000000003E-2</v>
      </c>
      <c r="J28" s="291">
        <v>8.9689599999999994E-2</v>
      </c>
      <c r="K28" s="206">
        <v>4</v>
      </c>
      <c r="L28" s="88"/>
      <c r="M28" s="88"/>
      <c r="N28" s="88"/>
      <c r="O28" s="88"/>
      <c r="P28" s="88"/>
      <c r="Q28" s="88"/>
      <c r="R28" s="88"/>
      <c r="S28" s="88"/>
      <c r="T28" s="88"/>
      <c r="U28" s="88"/>
      <c r="V28" s="88"/>
      <c r="W28" s="88"/>
      <c r="X28" s="88"/>
      <c r="Y28" s="88"/>
      <c r="Z28" s="88"/>
      <c r="AA28" s="88"/>
      <c r="AB28" s="88"/>
      <c r="AC28" s="88"/>
      <c r="AD28" s="263" t="s">
        <v>169</v>
      </c>
      <c r="AE28" s="268" t="s">
        <v>137</v>
      </c>
      <c r="AF28" s="130">
        <v>3</v>
      </c>
      <c r="AG28" s="130">
        <v>3</v>
      </c>
      <c r="AH28" s="130">
        <v>3</v>
      </c>
      <c r="AI28" s="130">
        <v>7</v>
      </c>
      <c r="AJ28" s="130">
        <v>7</v>
      </c>
      <c r="AK28" s="130">
        <v>7</v>
      </c>
      <c r="AL28" s="130">
        <v>7</v>
      </c>
      <c r="AM28" s="130">
        <v>7</v>
      </c>
      <c r="AN28" s="130">
        <v>7</v>
      </c>
      <c r="AO28" s="130">
        <v>7</v>
      </c>
      <c r="AP28" s="130">
        <v>7</v>
      </c>
      <c r="AQ28" s="130">
        <v>7</v>
      </c>
      <c r="AR28" s="130">
        <v>7</v>
      </c>
      <c r="AS28" s="130">
        <v>8</v>
      </c>
      <c r="AT28" s="130">
        <v>8</v>
      </c>
      <c r="AU28" s="130">
        <v>8</v>
      </c>
      <c r="AV28" s="130">
        <v>8</v>
      </c>
      <c r="AW28" s="130">
        <v>8</v>
      </c>
      <c r="AX28" s="262">
        <v>8</v>
      </c>
      <c r="AY28" s="88"/>
      <c r="AZ28" s="96"/>
      <c r="BA28" s="94"/>
      <c r="BB28" s="95"/>
      <c r="BC28" s="96"/>
      <c r="BD28" s="93"/>
      <c r="BE28" s="89"/>
      <c r="BF28" s="89"/>
    </row>
    <row r="29" spans="1:121" ht="15">
      <c r="A29" s="163"/>
      <c r="B29" s="290">
        <v>5</v>
      </c>
      <c r="C29" s="203">
        <v>6.8163593999999994E-2</v>
      </c>
      <c r="D29" s="204">
        <v>0.11794453100000001</v>
      </c>
      <c r="E29" s="204">
        <v>9.9684375000000006E-2</v>
      </c>
      <c r="F29" s="204">
        <v>0.14443515600000001</v>
      </c>
      <c r="G29" s="204">
        <v>9.9531250000000002E-2</v>
      </c>
      <c r="H29" s="204">
        <v>0.15312500000000001</v>
      </c>
      <c r="I29" s="204">
        <v>0.13827187499999999</v>
      </c>
      <c r="J29" s="291">
        <v>0.175175</v>
      </c>
      <c r="K29" s="206">
        <v>5</v>
      </c>
      <c r="L29" s="88"/>
      <c r="M29" s="88"/>
      <c r="N29" s="88"/>
      <c r="O29" s="88"/>
      <c r="P29" s="88"/>
      <c r="Q29" s="88"/>
      <c r="R29" s="88"/>
      <c r="S29" s="88"/>
      <c r="T29" s="88"/>
      <c r="U29" s="88"/>
      <c r="V29" s="88"/>
      <c r="W29" s="88"/>
      <c r="X29" s="88"/>
      <c r="Y29" s="88"/>
      <c r="Z29" s="88"/>
      <c r="AA29" s="88"/>
      <c r="AB29" s="88"/>
      <c r="AC29" s="88"/>
      <c r="AD29" s="263" t="s">
        <v>170</v>
      </c>
      <c r="AE29" s="268" t="s">
        <v>137</v>
      </c>
      <c r="AF29" s="130">
        <v>3</v>
      </c>
      <c r="AG29" s="130">
        <v>3</v>
      </c>
      <c r="AH29" s="130">
        <v>3</v>
      </c>
      <c r="AI29" s="130">
        <v>7</v>
      </c>
      <c r="AJ29" s="365">
        <v>7</v>
      </c>
      <c r="AK29" s="130">
        <v>7</v>
      </c>
      <c r="AL29" s="130">
        <v>7</v>
      </c>
      <c r="AM29" s="130">
        <v>7</v>
      </c>
      <c r="AN29" s="130">
        <v>7</v>
      </c>
      <c r="AO29" s="130">
        <v>7</v>
      </c>
      <c r="AP29" s="130">
        <v>7</v>
      </c>
      <c r="AQ29" s="130">
        <v>7</v>
      </c>
      <c r="AR29" s="130">
        <v>7</v>
      </c>
      <c r="AS29" s="166">
        <v>8</v>
      </c>
      <c r="AT29" s="166">
        <v>8</v>
      </c>
      <c r="AU29" s="166">
        <v>8</v>
      </c>
      <c r="AV29" s="166">
        <v>8</v>
      </c>
      <c r="AW29" s="166">
        <v>8</v>
      </c>
      <c r="AX29" s="166">
        <v>8</v>
      </c>
      <c r="AY29" s="88"/>
      <c r="AZ29" s="96"/>
      <c r="BA29" s="94"/>
      <c r="BB29" s="95"/>
      <c r="BC29" s="96"/>
      <c r="BD29" s="93"/>
      <c r="BE29" s="89"/>
      <c r="BF29" s="89"/>
    </row>
    <row r="30" spans="1:121" ht="16" thickBot="1">
      <c r="A30" s="163"/>
      <c r="B30" s="290">
        <v>6</v>
      </c>
      <c r="C30" s="203">
        <v>0.11778669</v>
      </c>
      <c r="D30" s="204">
        <v>0.20380814999999999</v>
      </c>
      <c r="E30" s="204">
        <v>0.17225460000000001</v>
      </c>
      <c r="F30" s="204">
        <v>0.24958395</v>
      </c>
      <c r="G30" s="204">
        <v>0.17199</v>
      </c>
      <c r="H30" s="204">
        <v>0.2646</v>
      </c>
      <c r="I30" s="204">
        <v>0.2389338</v>
      </c>
      <c r="J30" s="291">
        <v>0.30270239999999998</v>
      </c>
      <c r="K30" s="206">
        <v>6</v>
      </c>
      <c r="L30" s="88"/>
      <c r="M30" s="88"/>
      <c r="N30" s="88"/>
      <c r="O30" s="88"/>
      <c r="P30" s="88"/>
      <c r="Q30" s="88"/>
      <c r="R30" s="88"/>
      <c r="S30" s="88"/>
      <c r="T30" s="88"/>
      <c r="U30" s="88"/>
      <c r="V30" s="88"/>
      <c r="W30" s="88"/>
      <c r="X30" s="88"/>
      <c r="Y30" s="88"/>
      <c r="Z30" s="88"/>
      <c r="AA30" s="88"/>
      <c r="AB30" s="88"/>
      <c r="AC30" s="88"/>
      <c r="AD30" s="264" t="s">
        <v>171</v>
      </c>
      <c r="AE30" s="269" t="s">
        <v>137</v>
      </c>
      <c r="AF30" s="265">
        <v>4</v>
      </c>
      <c r="AG30" s="265">
        <v>4</v>
      </c>
      <c r="AH30" s="265">
        <v>4</v>
      </c>
      <c r="AI30" s="130">
        <v>7</v>
      </c>
      <c r="AJ30" s="365">
        <v>7</v>
      </c>
      <c r="AK30" s="130">
        <v>7</v>
      </c>
      <c r="AL30" s="130">
        <v>7</v>
      </c>
      <c r="AM30" s="130">
        <v>7</v>
      </c>
      <c r="AN30" s="130">
        <v>7</v>
      </c>
      <c r="AO30" s="130">
        <v>7</v>
      </c>
      <c r="AP30" s="130">
        <v>7</v>
      </c>
      <c r="AQ30" s="130">
        <v>7</v>
      </c>
      <c r="AR30" s="130">
        <v>7</v>
      </c>
      <c r="AS30" s="166">
        <v>8</v>
      </c>
      <c r="AT30" s="166">
        <v>8</v>
      </c>
      <c r="AU30" s="166">
        <v>8</v>
      </c>
      <c r="AV30" s="166">
        <v>8</v>
      </c>
      <c r="AW30" s="166">
        <v>8</v>
      </c>
      <c r="AX30" s="166">
        <v>8</v>
      </c>
      <c r="AY30" s="88"/>
      <c r="AZ30" s="96"/>
      <c r="BA30" s="94"/>
      <c r="BB30" s="95"/>
      <c r="BC30" s="96"/>
      <c r="BD30" s="93"/>
      <c r="BE30" s="89"/>
      <c r="BF30" s="89"/>
    </row>
    <row r="31" spans="1:121">
      <c r="A31" s="163"/>
      <c r="B31" s="290">
        <v>7</v>
      </c>
      <c r="C31" s="203">
        <v>0.18704090100000001</v>
      </c>
      <c r="D31" s="204">
        <v>0.32363979399999998</v>
      </c>
      <c r="E31" s="204">
        <v>0.27353392500000001</v>
      </c>
      <c r="F31" s="204">
        <v>0.39633006900000001</v>
      </c>
      <c r="G31" s="204">
        <v>0.27311374999999999</v>
      </c>
      <c r="H31" s="204">
        <v>0.42017500000000002</v>
      </c>
      <c r="I31" s="204">
        <v>0.37941802499999999</v>
      </c>
      <c r="J31" s="291">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18">
      <c r="A32" s="163"/>
      <c r="B32" s="290">
        <v>8</v>
      </c>
      <c r="C32" s="203">
        <v>0.27919808000000002</v>
      </c>
      <c r="D32" s="204">
        <v>0.4831008</v>
      </c>
      <c r="E32" s="204">
        <v>0.40830719999999998</v>
      </c>
      <c r="F32" s="204">
        <v>0.59160639999999998</v>
      </c>
      <c r="G32" s="204">
        <v>0.40767999999999999</v>
      </c>
      <c r="H32" s="204">
        <v>0.62719999999999998</v>
      </c>
      <c r="I32" s="204">
        <v>0.56636160000000002</v>
      </c>
      <c r="J32" s="291">
        <v>0.71751679999999995</v>
      </c>
      <c r="K32" s="206">
        <v>8</v>
      </c>
      <c r="L32" s="88"/>
      <c r="M32" s="88"/>
      <c r="N32" s="88"/>
      <c r="O32" s="88"/>
      <c r="P32" s="88"/>
      <c r="Q32" s="88"/>
      <c r="R32" s="88"/>
      <c r="S32" s="88"/>
      <c r="T32" s="88"/>
      <c r="U32" s="88"/>
      <c r="V32" s="88"/>
      <c r="W32" s="88"/>
      <c r="X32" s="88"/>
      <c r="Y32" s="88"/>
      <c r="Z32" s="88"/>
      <c r="AA32" s="88"/>
      <c r="AB32" s="88"/>
      <c r="AC32" s="88"/>
      <c r="AD32" s="88"/>
      <c r="AE32" s="492"/>
      <c r="AF32" s="492"/>
      <c r="AG32" s="492"/>
      <c r="AH32" s="492"/>
      <c r="AI32" s="492"/>
      <c r="AJ32" s="492"/>
      <c r="AK32" s="492"/>
      <c r="AL32" s="492"/>
      <c r="AM32" s="88"/>
      <c r="AN32" s="88"/>
      <c r="AO32" s="560" t="s">
        <v>362</v>
      </c>
      <c r="AP32" s="88"/>
      <c r="AQ32" s="88"/>
      <c r="AR32" s="88"/>
      <c r="AS32" s="88"/>
      <c r="AT32" s="88"/>
      <c r="AU32" s="88"/>
      <c r="AV32" s="88"/>
      <c r="AW32" s="88"/>
      <c r="AX32" s="88"/>
      <c r="AY32" s="88"/>
      <c r="AZ32" s="96"/>
      <c r="BA32" s="94"/>
      <c r="BB32" s="95"/>
      <c r="BC32" s="96"/>
      <c r="BD32" s="93"/>
      <c r="BE32" s="89"/>
      <c r="BF32" s="89"/>
    </row>
    <row r="33" spans="1:58" ht="15" thickBot="1">
      <c r="A33" s="163"/>
      <c r="B33" s="290">
        <v>9</v>
      </c>
      <c r="C33" s="203">
        <v>0.39753007899999998</v>
      </c>
      <c r="D33" s="204">
        <v>0.68785250600000003</v>
      </c>
      <c r="E33" s="204">
        <v>0.58135927499999995</v>
      </c>
      <c r="F33" s="204">
        <v>0.84234583100000004</v>
      </c>
      <c r="G33" s="204">
        <v>0.58046624999999996</v>
      </c>
      <c r="H33" s="204">
        <v>0.89302499999999996</v>
      </c>
      <c r="I33" s="204">
        <v>0.80640157499999998</v>
      </c>
      <c r="J33" s="291">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 thickTop="1" thickBot="1">
      <c r="A34" s="163"/>
      <c r="B34" s="290">
        <v>10</v>
      </c>
      <c r="C34" s="203">
        <v>0.54530875000000001</v>
      </c>
      <c r="D34" s="204">
        <v>0.94355624999999999</v>
      </c>
      <c r="E34" s="204">
        <v>0.79747500000000004</v>
      </c>
      <c r="F34" s="204">
        <v>1</v>
      </c>
      <c r="G34" s="204">
        <v>0.79625000000000001</v>
      </c>
      <c r="H34" s="204">
        <v>1</v>
      </c>
      <c r="I34" s="204">
        <v>1</v>
      </c>
      <c r="J34" s="291">
        <v>1</v>
      </c>
      <c r="K34" s="206">
        <v>10</v>
      </c>
      <c r="L34" s="88"/>
      <c r="M34" s="88"/>
      <c r="N34" s="88"/>
      <c r="O34" s="88"/>
      <c r="P34" s="88"/>
      <c r="Q34" s="88"/>
      <c r="R34" s="88"/>
      <c r="S34" s="88"/>
      <c r="T34" s="88"/>
      <c r="U34" s="88"/>
      <c r="V34" s="88"/>
      <c r="W34" s="88"/>
      <c r="X34" s="88"/>
      <c r="Y34" s="88"/>
      <c r="Z34" s="88"/>
      <c r="AA34" s="88"/>
      <c r="AB34" s="88"/>
      <c r="AC34" s="88"/>
      <c r="AD34" s="337"/>
      <c r="AE34" s="338"/>
      <c r="AF34" s="270">
        <v>2014</v>
      </c>
      <c r="AG34" s="271">
        <v>2016</v>
      </c>
      <c r="AH34" s="271">
        <v>2018</v>
      </c>
      <c r="AI34" s="271">
        <v>2020</v>
      </c>
      <c r="AJ34" s="271">
        <v>2022</v>
      </c>
      <c r="AK34" s="271">
        <v>2024</v>
      </c>
      <c r="AL34" s="271">
        <v>2026</v>
      </c>
      <c r="AM34" s="271">
        <v>2028</v>
      </c>
      <c r="AN34" s="271">
        <v>2030</v>
      </c>
      <c r="AO34" s="271">
        <v>2032</v>
      </c>
      <c r="AP34" s="271">
        <v>2034</v>
      </c>
      <c r="AQ34" s="271">
        <v>2036</v>
      </c>
      <c r="AR34" s="271">
        <v>2038</v>
      </c>
      <c r="AS34" s="271">
        <v>2040</v>
      </c>
      <c r="AT34" s="271">
        <v>2042</v>
      </c>
      <c r="AU34" s="271">
        <v>2044</v>
      </c>
      <c r="AV34" s="271">
        <v>2046</v>
      </c>
      <c r="AW34" s="271">
        <v>2048</v>
      </c>
      <c r="AX34" s="272">
        <v>2050</v>
      </c>
      <c r="AY34" s="88"/>
      <c r="AZ34" s="96"/>
      <c r="BA34" s="94"/>
      <c r="BB34" s="97"/>
      <c r="BC34" s="96"/>
      <c r="BD34" s="93"/>
      <c r="BE34" s="89"/>
      <c r="BF34" s="89"/>
    </row>
    <row r="35" spans="1:58" ht="17" thickTop="1" thickBot="1">
      <c r="A35" s="163"/>
      <c r="B35" s="290">
        <v>11</v>
      </c>
      <c r="C35" s="203">
        <v>0.72580594600000004</v>
      </c>
      <c r="D35" s="204">
        <v>1</v>
      </c>
      <c r="E35" s="204">
        <v>1</v>
      </c>
      <c r="F35" s="204">
        <v>1</v>
      </c>
      <c r="G35" s="204">
        <v>1</v>
      </c>
      <c r="H35" s="204">
        <v>1</v>
      </c>
      <c r="I35" s="204">
        <v>1</v>
      </c>
      <c r="J35" s="291">
        <v>1</v>
      </c>
      <c r="K35" s="206">
        <v>11</v>
      </c>
      <c r="L35" s="88"/>
      <c r="M35" s="88"/>
      <c r="N35" s="88"/>
      <c r="O35" s="88"/>
      <c r="P35" s="88"/>
      <c r="Q35" s="88"/>
      <c r="R35" s="88"/>
      <c r="S35" s="88"/>
      <c r="T35" s="88"/>
      <c r="U35" s="88"/>
      <c r="V35" s="88"/>
      <c r="W35" s="88"/>
      <c r="X35" s="88"/>
      <c r="Y35" s="88"/>
      <c r="Z35" s="88"/>
      <c r="AA35" s="88"/>
      <c r="AB35" s="88"/>
      <c r="AC35" s="88"/>
      <c r="AD35" s="261" t="s">
        <v>167</v>
      </c>
      <c r="AE35" s="267" t="s">
        <v>137</v>
      </c>
      <c r="AF35" s="130">
        <v>1</v>
      </c>
      <c r="AG35" s="130">
        <v>1</v>
      </c>
      <c r="AH35" s="130">
        <v>5</v>
      </c>
      <c r="AI35" s="130">
        <v>5</v>
      </c>
      <c r="AJ35" s="130">
        <v>5</v>
      </c>
      <c r="AK35" s="130">
        <v>6</v>
      </c>
      <c r="AL35" s="130">
        <v>6</v>
      </c>
      <c r="AM35" s="130">
        <v>6</v>
      </c>
      <c r="AN35" s="130">
        <v>6</v>
      </c>
      <c r="AO35" s="130">
        <v>6</v>
      </c>
      <c r="AP35" s="130">
        <v>6</v>
      </c>
      <c r="AQ35" s="130">
        <v>6</v>
      </c>
      <c r="AR35" s="130">
        <v>6</v>
      </c>
      <c r="AS35" s="130">
        <v>6</v>
      </c>
      <c r="AT35" s="130">
        <v>6</v>
      </c>
      <c r="AU35" s="130">
        <v>6</v>
      </c>
      <c r="AV35" s="130">
        <v>6</v>
      </c>
      <c r="AW35" s="130">
        <v>6</v>
      </c>
      <c r="AX35" s="262">
        <v>6</v>
      </c>
      <c r="AY35" s="94"/>
      <c r="AZ35" s="96"/>
      <c r="BA35" s="94"/>
      <c r="BB35" s="97"/>
      <c r="BC35" s="96"/>
      <c r="BD35" s="93"/>
      <c r="BE35" s="89"/>
      <c r="BF35" s="89"/>
    </row>
    <row r="36" spans="1:58" ht="16" thickTop="1">
      <c r="A36" s="163"/>
      <c r="B36" s="290">
        <v>12</v>
      </c>
      <c r="C36" s="203">
        <v>0.94229352</v>
      </c>
      <c r="D36" s="204">
        <v>1</v>
      </c>
      <c r="E36" s="204">
        <v>1</v>
      </c>
      <c r="F36" s="204">
        <v>1</v>
      </c>
      <c r="G36" s="204">
        <v>1</v>
      </c>
      <c r="H36" s="204">
        <v>1</v>
      </c>
      <c r="I36" s="204">
        <v>1</v>
      </c>
      <c r="J36" s="291">
        <v>1</v>
      </c>
      <c r="K36" s="206">
        <v>12</v>
      </c>
      <c r="L36" s="88"/>
      <c r="M36" s="88"/>
      <c r="N36" s="88"/>
      <c r="O36" s="88"/>
      <c r="P36" s="88"/>
      <c r="Q36" s="88"/>
      <c r="R36" s="88"/>
      <c r="S36" s="88"/>
      <c r="T36" s="88"/>
      <c r="U36" s="88"/>
      <c r="V36" s="88"/>
      <c r="W36" s="88"/>
      <c r="X36" s="88"/>
      <c r="Y36" s="88"/>
      <c r="Z36" s="88"/>
      <c r="AA36" s="88"/>
      <c r="AB36" s="88"/>
      <c r="AC36" s="88"/>
      <c r="AD36" s="261" t="s">
        <v>112</v>
      </c>
      <c r="AE36" s="267" t="s">
        <v>137</v>
      </c>
      <c r="AF36" s="130">
        <v>1</v>
      </c>
      <c r="AG36" s="130">
        <v>1</v>
      </c>
      <c r="AH36" s="130">
        <v>5</v>
      </c>
      <c r="AI36" s="130">
        <v>5</v>
      </c>
      <c r="AJ36" s="130">
        <v>5</v>
      </c>
      <c r="AK36" s="130">
        <v>6</v>
      </c>
      <c r="AL36" s="130">
        <v>6</v>
      </c>
      <c r="AM36" s="130">
        <v>6</v>
      </c>
      <c r="AN36" s="130">
        <v>6</v>
      </c>
      <c r="AO36" s="130">
        <v>6</v>
      </c>
      <c r="AP36" s="130">
        <v>6</v>
      </c>
      <c r="AQ36" s="130">
        <v>6</v>
      </c>
      <c r="AR36" s="130">
        <v>6</v>
      </c>
      <c r="AS36" s="130">
        <v>6</v>
      </c>
      <c r="AT36" s="130">
        <v>6</v>
      </c>
      <c r="AU36" s="130">
        <v>6</v>
      </c>
      <c r="AV36" s="130">
        <v>6</v>
      </c>
      <c r="AW36" s="130">
        <v>6</v>
      </c>
      <c r="AX36" s="262">
        <v>6</v>
      </c>
      <c r="AY36" s="94"/>
      <c r="AZ36" s="96"/>
      <c r="BA36" s="94"/>
      <c r="BB36" s="97"/>
      <c r="BC36" s="96"/>
      <c r="BD36" s="93"/>
      <c r="BE36" s="89"/>
      <c r="BF36" s="89"/>
    </row>
    <row r="37" spans="1:58" ht="15">
      <c r="A37" s="163"/>
      <c r="B37" s="290">
        <v>13</v>
      </c>
      <c r="C37" s="203">
        <v>1</v>
      </c>
      <c r="D37" s="204">
        <v>1</v>
      </c>
      <c r="E37" s="204">
        <v>1</v>
      </c>
      <c r="F37" s="204">
        <v>1</v>
      </c>
      <c r="G37" s="204">
        <v>1</v>
      </c>
      <c r="H37" s="204">
        <v>1</v>
      </c>
      <c r="I37" s="204">
        <v>1</v>
      </c>
      <c r="J37" s="291">
        <v>1</v>
      </c>
      <c r="K37" s="206">
        <v>13</v>
      </c>
      <c r="L37" s="88"/>
      <c r="M37" s="88"/>
      <c r="N37" s="88"/>
      <c r="O37" s="88"/>
      <c r="P37" s="88"/>
      <c r="Q37" s="88"/>
      <c r="R37" s="88"/>
      <c r="S37" s="88"/>
      <c r="T37" s="88"/>
      <c r="U37" s="88"/>
      <c r="V37" s="88"/>
      <c r="W37" s="88"/>
      <c r="X37" s="88"/>
      <c r="Y37" s="88"/>
      <c r="Z37" s="88"/>
      <c r="AA37" s="88"/>
      <c r="AB37" s="88"/>
      <c r="AC37" s="88"/>
      <c r="AD37" s="263" t="s">
        <v>131</v>
      </c>
      <c r="AE37" s="268" t="s">
        <v>137</v>
      </c>
      <c r="AF37" s="130">
        <v>1</v>
      </c>
      <c r="AG37" s="130">
        <v>1</v>
      </c>
      <c r="AH37" s="130">
        <v>5</v>
      </c>
      <c r="AI37" s="130">
        <v>5</v>
      </c>
      <c r="AJ37" s="130">
        <v>5</v>
      </c>
      <c r="AK37" s="130">
        <v>6</v>
      </c>
      <c r="AL37" s="130">
        <v>6</v>
      </c>
      <c r="AM37" s="130">
        <v>6</v>
      </c>
      <c r="AN37" s="130">
        <v>6</v>
      </c>
      <c r="AO37" s="130">
        <v>6</v>
      </c>
      <c r="AP37" s="130">
        <v>6</v>
      </c>
      <c r="AQ37" s="130">
        <v>6</v>
      </c>
      <c r="AR37" s="130">
        <v>6</v>
      </c>
      <c r="AS37" s="130">
        <v>6</v>
      </c>
      <c r="AT37" s="130">
        <v>6</v>
      </c>
      <c r="AU37" s="130">
        <v>6</v>
      </c>
      <c r="AV37" s="130">
        <v>6</v>
      </c>
      <c r="AW37" s="130">
        <v>6</v>
      </c>
      <c r="AX37" s="262">
        <v>6</v>
      </c>
      <c r="AY37" s="94"/>
      <c r="AZ37" s="96"/>
      <c r="BA37" s="94"/>
      <c r="BB37" s="95"/>
      <c r="BC37" s="96"/>
      <c r="BD37" s="93"/>
      <c r="BE37" s="89"/>
      <c r="BF37" s="89"/>
    </row>
    <row r="38" spans="1:58" ht="15">
      <c r="A38" s="163"/>
      <c r="B38" s="290">
        <v>14</v>
      </c>
      <c r="C38" s="203">
        <v>1</v>
      </c>
      <c r="D38" s="204">
        <v>1</v>
      </c>
      <c r="E38" s="204">
        <v>1</v>
      </c>
      <c r="F38" s="204">
        <v>1</v>
      </c>
      <c r="G38" s="204">
        <v>1</v>
      </c>
      <c r="H38" s="204">
        <v>1</v>
      </c>
      <c r="I38" s="204">
        <v>1</v>
      </c>
      <c r="J38" s="291">
        <v>1</v>
      </c>
      <c r="K38" s="206">
        <v>14</v>
      </c>
      <c r="L38" s="88"/>
      <c r="M38" s="88"/>
      <c r="N38" s="88"/>
      <c r="O38" s="88"/>
      <c r="P38" s="88"/>
      <c r="Q38" s="88"/>
      <c r="R38" s="88"/>
      <c r="S38" s="88"/>
      <c r="T38" s="88"/>
      <c r="U38" s="88"/>
      <c r="V38" s="88"/>
      <c r="W38" s="88"/>
      <c r="X38" s="88"/>
      <c r="Y38" s="88"/>
      <c r="Z38" s="88"/>
      <c r="AA38" s="88"/>
      <c r="AB38" s="88"/>
      <c r="AC38" s="88"/>
      <c r="AD38" s="263" t="s">
        <v>130</v>
      </c>
      <c r="AE38" s="268" t="s">
        <v>137</v>
      </c>
      <c r="AF38" s="130">
        <v>1</v>
      </c>
      <c r="AG38" s="130">
        <v>1</v>
      </c>
      <c r="AH38" s="130">
        <v>5</v>
      </c>
      <c r="AI38" s="130">
        <v>5</v>
      </c>
      <c r="AJ38" s="130">
        <v>5</v>
      </c>
      <c r="AK38" s="130">
        <v>6</v>
      </c>
      <c r="AL38" s="130">
        <v>6</v>
      </c>
      <c r="AM38" s="130">
        <v>6</v>
      </c>
      <c r="AN38" s="130">
        <v>6</v>
      </c>
      <c r="AO38" s="130">
        <v>6</v>
      </c>
      <c r="AP38" s="130">
        <v>6</v>
      </c>
      <c r="AQ38" s="130">
        <v>6</v>
      </c>
      <c r="AR38" s="130">
        <v>6</v>
      </c>
      <c r="AS38" s="130">
        <v>6</v>
      </c>
      <c r="AT38" s="166">
        <v>6</v>
      </c>
      <c r="AU38" s="130">
        <v>6</v>
      </c>
      <c r="AV38" s="130">
        <v>6</v>
      </c>
      <c r="AW38" s="130">
        <v>6</v>
      </c>
      <c r="AX38" s="262">
        <v>6</v>
      </c>
      <c r="AY38" s="94"/>
      <c r="AZ38" s="96"/>
      <c r="BA38" s="94"/>
      <c r="BB38" s="95"/>
      <c r="BC38" s="96"/>
      <c r="BD38" s="93"/>
      <c r="BE38" s="89"/>
      <c r="BF38" s="89"/>
    </row>
    <row r="39" spans="1:58" ht="15">
      <c r="A39" s="163"/>
      <c r="B39" s="290">
        <v>15</v>
      </c>
      <c r="C39" s="203">
        <v>1</v>
      </c>
      <c r="D39" s="204">
        <v>1</v>
      </c>
      <c r="E39" s="204">
        <v>1</v>
      </c>
      <c r="F39" s="204">
        <v>1</v>
      </c>
      <c r="G39" s="204">
        <v>1</v>
      </c>
      <c r="H39" s="204">
        <v>1</v>
      </c>
      <c r="I39" s="204">
        <v>1</v>
      </c>
      <c r="J39" s="291">
        <v>1</v>
      </c>
      <c r="K39" s="206">
        <v>15</v>
      </c>
      <c r="L39" s="88"/>
      <c r="M39" s="88"/>
      <c r="N39" s="88"/>
      <c r="O39" s="88"/>
      <c r="P39" s="88"/>
      <c r="Q39" s="88"/>
      <c r="R39" s="88"/>
      <c r="S39" s="88"/>
      <c r="T39" s="88"/>
      <c r="U39" s="88"/>
      <c r="V39" s="88"/>
      <c r="W39" s="88"/>
      <c r="X39" s="88"/>
      <c r="Y39" s="88"/>
      <c r="Z39" s="88"/>
      <c r="AA39" s="88"/>
      <c r="AB39" s="88"/>
      <c r="AC39" s="88"/>
      <c r="AD39" s="263" t="s">
        <v>132</v>
      </c>
      <c r="AE39" s="268" t="s">
        <v>137</v>
      </c>
      <c r="AF39" s="130">
        <v>2</v>
      </c>
      <c r="AG39" s="130">
        <v>2</v>
      </c>
      <c r="AH39" s="130">
        <v>2</v>
      </c>
      <c r="AI39" s="130">
        <v>4</v>
      </c>
      <c r="AJ39" s="130">
        <v>4</v>
      </c>
      <c r="AK39" s="130">
        <v>4</v>
      </c>
      <c r="AL39" s="130">
        <v>4</v>
      </c>
      <c r="AM39" s="130">
        <v>6</v>
      </c>
      <c r="AN39" s="130">
        <v>6</v>
      </c>
      <c r="AO39" s="130">
        <v>6</v>
      </c>
      <c r="AP39" s="130">
        <v>6</v>
      </c>
      <c r="AQ39" s="130">
        <v>6</v>
      </c>
      <c r="AR39" s="130">
        <v>6</v>
      </c>
      <c r="AS39" s="130">
        <v>6</v>
      </c>
      <c r="AT39" s="130">
        <v>6</v>
      </c>
      <c r="AU39" s="130">
        <v>6</v>
      </c>
      <c r="AV39" s="130">
        <v>6</v>
      </c>
      <c r="AW39" s="130">
        <v>6</v>
      </c>
      <c r="AX39" s="130">
        <v>6</v>
      </c>
      <c r="AY39" s="94"/>
      <c r="AZ39" s="96"/>
      <c r="BA39" s="94"/>
      <c r="BB39" s="95"/>
      <c r="BC39" s="96"/>
      <c r="BD39" s="93"/>
      <c r="BE39" s="89"/>
      <c r="BF39" s="89"/>
    </row>
    <row r="40" spans="1:58" ht="15">
      <c r="A40" s="163"/>
      <c r="B40" s="290">
        <v>16</v>
      </c>
      <c r="C40" s="203">
        <v>1</v>
      </c>
      <c r="D40" s="204">
        <v>1</v>
      </c>
      <c r="E40" s="204">
        <v>1</v>
      </c>
      <c r="F40" s="204">
        <v>1</v>
      </c>
      <c r="G40" s="204">
        <v>1</v>
      </c>
      <c r="H40" s="204">
        <v>1</v>
      </c>
      <c r="I40" s="204">
        <v>1</v>
      </c>
      <c r="J40" s="291">
        <v>1</v>
      </c>
      <c r="K40" s="206">
        <v>16</v>
      </c>
      <c r="L40" s="88"/>
      <c r="M40" s="88"/>
      <c r="N40" s="88"/>
      <c r="O40" s="88"/>
      <c r="P40" s="88"/>
      <c r="Q40" s="88"/>
      <c r="R40" s="88"/>
      <c r="S40" s="88"/>
      <c r="T40" s="88"/>
      <c r="U40" s="88"/>
      <c r="V40" s="88"/>
      <c r="W40" s="88"/>
      <c r="X40" s="88"/>
      <c r="Y40" s="88"/>
      <c r="Z40" s="88"/>
      <c r="AA40" s="88"/>
      <c r="AB40" s="88"/>
      <c r="AC40" s="88"/>
      <c r="AD40" s="263" t="s">
        <v>133</v>
      </c>
      <c r="AE40" s="268" t="s">
        <v>137</v>
      </c>
      <c r="AF40" s="130">
        <v>2</v>
      </c>
      <c r="AG40" s="130">
        <v>2</v>
      </c>
      <c r="AH40" s="130">
        <v>2</v>
      </c>
      <c r="AI40" s="130">
        <v>4</v>
      </c>
      <c r="AJ40" s="130">
        <v>4</v>
      </c>
      <c r="AK40" s="130">
        <v>4</v>
      </c>
      <c r="AL40" s="130">
        <v>4</v>
      </c>
      <c r="AM40" s="130">
        <v>6</v>
      </c>
      <c r="AN40" s="130">
        <v>6</v>
      </c>
      <c r="AO40" s="130">
        <v>6</v>
      </c>
      <c r="AP40" s="130">
        <v>6</v>
      </c>
      <c r="AQ40" s="130">
        <v>6</v>
      </c>
      <c r="AR40" s="130">
        <v>6</v>
      </c>
      <c r="AS40" s="130">
        <v>6</v>
      </c>
      <c r="AT40" s="130">
        <v>6</v>
      </c>
      <c r="AU40" s="130">
        <v>6</v>
      </c>
      <c r="AV40" s="130">
        <v>6</v>
      </c>
      <c r="AW40" s="130">
        <v>6</v>
      </c>
      <c r="AX40" s="130">
        <v>6</v>
      </c>
      <c r="AY40" s="94"/>
      <c r="AZ40" s="96"/>
      <c r="BA40" s="94"/>
      <c r="BB40" s="95"/>
      <c r="BC40" s="96"/>
      <c r="BD40" s="93"/>
      <c r="BE40" s="89"/>
      <c r="BF40" s="89"/>
    </row>
    <row r="41" spans="1:58" ht="15">
      <c r="A41" s="163"/>
      <c r="B41" s="290">
        <v>17</v>
      </c>
      <c r="C41" s="203">
        <v>1</v>
      </c>
      <c r="D41" s="204">
        <v>1</v>
      </c>
      <c r="E41" s="204">
        <v>1</v>
      </c>
      <c r="F41" s="204">
        <v>1</v>
      </c>
      <c r="G41" s="204">
        <v>1</v>
      </c>
      <c r="H41" s="204">
        <v>1</v>
      </c>
      <c r="I41" s="204">
        <v>1</v>
      </c>
      <c r="J41" s="291">
        <v>1</v>
      </c>
      <c r="K41" s="206">
        <v>17</v>
      </c>
      <c r="L41" s="88"/>
      <c r="M41" s="88"/>
      <c r="N41" s="88"/>
      <c r="O41" s="88"/>
      <c r="P41" s="88"/>
      <c r="Q41" s="88"/>
      <c r="R41" s="88"/>
      <c r="S41" s="88"/>
      <c r="T41" s="88"/>
      <c r="U41" s="88"/>
      <c r="V41" s="88"/>
      <c r="W41" s="88"/>
      <c r="X41" s="88"/>
      <c r="Y41" s="88"/>
      <c r="Z41" s="88"/>
      <c r="AA41" s="88"/>
      <c r="AB41" s="88"/>
      <c r="AC41" s="88"/>
      <c r="AD41" s="263" t="s">
        <v>168</v>
      </c>
      <c r="AE41" s="268" t="s">
        <v>137</v>
      </c>
      <c r="AF41" s="130">
        <v>3</v>
      </c>
      <c r="AG41" s="130">
        <v>3</v>
      </c>
      <c r="AH41" s="130">
        <v>7</v>
      </c>
      <c r="AI41" s="130">
        <v>7</v>
      </c>
      <c r="AJ41" s="130">
        <v>7</v>
      </c>
      <c r="AK41" s="130">
        <v>7</v>
      </c>
      <c r="AL41" s="130">
        <v>7</v>
      </c>
      <c r="AM41" s="130">
        <v>7</v>
      </c>
      <c r="AN41" s="130">
        <v>8</v>
      </c>
      <c r="AO41" s="130">
        <v>8</v>
      </c>
      <c r="AP41" s="130">
        <v>8</v>
      </c>
      <c r="AQ41" s="130">
        <v>8</v>
      </c>
      <c r="AR41" s="130">
        <v>8</v>
      </c>
      <c r="AS41" s="130">
        <v>8</v>
      </c>
      <c r="AT41" s="130">
        <v>8</v>
      </c>
      <c r="AU41" s="130">
        <v>8</v>
      </c>
      <c r="AV41" s="130">
        <v>8</v>
      </c>
      <c r="AW41" s="130">
        <v>8</v>
      </c>
      <c r="AX41" s="262">
        <v>8</v>
      </c>
      <c r="AY41" s="94"/>
      <c r="AZ41" s="96"/>
      <c r="BA41" s="94"/>
      <c r="BB41" s="95"/>
      <c r="BC41" s="96"/>
      <c r="BD41" s="93"/>
      <c r="BE41" s="89"/>
      <c r="BF41" s="89"/>
    </row>
    <row r="42" spans="1:58" ht="16" thickBot="1">
      <c r="A42" s="163"/>
      <c r="B42" s="292">
        <v>18</v>
      </c>
      <c r="C42" s="293">
        <v>1</v>
      </c>
      <c r="D42" s="294">
        <v>1</v>
      </c>
      <c r="E42" s="294">
        <v>1</v>
      </c>
      <c r="F42" s="294">
        <v>1</v>
      </c>
      <c r="G42" s="294">
        <v>1</v>
      </c>
      <c r="H42" s="294">
        <v>1</v>
      </c>
      <c r="I42" s="294">
        <v>1</v>
      </c>
      <c r="J42" s="295">
        <v>1</v>
      </c>
      <c r="K42" s="335">
        <v>18</v>
      </c>
      <c r="L42" s="88"/>
      <c r="M42" s="88"/>
      <c r="N42" s="88"/>
      <c r="O42" s="88"/>
      <c r="P42" s="88"/>
      <c r="Q42" s="88"/>
      <c r="R42" s="88"/>
      <c r="S42" s="88"/>
      <c r="T42" s="88"/>
      <c r="U42" s="88"/>
      <c r="V42" s="88"/>
      <c r="W42" s="88"/>
      <c r="X42" s="88"/>
      <c r="Y42" s="88"/>
      <c r="Z42" s="88"/>
      <c r="AA42" s="88"/>
      <c r="AB42" s="88"/>
      <c r="AC42" s="88"/>
      <c r="AD42" s="263" t="s">
        <v>134</v>
      </c>
      <c r="AE42" s="268" t="s">
        <v>137</v>
      </c>
      <c r="AF42" s="130">
        <v>3</v>
      </c>
      <c r="AG42" s="130">
        <v>3</v>
      </c>
      <c r="AH42" s="130">
        <v>7</v>
      </c>
      <c r="AI42" s="130">
        <v>7</v>
      </c>
      <c r="AJ42" s="130">
        <v>7</v>
      </c>
      <c r="AK42" s="130">
        <v>7</v>
      </c>
      <c r="AL42" s="130">
        <v>7</v>
      </c>
      <c r="AM42" s="130">
        <v>7</v>
      </c>
      <c r="AN42" s="130">
        <v>8</v>
      </c>
      <c r="AO42" s="130">
        <v>8</v>
      </c>
      <c r="AP42" s="130">
        <v>8</v>
      </c>
      <c r="AQ42" s="130">
        <v>8</v>
      </c>
      <c r="AR42" s="130">
        <v>8</v>
      </c>
      <c r="AS42" s="130">
        <v>8</v>
      </c>
      <c r="AT42" s="130">
        <v>8</v>
      </c>
      <c r="AU42" s="130">
        <v>8</v>
      </c>
      <c r="AV42" s="130">
        <v>8</v>
      </c>
      <c r="AW42" s="130">
        <v>8</v>
      </c>
      <c r="AX42" s="262">
        <v>8</v>
      </c>
      <c r="AY42" s="94"/>
      <c r="AZ42" s="96"/>
      <c r="BA42" s="94"/>
      <c r="BB42" s="95"/>
      <c r="BC42" s="96"/>
      <c r="BD42" s="93"/>
      <c r="BE42" s="89"/>
      <c r="BF42" s="89"/>
    </row>
    <row r="43" spans="1:58" ht="1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263" t="s">
        <v>169</v>
      </c>
      <c r="AE43" s="268" t="s">
        <v>137</v>
      </c>
      <c r="AF43" s="130">
        <v>3</v>
      </c>
      <c r="AG43" s="130">
        <v>3</v>
      </c>
      <c r="AH43" s="130">
        <v>7</v>
      </c>
      <c r="AI43" s="130">
        <v>7</v>
      </c>
      <c r="AJ43" s="130">
        <v>7</v>
      </c>
      <c r="AK43" s="130">
        <v>7</v>
      </c>
      <c r="AL43" s="130">
        <v>7</v>
      </c>
      <c r="AM43" s="130">
        <v>7</v>
      </c>
      <c r="AN43" s="130">
        <v>8</v>
      </c>
      <c r="AO43" s="130">
        <v>8</v>
      </c>
      <c r="AP43" s="130">
        <v>8</v>
      </c>
      <c r="AQ43" s="130">
        <v>8</v>
      </c>
      <c r="AR43" s="130">
        <v>8</v>
      </c>
      <c r="AS43" s="130">
        <v>8</v>
      </c>
      <c r="AT43" s="130">
        <v>8</v>
      </c>
      <c r="AU43" s="130">
        <v>8</v>
      </c>
      <c r="AV43" s="130">
        <v>8</v>
      </c>
      <c r="AW43" s="130">
        <v>8</v>
      </c>
      <c r="AX43" s="262">
        <v>8</v>
      </c>
      <c r="AY43" s="94"/>
      <c r="AZ43" s="96"/>
      <c r="BA43" s="94"/>
      <c r="BB43" s="95"/>
      <c r="BC43" s="96"/>
      <c r="BD43" s="93"/>
      <c r="BE43" s="89"/>
      <c r="BF43" s="89"/>
    </row>
    <row r="44" spans="1:58" ht="1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492"/>
      <c r="Z44" s="509"/>
      <c r="AA44" s="509"/>
      <c r="AB44" s="509"/>
      <c r="AC44" s="509"/>
      <c r="AD44" s="263" t="s">
        <v>170</v>
      </c>
      <c r="AE44" s="268" t="s">
        <v>137</v>
      </c>
      <c r="AF44" s="130">
        <v>3</v>
      </c>
      <c r="AG44" s="130">
        <v>3</v>
      </c>
      <c r="AH44" s="130">
        <v>3</v>
      </c>
      <c r="AI44" s="130">
        <v>7</v>
      </c>
      <c r="AJ44" s="365">
        <v>7</v>
      </c>
      <c r="AK44" s="130">
        <v>7</v>
      </c>
      <c r="AL44" s="130">
        <v>7</v>
      </c>
      <c r="AM44" s="130">
        <v>7</v>
      </c>
      <c r="AN44" s="166">
        <v>8</v>
      </c>
      <c r="AO44" s="166">
        <v>8</v>
      </c>
      <c r="AP44" s="166">
        <v>8</v>
      </c>
      <c r="AQ44" s="166">
        <v>8</v>
      </c>
      <c r="AR44" s="166">
        <v>8</v>
      </c>
      <c r="AS44" s="166">
        <v>8</v>
      </c>
      <c r="AT44" s="166">
        <v>8</v>
      </c>
      <c r="AU44" s="166">
        <v>8</v>
      </c>
      <c r="AV44" s="166">
        <v>8</v>
      </c>
      <c r="AW44" s="166">
        <v>8</v>
      </c>
      <c r="AX44" s="166">
        <v>8</v>
      </c>
      <c r="AY44" s="94"/>
      <c r="AZ44" s="95"/>
      <c r="BA44" s="94"/>
      <c r="BB44" s="96"/>
      <c r="BC44" s="94"/>
      <c r="BD44" s="95"/>
      <c r="BE44" s="96"/>
      <c r="BF44" s="93"/>
    </row>
    <row r="45" spans="1:58" ht="19" thickBot="1">
      <c r="A45" s="163"/>
      <c r="B45" s="88"/>
      <c r="C45" s="89"/>
      <c r="D45" s="164" t="s">
        <v>272</v>
      </c>
      <c r="E45" s="201"/>
      <c r="F45" s="201"/>
      <c r="G45" s="201"/>
      <c r="H45" s="201"/>
      <c r="I45" s="201"/>
      <c r="J45" s="201"/>
      <c r="K45" s="201"/>
      <c r="L45" s="201"/>
      <c r="M45" s="201"/>
      <c r="N45" s="201"/>
      <c r="O45" s="201"/>
      <c r="P45" s="201"/>
      <c r="Q45" s="201"/>
      <c r="R45" s="201"/>
      <c r="S45" s="201"/>
      <c r="T45" s="201"/>
      <c r="U45" s="201"/>
      <c r="V45" s="201"/>
      <c r="W45" s="88"/>
      <c r="X45" s="88"/>
      <c r="Y45" s="492"/>
      <c r="Z45" s="510"/>
      <c r="AA45" s="510"/>
      <c r="AB45" s="510"/>
      <c r="AC45" s="510"/>
      <c r="AD45" s="264" t="s">
        <v>171</v>
      </c>
      <c r="AE45" s="269" t="s">
        <v>137</v>
      </c>
      <c r="AF45" s="265">
        <v>4</v>
      </c>
      <c r="AG45" s="265">
        <v>4</v>
      </c>
      <c r="AH45" s="265">
        <v>4</v>
      </c>
      <c r="AI45" s="265">
        <v>4</v>
      </c>
      <c r="AJ45" s="166">
        <v>8</v>
      </c>
      <c r="AK45" s="166">
        <v>8</v>
      </c>
      <c r="AL45" s="166">
        <v>8</v>
      </c>
      <c r="AM45" s="166">
        <v>8</v>
      </c>
      <c r="AN45" s="166">
        <v>8</v>
      </c>
      <c r="AO45" s="166">
        <v>8</v>
      </c>
      <c r="AP45" s="166">
        <v>8</v>
      </c>
      <c r="AQ45" s="166">
        <v>8</v>
      </c>
      <c r="AR45" s="166">
        <v>8</v>
      </c>
      <c r="AS45" s="166">
        <v>8</v>
      </c>
      <c r="AT45" s="166">
        <v>8</v>
      </c>
      <c r="AU45" s="166">
        <v>8</v>
      </c>
      <c r="AV45" s="166">
        <v>8</v>
      </c>
      <c r="AW45" s="166">
        <v>8</v>
      </c>
      <c r="AX45" s="166">
        <v>8</v>
      </c>
      <c r="AY45" s="94"/>
      <c r="AZ45" s="96"/>
      <c r="BA45" s="94"/>
      <c r="BB45" s="97"/>
      <c r="BC45" s="96"/>
      <c r="BD45" s="93"/>
      <c r="BE45" s="89"/>
      <c r="BF45" s="89"/>
    </row>
    <row r="46" spans="1:58" ht="15" thickBot="1">
      <c r="A46" s="163"/>
      <c r="B46" s="88"/>
      <c r="C46" s="363"/>
      <c r="D46" s="372">
        <v>2014</v>
      </c>
      <c r="E46" s="373">
        <v>2016</v>
      </c>
      <c r="F46" s="373">
        <v>2018</v>
      </c>
      <c r="G46" s="373">
        <v>2020</v>
      </c>
      <c r="H46" s="373">
        <v>2022</v>
      </c>
      <c r="I46" s="373">
        <v>2024</v>
      </c>
      <c r="J46" s="373">
        <v>2026</v>
      </c>
      <c r="K46" s="373">
        <v>2028</v>
      </c>
      <c r="L46" s="373">
        <v>2030</v>
      </c>
      <c r="M46" s="373">
        <v>2032</v>
      </c>
      <c r="N46" s="373">
        <v>2034</v>
      </c>
      <c r="O46" s="373">
        <v>2036</v>
      </c>
      <c r="P46" s="373">
        <v>2038</v>
      </c>
      <c r="Q46" s="373">
        <v>2040</v>
      </c>
      <c r="R46" s="373">
        <v>2042</v>
      </c>
      <c r="S46" s="373">
        <v>2044</v>
      </c>
      <c r="T46" s="373">
        <v>2046</v>
      </c>
      <c r="U46" s="373">
        <v>2048</v>
      </c>
      <c r="V46" s="374">
        <v>2050</v>
      </c>
      <c r="W46" s="88"/>
      <c r="X46" s="88"/>
      <c r="Y46" s="492"/>
      <c r="Z46" s="510"/>
      <c r="AA46" s="510"/>
      <c r="AB46" s="510"/>
      <c r="AC46" s="510"/>
      <c r="AD46" s="202"/>
      <c r="AE46" s="202"/>
      <c r="AF46" s="202"/>
      <c r="AG46" s="202"/>
      <c r="AH46" s="202"/>
      <c r="AI46" s="202"/>
      <c r="AJ46" s="202"/>
      <c r="AK46" s="202"/>
      <c r="AL46" s="202"/>
      <c r="AM46" s="202"/>
      <c r="AN46" s="202"/>
      <c r="AO46" s="202"/>
      <c r="AP46" s="202"/>
      <c r="AQ46" s="202"/>
      <c r="AR46" s="202"/>
      <c r="AS46" s="202"/>
      <c r="AT46" s="202"/>
      <c r="AU46" s="562"/>
      <c r="AV46" s="562"/>
      <c r="AW46" s="562"/>
      <c r="AX46" s="562"/>
      <c r="AY46" s="95"/>
      <c r="AZ46" s="94"/>
      <c r="BA46" s="96"/>
      <c r="BB46" s="94"/>
      <c r="BC46" s="97"/>
      <c r="BD46" s="96"/>
      <c r="BE46" s="93"/>
      <c r="BF46" s="89"/>
    </row>
    <row r="47" spans="1:58" ht="20" thickTop="1" thickBot="1">
      <c r="A47" s="163"/>
      <c r="B47" s="88"/>
      <c r="C47" s="364" t="s">
        <v>167</v>
      </c>
      <c r="D47" s="365">
        <v>0.85</v>
      </c>
      <c r="E47" s="365">
        <v>0.85</v>
      </c>
      <c r="F47" s="365">
        <v>0.85</v>
      </c>
      <c r="G47" s="365">
        <v>0.85</v>
      </c>
      <c r="H47" s="365">
        <v>0.85</v>
      </c>
      <c r="I47" s="365">
        <v>0.85</v>
      </c>
      <c r="J47" s="365">
        <v>0.85</v>
      </c>
      <c r="K47" s="365">
        <v>0.85</v>
      </c>
      <c r="L47" s="365">
        <v>0.85</v>
      </c>
      <c r="M47" s="365">
        <v>0.85</v>
      </c>
      <c r="N47" s="365">
        <v>0.85</v>
      </c>
      <c r="O47" s="365">
        <v>0.85</v>
      </c>
      <c r="P47" s="365">
        <v>0.85</v>
      </c>
      <c r="Q47" s="365">
        <v>0.85</v>
      </c>
      <c r="R47" s="365">
        <v>0.85</v>
      </c>
      <c r="S47" s="365">
        <v>0.85</v>
      </c>
      <c r="T47" s="365">
        <v>0.85</v>
      </c>
      <c r="U47" s="365">
        <v>0.85</v>
      </c>
      <c r="V47" s="366">
        <v>0.85</v>
      </c>
      <c r="W47" s="88"/>
      <c r="X47" s="88"/>
      <c r="Y47" s="492"/>
      <c r="Z47" s="510"/>
      <c r="AA47" s="510"/>
      <c r="AB47" s="510"/>
      <c r="AC47" s="510"/>
      <c r="AD47" s="88"/>
      <c r="AE47" s="492"/>
      <c r="AF47" s="492"/>
      <c r="AG47" s="492"/>
      <c r="AH47" s="492"/>
      <c r="AI47" s="492"/>
      <c r="AJ47" s="492"/>
      <c r="AK47" s="492"/>
      <c r="AL47" s="492"/>
      <c r="AM47" s="88"/>
      <c r="AN47" s="88"/>
      <c r="AO47" s="560" t="s">
        <v>365</v>
      </c>
      <c r="AP47" s="88"/>
      <c r="AQ47" s="88"/>
      <c r="AR47" s="88"/>
      <c r="AS47" s="88"/>
      <c r="AT47" s="88"/>
      <c r="AU47" s="88"/>
      <c r="AV47" s="88"/>
      <c r="AW47" s="88"/>
      <c r="AX47" s="88"/>
      <c r="AY47" s="94"/>
      <c r="AZ47" s="95"/>
      <c r="BA47" s="96"/>
      <c r="BB47" s="93"/>
      <c r="BC47" s="89"/>
      <c r="BD47" s="89"/>
      <c r="BE47" s="89"/>
      <c r="BF47" s="89"/>
    </row>
    <row r="48" spans="1:58" ht="17" thickTop="1" thickBot="1">
      <c r="A48" s="163"/>
      <c r="B48" s="88"/>
      <c r="C48" s="364" t="s">
        <v>112</v>
      </c>
      <c r="D48" s="365">
        <v>0.85</v>
      </c>
      <c r="E48" s="365">
        <v>0.85</v>
      </c>
      <c r="F48" s="365">
        <v>0.85</v>
      </c>
      <c r="G48" s="365">
        <v>0.85</v>
      </c>
      <c r="H48" s="365">
        <v>0.85</v>
      </c>
      <c r="I48" s="365">
        <v>0.85</v>
      </c>
      <c r="J48" s="365">
        <v>0.85</v>
      </c>
      <c r="K48" s="365">
        <v>0.85</v>
      </c>
      <c r="L48" s="365">
        <v>0.85</v>
      </c>
      <c r="M48" s="365">
        <v>0.85</v>
      </c>
      <c r="N48" s="365">
        <v>0.85</v>
      </c>
      <c r="O48" s="365">
        <v>0.85</v>
      </c>
      <c r="P48" s="365">
        <v>0.85</v>
      </c>
      <c r="Q48" s="365">
        <v>0.85</v>
      </c>
      <c r="R48" s="365">
        <v>0.85</v>
      </c>
      <c r="S48" s="365">
        <v>0.85</v>
      </c>
      <c r="T48" s="365">
        <v>0.85</v>
      </c>
      <c r="U48" s="365">
        <v>0.85</v>
      </c>
      <c r="V48" s="366">
        <v>0.85</v>
      </c>
      <c r="W48" s="88"/>
      <c r="X48" s="88"/>
      <c r="Y48" s="492"/>
      <c r="Z48" s="510"/>
      <c r="AA48" s="510"/>
      <c r="AB48" s="510"/>
      <c r="AC48" s="510"/>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 thickTop="1" thickBot="1">
      <c r="A49" s="88"/>
      <c r="B49" s="88"/>
      <c r="C49" s="367" t="s">
        <v>131</v>
      </c>
      <c r="D49" s="365">
        <v>0.85</v>
      </c>
      <c r="E49" s="365">
        <v>0.85</v>
      </c>
      <c r="F49" s="365">
        <v>0.85</v>
      </c>
      <c r="G49" s="365">
        <v>0.85</v>
      </c>
      <c r="H49" s="365">
        <v>0.85</v>
      </c>
      <c r="I49" s="365">
        <v>0.85</v>
      </c>
      <c r="J49" s="365">
        <v>0.85</v>
      </c>
      <c r="K49" s="365">
        <v>0.85</v>
      </c>
      <c r="L49" s="365">
        <v>0.85</v>
      </c>
      <c r="M49" s="365">
        <v>0.85</v>
      </c>
      <c r="N49" s="365">
        <v>0.85</v>
      </c>
      <c r="O49" s="365">
        <v>0.85</v>
      </c>
      <c r="P49" s="365">
        <v>0.85</v>
      </c>
      <c r="Q49" s="365">
        <v>0.85</v>
      </c>
      <c r="R49" s="365">
        <v>0.85</v>
      </c>
      <c r="S49" s="365">
        <v>0.85</v>
      </c>
      <c r="T49" s="365">
        <v>0.85</v>
      </c>
      <c r="U49" s="365">
        <v>0.85</v>
      </c>
      <c r="V49" s="366">
        <v>0.85</v>
      </c>
      <c r="W49" s="88"/>
      <c r="X49" s="88"/>
      <c r="Y49" s="492"/>
      <c r="Z49" s="510"/>
      <c r="AA49" s="510"/>
      <c r="AB49" s="510"/>
      <c r="AC49" s="510"/>
      <c r="AD49" s="337"/>
      <c r="AE49" s="338"/>
      <c r="AF49" s="270">
        <v>2014</v>
      </c>
      <c r="AG49" s="271">
        <v>2016</v>
      </c>
      <c r="AH49" s="271">
        <v>2018</v>
      </c>
      <c r="AI49" s="271">
        <v>2020</v>
      </c>
      <c r="AJ49" s="271">
        <v>2022</v>
      </c>
      <c r="AK49" s="271">
        <v>2024</v>
      </c>
      <c r="AL49" s="271">
        <v>2026</v>
      </c>
      <c r="AM49" s="271">
        <v>2028</v>
      </c>
      <c r="AN49" s="271">
        <v>2030</v>
      </c>
      <c r="AO49" s="271">
        <v>2032</v>
      </c>
      <c r="AP49" s="271">
        <v>2034</v>
      </c>
      <c r="AQ49" s="271">
        <v>2036</v>
      </c>
      <c r="AR49" s="271">
        <v>2038</v>
      </c>
      <c r="AS49" s="271">
        <v>2040</v>
      </c>
      <c r="AT49" s="271">
        <v>2042</v>
      </c>
      <c r="AU49" s="271">
        <v>2044</v>
      </c>
      <c r="AV49" s="271">
        <v>2046</v>
      </c>
      <c r="AW49" s="271">
        <v>2048</v>
      </c>
      <c r="AX49" s="272">
        <v>2050</v>
      </c>
      <c r="AY49" s="95"/>
      <c r="AZ49" s="96"/>
      <c r="BA49" s="93"/>
      <c r="BB49" s="89"/>
      <c r="BC49" s="89"/>
      <c r="BD49" s="89"/>
      <c r="BE49" s="89"/>
      <c r="BF49" s="89"/>
    </row>
    <row r="50" spans="1:58" ht="17" thickTop="1" thickBot="1">
      <c r="A50" s="88"/>
      <c r="B50" s="88"/>
      <c r="C50" s="367" t="s">
        <v>130</v>
      </c>
      <c r="D50" s="365">
        <v>0.85</v>
      </c>
      <c r="E50" s="365">
        <v>0.85</v>
      </c>
      <c r="F50" s="365">
        <v>0.85</v>
      </c>
      <c r="G50" s="365">
        <v>0.85</v>
      </c>
      <c r="H50" s="365">
        <v>0.85</v>
      </c>
      <c r="I50" s="365">
        <v>0.85</v>
      </c>
      <c r="J50" s="365">
        <v>0.85</v>
      </c>
      <c r="K50" s="365">
        <v>0.85</v>
      </c>
      <c r="L50" s="365">
        <v>0.85</v>
      </c>
      <c r="M50" s="365">
        <v>0.85</v>
      </c>
      <c r="N50" s="365">
        <v>0.85</v>
      </c>
      <c r="O50" s="365">
        <v>0.85</v>
      </c>
      <c r="P50" s="365">
        <v>0.85</v>
      </c>
      <c r="Q50" s="365">
        <v>0.85</v>
      </c>
      <c r="R50" s="368">
        <v>0.85</v>
      </c>
      <c r="S50" s="365">
        <v>0.85</v>
      </c>
      <c r="T50" s="365">
        <v>0.85</v>
      </c>
      <c r="U50" s="365">
        <v>0.85</v>
      </c>
      <c r="V50" s="366">
        <v>0.85</v>
      </c>
      <c r="W50" s="88"/>
      <c r="X50" s="88"/>
      <c r="Y50" s="492"/>
      <c r="Z50" s="510"/>
      <c r="AA50" s="510"/>
      <c r="AB50" s="510"/>
      <c r="AC50" s="510"/>
      <c r="AD50" s="261" t="s">
        <v>167</v>
      </c>
      <c r="AE50" s="267" t="s">
        <v>137</v>
      </c>
      <c r="AF50" s="130">
        <v>1</v>
      </c>
      <c r="AG50" s="130">
        <v>1</v>
      </c>
      <c r="AH50" s="130">
        <v>5</v>
      </c>
      <c r="AI50" s="130">
        <v>6</v>
      </c>
      <c r="AJ50" s="130">
        <v>6</v>
      </c>
      <c r="AK50" s="130">
        <v>6</v>
      </c>
      <c r="AL50" s="130">
        <v>6</v>
      </c>
      <c r="AM50" s="130">
        <v>6</v>
      </c>
      <c r="AN50" s="130">
        <v>6</v>
      </c>
      <c r="AO50" s="130">
        <v>6</v>
      </c>
      <c r="AP50" s="130">
        <v>6</v>
      </c>
      <c r="AQ50" s="130">
        <v>6</v>
      </c>
      <c r="AR50" s="130">
        <v>6</v>
      </c>
      <c r="AS50" s="130">
        <v>6</v>
      </c>
      <c r="AT50" s="130">
        <v>6</v>
      </c>
      <c r="AU50" s="130">
        <v>6</v>
      </c>
      <c r="AV50" s="130">
        <v>6</v>
      </c>
      <c r="AW50" s="130">
        <v>6</v>
      </c>
      <c r="AX50" s="262">
        <v>6</v>
      </c>
      <c r="AY50" s="95"/>
      <c r="AZ50" s="96"/>
      <c r="BA50" s="93"/>
      <c r="BB50" s="89"/>
      <c r="BC50" s="89"/>
      <c r="BD50" s="89"/>
      <c r="BE50" s="89"/>
      <c r="BF50" s="89"/>
    </row>
    <row r="51" spans="1:58" ht="16" thickTop="1">
      <c r="A51" s="88"/>
      <c r="B51" s="88"/>
      <c r="C51" s="367" t="s">
        <v>132</v>
      </c>
      <c r="D51" s="365">
        <v>0.85</v>
      </c>
      <c r="E51" s="365">
        <v>0.85</v>
      </c>
      <c r="F51" s="365">
        <v>0.85</v>
      </c>
      <c r="G51" s="365">
        <v>0.85</v>
      </c>
      <c r="H51" s="365">
        <v>0.85</v>
      </c>
      <c r="I51" s="365">
        <v>0.85</v>
      </c>
      <c r="J51" s="365">
        <v>0.85</v>
      </c>
      <c r="K51" s="365">
        <v>0.85</v>
      </c>
      <c r="L51" s="365">
        <v>0.85</v>
      </c>
      <c r="M51" s="365">
        <v>0.85</v>
      </c>
      <c r="N51" s="365">
        <v>0.85</v>
      </c>
      <c r="O51" s="365">
        <v>0.85</v>
      </c>
      <c r="P51" s="365">
        <v>0.85</v>
      </c>
      <c r="Q51" s="365">
        <v>0.85</v>
      </c>
      <c r="R51" s="365">
        <v>0.85</v>
      </c>
      <c r="S51" s="365">
        <v>0.85</v>
      </c>
      <c r="T51" s="365">
        <v>0.85</v>
      </c>
      <c r="U51" s="365">
        <v>0.85</v>
      </c>
      <c r="V51" s="366">
        <v>0.85</v>
      </c>
      <c r="W51" s="88"/>
      <c r="X51" s="88"/>
      <c r="Y51" s="492"/>
      <c r="Z51" s="510"/>
      <c r="AA51" s="510"/>
      <c r="AB51" s="510"/>
      <c r="AC51" s="510"/>
      <c r="AD51" s="261" t="s">
        <v>112</v>
      </c>
      <c r="AE51" s="267" t="s">
        <v>137</v>
      </c>
      <c r="AF51" s="130">
        <v>1</v>
      </c>
      <c r="AG51" s="130">
        <v>1</v>
      </c>
      <c r="AH51" s="130">
        <v>5</v>
      </c>
      <c r="AI51" s="130">
        <v>6</v>
      </c>
      <c r="AJ51" s="130">
        <v>6</v>
      </c>
      <c r="AK51" s="130">
        <v>6</v>
      </c>
      <c r="AL51" s="130">
        <v>6</v>
      </c>
      <c r="AM51" s="130">
        <v>6</v>
      </c>
      <c r="AN51" s="130">
        <v>6</v>
      </c>
      <c r="AO51" s="130">
        <v>6</v>
      </c>
      <c r="AP51" s="130">
        <v>6</v>
      </c>
      <c r="AQ51" s="130">
        <v>6</v>
      </c>
      <c r="AR51" s="130">
        <v>6</v>
      </c>
      <c r="AS51" s="130">
        <v>6</v>
      </c>
      <c r="AT51" s="130">
        <v>6</v>
      </c>
      <c r="AU51" s="130">
        <v>6</v>
      </c>
      <c r="AV51" s="130">
        <v>6</v>
      </c>
      <c r="AW51" s="130">
        <v>6</v>
      </c>
      <c r="AX51" s="262">
        <v>6</v>
      </c>
      <c r="AY51" s="95"/>
      <c r="AZ51" s="96"/>
      <c r="BA51" s="93"/>
      <c r="BB51" s="89"/>
      <c r="BC51" s="89"/>
      <c r="BD51" s="89"/>
      <c r="BE51" s="89"/>
      <c r="BF51" s="89"/>
    </row>
    <row r="52" spans="1:58" ht="15">
      <c r="A52" s="88"/>
      <c r="B52" s="88"/>
      <c r="C52" s="367" t="s">
        <v>133</v>
      </c>
      <c r="D52" s="365">
        <v>0.85</v>
      </c>
      <c r="E52" s="365">
        <v>0.85</v>
      </c>
      <c r="F52" s="365">
        <v>0.85</v>
      </c>
      <c r="G52" s="365">
        <v>0.85</v>
      </c>
      <c r="H52" s="365">
        <v>0.85</v>
      </c>
      <c r="I52" s="365">
        <v>0.85</v>
      </c>
      <c r="J52" s="365">
        <v>0.85</v>
      </c>
      <c r="K52" s="365">
        <v>0.85</v>
      </c>
      <c r="L52" s="365">
        <v>0.85</v>
      </c>
      <c r="M52" s="365">
        <v>0.85</v>
      </c>
      <c r="N52" s="365">
        <v>0.85</v>
      </c>
      <c r="O52" s="365">
        <v>0.85</v>
      </c>
      <c r="P52" s="365">
        <v>0.85</v>
      </c>
      <c r="Q52" s="365">
        <v>0.85</v>
      </c>
      <c r="R52" s="365">
        <v>0.85</v>
      </c>
      <c r="S52" s="365">
        <v>0.85</v>
      </c>
      <c r="T52" s="365">
        <v>0.85</v>
      </c>
      <c r="U52" s="365">
        <v>0.85</v>
      </c>
      <c r="V52" s="366">
        <v>0.85</v>
      </c>
      <c r="W52" s="88"/>
      <c r="X52" s="88"/>
      <c r="Y52" s="492"/>
      <c r="Z52" s="510"/>
      <c r="AA52" s="510"/>
      <c r="AB52" s="510"/>
      <c r="AC52" s="510"/>
      <c r="AD52" s="263" t="s">
        <v>131</v>
      </c>
      <c r="AE52" s="268" t="s">
        <v>137</v>
      </c>
      <c r="AF52" s="130">
        <v>1</v>
      </c>
      <c r="AG52" s="130">
        <v>1</v>
      </c>
      <c r="AH52" s="130">
        <v>5</v>
      </c>
      <c r="AI52" s="130">
        <v>6</v>
      </c>
      <c r="AJ52" s="130">
        <v>6</v>
      </c>
      <c r="AK52" s="130">
        <v>6</v>
      </c>
      <c r="AL52" s="130">
        <v>6</v>
      </c>
      <c r="AM52" s="130">
        <v>6</v>
      </c>
      <c r="AN52" s="130">
        <v>6</v>
      </c>
      <c r="AO52" s="130">
        <v>6</v>
      </c>
      <c r="AP52" s="130">
        <v>6</v>
      </c>
      <c r="AQ52" s="130">
        <v>6</v>
      </c>
      <c r="AR52" s="130">
        <v>6</v>
      </c>
      <c r="AS52" s="130">
        <v>6</v>
      </c>
      <c r="AT52" s="130">
        <v>6</v>
      </c>
      <c r="AU52" s="130">
        <v>6</v>
      </c>
      <c r="AV52" s="130">
        <v>6</v>
      </c>
      <c r="AW52" s="130">
        <v>6</v>
      </c>
      <c r="AX52" s="262">
        <v>6</v>
      </c>
      <c r="AY52" s="95"/>
      <c r="AZ52" s="96"/>
      <c r="BA52" s="93"/>
      <c r="BB52" s="89"/>
      <c r="BC52" s="89"/>
      <c r="BD52" s="89"/>
      <c r="BE52" s="89"/>
      <c r="BF52" s="89"/>
    </row>
    <row r="53" spans="1:58" ht="15">
      <c r="A53" s="88"/>
      <c r="B53" s="88"/>
      <c r="C53" s="367" t="s">
        <v>168</v>
      </c>
      <c r="D53" s="365">
        <v>0.85</v>
      </c>
      <c r="E53" s="365">
        <v>0.85</v>
      </c>
      <c r="F53" s="365">
        <v>0.85</v>
      </c>
      <c r="G53" s="365">
        <v>0.85</v>
      </c>
      <c r="H53" s="365">
        <v>0.85</v>
      </c>
      <c r="I53" s="365">
        <v>0.85</v>
      </c>
      <c r="J53" s="365">
        <v>0.85</v>
      </c>
      <c r="K53" s="365">
        <v>0.85</v>
      </c>
      <c r="L53" s="365">
        <v>0.85</v>
      </c>
      <c r="M53" s="365">
        <v>0.85</v>
      </c>
      <c r="N53" s="365">
        <v>0.85</v>
      </c>
      <c r="O53" s="365">
        <v>0.85</v>
      </c>
      <c r="P53" s="365">
        <v>0.85</v>
      </c>
      <c r="Q53" s="365">
        <v>0.85</v>
      </c>
      <c r="R53" s="365">
        <v>0.85</v>
      </c>
      <c r="S53" s="365">
        <v>0.85</v>
      </c>
      <c r="T53" s="365">
        <v>0.85</v>
      </c>
      <c r="U53" s="365">
        <v>0.85</v>
      </c>
      <c r="V53" s="366">
        <v>0.85</v>
      </c>
      <c r="W53" s="88"/>
      <c r="X53" s="88"/>
      <c r="Y53" s="492"/>
      <c r="Z53" s="510"/>
      <c r="AA53" s="510"/>
      <c r="AB53" s="510"/>
      <c r="AC53" s="510"/>
      <c r="AD53" s="263" t="s">
        <v>130</v>
      </c>
      <c r="AE53" s="268" t="s">
        <v>137</v>
      </c>
      <c r="AF53" s="130">
        <v>1</v>
      </c>
      <c r="AG53" s="130">
        <v>1</v>
      </c>
      <c r="AH53" s="130">
        <v>5</v>
      </c>
      <c r="AI53" s="130">
        <v>6</v>
      </c>
      <c r="AJ53" s="130">
        <v>6</v>
      </c>
      <c r="AK53" s="130">
        <v>6</v>
      </c>
      <c r="AL53" s="130">
        <v>6</v>
      </c>
      <c r="AM53" s="130">
        <v>6</v>
      </c>
      <c r="AN53" s="130">
        <v>6</v>
      </c>
      <c r="AO53" s="130">
        <v>6</v>
      </c>
      <c r="AP53" s="130">
        <v>6</v>
      </c>
      <c r="AQ53" s="130">
        <v>6</v>
      </c>
      <c r="AR53" s="130">
        <v>6</v>
      </c>
      <c r="AS53" s="130">
        <v>6</v>
      </c>
      <c r="AT53" s="166">
        <v>6</v>
      </c>
      <c r="AU53" s="130">
        <v>6</v>
      </c>
      <c r="AV53" s="130">
        <v>6</v>
      </c>
      <c r="AW53" s="130">
        <v>6</v>
      </c>
      <c r="AX53" s="262">
        <v>6</v>
      </c>
      <c r="AY53" s="95"/>
      <c r="AZ53" s="96"/>
      <c r="BA53" s="93"/>
      <c r="BB53" s="89"/>
      <c r="BC53" s="89"/>
      <c r="BD53" s="89"/>
      <c r="BE53" s="89"/>
      <c r="BF53" s="89"/>
    </row>
    <row r="54" spans="1:58" ht="15">
      <c r="A54" s="88"/>
      <c r="B54" s="88"/>
      <c r="C54" s="367" t="s">
        <v>134</v>
      </c>
      <c r="D54" s="365">
        <v>0.85</v>
      </c>
      <c r="E54" s="365">
        <v>0.85</v>
      </c>
      <c r="F54" s="365">
        <v>0.85</v>
      </c>
      <c r="G54" s="365">
        <v>0.85</v>
      </c>
      <c r="H54" s="365">
        <v>0.85</v>
      </c>
      <c r="I54" s="365">
        <v>0.85</v>
      </c>
      <c r="J54" s="365">
        <v>0.85</v>
      </c>
      <c r="K54" s="365">
        <v>0.85</v>
      </c>
      <c r="L54" s="365">
        <v>0.85</v>
      </c>
      <c r="M54" s="365">
        <v>0.85</v>
      </c>
      <c r="N54" s="365">
        <v>0.85</v>
      </c>
      <c r="O54" s="365">
        <v>0.85</v>
      </c>
      <c r="P54" s="365">
        <v>0.85</v>
      </c>
      <c r="Q54" s="365">
        <v>0.85</v>
      </c>
      <c r="R54" s="365">
        <v>0.85</v>
      </c>
      <c r="S54" s="365">
        <v>0.85</v>
      </c>
      <c r="T54" s="365">
        <v>0.85</v>
      </c>
      <c r="U54" s="365">
        <v>0.85</v>
      </c>
      <c r="V54" s="366">
        <v>0.85</v>
      </c>
      <c r="W54" s="88"/>
      <c r="X54" s="88"/>
      <c r="Y54" s="492"/>
      <c r="Z54" s="509"/>
      <c r="AA54" s="509"/>
      <c r="AB54" s="509"/>
      <c r="AC54" s="509"/>
      <c r="AD54" s="263" t="s">
        <v>132</v>
      </c>
      <c r="AE54" s="268" t="s">
        <v>137</v>
      </c>
      <c r="AF54" s="130">
        <v>2</v>
      </c>
      <c r="AG54" s="130">
        <v>2</v>
      </c>
      <c r="AH54" s="130">
        <v>2</v>
      </c>
      <c r="AI54" s="130">
        <v>6</v>
      </c>
      <c r="AJ54" s="130">
        <v>6</v>
      </c>
      <c r="AK54" s="130">
        <v>6</v>
      </c>
      <c r="AL54" s="130">
        <v>6</v>
      </c>
      <c r="AM54" s="130">
        <v>6</v>
      </c>
      <c r="AN54" s="130">
        <v>6</v>
      </c>
      <c r="AO54" s="130">
        <v>6</v>
      </c>
      <c r="AP54" s="130">
        <v>6</v>
      </c>
      <c r="AQ54" s="130">
        <v>6</v>
      </c>
      <c r="AR54" s="130">
        <v>6</v>
      </c>
      <c r="AS54" s="130">
        <v>6</v>
      </c>
      <c r="AT54" s="130">
        <v>6</v>
      </c>
      <c r="AU54" s="130">
        <v>6</v>
      </c>
      <c r="AV54" s="130">
        <v>6</v>
      </c>
      <c r="AW54" s="130">
        <v>6</v>
      </c>
      <c r="AX54" s="130">
        <v>6</v>
      </c>
      <c r="AY54" s="95"/>
      <c r="AZ54" s="96"/>
      <c r="BA54" s="93"/>
      <c r="BB54" s="89"/>
      <c r="BC54" s="89"/>
      <c r="BD54" s="89"/>
      <c r="BE54" s="89"/>
      <c r="BF54" s="89"/>
    </row>
    <row r="55" spans="1:58" ht="15">
      <c r="A55" s="88"/>
      <c r="B55" s="88"/>
      <c r="C55" s="367" t="s">
        <v>169</v>
      </c>
      <c r="D55" s="365">
        <v>0.85</v>
      </c>
      <c r="E55" s="365">
        <v>0.85</v>
      </c>
      <c r="F55" s="365">
        <v>0.85</v>
      </c>
      <c r="G55" s="365">
        <v>0.85</v>
      </c>
      <c r="H55" s="365">
        <v>0.85</v>
      </c>
      <c r="I55" s="365">
        <v>0.85</v>
      </c>
      <c r="J55" s="365">
        <v>0.85</v>
      </c>
      <c r="K55" s="365">
        <v>0.85</v>
      </c>
      <c r="L55" s="365">
        <v>0.85</v>
      </c>
      <c r="M55" s="365">
        <v>0.85</v>
      </c>
      <c r="N55" s="365">
        <v>0.85</v>
      </c>
      <c r="O55" s="365">
        <v>0.85</v>
      </c>
      <c r="P55" s="365">
        <v>0.85</v>
      </c>
      <c r="Q55" s="365">
        <v>0.85</v>
      </c>
      <c r="R55" s="365">
        <v>0.85</v>
      </c>
      <c r="S55" s="365">
        <v>0.85</v>
      </c>
      <c r="T55" s="365">
        <v>0.85</v>
      </c>
      <c r="U55" s="365">
        <v>0.85</v>
      </c>
      <c r="V55" s="366">
        <v>0.85</v>
      </c>
      <c r="W55" s="88"/>
      <c r="X55" s="88"/>
      <c r="Y55" s="492"/>
      <c r="Z55" s="509"/>
      <c r="AA55" s="509"/>
      <c r="AB55" s="509"/>
      <c r="AC55" s="509"/>
      <c r="AD55" s="263" t="s">
        <v>133</v>
      </c>
      <c r="AE55" s="268" t="s">
        <v>137</v>
      </c>
      <c r="AF55" s="130">
        <v>2</v>
      </c>
      <c r="AG55" s="130">
        <v>2</v>
      </c>
      <c r="AH55" s="130">
        <v>2</v>
      </c>
      <c r="AI55" s="130">
        <v>6</v>
      </c>
      <c r="AJ55" s="130">
        <v>6</v>
      </c>
      <c r="AK55" s="130">
        <v>6</v>
      </c>
      <c r="AL55" s="130">
        <v>6</v>
      </c>
      <c r="AM55" s="130">
        <v>6</v>
      </c>
      <c r="AN55" s="130">
        <v>6</v>
      </c>
      <c r="AO55" s="130">
        <v>6</v>
      </c>
      <c r="AP55" s="130">
        <v>6</v>
      </c>
      <c r="AQ55" s="130">
        <v>6</v>
      </c>
      <c r="AR55" s="130">
        <v>6</v>
      </c>
      <c r="AS55" s="130">
        <v>6</v>
      </c>
      <c r="AT55" s="130">
        <v>6</v>
      </c>
      <c r="AU55" s="130">
        <v>6</v>
      </c>
      <c r="AV55" s="130">
        <v>6</v>
      </c>
      <c r="AW55" s="130">
        <v>6</v>
      </c>
      <c r="AX55" s="130">
        <v>6</v>
      </c>
      <c r="AY55" s="95"/>
      <c r="AZ55" s="96"/>
      <c r="BA55" s="93"/>
      <c r="BB55" s="89"/>
      <c r="BC55" s="89"/>
      <c r="BD55" s="89"/>
      <c r="BE55" s="89"/>
      <c r="BF55" s="89"/>
    </row>
    <row r="56" spans="1:58" ht="15">
      <c r="A56" s="88"/>
      <c r="B56" s="88"/>
      <c r="C56" s="367" t="s">
        <v>170</v>
      </c>
      <c r="D56" s="365">
        <v>0.85</v>
      </c>
      <c r="E56" s="365">
        <v>0.85</v>
      </c>
      <c r="F56" s="365">
        <v>0.85</v>
      </c>
      <c r="G56" s="365">
        <v>0.85</v>
      </c>
      <c r="H56" s="365">
        <v>0.85</v>
      </c>
      <c r="I56" s="365">
        <v>0.85</v>
      </c>
      <c r="J56" s="365">
        <v>0.85</v>
      </c>
      <c r="K56" s="365">
        <v>0.85</v>
      </c>
      <c r="L56" s="365">
        <v>0.85</v>
      </c>
      <c r="M56" s="365">
        <v>0.85</v>
      </c>
      <c r="N56" s="365">
        <v>0.85</v>
      </c>
      <c r="O56" s="365">
        <v>0.85</v>
      </c>
      <c r="P56" s="365">
        <v>0.85</v>
      </c>
      <c r="Q56" s="365">
        <v>0.85</v>
      </c>
      <c r="R56" s="365">
        <v>0.85</v>
      </c>
      <c r="S56" s="365">
        <v>0.85</v>
      </c>
      <c r="T56" s="365">
        <v>0.85</v>
      </c>
      <c r="U56" s="365">
        <v>0.85</v>
      </c>
      <c r="V56" s="366">
        <v>0.85</v>
      </c>
      <c r="W56" s="88"/>
      <c r="X56" s="88"/>
      <c r="Y56" s="492"/>
      <c r="Z56" s="509"/>
      <c r="AA56" s="509"/>
      <c r="AB56" s="509"/>
      <c r="AC56" s="509"/>
      <c r="AD56" s="263" t="s">
        <v>168</v>
      </c>
      <c r="AE56" s="268" t="s">
        <v>137</v>
      </c>
      <c r="AF56" s="130">
        <v>3</v>
      </c>
      <c r="AG56" s="130">
        <v>3</v>
      </c>
      <c r="AH56" s="130">
        <v>7</v>
      </c>
      <c r="AI56" s="130">
        <v>8</v>
      </c>
      <c r="AJ56" s="130">
        <v>8</v>
      </c>
      <c r="AK56" s="130">
        <v>8</v>
      </c>
      <c r="AL56" s="130">
        <v>8</v>
      </c>
      <c r="AM56" s="130">
        <v>8</v>
      </c>
      <c r="AN56" s="130">
        <v>8</v>
      </c>
      <c r="AO56" s="130">
        <v>8</v>
      </c>
      <c r="AP56" s="130">
        <v>8</v>
      </c>
      <c r="AQ56" s="130">
        <v>8</v>
      </c>
      <c r="AR56" s="130">
        <v>8</v>
      </c>
      <c r="AS56" s="130">
        <v>8</v>
      </c>
      <c r="AT56" s="130">
        <v>8</v>
      </c>
      <c r="AU56" s="130">
        <v>8</v>
      </c>
      <c r="AV56" s="130">
        <v>8</v>
      </c>
      <c r="AW56" s="130">
        <v>8</v>
      </c>
      <c r="AX56" s="262">
        <v>8</v>
      </c>
      <c r="AY56" s="95"/>
      <c r="AZ56" s="96"/>
      <c r="BA56" s="93"/>
      <c r="BB56" s="89"/>
      <c r="BC56" s="89"/>
      <c r="BD56" s="89"/>
      <c r="BE56" s="89"/>
      <c r="BF56" s="89"/>
    </row>
    <row r="57" spans="1:58" ht="16" thickBot="1">
      <c r="A57" s="88"/>
      <c r="B57" s="88"/>
      <c r="C57" s="369" t="s">
        <v>171</v>
      </c>
      <c r="D57" s="370">
        <v>0.85</v>
      </c>
      <c r="E57" s="370">
        <v>0.85</v>
      </c>
      <c r="F57" s="370">
        <v>0.85</v>
      </c>
      <c r="G57" s="370">
        <v>0.85</v>
      </c>
      <c r="H57" s="370">
        <v>0.85</v>
      </c>
      <c r="I57" s="370">
        <v>0.85</v>
      </c>
      <c r="J57" s="370">
        <v>0.85</v>
      </c>
      <c r="K57" s="370">
        <v>0.85</v>
      </c>
      <c r="L57" s="370">
        <v>0.85</v>
      </c>
      <c r="M57" s="370">
        <v>0.85</v>
      </c>
      <c r="N57" s="370">
        <v>0.85</v>
      </c>
      <c r="O57" s="370">
        <v>0.85</v>
      </c>
      <c r="P57" s="370">
        <v>0.85</v>
      </c>
      <c r="Q57" s="370">
        <v>0.85</v>
      </c>
      <c r="R57" s="370">
        <v>0.85</v>
      </c>
      <c r="S57" s="370">
        <v>0.85</v>
      </c>
      <c r="T57" s="370">
        <v>0.85</v>
      </c>
      <c r="U57" s="370">
        <v>0.85</v>
      </c>
      <c r="V57" s="371">
        <v>0.85</v>
      </c>
      <c r="W57" s="88"/>
      <c r="X57" s="88"/>
      <c r="Y57" s="492"/>
      <c r="Z57" s="509"/>
      <c r="AA57" s="509"/>
      <c r="AB57" s="509"/>
      <c r="AC57" s="509"/>
      <c r="AD57" s="263" t="s">
        <v>134</v>
      </c>
      <c r="AE57" s="268" t="s">
        <v>137</v>
      </c>
      <c r="AF57" s="130">
        <v>3</v>
      </c>
      <c r="AG57" s="130">
        <v>3</v>
      </c>
      <c r="AH57" s="130">
        <v>7</v>
      </c>
      <c r="AI57" s="130">
        <v>8</v>
      </c>
      <c r="AJ57" s="130">
        <v>8</v>
      </c>
      <c r="AK57" s="130">
        <v>8</v>
      </c>
      <c r="AL57" s="130">
        <v>8</v>
      </c>
      <c r="AM57" s="130">
        <v>8</v>
      </c>
      <c r="AN57" s="130">
        <v>8</v>
      </c>
      <c r="AO57" s="130">
        <v>8</v>
      </c>
      <c r="AP57" s="130">
        <v>8</v>
      </c>
      <c r="AQ57" s="130">
        <v>8</v>
      </c>
      <c r="AR57" s="130">
        <v>8</v>
      </c>
      <c r="AS57" s="130">
        <v>8</v>
      </c>
      <c r="AT57" s="130">
        <v>8</v>
      </c>
      <c r="AU57" s="130">
        <v>8</v>
      </c>
      <c r="AV57" s="130">
        <v>8</v>
      </c>
      <c r="AW57" s="130">
        <v>8</v>
      </c>
      <c r="AX57" s="262">
        <v>8</v>
      </c>
      <c r="AY57" s="95"/>
      <c r="AZ57" s="96"/>
      <c r="BA57" s="93"/>
      <c r="BB57" s="89"/>
      <c r="BC57" s="89"/>
      <c r="BD57" s="89"/>
      <c r="BE57" s="89"/>
      <c r="BF57" s="89"/>
    </row>
    <row r="58" spans="1:58" ht="15">
      <c r="A58" s="88"/>
      <c r="B58" s="88"/>
      <c r="C58" s="88"/>
      <c r="D58" s="88"/>
      <c r="E58" s="88"/>
      <c r="F58" s="88"/>
      <c r="G58" s="88"/>
      <c r="H58" s="88"/>
      <c r="I58" s="88"/>
      <c r="J58" s="88"/>
      <c r="K58" s="88"/>
      <c r="L58" s="88"/>
      <c r="M58" s="88"/>
      <c r="N58" s="88"/>
      <c r="O58" s="88"/>
      <c r="P58" s="88"/>
      <c r="Q58" s="88"/>
      <c r="R58" s="88"/>
      <c r="S58" s="88"/>
      <c r="T58" s="88"/>
      <c r="U58" s="88"/>
      <c r="V58" s="88"/>
      <c r="W58" s="88"/>
      <c r="X58" s="88"/>
      <c r="Y58" s="492"/>
      <c r="Z58" s="509"/>
      <c r="AA58" s="509"/>
      <c r="AB58" s="509"/>
      <c r="AC58" s="509"/>
      <c r="AD58" s="263" t="s">
        <v>169</v>
      </c>
      <c r="AE58" s="268" t="s">
        <v>137</v>
      </c>
      <c r="AF58" s="130">
        <v>3</v>
      </c>
      <c r="AG58" s="130">
        <v>3</v>
      </c>
      <c r="AH58" s="130">
        <v>7</v>
      </c>
      <c r="AI58" s="130">
        <v>8</v>
      </c>
      <c r="AJ58" s="130">
        <v>8</v>
      </c>
      <c r="AK58" s="130">
        <v>8</v>
      </c>
      <c r="AL58" s="130">
        <v>8</v>
      </c>
      <c r="AM58" s="130">
        <v>8</v>
      </c>
      <c r="AN58" s="130">
        <v>8</v>
      </c>
      <c r="AO58" s="130">
        <v>8</v>
      </c>
      <c r="AP58" s="130">
        <v>8</v>
      </c>
      <c r="AQ58" s="130">
        <v>8</v>
      </c>
      <c r="AR58" s="130">
        <v>8</v>
      </c>
      <c r="AS58" s="130">
        <v>8</v>
      </c>
      <c r="AT58" s="130">
        <v>8</v>
      </c>
      <c r="AU58" s="130">
        <v>8</v>
      </c>
      <c r="AV58" s="130">
        <v>8</v>
      </c>
      <c r="AW58" s="130">
        <v>8</v>
      </c>
      <c r="AX58" s="262">
        <v>8</v>
      </c>
      <c r="AY58" s="95"/>
      <c r="AZ58" s="96"/>
      <c r="BA58" s="93"/>
      <c r="BB58" s="89"/>
      <c r="BC58" s="89"/>
      <c r="BD58" s="89"/>
      <c r="BE58" s="89"/>
      <c r="BF58" s="89"/>
    </row>
    <row r="59" spans="1:58" ht="15">
      <c r="A59" s="88"/>
      <c r="B59" s="88"/>
      <c r="C59" s="88"/>
      <c r="D59" s="88"/>
      <c r="E59" s="88"/>
      <c r="F59" s="88"/>
      <c r="G59" s="88"/>
      <c r="H59" s="88"/>
      <c r="I59" s="88"/>
      <c r="J59" s="88"/>
      <c r="K59" s="88"/>
      <c r="L59" s="88"/>
      <c r="M59" s="88"/>
      <c r="N59" s="88"/>
      <c r="O59" s="88"/>
      <c r="P59" s="88"/>
      <c r="Q59" s="88"/>
      <c r="R59" s="88"/>
      <c r="S59" s="88"/>
      <c r="T59" s="88"/>
      <c r="U59" s="88"/>
      <c r="V59" s="88"/>
      <c r="W59" s="88"/>
      <c r="X59" s="88"/>
      <c r="Y59" s="492"/>
      <c r="Z59" s="509"/>
      <c r="AA59" s="509"/>
      <c r="AB59" s="509"/>
      <c r="AC59" s="509"/>
      <c r="AD59" s="263" t="s">
        <v>170</v>
      </c>
      <c r="AE59" s="268" t="s">
        <v>137</v>
      </c>
      <c r="AF59" s="130">
        <v>3</v>
      </c>
      <c r="AG59" s="130">
        <v>3</v>
      </c>
      <c r="AH59" s="130">
        <v>3</v>
      </c>
      <c r="AI59" s="166">
        <v>8</v>
      </c>
      <c r="AJ59" s="166">
        <v>8</v>
      </c>
      <c r="AK59" s="166">
        <v>8</v>
      </c>
      <c r="AL59" s="166">
        <v>8</v>
      </c>
      <c r="AM59" s="166">
        <v>8</v>
      </c>
      <c r="AN59" s="166">
        <v>8</v>
      </c>
      <c r="AO59" s="166">
        <v>8</v>
      </c>
      <c r="AP59" s="166">
        <v>8</v>
      </c>
      <c r="AQ59" s="166">
        <v>8</v>
      </c>
      <c r="AR59" s="166">
        <v>8</v>
      </c>
      <c r="AS59" s="166">
        <v>8</v>
      </c>
      <c r="AT59" s="166">
        <v>8</v>
      </c>
      <c r="AU59" s="166">
        <v>8</v>
      </c>
      <c r="AV59" s="166">
        <v>8</v>
      </c>
      <c r="AW59" s="166">
        <v>8</v>
      </c>
      <c r="AX59" s="166">
        <v>8</v>
      </c>
      <c r="AY59" s="95"/>
      <c r="AZ59" s="96"/>
      <c r="BA59" s="93"/>
      <c r="BB59" s="89"/>
      <c r="BC59" s="89"/>
      <c r="BD59" s="89"/>
      <c r="BE59" s="89"/>
      <c r="BF59" s="89"/>
    </row>
    <row r="60" spans="1:58" ht="19" thickBot="1">
      <c r="A60" s="88"/>
      <c r="B60" s="164" t="s">
        <v>333</v>
      </c>
      <c r="C60" s="88"/>
      <c r="D60" s="88"/>
      <c r="E60" s="202"/>
      <c r="F60" s="202"/>
      <c r="G60" s="88"/>
      <c r="H60" s="88"/>
      <c r="I60" s="88"/>
      <c r="J60" s="88"/>
      <c r="K60" s="88"/>
      <c r="L60" s="88"/>
      <c r="M60" s="88"/>
      <c r="N60" s="88"/>
      <c r="O60" s="88"/>
      <c r="P60" s="88"/>
      <c r="Q60" s="88"/>
      <c r="R60" s="88"/>
      <c r="S60" s="88"/>
      <c r="T60" s="88"/>
      <c r="U60" s="88"/>
      <c r="V60" s="88"/>
      <c r="W60" s="88"/>
      <c r="X60" s="88"/>
      <c r="Y60" s="88"/>
      <c r="Z60" s="507"/>
      <c r="AA60" s="507"/>
      <c r="AB60" s="507"/>
      <c r="AC60" s="507"/>
      <c r="AD60" s="264" t="s">
        <v>171</v>
      </c>
      <c r="AE60" s="269" t="s">
        <v>137</v>
      </c>
      <c r="AF60" s="265">
        <v>4</v>
      </c>
      <c r="AG60" s="265">
        <v>4</v>
      </c>
      <c r="AH60" s="265">
        <v>4</v>
      </c>
      <c r="AI60" s="166">
        <v>8</v>
      </c>
      <c r="AJ60" s="166">
        <v>8</v>
      </c>
      <c r="AK60" s="166">
        <v>8</v>
      </c>
      <c r="AL60" s="166">
        <v>8</v>
      </c>
      <c r="AM60" s="166">
        <v>8</v>
      </c>
      <c r="AN60" s="166">
        <v>8</v>
      </c>
      <c r="AO60" s="166">
        <v>8</v>
      </c>
      <c r="AP60" s="166">
        <v>8</v>
      </c>
      <c r="AQ60" s="166">
        <v>8</v>
      </c>
      <c r="AR60" s="166">
        <v>8</v>
      </c>
      <c r="AS60" s="166">
        <v>8</v>
      </c>
      <c r="AT60" s="166">
        <v>8</v>
      </c>
      <c r="AU60" s="166">
        <v>8</v>
      </c>
      <c r="AV60" s="166">
        <v>8</v>
      </c>
      <c r="AW60" s="166">
        <v>8</v>
      </c>
      <c r="AX60" s="166">
        <v>8</v>
      </c>
      <c r="AY60" s="95"/>
      <c r="AZ60" s="96"/>
      <c r="BA60" s="93"/>
      <c r="BB60" s="89"/>
      <c r="BC60" s="89"/>
      <c r="BD60" s="89"/>
      <c r="BE60" s="89"/>
      <c r="BF60" s="89"/>
    </row>
    <row r="61" spans="1:58" ht="15" thickBot="1">
      <c r="A61" s="492"/>
      <c r="B61" s="202"/>
      <c r="C61" s="202"/>
      <c r="D61" s="202"/>
      <c r="E61" s="202"/>
      <c r="F61" s="202"/>
      <c r="G61" s="492"/>
      <c r="H61" s="492"/>
      <c r="I61" s="492"/>
      <c r="J61" s="492"/>
      <c r="K61" s="492"/>
      <c r="L61" s="88"/>
      <c r="M61" s="88"/>
      <c r="N61" s="88"/>
      <c r="O61" s="88"/>
      <c r="P61" s="88"/>
      <c r="Q61" s="88"/>
      <c r="R61" s="88"/>
      <c r="S61" s="88"/>
      <c r="T61" s="88"/>
      <c r="U61" s="88"/>
      <c r="V61" s="88"/>
      <c r="W61" s="88"/>
      <c r="X61" s="88"/>
      <c r="Y61" s="88"/>
      <c r="Z61" s="88"/>
      <c r="AA61" s="88"/>
      <c r="AB61" s="88"/>
      <c r="AC61" s="88"/>
      <c r="AD61" s="202"/>
      <c r="AE61" s="202"/>
      <c r="AF61" s="202"/>
      <c r="AG61" s="202"/>
      <c r="AH61" s="202"/>
      <c r="AI61" s="202"/>
      <c r="AJ61" s="202"/>
      <c r="AK61" s="202"/>
      <c r="AL61" s="202"/>
      <c r="AM61" s="202"/>
      <c r="AN61" s="202"/>
      <c r="AO61" s="202"/>
      <c r="AP61" s="202"/>
      <c r="AQ61" s="202"/>
      <c r="AR61" s="202"/>
      <c r="AS61" s="202"/>
      <c r="AT61" s="202"/>
      <c r="AU61" s="562"/>
      <c r="AV61" s="562"/>
      <c r="AW61" s="562"/>
      <c r="AX61" s="562"/>
      <c r="AY61" s="95"/>
      <c r="AZ61" s="96"/>
      <c r="BA61" s="93"/>
      <c r="BB61" s="89"/>
      <c r="BC61" s="89"/>
      <c r="BD61" s="89"/>
      <c r="BE61" s="89"/>
      <c r="BF61" s="89"/>
    </row>
    <row r="62" spans="1:58" ht="14" customHeight="1">
      <c r="A62" s="88"/>
      <c r="B62" s="202"/>
      <c r="C62" s="596" t="s">
        <v>335</v>
      </c>
      <c r="D62" s="597"/>
      <c r="E62" s="597" t="s">
        <v>336</v>
      </c>
      <c r="F62" s="598"/>
      <c r="G62" s="492"/>
      <c r="H62" s="599" t="s">
        <v>334</v>
      </c>
      <c r="I62" s="599"/>
      <c r="J62" s="599"/>
      <c r="K62" s="599"/>
      <c r="L62" s="599"/>
      <c r="M62" s="599"/>
      <c r="N62" s="88"/>
      <c r="O62" s="88"/>
      <c r="P62" s="88"/>
      <c r="Q62" s="88"/>
      <c r="R62" s="88"/>
      <c r="S62" s="88"/>
      <c r="T62" s="88"/>
      <c r="U62" s="88"/>
      <c r="V62" s="88"/>
      <c r="W62" s="88"/>
      <c r="X62" s="88"/>
      <c r="Y62" s="88"/>
      <c r="Z62" s="88"/>
      <c r="AA62" s="88"/>
      <c r="AB62" s="88"/>
      <c r="AC62" s="88"/>
      <c r="AD62" s="202"/>
      <c r="AE62" s="202"/>
      <c r="AF62" s="202"/>
      <c r="AG62" s="202"/>
      <c r="AH62" s="202"/>
      <c r="AI62" s="202"/>
      <c r="AJ62" s="202"/>
      <c r="AK62" s="202"/>
      <c r="AL62" s="202"/>
      <c r="AM62" s="202"/>
      <c r="AN62" s="202"/>
      <c r="AO62" s="202"/>
      <c r="AP62" s="202"/>
      <c r="AQ62" s="202"/>
      <c r="AR62" s="202"/>
      <c r="AS62" s="202"/>
      <c r="AT62" s="202"/>
      <c r="AU62" s="562"/>
      <c r="AV62" s="562"/>
      <c r="AW62" s="562"/>
      <c r="AX62" s="562"/>
      <c r="AY62" s="95"/>
      <c r="AZ62" s="96"/>
      <c r="BA62" s="93"/>
      <c r="BB62" s="89"/>
      <c r="BC62" s="89"/>
      <c r="BD62" s="89"/>
      <c r="BE62" s="89"/>
      <c r="BF62" s="89"/>
    </row>
    <row r="63" spans="1:58" ht="15" customHeight="1" thickBot="1">
      <c r="A63" s="88"/>
      <c r="B63" s="88"/>
      <c r="C63" s="504" t="s">
        <v>337</v>
      </c>
      <c r="D63" s="505" t="s">
        <v>338</v>
      </c>
      <c r="E63" s="504" t="s">
        <v>337</v>
      </c>
      <c r="F63" s="506" t="s">
        <v>338</v>
      </c>
      <c r="G63" s="202"/>
      <c r="H63" s="599"/>
      <c r="I63" s="599"/>
      <c r="J63" s="599"/>
      <c r="K63" s="599"/>
      <c r="L63" s="599"/>
      <c r="M63" s="599"/>
      <c r="N63" s="512"/>
      <c r="O63" s="512"/>
      <c r="P63" s="512"/>
      <c r="Q63" s="51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5">
      <c r="A64" s="88"/>
      <c r="B64" s="499" t="s">
        <v>123</v>
      </c>
      <c r="C64" s="501">
        <v>1</v>
      </c>
      <c r="D64" s="502">
        <v>1.1499999999999999</v>
      </c>
      <c r="E64" s="502">
        <v>0.5</v>
      </c>
      <c r="F64" s="503">
        <v>1</v>
      </c>
      <c r="G64" s="202"/>
      <c r="H64" s="599"/>
      <c r="I64" s="599"/>
      <c r="J64" s="599"/>
      <c r="K64" s="599"/>
      <c r="L64" s="599"/>
      <c r="M64" s="599"/>
      <c r="N64" s="512"/>
      <c r="O64" s="512"/>
      <c r="P64" s="512"/>
      <c r="Q64" s="51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5">
      <c r="A65" s="88"/>
      <c r="B65" s="389" t="s">
        <v>124</v>
      </c>
      <c r="C65" s="493">
        <v>1</v>
      </c>
      <c r="D65" s="494">
        <v>1.1499999999999999</v>
      </c>
      <c r="E65" s="494">
        <v>0.5</v>
      </c>
      <c r="F65" s="495">
        <v>1</v>
      </c>
      <c r="G65" s="202"/>
      <c r="H65" s="599"/>
      <c r="I65" s="599"/>
      <c r="J65" s="599"/>
      <c r="K65" s="599"/>
      <c r="L65" s="599"/>
      <c r="M65" s="599"/>
      <c r="N65" s="512"/>
      <c r="O65" s="512"/>
      <c r="P65" s="512"/>
      <c r="Q65" s="512"/>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 thickBot="1">
      <c r="A66" s="88"/>
      <c r="B66" s="500" t="s">
        <v>125</v>
      </c>
      <c r="C66" s="496">
        <v>1</v>
      </c>
      <c r="D66" s="497">
        <v>1.1499999999999999</v>
      </c>
      <c r="E66" s="497">
        <v>0.5</v>
      </c>
      <c r="F66" s="498">
        <v>1</v>
      </c>
      <c r="G66" s="202"/>
      <c r="H66" s="599"/>
      <c r="I66" s="599"/>
      <c r="J66" s="599"/>
      <c r="K66" s="599"/>
      <c r="L66" s="599"/>
      <c r="M66" s="599"/>
      <c r="N66" s="512"/>
      <c r="O66" s="512"/>
      <c r="P66" s="512"/>
      <c r="Q66" s="512"/>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c r="A67" s="359"/>
      <c r="B67" s="359"/>
      <c r="C67" s="359"/>
      <c r="D67" s="359"/>
      <c r="E67" s="359"/>
      <c r="F67" s="202"/>
      <c r="G67" s="202"/>
      <c r="H67" s="599"/>
      <c r="I67" s="599"/>
      <c r="J67" s="599"/>
      <c r="K67" s="599"/>
      <c r="L67" s="599"/>
      <c r="M67" s="599"/>
      <c r="N67" s="512"/>
      <c r="O67" s="512"/>
      <c r="P67" s="512"/>
      <c r="Q67" s="512"/>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c r="A68" s="359"/>
      <c r="B68" s="359"/>
      <c r="C68" s="359"/>
      <c r="D68" s="359"/>
      <c r="E68" s="359"/>
      <c r="F68" s="202"/>
      <c r="G68" s="202"/>
      <c r="H68" s="599"/>
      <c r="I68" s="599"/>
      <c r="J68" s="599"/>
      <c r="K68" s="599"/>
      <c r="L68" s="599"/>
      <c r="M68" s="599"/>
      <c r="N68" s="512"/>
      <c r="O68" s="512"/>
      <c r="P68" s="512"/>
      <c r="Q68" s="512"/>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c r="A69" s="508"/>
      <c r="B69" s="508"/>
      <c r="C69" s="508"/>
      <c r="D69" s="508"/>
      <c r="E69" s="508"/>
      <c r="F69" s="509"/>
      <c r="G69" s="510"/>
      <c r="H69" s="511"/>
      <c r="I69" s="511"/>
      <c r="J69" s="511"/>
      <c r="K69" s="511"/>
      <c r="L69" s="512"/>
      <c r="M69" s="512"/>
      <c r="N69" s="512"/>
      <c r="O69" s="512"/>
      <c r="P69" s="512"/>
      <c r="Q69" s="512"/>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c r="A70" s="508"/>
      <c r="B70" s="508"/>
      <c r="C70" s="508"/>
      <c r="D70" s="508"/>
      <c r="E70" s="508"/>
      <c r="F70" s="509"/>
      <c r="G70" s="510"/>
      <c r="H70" s="511"/>
      <c r="I70" s="511"/>
      <c r="J70" s="511"/>
      <c r="K70" s="511"/>
      <c r="L70" s="512"/>
      <c r="M70" s="512"/>
      <c r="N70" s="512"/>
      <c r="O70" s="512"/>
      <c r="P70" s="512"/>
      <c r="Q70" s="512"/>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c r="A71" s="510"/>
      <c r="B71" s="510"/>
      <c r="C71" s="510"/>
      <c r="D71" s="510"/>
      <c r="E71" s="510"/>
      <c r="F71" s="510"/>
      <c r="G71" s="510"/>
      <c r="H71" s="511"/>
      <c r="I71" s="511"/>
      <c r="J71" s="511"/>
      <c r="K71" s="511"/>
      <c r="L71" s="512"/>
      <c r="M71" s="512"/>
      <c r="N71" s="512"/>
      <c r="O71" s="512"/>
      <c r="P71" s="512"/>
      <c r="Q71" s="512"/>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c r="A72" s="510"/>
      <c r="B72" s="510"/>
      <c r="C72" s="510"/>
      <c r="D72" s="510"/>
      <c r="E72" s="510"/>
      <c r="F72" s="510"/>
      <c r="G72" s="509"/>
      <c r="H72" s="492"/>
      <c r="I72" s="492"/>
      <c r="J72" s="492"/>
      <c r="K72" s="492"/>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c r="A73" s="510"/>
      <c r="B73" s="510"/>
      <c r="C73" s="510"/>
      <c r="D73" s="510"/>
      <c r="E73" s="510"/>
      <c r="F73" s="510"/>
      <c r="G73" s="509"/>
      <c r="H73" s="492"/>
      <c r="I73" s="492"/>
      <c r="J73" s="492"/>
      <c r="K73" s="492"/>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c r="A74" s="509"/>
      <c r="B74" s="509"/>
      <c r="C74" s="509"/>
      <c r="D74" s="509"/>
      <c r="E74" s="509"/>
      <c r="F74" s="509"/>
      <c r="G74" s="509"/>
      <c r="H74" s="492"/>
      <c r="I74" s="492"/>
      <c r="J74" s="492"/>
      <c r="K74" s="492"/>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c r="A75" s="509"/>
      <c r="B75" s="509"/>
      <c r="C75" s="509"/>
      <c r="D75" s="509"/>
      <c r="E75" s="509"/>
      <c r="F75" s="509"/>
      <c r="G75" s="50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9"/>
    <col min="2" max="2" width="23.83203125" style="359" customWidth="1"/>
    <col min="3" max="3" width="30.83203125" style="359" bestFit="1" customWidth="1"/>
    <col min="4" max="4" width="20.1640625" style="359" bestFit="1" customWidth="1"/>
    <col min="5" max="5" width="10.83203125" style="359"/>
    <col min="6" max="6" width="25.33203125" style="359" customWidth="1"/>
    <col min="7" max="7" width="80.5" style="359" customWidth="1"/>
    <col min="8" max="8" width="23.1640625" style="359" customWidth="1"/>
    <col min="9" max="9" width="36.5" style="359" customWidth="1"/>
    <col min="10" max="14" width="10.83203125" style="359"/>
    <col min="15" max="15" width="22.5" style="359" customWidth="1"/>
    <col min="16" max="16" width="21.6640625" style="359" bestFit="1" customWidth="1"/>
    <col min="17" max="17" width="23.83203125" style="359" bestFit="1" customWidth="1"/>
    <col min="18" max="16384" width="10.83203125" style="359"/>
  </cols>
  <sheetData>
    <row r="3" spans="1:7" ht="26">
      <c r="B3" s="199" t="s">
        <v>356</v>
      </c>
    </row>
    <row r="7" spans="1:7" ht="26" customHeight="1" thickBot="1">
      <c r="B7" s="600" t="s">
        <v>341</v>
      </c>
      <c r="C7" s="600"/>
    </row>
    <row r="8" spans="1:7" ht="14" thickTop="1" thickBot="1">
      <c r="B8" s="515" t="s">
        <v>357</v>
      </c>
      <c r="C8" s="538" t="b">
        <v>1</v>
      </c>
      <c r="E8" s="539"/>
      <c r="F8" s="539"/>
      <c r="G8" s="539"/>
    </row>
    <row r="9" spans="1:7" ht="14" thickTop="1" thickBot="1">
      <c r="E9" s="539"/>
      <c r="F9" s="539"/>
      <c r="G9" s="539"/>
    </row>
    <row r="10" spans="1:7" ht="14" thickTop="1" thickBot="1">
      <c r="B10" s="515" t="s">
        <v>343</v>
      </c>
      <c r="C10" s="514" t="s">
        <v>344</v>
      </c>
      <c r="E10" s="603" t="s">
        <v>354</v>
      </c>
      <c r="F10" s="603"/>
      <c r="G10" s="603"/>
    </row>
    <row r="11" spans="1:7" ht="16" thickTop="1">
      <c r="B11" s="519" t="s">
        <v>345</v>
      </c>
      <c r="C11" s="535">
        <v>0.5</v>
      </c>
      <c r="E11" s="603"/>
      <c r="F11" s="603"/>
      <c r="G11" s="603"/>
    </row>
    <row r="12" spans="1:7" ht="15">
      <c r="B12" s="519" t="s">
        <v>346</v>
      </c>
      <c r="C12" s="516">
        <v>1</v>
      </c>
      <c r="E12" s="603"/>
      <c r="F12" s="603"/>
      <c r="G12" s="603"/>
    </row>
    <row r="13" spans="1:7" ht="15">
      <c r="B13" s="519" t="s">
        <v>347</v>
      </c>
      <c r="C13" s="516">
        <v>2</v>
      </c>
      <c r="E13" s="603"/>
      <c r="F13" s="603"/>
      <c r="G13" s="603"/>
    </row>
    <row r="14" spans="1:7" ht="15">
      <c r="A14"/>
      <c r="B14" s="519" t="s">
        <v>348</v>
      </c>
      <c r="C14" s="517">
        <v>3</v>
      </c>
      <c r="E14" s="603"/>
      <c r="F14" s="603"/>
      <c r="G14" s="603"/>
    </row>
    <row r="15" spans="1:7" ht="16" thickBot="1">
      <c r="B15" s="520" t="s">
        <v>349</v>
      </c>
      <c r="C15" s="518">
        <v>4</v>
      </c>
      <c r="E15" s="603"/>
      <c r="F15" s="603"/>
      <c r="G15" s="603"/>
    </row>
    <row r="18" spans="2:17">
      <c r="E18" s="540"/>
      <c r="F18" s="540"/>
      <c r="G18" s="540"/>
    </row>
    <row r="19" spans="2:17" ht="26" customHeight="1" thickBot="1">
      <c r="B19" s="600" t="s">
        <v>358</v>
      </c>
      <c r="C19" s="600"/>
      <c r="E19" s="540"/>
      <c r="F19" s="540"/>
      <c r="G19" s="540"/>
    </row>
    <row r="20" spans="2:17" ht="14" thickTop="1" thickBot="1">
      <c r="B20" s="515" t="s">
        <v>357</v>
      </c>
      <c r="C20" s="538" t="b">
        <v>1</v>
      </c>
      <c r="E20" s="540"/>
      <c r="F20" s="540"/>
      <c r="G20" s="540"/>
    </row>
    <row r="21" spans="2:17" ht="20" customHeight="1" thickTop="1" thickBot="1">
      <c r="B21" s="164"/>
      <c r="E21" s="539" t="s">
        <v>359</v>
      </c>
      <c r="F21" s="539"/>
      <c r="G21" s="539"/>
    </row>
    <row r="22" spans="2:17" ht="14" thickTop="1" thickBot="1">
      <c r="B22" s="515" t="s">
        <v>343</v>
      </c>
      <c r="C22" s="514" t="s">
        <v>350</v>
      </c>
      <c r="E22" s="603" t="s">
        <v>360</v>
      </c>
      <c r="F22" s="603"/>
      <c r="G22" s="603"/>
    </row>
    <row r="23" spans="2:17" ht="16" thickTop="1">
      <c r="B23" s="519" t="s">
        <v>345</v>
      </c>
      <c r="C23" s="536">
        <v>0.96</v>
      </c>
      <c r="E23" s="603"/>
      <c r="F23" s="603"/>
      <c r="G23" s="603"/>
    </row>
    <row r="24" spans="2:17" ht="15">
      <c r="B24" s="519" t="s">
        <v>346</v>
      </c>
      <c r="C24" s="521">
        <v>0.91</v>
      </c>
      <c r="E24" s="603"/>
      <c r="F24" s="603"/>
      <c r="G24" s="603"/>
      <c r="Q24" s="534"/>
    </row>
    <row r="25" spans="2:17" ht="15">
      <c r="B25" s="519" t="s">
        <v>347</v>
      </c>
      <c r="C25" s="521">
        <v>0.84</v>
      </c>
      <c r="E25" s="603"/>
      <c r="F25" s="603"/>
      <c r="G25" s="603"/>
      <c r="Q25" s="534"/>
    </row>
    <row r="26" spans="2:17" ht="15">
      <c r="B26" s="519" t="s">
        <v>348</v>
      </c>
      <c r="C26" s="522">
        <v>0.75</v>
      </c>
      <c r="E26" s="603"/>
      <c r="F26" s="603"/>
      <c r="G26" s="603"/>
      <c r="Q26" s="534"/>
    </row>
    <row r="27" spans="2:17" ht="16" thickBot="1">
      <c r="B27" s="520" t="s">
        <v>349</v>
      </c>
      <c r="C27" s="523">
        <v>0.26</v>
      </c>
      <c r="E27" s="603"/>
      <c r="F27" s="603"/>
      <c r="G27" s="603"/>
      <c r="Q27" s="534"/>
    </row>
    <row r="28" spans="2:17">
      <c r="E28" s="603"/>
      <c r="F28" s="603"/>
      <c r="G28" s="603"/>
      <c r="Q28" s="534"/>
    </row>
    <row r="29" spans="2:17">
      <c r="F29" s="539"/>
      <c r="G29" s="539"/>
      <c r="Q29" s="534"/>
    </row>
    <row r="30" spans="2:17">
      <c r="F30" s="539"/>
      <c r="G30" s="539"/>
      <c r="Q30" s="534"/>
    </row>
    <row r="31" spans="2:17" ht="26" customHeight="1" thickBot="1">
      <c r="B31" s="600" t="s">
        <v>342</v>
      </c>
      <c r="C31" s="600"/>
      <c r="D31" s="600"/>
      <c r="F31" s="539"/>
      <c r="G31" s="539"/>
      <c r="Q31" s="534"/>
    </row>
    <row r="32" spans="2:17" ht="14" thickTop="1" thickBot="1">
      <c r="B32" s="601" t="s">
        <v>357</v>
      </c>
      <c r="C32" s="602"/>
      <c r="D32" s="538" t="b">
        <v>1</v>
      </c>
      <c r="F32" s="539"/>
      <c r="G32" s="539"/>
      <c r="Q32" s="534"/>
    </row>
    <row r="33" spans="2:17" ht="20" thickTop="1" thickBot="1">
      <c r="B33" s="164"/>
      <c r="F33" s="539"/>
      <c r="G33" s="539"/>
      <c r="Q33" s="534"/>
    </row>
    <row r="34" spans="2:17" ht="14" thickTop="1" thickBot="1">
      <c r="B34" s="515" t="s">
        <v>351</v>
      </c>
      <c r="C34" s="515" t="s">
        <v>352</v>
      </c>
      <c r="D34" s="514" t="s">
        <v>353</v>
      </c>
      <c r="F34" s="603" t="s">
        <v>355</v>
      </c>
      <c r="G34" s="603"/>
      <c r="Q34" s="534"/>
    </row>
    <row r="35" spans="2:17" ht="16" thickTop="1">
      <c r="B35" s="524" t="s">
        <v>167</v>
      </c>
      <c r="C35" s="527">
        <v>2.2000000000000002</v>
      </c>
      <c r="D35" s="530">
        <v>17.399999999999999</v>
      </c>
      <c r="F35" s="603"/>
      <c r="G35" s="603"/>
      <c r="Q35" s="534"/>
    </row>
    <row r="36" spans="2:17" ht="15">
      <c r="B36" s="525" t="s">
        <v>112</v>
      </c>
      <c r="C36" s="528">
        <v>3.1</v>
      </c>
      <c r="D36" s="531">
        <v>18.399999999999999</v>
      </c>
      <c r="F36" s="603"/>
      <c r="G36" s="603"/>
      <c r="Q36" s="534"/>
    </row>
    <row r="37" spans="2:17" ht="15">
      <c r="B37" s="525" t="s">
        <v>131</v>
      </c>
      <c r="C37" s="528">
        <v>4.4000000000000004</v>
      </c>
      <c r="D37" s="531">
        <v>19.8</v>
      </c>
      <c r="F37" s="603"/>
      <c r="G37" s="603"/>
      <c r="Q37" s="534"/>
    </row>
    <row r="38" spans="2:17" ht="15">
      <c r="B38" s="525" t="s">
        <v>130</v>
      </c>
      <c r="C38" s="528">
        <v>6.2</v>
      </c>
      <c r="D38" s="532">
        <v>21.8</v>
      </c>
      <c r="F38" s="603"/>
      <c r="G38" s="603"/>
      <c r="Q38" s="534"/>
    </row>
    <row r="39" spans="2:17" ht="15">
      <c r="B39" s="525" t="s">
        <v>132</v>
      </c>
      <c r="C39" s="528">
        <v>9.8000000000000007</v>
      </c>
      <c r="D39" s="532">
        <v>25.7</v>
      </c>
      <c r="F39" s="603"/>
      <c r="G39" s="603"/>
      <c r="Q39" s="534"/>
    </row>
    <row r="40" spans="2:17" ht="15">
      <c r="B40" s="525" t="s">
        <v>133</v>
      </c>
      <c r="C40" s="528">
        <v>13.8</v>
      </c>
      <c r="D40" s="531">
        <v>30.2</v>
      </c>
      <c r="F40" s="603"/>
      <c r="G40" s="603"/>
      <c r="Q40" s="534"/>
    </row>
    <row r="41" spans="2:17" ht="15">
      <c r="B41" s="525" t="s">
        <v>168</v>
      </c>
      <c r="C41" s="528">
        <v>21.9</v>
      </c>
      <c r="D41" s="531">
        <v>39</v>
      </c>
      <c r="F41" s="603"/>
      <c r="G41" s="603"/>
      <c r="Q41" s="534"/>
    </row>
    <row r="42" spans="2:17" ht="15">
      <c r="B42" s="525" t="s">
        <v>134</v>
      </c>
      <c r="C42" s="528">
        <v>30.9</v>
      </c>
      <c r="D42" s="531">
        <v>49</v>
      </c>
      <c r="F42" s="603"/>
      <c r="G42" s="603"/>
      <c r="Q42" s="534"/>
    </row>
    <row r="43" spans="2:17" ht="15">
      <c r="B43" s="525" t="s">
        <v>169</v>
      </c>
      <c r="C43" s="528">
        <v>37.799999999999997</v>
      </c>
      <c r="D43" s="532">
        <v>56.6</v>
      </c>
      <c r="F43" s="603"/>
      <c r="G43" s="603"/>
    </row>
    <row r="44" spans="2:17" ht="15">
      <c r="B44" s="525" t="s">
        <v>170</v>
      </c>
      <c r="C44" s="528">
        <v>43.7</v>
      </c>
      <c r="D44" s="532">
        <v>63.1</v>
      </c>
      <c r="F44" s="603"/>
      <c r="G44" s="603"/>
    </row>
    <row r="45" spans="2:17" ht="16" thickBot="1">
      <c r="B45" s="526" t="s">
        <v>171</v>
      </c>
      <c r="C45" s="529">
        <v>53.5</v>
      </c>
      <c r="D45" s="533">
        <v>73.900000000000006</v>
      </c>
      <c r="F45" s="603"/>
      <c r="G45" s="603"/>
    </row>
    <row r="174" spans="3:3">
      <c r="C174" s="537" t="b">
        <v>1</v>
      </c>
    </row>
    <row r="175" spans="3:3">
      <c r="C175" s="537"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105</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3" t="s">
        <v>53</v>
      </c>
      <c r="D9" s="614"/>
      <c r="E9" s="361" t="s">
        <v>162</v>
      </c>
      <c r="F9" s="228" t="s">
        <v>163</v>
      </c>
      <c r="G9" s="158"/>
      <c r="H9" s="318"/>
      <c r="I9" s="318"/>
      <c r="J9" s="604" t="s">
        <v>144</v>
      </c>
      <c r="K9" s="605"/>
      <c r="L9" s="606"/>
      <c r="M9" s="197" t="s">
        <v>260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141</v>
      </c>
      <c r="D10" s="224"/>
      <c r="E10" s="362">
        <v>15</v>
      </c>
      <c r="F10" s="229">
        <v>20</v>
      </c>
      <c r="G10" s="158"/>
      <c r="H10" s="159"/>
      <c r="I10" s="159"/>
      <c r="J10" s="215" t="s">
        <v>2</v>
      </c>
      <c r="K10" s="215" t="s">
        <v>151</v>
      </c>
      <c r="L10" s="215" t="s">
        <v>67</v>
      </c>
      <c r="M10" s="198" t="s">
        <v>261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374</v>
      </c>
      <c r="D11" s="224"/>
      <c r="E11" s="588">
        <v>0.06</v>
      </c>
      <c r="F11" s="589">
        <v>0.1</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142</v>
      </c>
      <c r="D12" s="224"/>
      <c r="E12" s="588">
        <v>0.2</v>
      </c>
      <c r="F12" s="589">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373</v>
      </c>
      <c r="D13" s="224"/>
      <c r="E13" s="588">
        <v>7.0000000000000007E-2</v>
      </c>
      <c r="F13" s="589">
        <v>7.0000000000000007E-2</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590">
        <v>0.33</v>
      </c>
      <c r="F14" s="591">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615" t="s">
        <v>54</v>
      </c>
      <c r="D17" s="616"/>
      <c r="E17" s="230" t="s">
        <v>162</v>
      </c>
      <c r="F17" s="231" t="s">
        <v>163</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143</v>
      </c>
      <c r="D18" s="226"/>
      <c r="E18" s="232">
        <v>15</v>
      </c>
      <c r="F18" s="233">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4" t="s">
        <v>374</v>
      </c>
      <c r="D19" s="226"/>
      <c r="E19" s="592">
        <v>0.06</v>
      </c>
      <c r="F19" s="589">
        <v>0.1</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142</v>
      </c>
      <c r="D20" s="227"/>
      <c r="E20" s="592">
        <v>0.2</v>
      </c>
      <c r="F20" s="589">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4" t="s">
        <v>373</v>
      </c>
      <c r="D21" s="227"/>
      <c r="E21" s="592">
        <v>7.0000000000000007E-2</v>
      </c>
      <c r="F21" s="589">
        <v>7.0000000000000007E-2</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593">
        <v>0.35</v>
      </c>
      <c r="F22" s="594">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98</v>
      </c>
      <c r="D23" s="227"/>
      <c r="E23" s="234">
        <v>25</v>
      </c>
      <c r="F23" s="235">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617" t="s">
        <v>145</v>
      </c>
      <c r="D26" s="618"/>
      <c r="E26" s="236" t="s">
        <v>162</v>
      </c>
      <c r="F26" s="237" t="s">
        <v>163</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143</v>
      </c>
      <c r="D27" s="226"/>
      <c r="E27" s="232">
        <v>15</v>
      </c>
      <c r="F27" s="233">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4" t="s">
        <v>374</v>
      </c>
      <c r="D28" s="226"/>
      <c r="E28" s="592">
        <v>0.06</v>
      </c>
      <c r="F28" s="589">
        <v>0.1</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142</v>
      </c>
      <c r="D29" s="227"/>
      <c r="E29" s="592">
        <v>0.2</v>
      </c>
      <c r="F29" s="589">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4" t="s">
        <v>373</v>
      </c>
      <c r="D30" s="227"/>
      <c r="E30" s="592">
        <v>7.0000000000000007E-2</v>
      </c>
      <c r="F30" s="589">
        <v>7.0000000000000007E-2</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593">
        <v>0.35</v>
      </c>
      <c r="F31" s="594">
        <v>0.35</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98</v>
      </c>
      <c r="D32" s="227"/>
      <c r="E32" s="234">
        <v>25</v>
      </c>
      <c r="F32" s="235">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193</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08"/>
      <c r="D35" s="607" t="s">
        <v>123</v>
      </c>
      <c r="E35" s="608"/>
      <c r="F35" s="609" t="s">
        <v>124</v>
      </c>
      <c r="G35" s="610"/>
      <c r="H35" s="611" t="s">
        <v>125</v>
      </c>
      <c r="I35" s="61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9" t="s">
        <v>2</v>
      </c>
      <c r="D36" s="310" t="s">
        <v>185</v>
      </c>
      <c r="E36" s="310" t="s">
        <v>186</v>
      </c>
      <c r="F36" s="310" t="s">
        <v>185</v>
      </c>
      <c r="G36" s="310" t="s">
        <v>186</v>
      </c>
      <c r="H36" s="310" t="s">
        <v>185</v>
      </c>
      <c r="I36" s="311"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12">
        <v>0</v>
      </c>
      <c r="D37" s="313">
        <v>0.9</v>
      </c>
      <c r="E37" s="313">
        <v>0.9</v>
      </c>
      <c r="F37" s="313">
        <v>0.9</v>
      </c>
      <c r="G37" s="313">
        <v>0.9</v>
      </c>
      <c r="H37" s="313">
        <v>0.9</v>
      </c>
      <c r="I37" s="31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12">
        <v>1</v>
      </c>
      <c r="D38" s="313">
        <v>0.62</v>
      </c>
      <c r="E38" s="313">
        <v>0.62</v>
      </c>
      <c r="F38" s="313">
        <v>0.62</v>
      </c>
      <c r="G38" s="313">
        <v>0.62</v>
      </c>
      <c r="H38" s="313">
        <v>0.62</v>
      </c>
      <c r="I38" s="31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12">
        <v>2</v>
      </c>
      <c r="D39" s="313">
        <v>0.3</v>
      </c>
      <c r="E39" s="313">
        <v>0.3</v>
      </c>
      <c r="F39" s="313">
        <v>0.3</v>
      </c>
      <c r="G39" s="313">
        <v>0.3</v>
      </c>
      <c r="H39" s="313">
        <v>0.3</v>
      </c>
      <c r="I39" s="31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12">
        <v>3</v>
      </c>
      <c r="D40" s="313">
        <v>0.18</v>
      </c>
      <c r="E40" s="313">
        <v>0.18</v>
      </c>
      <c r="F40" s="313">
        <v>0.18</v>
      </c>
      <c r="G40" s="313">
        <v>0.18</v>
      </c>
      <c r="H40" s="313">
        <v>0.18</v>
      </c>
      <c r="I40" s="31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12">
        <v>4</v>
      </c>
      <c r="D41" s="313">
        <v>0.13999999999999999</v>
      </c>
      <c r="E41" s="313">
        <v>0.13999999999999999</v>
      </c>
      <c r="F41" s="313">
        <v>0.13999999999999999</v>
      </c>
      <c r="G41" s="313">
        <v>0.13999999999999999</v>
      </c>
      <c r="H41" s="313">
        <v>0.13999999999999999</v>
      </c>
      <c r="I41" s="31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12">
        <v>5</v>
      </c>
      <c r="D42" s="313">
        <v>0.1</v>
      </c>
      <c r="E42" s="313">
        <v>0.1</v>
      </c>
      <c r="F42" s="313">
        <v>0.1</v>
      </c>
      <c r="G42" s="313">
        <v>0.1</v>
      </c>
      <c r="H42" s="313">
        <v>0.1</v>
      </c>
      <c r="I42" s="31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12">
        <v>6</v>
      </c>
      <c r="D43" s="313">
        <v>0.08</v>
      </c>
      <c r="E43" s="313">
        <v>0.08</v>
      </c>
      <c r="F43" s="313">
        <v>0.08</v>
      </c>
      <c r="G43" s="313">
        <v>0.08</v>
      </c>
      <c r="H43" s="313">
        <v>0.08</v>
      </c>
      <c r="I43" s="31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12">
        <v>7</v>
      </c>
      <c r="D44" s="313">
        <v>6.5000000000000002E-2</v>
      </c>
      <c r="E44" s="313">
        <v>6.5000000000000002E-2</v>
      </c>
      <c r="F44" s="313">
        <v>6.5000000000000002E-2</v>
      </c>
      <c r="G44" s="313">
        <v>6.5000000000000002E-2</v>
      </c>
      <c r="H44" s="313">
        <v>6.5000000000000002E-2</v>
      </c>
      <c r="I44" s="31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12">
        <v>8</v>
      </c>
      <c r="D45" s="313">
        <v>0.05</v>
      </c>
      <c r="E45" s="313">
        <v>0.05</v>
      </c>
      <c r="F45" s="313">
        <v>0.05</v>
      </c>
      <c r="G45" s="313">
        <v>0.05</v>
      </c>
      <c r="H45" s="313">
        <v>0.05</v>
      </c>
      <c r="I45" s="31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12">
        <v>9</v>
      </c>
      <c r="D46" s="313">
        <v>0.05</v>
      </c>
      <c r="E46" s="313">
        <v>0.05</v>
      </c>
      <c r="F46" s="313">
        <v>0.05</v>
      </c>
      <c r="G46" s="313">
        <v>0.05</v>
      </c>
      <c r="H46" s="313">
        <v>0.05</v>
      </c>
      <c r="I46" s="31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12">
        <v>10</v>
      </c>
      <c r="D47" s="313">
        <v>0.04</v>
      </c>
      <c r="E47" s="313">
        <v>0.04</v>
      </c>
      <c r="F47" s="313">
        <v>0.04</v>
      </c>
      <c r="G47" s="313">
        <v>0.04</v>
      </c>
      <c r="H47" s="313">
        <v>0.04</v>
      </c>
      <c r="I47" s="31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12">
        <v>11</v>
      </c>
      <c r="D48" s="313">
        <v>3.7999999999999999E-2</v>
      </c>
      <c r="E48" s="313">
        <v>3.7999999999999999E-2</v>
      </c>
      <c r="F48" s="313">
        <v>3.7999999999999999E-2</v>
      </c>
      <c r="G48" s="313">
        <v>3.7999999999999999E-2</v>
      </c>
      <c r="H48" s="313">
        <v>3.7999999999999999E-2</v>
      </c>
      <c r="I48" s="31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12">
        <v>12</v>
      </c>
      <c r="D49" s="313">
        <v>3.5999999999999997E-2</v>
      </c>
      <c r="E49" s="313">
        <v>3.5999999999999997E-2</v>
      </c>
      <c r="F49" s="313">
        <v>3.5999999999999997E-2</v>
      </c>
      <c r="G49" s="313">
        <v>3.5999999999999997E-2</v>
      </c>
      <c r="H49" s="313">
        <v>3.5999999999999997E-2</v>
      </c>
      <c r="I49" s="31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12">
        <v>13</v>
      </c>
      <c r="D50" s="313">
        <v>3.3999999999999996E-2</v>
      </c>
      <c r="E50" s="313">
        <v>3.3999999999999996E-2</v>
      </c>
      <c r="F50" s="313">
        <v>3.3999999999999996E-2</v>
      </c>
      <c r="G50" s="313">
        <v>3.3999999999999996E-2</v>
      </c>
      <c r="H50" s="313">
        <v>3.3999999999999996E-2</v>
      </c>
      <c r="I50" s="31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12">
        <v>14</v>
      </c>
      <c r="D51" s="313">
        <v>3.2000000000000001E-2</v>
      </c>
      <c r="E51" s="313">
        <v>3.2000000000000001E-2</v>
      </c>
      <c r="F51" s="313">
        <v>3.2000000000000001E-2</v>
      </c>
      <c r="G51" s="313">
        <v>3.2000000000000001E-2</v>
      </c>
      <c r="H51" s="313">
        <v>3.2000000000000001E-2</v>
      </c>
      <c r="I51" s="31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12">
        <v>15</v>
      </c>
      <c r="D52" s="313">
        <v>0.03</v>
      </c>
      <c r="E52" s="313">
        <v>0.03</v>
      </c>
      <c r="F52" s="313">
        <v>0.03</v>
      </c>
      <c r="G52" s="313">
        <v>0.03</v>
      </c>
      <c r="H52" s="313">
        <v>0.03</v>
      </c>
      <c r="I52" s="31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12">
        <v>16</v>
      </c>
      <c r="D53" s="313">
        <v>2.7999999999999997E-2</v>
      </c>
      <c r="E53" s="313">
        <v>2.7999999999999997E-2</v>
      </c>
      <c r="F53" s="313">
        <v>2.7999999999999997E-2</v>
      </c>
      <c r="G53" s="313">
        <v>2.7999999999999997E-2</v>
      </c>
      <c r="H53" s="313">
        <v>2.7999999999999997E-2</v>
      </c>
      <c r="I53" s="31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12">
        <v>17</v>
      </c>
      <c r="D54" s="313">
        <v>2.6000000000000002E-2</v>
      </c>
      <c r="E54" s="313">
        <v>2.6000000000000002E-2</v>
      </c>
      <c r="F54" s="313">
        <v>2.6000000000000002E-2</v>
      </c>
      <c r="G54" s="313">
        <v>2.6000000000000002E-2</v>
      </c>
      <c r="H54" s="313">
        <v>2.6000000000000002E-2</v>
      </c>
      <c r="I54" s="31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12">
        <v>18</v>
      </c>
      <c r="D55" s="313">
        <v>2.4E-2</v>
      </c>
      <c r="E55" s="313">
        <v>2.4E-2</v>
      </c>
      <c r="F55" s="313">
        <v>2.4E-2</v>
      </c>
      <c r="G55" s="313">
        <v>2.4E-2</v>
      </c>
      <c r="H55" s="313">
        <v>2.4E-2</v>
      </c>
      <c r="I55" s="31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12">
        <v>19</v>
      </c>
      <c r="D56" s="313">
        <v>2.2000000000000002E-2</v>
      </c>
      <c r="E56" s="313">
        <v>2.2000000000000002E-2</v>
      </c>
      <c r="F56" s="313">
        <v>2.2000000000000002E-2</v>
      </c>
      <c r="G56" s="313">
        <v>2.2000000000000002E-2</v>
      </c>
      <c r="H56" s="313">
        <v>2.2000000000000002E-2</v>
      </c>
      <c r="I56" s="31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12">
        <v>20</v>
      </c>
      <c r="D57" s="313">
        <v>0.02</v>
      </c>
      <c r="E57" s="313">
        <v>0.02</v>
      </c>
      <c r="F57" s="313">
        <v>0.02</v>
      </c>
      <c r="G57" s="313">
        <v>0.02</v>
      </c>
      <c r="H57" s="313">
        <v>0.02</v>
      </c>
      <c r="I57" s="31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12">
        <v>21</v>
      </c>
      <c r="D58" s="313">
        <v>1.7999999999999999E-2</v>
      </c>
      <c r="E58" s="313">
        <v>1.7999999999999999E-2</v>
      </c>
      <c r="F58" s="313">
        <v>1.7999999999999999E-2</v>
      </c>
      <c r="G58" s="313">
        <v>1.7999999999999999E-2</v>
      </c>
      <c r="H58" s="313">
        <v>1.7999999999999999E-2</v>
      </c>
      <c r="I58" s="31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12">
        <v>22</v>
      </c>
      <c r="D59" s="313">
        <v>1.6E-2</v>
      </c>
      <c r="E59" s="313">
        <v>1.6E-2</v>
      </c>
      <c r="F59" s="313">
        <v>1.6E-2</v>
      </c>
      <c r="G59" s="313">
        <v>1.6E-2</v>
      </c>
      <c r="H59" s="313">
        <v>1.6E-2</v>
      </c>
      <c r="I59" s="31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12">
        <v>23</v>
      </c>
      <c r="D60" s="313">
        <v>1.3999999999999999E-2</v>
      </c>
      <c r="E60" s="313">
        <v>1.3999999999999999E-2</v>
      </c>
      <c r="F60" s="313">
        <v>1.3999999999999999E-2</v>
      </c>
      <c r="G60" s="313">
        <v>1.3999999999999999E-2</v>
      </c>
      <c r="H60" s="313">
        <v>1.3999999999999999E-2</v>
      </c>
      <c r="I60" s="31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12">
        <v>24</v>
      </c>
      <c r="D61" s="313">
        <v>1.2E-2</v>
      </c>
      <c r="E61" s="313">
        <v>1.2E-2</v>
      </c>
      <c r="F61" s="313">
        <v>1.2E-2</v>
      </c>
      <c r="G61" s="313">
        <v>1.2E-2</v>
      </c>
      <c r="H61" s="313">
        <v>1.2E-2</v>
      </c>
      <c r="I61" s="31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12">
        <v>25</v>
      </c>
      <c r="D62" s="313">
        <v>0.01</v>
      </c>
      <c r="E62" s="313">
        <v>0.01</v>
      </c>
      <c r="F62" s="313">
        <v>0.01</v>
      </c>
      <c r="G62" s="313">
        <v>0.01</v>
      </c>
      <c r="H62" s="313">
        <v>0.01</v>
      </c>
      <c r="I62" s="31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12">
        <v>26</v>
      </c>
      <c r="D63" s="313">
        <v>8.0000000000000002E-3</v>
      </c>
      <c r="E63" s="313">
        <v>8.0000000000000002E-3</v>
      </c>
      <c r="F63" s="313">
        <v>8.0000000000000002E-3</v>
      </c>
      <c r="G63" s="313">
        <v>8.0000000000000002E-3</v>
      </c>
      <c r="H63" s="313">
        <v>8.0000000000000002E-3</v>
      </c>
      <c r="I63" s="31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12">
        <v>27</v>
      </c>
      <c r="D64" s="313">
        <v>6.0000000000000001E-3</v>
      </c>
      <c r="E64" s="313">
        <v>6.0000000000000001E-3</v>
      </c>
      <c r="F64" s="313">
        <v>6.0000000000000001E-3</v>
      </c>
      <c r="G64" s="313">
        <v>6.0000000000000001E-3</v>
      </c>
      <c r="H64" s="313">
        <v>6.0000000000000001E-3</v>
      </c>
      <c r="I64" s="31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12">
        <v>28</v>
      </c>
      <c r="D65" s="313">
        <v>4.0000000000000001E-3</v>
      </c>
      <c r="E65" s="313">
        <v>4.0000000000000001E-3</v>
      </c>
      <c r="F65" s="313">
        <v>4.0000000000000001E-3</v>
      </c>
      <c r="G65" s="313">
        <v>4.0000000000000001E-3</v>
      </c>
      <c r="H65" s="313">
        <v>4.0000000000000001E-3</v>
      </c>
      <c r="I65" s="31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12">
        <v>29</v>
      </c>
      <c r="D66" s="313">
        <v>2E-3</v>
      </c>
      <c r="E66" s="313">
        <v>2E-3</v>
      </c>
      <c r="F66" s="313">
        <v>2E-3</v>
      </c>
      <c r="G66" s="313">
        <v>2E-3</v>
      </c>
      <c r="H66" s="313">
        <v>2E-3</v>
      </c>
      <c r="I66" s="31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15">
        <v>30</v>
      </c>
      <c r="D67" s="316">
        <v>0</v>
      </c>
      <c r="E67" s="316">
        <v>0</v>
      </c>
      <c r="F67" s="316">
        <v>0</v>
      </c>
      <c r="G67" s="316">
        <v>0</v>
      </c>
      <c r="H67" s="316">
        <v>0</v>
      </c>
      <c r="I67" s="31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16"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75">
        <v>2014</v>
      </c>
      <c r="D7" s="276">
        <v>2016</v>
      </c>
      <c r="E7" s="276">
        <v>2018</v>
      </c>
      <c r="F7" s="276">
        <v>2020</v>
      </c>
      <c r="G7" s="276">
        <v>2022</v>
      </c>
      <c r="H7" s="276">
        <v>2024</v>
      </c>
      <c r="I7" s="276">
        <v>2026</v>
      </c>
      <c r="J7" s="276">
        <v>2028</v>
      </c>
      <c r="K7" s="276">
        <v>2030</v>
      </c>
      <c r="L7" s="276">
        <v>2032</v>
      </c>
      <c r="M7" s="276">
        <v>2034</v>
      </c>
      <c r="N7" s="276">
        <v>2036</v>
      </c>
      <c r="O7" s="276">
        <v>2038</v>
      </c>
      <c r="P7" s="276">
        <v>2040</v>
      </c>
      <c r="Q7" s="276">
        <v>2042</v>
      </c>
      <c r="R7" s="276">
        <v>2044</v>
      </c>
      <c r="S7" s="276">
        <v>2046</v>
      </c>
      <c r="T7" s="276">
        <v>2048</v>
      </c>
      <c r="U7" s="27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138</v>
      </c>
      <c r="C8" s="278">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79">
        <v>8.16</v>
      </c>
      <c r="V8" s="158"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159</v>
      </c>
      <c r="C9" s="278">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79">
        <v>3.19</v>
      </c>
      <c r="V9" s="131"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80">
        <v>0</v>
      </c>
      <c r="D10" s="274">
        <v>0</v>
      </c>
      <c r="E10" s="274">
        <v>0</v>
      </c>
      <c r="F10" s="274">
        <v>0</v>
      </c>
      <c r="G10" s="274">
        <v>20</v>
      </c>
      <c r="H10" s="274">
        <v>20</v>
      </c>
      <c r="I10" s="274">
        <v>20</v>
      </c>
      <c r="J10" s="274">
        <v>20</v>
      </c>
      <c r="K10" s="274">
        <v>30</v>
      </c>
      <c r="L10" s="274">
        <v>30</v>
      </c>
      <c r="M10" s="274">
        <v>30</v>
      </c>
      <c r="N10" s="274">
        <v>30</v>
      </c>
      <c r="O10" s="274">
        <v>40</v>
      </c>
      <c r="P10" s="274">
        <v>40</v>
      </c>
      <c r="Q10" s="274">
        <v>40</v>
      </c>
      <c r="R10" s="274">
        <v>40</v>
      </c>
      <c r="S10" s="274">
        <v>50</v>
      </c>
      <c r="T10" s="274">
        <v>50</v>
      </c>
      <c r="U10" s="281">
        <v>50</v>
      </c>
      <c r="V10" s="131"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178</v>
      </c>
      <c r="C11" s="376">
        <v>1</v>
      </c>
      <c r="D11" s="377">
        <v>1.0249999999999999</v>
      </c>
      <c r="E11" s="377">
        <v>1.0506249999999999</v>
      </c>
      <c r="F11" s="377">
        <v>1.0768906249999999</v>
      </c>
      <c r="G11" s="377">
        <v>1.1038128906249998</v>
      </c>
      <c r="H11" s="377">
        <v>1.1314082128906247</v>
      </c>
      <c r="I11" s="377">
        <v>1.1596934182128902</v>
      </c>
      <c r="J11" s="377">
        <v>1.1886857536682123</v>
      </c>
      <c r="K11" s="377">
        <v>1.2184028975099175</v>
      </c>
      <c r="L11" s="377">
        <v>1.2488629699476652</v>
      </c>
      <c r="M11" s="377">
        <v>1.2800845441963566</v>
      </c>
      <c r="N11" s="377">
        <v>1.3120866578012655</v>
      </c>
      <c r="O11" s="377">
        <v>1.3448888242462971</v>
      </c>
      <c r="P11" s="377">
        <v>1.3785110448524545</v>
      </c>
      <c r="Q11" s="377">
        <v>1.4129738209737657</v>
      </c>
      <c r="R11" s="377">
        <v>1.4482981664981096</v>
      </c>
      <c r="S11" s="377">
        <v>1.4845056206605622</v>
      </c>
      <c r="T11" s="377">
        <v>1.5216182611770761</v>
      </c>
      <c r="U11" s="37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179</v>
      </c>
      <c r="C12" s="376">
        <v>1</v>
      </c>
      <c r="D12" s="377">
        <v>1.0249999999999999</v>
      </c>
      <c r="E12" s="377">
        <v>1.0506249999999999</v>
      </c>
      <c r="F12" s="377">
        <v>1.0768906249999999</v>
      </c>
      <c r="G12" s="377">
        <v>1.1038128906249998</v>
      </c>
      <c r="H12" s="377">
        <v>1.1314082128906247</v>
      </c>
      <c r="I12" s="377">
        <v>1.1596934182128902</v>
      </c>
      <c r="J12" s="377">
        <v>1.1886857536682123</v>
      </c>
      <c r="K12" s="377">
        <v>1.2184028975099175</v>
      </c>
      <c r="L12" s="377">
        <v>1.2488629699476652</v>
      </c>
      <c r="M12" s="377">
        <v>1.2800845441963566</v>
      </c>
      <c r="N12" s="377">
        <v>1.3120866578012655</v>
      </c>
      <c r="O12" s="377">
        <v>1.3448888242462971</v>
      </c>
      <c r="P12" s="377">
        <v>1.3785110448524545</v>
      </c>
      <c r="Q12" s="377">
        <v>1.4129738209737657</v>
      </c>
      <c r="R12" s="377">
        <v>1.4482981664981096</v>
      </c>
      <c r="S12" s="377">
        <v>1.4845056206605622</v>
      </c>
      <c r="T12" s="377">
        <v>1.5216182611770761</v>
      </c>
      <c r="U12" s="37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180</v>
      </c>
      <c r="C13" s="379">
        <v>1</v>
      </c>
      <c r="D13" s="377">
        <v>1.0249999999999999</v>
      </c>
      <c r="E13" s="377">
        <v>1.0506249999999999</v>
      </c>
      <c r="F13" s="377">
        <v>1.0768906249999999</v>
      </c>
      <c r="G13" s="377">
        <v>1.1038128906249998</v>
      </c>
      <c r="H13" s="377">
        <v>1.1314082128906247</v>
      </c>
      <c r="I13" s="377">
        <v>1.1596934182128902</v>
      </c>
      <c r="J13" s="377">
        <v>1.1886857536682123</v>
      </c>
      <c r="K13" s="377">
        <v>1.2184028975099175</v>
      </c>
      <c r="L13" s="377">
        <v>1.2488629699476652</v>
      </c>
      <c r="M13" s="377">
        <v>1.2800845441963566</v>
      </c>
      <c r="N13" s="377">
        <v>1.3120866578012655</v>
      </c>
      <c r="O13" s="377">
        <v>1.3448888242462971</v>
      </c>
      <c r="P13" s="377">
        <v>1.3785110448524545</v>
      </c>
      <c r="Q13" s="377">
        <v>1.4129738209737657</v>
      </c>
      <c r="R13" s="377">
        <v>1.4482981664981096</v>
      </c>
      <c r="S13" s="377">
        <v>1.4845056206605622</v>
      </c>
      <c r="T13" s="377">
        <v>1.5216182611770761</v>
      </c>
      <c r="U13" s="37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278</v>
      </c>
      <c r="C14" s="380">
        <v>1.0249999999999999</v>
      </c>
      <c r="D14" s="381">
        <v>1.0249999999999999</v>
      </c>
      <c r="E14" s="381">
        <v>1.0249999999999999</v>
      </c>
      <c r="F14" s="381">
        <v>1.0249999999999999</v>
      </c>
      <c r="G14" s="381">
        <v>1.0249999999999999</v>
      </c>
      <c r="H14" s="381">
        <v>1.0249999999999999</v>
      </c>
      <c r="I14" s="381">
        <v>1.0249999999999999</v>
      </c>
      <c r="J14" s="381">
        <v>1.0249999999999999</v>
      </c>
      <c r="K14" s="381">
        <v>1.0249999999999999</v>
      </c>
      <c r="L14" s="381">
        <v>1.0249999999999999</v>
      </c>
      <c r="M14" s="381">
        <v>1.0249999999999999</v>
      </c>
      <c r="N14" s="381">
        <v>1.0249999999999999</v>
      </c>
      <c r="O14" s="381">
        <v>1.0249999999999999</v>
      </c>
      <c r="P14" s="381">
        <v>1.0249999999999999</v>
      </c>
      <c r="Q14" s="381">
        <v>1.0249999999999999</v>
      </c>
      <c r="R14" s="381">
        <v>1.0249999999999999</v>
      </c>
      <c r="S14" s="381">
        <v>1.0249999999999999</v>
      </c>
      <c r="T14" s="381">
        <v>1.0249999999999999</v>
      </c>
      <c r="U14" s="381">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39"/>
      <c r="Y16" s="341" t="s">
        <v>248</v>
      </c>
      <c r="Z16" s="341" t="s">
        <v>249</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198</v>
      </c>
      <c r="Y17" s="340">
        <v>2.744201934324435E-4</v>
      </c>
      <c r="Z17" s="34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201</v>
      </c>
      <c r="Y18" s="340">
        <v>2.8579410620991442E-4</v>
      </c>
      <c r="Z18" s="34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200</v>
      </c>
      <c r="Y19" s="340">
        <v>4.7716993008320446E-4</v>
      </c>
      <c r="Z19" s="34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202</v>
      </c>
      <c r="Y20" s="340">
        <v>2.0499097618064069E-4</v>
      </c>
      <c r="Z20" s="34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203</v>
      </c>
      <c r="Y21" s="340">
        <v>7.3634398159432295E-4</v>
      </c>
      <c r="Z21" s="34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204</v>
      </c>
      <c r="Y22" s="340">
        <v>1.5933500996702843E-4</v>
      </c>
      <c r="Z22" s="34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40">
        <v>5.0685048336163163E-4</v>
      </c>
      <c r="Z23" s="34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205</v>
      </c>
      <c r="Y24" s="340">
        <v>8.3442486284763834E-4</v>
      </c>
      <c r="Z24" s="34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206</v>
      </c>
      <c r="Y25" s="340">
        <v>4.5283915436484851E-4</v>
      </c>
      <c r="Z25" s="34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207</v>
      </c>
      <c r="Y26" s="340">
        <v>3.486895207898603E-4</v>
      </c>
      <c r="Z26" s="34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212</v>
      </c>
      <c r="Y27" s="340">
        <v>6.1012381532656111E-4</v>
      </c>
      <c r="Z27" s="34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209</v>
      </c>
      <c r="Y28" s="340">
        <v>3.9139311155092061E-5</v>
      </c>
      <c r="Z28" s="34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210</v>
      </c>
      <c r="Y29" s="340">
        <v>3.2453938138303045E-4</v>
      </c>
      <c r="Z29" s="34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211</v>
      </c>
      <c r="Y30" s="340">
        <v>7.9415196034054991E-4</v>
      </c>
      <c r="Z30" s="34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281</v>
      </c>
      <c r="D31" s="131"/>
      <c r="E31" s="131"/>
      <c r="F31" s="131"/>
      <c r="G31" s="390"/>
      <c r="H31" s="390"/>
      <c r="I31" s="391"/>
      <c r="J31" s="391"/>
      <c r="K31" s="339"/>
      <c r="L31" s="339"/>
      <c r="M31" s="339"/>
      <c r="N31" s="392"/>
      <c r="O31" s="158" t="s">
        <v>282</v>
      </c>
      <c r="P31" s="339"/>
      <c r="Q31" s="339"/>
      <c r="R31" s="339"/>
      <c r="S31" s="339"/>
      <c r="T31" s="339"/>
      <c r="U31" s="339"/>
      <c r="V31" s="339"/>
      <c r="W31" s="28"/>
      <c r="X31" s="180" t="s">
        <v>213</v>
      </c>
      <c r="Y31" s="340">
        <v>3.2602707909398565E-4</v>
      </c>
      <c r="Z31" s="34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619" t="s">
        <v>283</v>
      </c>
      <c r="D32" s="619"/>
      <c r="E32" s="619"/>
      <c r="F32" s="620"/>
      <c r="G32" s="249">
        <v>2020</v>
      </c>
      <c r="H32" s="390"/>
      <c r="I32" s="391"/>
      <c r="J32" s="391"/>
      <c r="K32" s="339"/>
      <c r="L32" s="339"/>
      <c r="M32" s="339"/>
      <c r="N32" s="339"/>
      <c r="O32" s="339"/>
      <c r="P32" s="339"/>
      <c r="Q32" s="339"/>
      <c r="R32" s="339"/>
      <c r="S32" s="339"/>
      <c r="T32" s="339"/>
      <c r="U32" s="339"/>
      <c r="V32" s="339"/>
      <c r="W32" s="80"/>
      <c r="X32" s="180" t="s">
        <v>214</v>
      </c>
      <c r="Y32" s="340">
        <v>8.465955465067626E-4</v>
      </c>
      <c r="Z32" s="34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393"/>
      <c r="D33" s="394"/>
      <c r="E33" s="393"/>
      <c r="F33" s="86"/>
      <c r="G33" s="86"/>
      <c r="H33" s="86"/>
      <c r="I33" s="82"/>
      <c r="J33" s="82"/>
      <c r="K33" s="28"/>
      <c r="L33" s="28"/>
      <c r="M33" s="28"/>
      <c r="N33" s="28"/>
      <c r="O33" s="28"/>
      <c r="P33" s="28"/>
      <c r="Q33" s="28"/>
      <c r="R33" s="28"/>
      <c r="S33" s="28"/>
      <c r="T33" s="28"/>
      <c r="U33" s="28"/>
      <c r="V33" s="28"/>
      <c r="W33" s="37"/>
      <c r="X33" s="180" t="s">
        <v>215</v>
      </c>
      <c r="Y33" s="340">
        <v>3.0858219124592655E-4</v>
      </c>
      <c r="Z33" s="34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395"/>
      <c r="D34" s="276">
        <v>2014</v>
      </c>
      <c r="E34" s="276">
        <v>2016</v>
      </c>
      <c r="F34" s="276">
        <v>2018</v>
      </c>
      <c r="G34" s="276">
        <v>2020</v>
      </c>
      <c r="H34" s="276">
        <v>2022</v>
      </c>
      <c r="I34" s="276">
        <v>2024</v>
      </c>
      <c r="J34" s="276">
        <v>2026</v>
      </c>
      <c r="K34" s="276">
        <v>2028</v>
      </c>
      <c r="L34" s="276">
        <v>2030</v>
      </c>
      <c r="M34" s="276">
        <v>2032</v>
      </c>
      <c r="N34" s="276">
        <v>2034</v>
      </c>
      <c r="O34" s="276">
        <v>2036</v>
      </c>
      <c r="P34" s="276">
        <v>2038</v>
      </c>
      <c r="Q34" s="276">
        <v>2040</v>
      </c>
      <c r="R34" s="276">
        <v>2042</v>
      </c>
      <c r="S34" s="276">
        <v>2044</v>
      </c>
      <c r="T34" s="276">
        <v>2046</v>
      </c>
      <c r="U34" s="276">
        <v>2048</v>
      </c>
      <c r="V34" s="277">
        <v>2050</v>
      </c>
      <c r="W34" s="37"/>
      <c r="X34" s="180" t="s">
        <v>218</v>
      </c>
      <c r="Y34" s="340">
        <v>2.7443623595127412E-4</v>
      </c>
      <c r="Z34" s="34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396" t="s">
        <v>198</v>
      </c>
      <c r="D35" s="397" t="b">
        <v>0</v>
      </c>
      <c r="E35" s="398" t="b">
        <v>0</v>
      </c>
      <c r="F35" s="397" t="b">
        <v>0</v>
      </c>
      <c r="G35" s="399" t="b">
        <v>1</v>
      </c>
      <c r="H35" s="399" t="b">
        <v>1</v>
      </c>
      <c r="I35" s="399" t="b">
        <v>1</v>
      </c>
      <c r="J35" s="399" t="b">
        <v>1</v>
      </c>
      <c r="K35" s="399" t="b">
        <v>1</v>
      </c>
      <c r="L35" s="400" t="b">
        <v>1</v>
      </c>
      <c r="M35" s="400" t="b">
        <v>1</v>
      </c>
      <c r="N35" s="400" t="b">
        <v>1</v>
      </c>
      <c r="O35" s="400" t="b">
        <v>1</v>
      </c>
      <c r="P35" s="400" t="b">
        <v>1</v>
      </c>
      <c r="Q35" s="400" t="b">
        <v>1</v>
      </c>
      <c r="R35" s="400" t="b">
        <v>1</v>
      </c>
      <c r="S35" s="400" t="b">
        <v>1</v>
      </c>
      <c r="T35" s="400" t="b">
        <v>1</v>
      </c>
      <c r="U35" s="400" t="b">
        <v>1</v>
      </c>
      <c r="V35" s="401" t="b">
        <v>1</v>
      </c>
      <c r="W35" s="37"/>
      <c r="X35" s="180" t="s">
        <v>217</v>
      </c>
      <c r="Y35" s="340">
        <v>5.3598020242062749E-4</v>
      </c>
      <c r="Z35" s="34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396" t="s">
        <v>200</v>
      </c>
      <c r="D36" s="397" t="b">
        <v>0</v>
      </c>
      <c r="E36" s="398" t="b">
        <v>0</v>
      </c>
      <c r="F36" s="397" t="b">
        <v>0</v>
      </c>
      <c r="G36" s="399" t="b">
        <v>1</v>
      </c>
      <c r="H36" s="399" t="b">
        <v>1</v>
      </c>
      <c r="I36" s="399" t="b">
        <v>1</v>
      </c>
      <c r="J36" s="399" t="b">
        <v>1</v>
      </c>
      <c r="K36" s="399" t="b">
        <v>1</v>
      </c>
      <c r="L36" s="400" t="b">
        <v>1</v>
      </c>
      <c r="M36" s="400" t="b">
        <v>1</v>
      </c>
      <c r="N36" s="400" t="b">
        <v>1</v>
      </c>
      <c r="O36" s="400" t="b">
        <v>1</v>
      </c>
      <c r="P36" s="400" t="b">
        <v>1</v>
      </c>
      <c r="Q36" s="400" t="b">
        <v>1</v>
      </c>
      <c r="R36" s="400" t="b">
        <v>1</v>
      </c>
      <c r="S36" s="400" t="b">
        <v>1</v>
      </c>
      <c r="T36" s="400" t="b">
        <v>1</v>
      </c>
      <c r="U36" s="400" t="b">
        <v>1</v>
      </c>
      <c r="V36" s="401" t="b">
        <v>1</v>
      </c>
      <c r="W36" s="37"/>
      <c r="X36" s="180" t="s">
        <v>216</v>
      </c>
      <c r="Y36" s="340">
        <v>2.0322708687071074E-4</v>
      </c>
      <c r="Z36" s="34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02" t="s">
        <v>201</v>
      </c>
      <c r="D37" s="397" t="b">
        <v>1</v>
      </c>
      <c r="E37" s="398" t="b">
        <v>1</v>
      </c>
      <c r="F37" s="397" t="b">
        <v>1</v>
      </c>
      <c r="G37" s="399" t="b">
        <v>1</v>
      </c>
      <c r="H37" s="399" t="b">
        <v>1</v>
      </c>
      <c r="I37" s="399" t="b">
        <v>1</v>
      </c>
      <c r="J37" s="399" t="b">
        <v>1</v>
      </c>
      <c r="K37" s="399" t="b">
        <v>1</v>
      </c>
      <c r="L37" s="400" t="b">
        <v>1</v>
      </c>
      <c r="M37" s="400" t="b">
        <v>1</v>
      </c>
      <c r="N37" s="403" t="b">
        <v>1</v>
      </c>
      <c r="O37" s="400" t="b">
        <v>1</v>
      </c>
      <c r="P37" s="400" t="b">
        <v>1</v>
      </c>
      <c r="Q37" s="400" t="b">
        <v>1</v>
      </c>
      <c r="R37" s="400" t="b">
        <v>1</v>
      </c>
      <c r="S37" s="400" t="b">
        <v>1</v>
      </c>
      <c r="T37" s="400" t="b">
        <v>1</v>
      </c>
      <c r="U37" s="400" t="b">
        <v>1</v>
      </c>
      <c r="V37" s="401" t="b">
        <v>1</v>
      </c>
      <c r="W37" s="37"/>
      <c r="X37" s="180" t="s">
        <v>219</v>
      </c>
      <c r="Y37" s="340">
        <v>5.0054878730029545E-4</v>
      </c>
      <c r="Z37" s="34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02" t="s">
        <v>202</v>
      </c>
      <c r="D38" s="397" t="b">
        <v>1</v>
      </c>
      <c r="E38" s="398" t="b">
        <v>1</v>
      </c>
      <c r="F38" s="397" t="b">
        <v>1</v>
      </c>
      <c r="G38" s="399" t="b">
        <v>1</v>
      </c>
      <c r="H38" s="399" t="b">
        <v>1</v>
      </c>
      <c r="I38" s="399" t="b">
        <v>1</v>
      </c>
      <c r="J38" s="399" t="b">
        <v>1</v>
      </c>
      <c r="K38" s="399" t="b">
        <v>1</v>
      </c>
      <c r="L38" s="400" t="b">
        <v>1</v>
      </c>
      <c r="M38" s="400" t="b">
        <v>1</v>
      </c>
      <c r="N38" s="400" t="b">
        <v>1</v>
      </c>
      <c r="O38" s="400" t="b">
        <v>1</v>
      </c>
      <c r="P38" s="400" t="b">
        <v>1</v>
      </c>
      <c r="Q38" s="400" t="b">
        <v>1</v>
      </c>
      <c r="R38" s="400" t="b">
        <v>1</v>
      </c>
      <c r="S38" s="400" t="b">
        <v>1</v>
      </c>
      <c r="T38" s="400" t="b">
        <v>1</v>
      </c>
      <c r="U38" s="400" t="b">
        <v>1</v>
      </c>
      <c r="V38" s="401" t="b">
        <v>1</v>
      </c>
      <c r="W38" s="37"/>
      <c r="X38" s="180" t="s">
        <v>220</v>
      </c>
      <c r="Y38" s="340">
        <v>5.4427544121789305E-4</v>
      </c>
      <c r="Z38" s="34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02" t="s">
        <v>203</v>
      </c>
      <c r="D39" s="397" t="b">
        <v>1</v>
      </c>
      <c r="E39" s="398" t="b">
        <v>1</v>
      </c>
      <c r="F39" s="397" t="b">
        <v>1</v>
      </c>
      <c r="G39" s="399" t="b">
        <v>1</v>
      </c>
      <c r="H39" s="399" t="b">
        <v>1</v>
      </c>
      <c r="I39" s="399" t="b">
        <v>1</v>
      </c>
      <c r="J39" s="399" t="b">
        <v>1</v>
      </c>
      <c r="K39" s="399" t="b">
        <v>1</v>
      </c>
      <c r="L39" s="400" t="b">
        <v>1</v>
      </c>
      <c r="M39" s="400" t="b">
        <v>1</v>
      </c>
      <c r="N39" s="400" t="b">
        <v>1</v>
      </c>
      <c r="O39" s="400" t="b">
        <v>1</v>
      </c>
      <c r="P39" s="400" t="b">
        <v>1</v>
      </c>
      <c r="Q39" s="400" t="b">
        <v>1</v>
      </c>
      <c r="R39" s="400" t="b">
        <v>1</v>
      </c>
      <c r="S39" s="400" t="b">
        <v>1</v>
      </c>
      <c r="T39" s="400" t="b">
        <v>1</v>
      </c>
      <c r="U39" s="400" t="b">
        <v>1</v>
      </c>
      <c r="V39" s="401" t="b">
        <v>1</v>
      </c>
      <c r="W39" s="37"/>
      <c r="X39" s="180" t="s">
        <v>222</v>
      </c>
      <c r="Y39" s="340">
        <v>6.8060201713878701E-4</v>
      </c>
      <c r="Z39" s="34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02" t="s">
        <v>204</v>
      </c>
      <c r="D40" s="397" t="b">
        <v>1</v>
      </c>
      <c r="E40" s="398" t="b">
        <v>1</v>
      </c>
      <c r="F40" s="397" t="b">
        <v>1</v>
      </c>
      <c r="G40" s="399" t="b">
        <v>1</v>
      </c>
      <c r="H40" s="399" t="b">
        <v>1</v>
      </c>
      <c r="I40" s="399" t="b">
        <v>1</v>
      </c>
      <c r="J40" s="399" t="b">
        <v>1</v>
      </c>
      <c r="K40" s="399" t="b">
        <v>1</v>
      </c>
      <c r="L40" s="400" t="b">
        <v>1</v>
      </c>
      <c r="M40" s="400" t="b">
        <v>1</v>
      </c>
      <c r="N40" s="400" t="b">
        <v>1</v>
      </c>
      <c r="O40" s="400" t="b">
        <v>1</v>
      </c>
      <c r="P40" s="400" t="b">
        <v>1</v>
      </c>
      <c r="Q40" s="400" t="b">
        <v>1</v>
      </c>
      <c r="R40" s="400" t="b">
        <v>1</v>
      </c>
      <c r="S40" s="400" t="b">
        <v>1</v>
      </c>
      <c r="T40" s="400" t="b">
        <v>1</v>
      </c>
      <c r="U40" s="400" t="b">
        <v>1</v>
      </c>
      <c r="V40" s="401" t="b">
        <v>1</v>
      </c>
      <c r="W40" s="37"/>
      <c r="X40" s="180" t="s">
        <v>221</v>
      </c>
      <c r="Y40" s="340">
        <v>3.457177533004125E-4</v>
      </c>
      <c r="Z40" s="34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02" t="s">
        <v>205</v>
      </c>
      <c r="D41" s="397" t="b">
        <v>1</v>
      </c>
      <c r="E41" s="398" t="b">
        <v>1</v>
      </c>
      <c r="F41" s="397" t="b">
        <v>1</v>
      </c>
      <c r="G41" s="399" t="b">
        <v>1</v>
      </c>
      <c r="H41" s="399" t="b">
        <v>1</v>
      </c>
      <c r="I41" s="399" t="b">
        <v>1</v>
      </c>
      <c r="J41" s="399" t="b">
        <v>1</v>
      </c>
      <c r="K41" s="399" t="b">
        <v>1</v>
      </c>
      <c r="L41" s="400" t="b">
        <v>1</v>
      </c>
      <c r="M41" s="400" t="b">
        <v>1</v>
      </c>
      <c r="N41" s="400" t="b">
        <v>1</v>
      </c>
      <c r="O41" s="400" t="b">
        <v>1</v>
      </c>
      <c r="P41" s="400" t="b">
        <v>1</v>
      </c>
      <c r="Q41" s="400" t="b">
        <v>1</v>
      </c>
      <c r="R41" s="400" t="b">
        <v>1</v>
      </c>
      <c r="S41" s="400" t="b">
        <v>1</v>
      </c>
      <c r="T41" s="400" t="b">
        <v>1</v>
      </c>
      <c r="U41" s="400" t="b">
        <v>1</v>
      </c>
      <c r="V41" s="401" t="b">
        <v>1</v>
      </c>
      <c r="W41" s="35"/>
      <c r="X41" s="180" t="s">
        <v>223</v>
      </c>
      <c r="Y41" s="340">
        <v>2.7139739187690266E-4</v>
      </c>
      <c r="Z41" s="34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02" t="s">
        <v>11</v>
      </c>
      <c r="D42" s="397" t="b">
        <v>1</v>
      </c>
      <c r="E42" s="398" t="b">
        <v>1</v>
      </c>
      <c r="F42" s="397" t="b">
        <v>1</v>
      </c>
      <c r="G42" s="399" t="b">
        <v>1</v>
      </c>
      <c r="H42" s="399" t="b">
        <v>1</v>
      </c>
      <c r="I42" s="399" t="b">
        <v>1</v>
      </c>
      <c r="J42" s="399" t="b">
        <v>1</v>
      </c>
      <c r="K42" s="399" t="b">
        <v>1</v>
      </c>
      <c r="L42" s="400" t="b">
        <v>1</v>
      </c>
      <c r="M42" s="400" t="b">
        <v>1</v>
      </c>
      <c r="N42" s="400" t="b">
        <v>1</v>
      </c>
      <c r="O42" s="400" t="b">
        <v>1</v>
      </c>
      <c r="P42" s="400" t="b">
        <v>1</v>
      </c>
      <c r="Q42" s="400" t="b">
        <v>1</v>
      </c>
      <c r="R42" s="400" t="b">
        <v>1</v>
      </c>
      <c r="S42" s="400" t="b">
        <v>1</v>
      </c>
      <c r="T42" s="400" t="b">
        <v>1</v>
      </c>
      <c r="U42" s="400" t="b">
        <v>1</v>
      </c>
      <c r="V42" s="401" t="b">
        <v>1</v>
      </c>
      <c r="W42" s="35"/>
      <c r="X42" s="180" t="s">
        <v>230</v>
      </c>
      <c r="Y42" s="340">
        <v>4.6005555553392324E-4</v>
      </c>
      <c r="Z42" s="34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396" t="s">
        <v>206</v>
      </c>
      <c r="D43" s="397" t="b">
        <v>0</v>
      </c>
      <c r="E43" s="398" t="b">
        <v>0</v>
      </c>
      <c r="F43" s="397" t="b">
        <v>0</v>
      </c>
      <c r="G43" s="404" t="b">
        <v>1</v>
      </c>
      <c r="H43" s="404" t="b">
        <v>1</v>
      </c>
      <c r="I43" s="404" t="b">
        <v>1</v>
      </c>
      <c r="J43" s="404" t="b">
        <v>1</v>
      </c>
      <c r="K43" s="404" t="b">
        <v>1</v>
      </c>
      <c r="L43" s="405" t="b">
        <v>1</v>
      </c>
      <c r="M43" s="405" t="b">
        <v>1</v>
      </c>
      <c r="N43" s="405" t="b">
        <v>1</v>
      </c>
      <c r="O43" s="405" t="b">
        <v>1</v>
      </c>
      <c r="P43" s="405" t="b">
        <v>1</v>
      </c>
      <c r="Q43" s="405" t="b">
        <v>1</v>
      </c>
      <c r="R43" s="405" t="b">
        <v>1</v>
      </c>
      <c r="S43" s="405" t="b">
        <v>1</v>
      </c>
      <c r="T43" s="405" t="b">
        <v>1</v>
      </c>
      <c r="U43" s="405" t="b">
        <v>1</v>
      </c>
      <c r="V43" s="406" t="b">
        <v>1</v>
      </c>
      <c r="W43" s="35"/>
      <c r="X43" s="180" t="s">
        <v>231</v>
      </c>
      <c r="Y43" s="340">
        <v>7.7706033252806421E-4</v>
      </c>
      <c r="Z43" s="34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396" t="s">
        <v>207</v>
      </c>
      <c r="D44" s="397" t="b">
        <v>0</v>
      </c>
      <c r="E44" s="398" t="b">
        <v>0</v>
      </c>
      <c r="F44" s="397" t="b">
        <v>0</v>
      </c>
      <c r="G44" s="404" t="b">
        <v>1</v>
      </c>
      <c r="H44" s="404" t="b">
        <v>1</v>
      </c>
      <c r="I44" s="404" t="b">
        <v>1</v>
      </c>
      <c r="J44" s="404" t="b">
        <v>1</v>
      </c>
      <c r="K44" s="404" t="b">
        <v>1</v>
      </c>
      <c r="L44" s="405" t="b">
        <v>1</v>
      </c>
      <c r="M44" s="405" t="b">
        <v>1</v>
      </c>
      <c r="N44" s="405" t="b">
        <v>1</v>
      </c>
      <c r="O44" s="405" t="b">
        <v>1</v>
      </c>
      <c r="P44" s="405" t="b">
        <v>1</v>
      </c>
      <c r="Q44" s="405" t="b">
        <v>1</v>
      </c>
      <c r="R44" s="405" t="b">
        <v>1</v>
      </c>
      <c r="S44" s="405" t="b">
        <v>1</v>
      </c>
      <c r="T44" s="405" t="b">
        <v>1</v>
      </c>
      <c r="U44" s="405" t="b">
        <v>1</v>
      </c>
      <c r="V44" s="406" t="b">
        <v>1</v>
      </c>
      <c r="W44" s="35"/>
      <c r="X44" s="180" t="s">
        <v>224</v>
      </c>
      <c r="Y44" s="340">
        <v>6.5903358116509451E-4</v>
      </c>
      <c r="Z44" s="34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396" t="s">
        <v>209</v>
      </c>
      <c r="D45" s="397" t="b">
        <v>0</v>
      </c>
      <c r="E45" s="398" t="b">
        <v>0</v>
      </c>
      <c r="F45" s="397" t="b">
        <v>0</v>
      </c>
      <c r="G45" s="404" t="b">
        <v>1</v>
      </c>
      <c r="H45" s="404" t="b">
        <v>1</v>
      </c>
      <c r="I45" s="404" t="b">
        <v>1</v>
      </c>
      <c r="J45" s="404" t="b">
        <v>1</v>
      </c>
      <c r="K45" s="404" t="b">
        <v>1</v>
      </c>
      <c r="L45" s="405" t="b">
        <v>1</v>
      </c>
      <c r="M45" s="405" t="b">
        <v>1</v>
      </c>
      <c r="N45" s="405" t="b">
        <v>1</v>
      </c>
      <c r="O45" s="405" t="b">
        <v>1</v>
      </c>
      <c r="P45" s="405" t="b">
        <v>1</v>
      </c>
      <c r="Q45" s="405" t="b">
        <v>1</v>
      </c>
      <c r="R45" s="405" t="b">
        <v>1</v>
      </c>
      <c r="S45" s="405" t="b">
        <v>1</v>
      </c>
      <c r="T45" s="405" t="b">
        <v>1</v>
      </c>
      <c r="U45" s="405" t="b">
        <v>1</v>
      </c>
      <c r="V45" s="406" t="b">
        <v>1</v>
      </c>
      <c r="W45" s="35"/>
      <c r="X45" s="180" t="s">
        <v>226</v>
      </c>
      <c r="Y45" s="340">
        <v>1.3708824581532242E-4</v>
      </c>
      <c r="Z45" s="34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396" t="s">
        <v>210</v>
      </c>
      <c r="D46" s="397" t="b">
        <v>0</v>
      </c>
      <c r="E46" s="398" t="b">
        <v>0</v>
      </c>
      <c r="F46" s="397" t="b">
        <v>0</v>
      </c>
      <c r="G46" s="405" t="b">
        <v>1</v>
      </c>
      <c r="H46" s="405" t="b">
        <v>1</v>
      </c>
      <c r="I46" s="405" t="b">
        <v>1</v>
      </c>
      <c r="J46" s="405" t="b">
        <v>1</v>
      </c>
      <c r="K46" s="405" t="b">
        <v>1</v>
      </c>
      <c r="L46" s="405" t="b">
        <v>1</v>
      </c>
      <c r="M46" s="405" t="b">
        <v>1</v>
      </c>
      <c r="N46" s="405" t="b">
        <v>1</v>
      </c>
      <c r="O46" s="405" t="b">
        <v>1</v>
      </c>
      <c r="P46" s="405" t="b">
        <v>1</v>
      </c>
      <c r="Q46" s="405" t="b">
        <v>1</v>
      </c>
      <c r="R46" s="405" t="b">
        <v>1</v>
      </c>
      <c r="S46" s="405" t="b">
        <v>1</v>
      </c>
      <c r="T46" s="405" t="b">
        <v>1</v>
      </c>
      <c r="U46" s="405" t="b">
        <v>1</v>
      </c>
      <c r="V46" s="406" t="b">
        <v>1</v>
      </c>
      <c r="W46" s="35"/>
      <c r="X46" s="180" t="s">
        <v>227</v>
      </c>
      <c r="Y46" s="340">
        <v>2.4826092420676649E-4</v>
      </c>
      <c r="Z46" s="34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02" t="s">
        <v>211</v>
      </c>
      <c r="D47" s="397" t="b">
        <v>1</v>
      </c>
      <c r="E47" s="398" t="b">
        <v>1</v>
      </c>
      <c r="F47" s="397" t="b">
        <v>1</v>
      </c>
      <c r="G47" s="405" t="b">
        <v>1</v>
      </c>
      <c r="H47" s="405" t="b">
        <v>1</v>
      </c>
      <c r="I47" s="405" t="b">
        <v>1</v>
      </c>
      <c r="J47" s="405" t="b">
        <v>1</v>
      </c>
      <c r="K47" s="405" t="b">
        <v>1</v>
      </c>
      <c r="L47" s="405" t="b">
        <v>1</v>
      </c>
      <c r="M47" s="405" t="b">
        <v>1</v>
      </c>
      <c r="N47" s="405" t="b">
        <v>1</v>
      </c>
      <c r="O47" s="405" t="b">
        <v>1</v>
      </c>
      <c r="P47" s="405" t="b">
        <v>1</v>
      </c>
      <c r="Q47" s="405" t="b">
        <v>1</v>
      </c>
      <c r="R47" s="405" t="b">
        <v>1</v>
      </c>
      <c r="S47" s="405" t="b">
        <v>1</v>
      </c>
      <c r="T47" s="405" t="b">
        <v>1</v>
      </c>
      <c r="U47" s="405" t="b">
        <v>1</v>
      </c>
      <c r="V47" s="406" t="b">
        <v>1</v>
      </c>
      <c r="W47" s="35"/>
      <c r="X47" s="180" t="s">
        <v>228</v>
      </c>
      <c r="Y47" s="340">
        <v>6.5123632733018436E-4</v>
      </c>
      <c r="Z47" s="34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396" t="s">
        <v>212</v>
      </c>
      <c r="D48" s="397" t="b">
        <v>0</v>
      </c>
      <c r="E48" s="398" t="b">
        <v>0</v>
      </c>
      <c r="F48" s="397" t="b">
        <v>0</v>
      </c>
      <c r="G48" s="405" t="b">
        <v>1</v>
      </c>
      <c r="H48" s="405" t="b">
        <v>1</v>
      </c>
      <c r="I48" s="405" t="b">
        <v>1</v>
      </c>
      <c r="J48" s="405" t="b">
        <v>1</v>
      </c>
      <c r="K48" s="405" t="b">
        <v>1</v>
      </c>
      <c r="L48" s="405" t="b">
        <v>1</v>
      </c>
      <c r="M48" s="405" t="b">
        <v>1</v>
      </c>
      <c r="N48" s="405" t="b">
        <v>1</v>
      </c>
      <c r="O48" s="405" t="b">
        <v>1</v>
      </c>
      <c r="P48" s="405" t="b">
        <v>1</v>
      </c>
      <c r="Q48" s="405" t="b">
        <v>1</v>
      </c>
      <c r="R48" s="405" t="b">
        <v>1</v>
      </c>
      <c r="S48" s="405" t="b">
        <v>1</v>
      </c>
      <c r="T48" s="405" t="b">
        <v>1</v>
      </c>
      <c r="U48" s="405" t="b">
        <v>1</v>
      </c>
      <c r="V48" s="406" t="b">
        <v>1</v>
      </c>
      <c r="W48" s="35"/>
      <c r="X48" s="180" t="s">
        <v>225</v>
      </c>
      <c r="Y48" s="340">
        <v>4.4027318096914698E-4</v>
      </c>
      <c r="Z48" s="34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396" t="s">
        <v>213</v>
      </c>
      <c r="D49" s="397" t="b">
        <v>0</v>
      </c>
      <c r="E49" s="398" t="b">
        <v>0</v>
      </c>
      <c r="F49" s="397" t="b">
        <v>0</v>
      </c>
      <c r="G49" s="405" t="b">
        <v>1</v>
      </c>
      <c r="H49" s="405" t="b">
        <v>1</v>
      </c>
      <c r="I49" s="405" t="b">
        <v>1</v>
      </c>
      <c r="J49" s="405" t="b">
        <v>1</v>
      </c>
      <c r="K49" s="405" t="b">
        <v>1</v>
      </c>
      <c r="L49" s="405" t="b">
        <v>1</v>
      </c>
      <c r="M49" s="405" t="b">
        <v>1</v>
      </c>
      <c r="N49" s="405" t="b">
        <v>1</v>
      </c>
      <c r="O49" s="405" t="b">
        <v>1</v>
      </c>
      <c r="P49" s="405" t="b">
        <v>1</v>
      </c>
      <c r="Q49" s="405" t="b">
        <v>1</v>
      </c>
      <c r="R49" s="405" t="b">
        <v>1</v>
      </c>
      <c r="S49" s="405" t="b">
        <v>1</v>
      </c>
      <c r="T49" s="405" t="b">
        <v>1</v>
      </c>
      <c r="U49" s="405" t="b">
        <v>1</v>
      </c>
      <c r="V49" s="406" t="b">
        <v>1</v>
      </c>
      <c r="W49" s="35"/>
      <c r="X49" s="180" t="s">
        <v>229</v>
      </c>
      <c r="Y49" s="340">
        <v>1.931816909789435E-4</v>
      </c>
      <c r="Z49" s="34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396" t="s">
        <v>214</v>
      </c>
      <c r="D50" s="397" t="b">
        <v>0</v>
      </c>
      <c r="E50" s="398" t="b">
        <v>0</v>
      </c>
      <c r="F50" s="397" t="b">
        <v>0</v>
      </c>
      <c r="G50" s="405" t="b">
        <v>1</v>
      </c>
      <c r="H50" s="405" t="b">
        <v>1</v>
      </c>
      <c r="I50" s="405" t="b">
        <v>1</v>
      </c>
      <c r="J50" s="405" t="b">
        <v>1</v>
      </c>
      <c r="K50" s="405" t="b">
        <v>1</v>
      </c>
      <c r="L50" s="405" t="b">
        <v>1</v>
      </c>
      <c r="M50" s="405" t="b">
        <v>1</v>
      </c>
      <c r="N50" s="405" t="b">
        <v>1</v>
      </c>
      <c r="O50" s="405" t="b">
        <v>1</v>
      </c>
      <c r="P50" s="405" t="b">
        <v>1</v>
      </c>
      <c r="Q50" s="405" t="b">
        <v>1</v>
      </c>
      <c r="R50" s="405" t="b">
        <v>1</v>
      </c>
      <c r="S50" s="405" t="b">
        <v>1</v>
      </c>
      <c r="T50" s="405" t="b">
        <v>1</v>
      </c>
      <c r="U50" s="405" t="b">
        <v>1</v>
      </c>
      <c r="V50" s="406" t="b">
        <v>1</v>
      </c>
      <c r="W50" s="35"/>
      <c r="X50" s="180" t="s">
        <v>232</v>
      </c>
      <c r="Y50" s="340">
        <v>7.0176185178426537E-4</v>
      </c>
      <c r="Z50" s="34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396" t="s">
        <v>215</v>
      </c>
      <c r="D51" s="397" t="b">
        <v>0</v>
      </c>
      <c r="E51" s="398" t="b">
        <v>0</v>
      </c>
      <c r="F51" s="397" t="b">
        <v>0</v>
      </c>
      <c r="G51" s="405" t="b">
        <v>1</v>
      </c>
      <c r="H51" s="405" t="b">
        <v>1</v>
      </c>
      <c r="I51" s="405" t="b">
        <v>1</v>
      </c>
      <c r="J51" s="405" t="b">
        <v>1</v>
      </c>
      <c r="K51" s="405" t="b">
        <v>1</v>
      </c>
      <c r="L51" s="405" t="b">
        <v>1</v>
      </c>
      <c r="M51" s="405" t="b">
        <v>1</v>
      </c>
      <c r="N51" s="405" t="b">
        <v>1</v>
      </c>
      <c r="O51" s="405" t="b">
        <v>1</v>
      </c>
      <c r="P51" s="405" t="b">
        <v>1</v>
      </c>
      <c r="Q51" s="405" t="b">
        <v>1</v>
      </c>
      <c r="R51" s="405" t="b">
        <v>1</v>
      </c>
      <c r="S51" s="405" t="b">
        <v>1</v>
      </c>
      <c r="T51" s="405" t="b">
        <v>1</v>
      </c>
      <c r="U51" s="405" t="b">
        <v>1</v>
      </c>
      <c r="V51" s="406" t="b">
        <v>1</v>
      </c>
      <c r="W51" s="35"/>
      <c r="X51" s="180" t="s">
        <v>233</v>
      </c>
      <c r="Y51" s="340">
        <v>3.7480116346849359E-4</v>
      </c>
      <c r="Z51" s="34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02" t="s">
        <v>216</v>
      </c>
      <c r="D52" s="397" t="b">
        <v>1</v>
      </c>
      <c r="E52" s="398" t="b">
        <v>1</v>
      </c>
      <c r="F52" s="397" t="b">
        <v>1</v>
      </c>
      <c r="G52" s="405" t="b">
        <v>1</v>
      </c>
      <c r="H52" s="405" t="b">
        <v>1</v>
      </c>
      <c r="I52" s="405" t="b">
        <v>1</v>
      </c>
      <c r="J52" s="405" t="b">
        <v>1</v>
      </c>
      <c r="K52" s="405" t="b">
        <v>1</v>
      </c>
      <c r="L52" s="405" t="b">
        <v>1</v>
      </c>
      <c r="M52" s="405" t="b">
        <v>1</v>
      </c>
      <c r="N52" s="405" t="b">
        <v>1</v>
      </c>
      <c r="O52" s="405" t="b">
        <v>1</v>
      </c>
      <c r="P52" s="405" t="b">
        <v>1</v>
      </c>
      <c r="Q52" s="405" t="b">
        <v>1</v>
      </c>
      <c r="R52" s="405" t="b">
        <v>1</v>
      </c>
      <c r="S52" s="405" t="b">
        <v>1</v>
      </c>
      <c r="T52" s="405" t="b">
        <v>1</v>
      </c>
      <c r="U52" s="405" t="b">
        <v>1</v>
      </c>
      <c r="V52" s="406" t="b">
        <v>1</v>
      </c>
      <c r="W52" s="35"/>
      <c r="X52" s="180" t="s">
        <v>234</v>
      </c>
      <c r="Y52" s="340">
        <v>1.2706954449993432E-4</v>
      </c>
      <c r="Z52" s="34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02" t="s">
        <v>217</v>
      </c>
      <c r="D53" s="397" t="b">
        <v>1</v>
      </c>
      <c r="E53" s="398" t="b">
        <v>1</v>
      </c>
      <c r="F53" s="397" t="b">
        <v>1</v>
      </c>
      <c r="G53" s="405" t="b">
        <v>1</v>
      </c>
      <c r="H53" s="405" t="b">
        <v>1</v>
      </c>
      <c r="I53" s="405" t="b">
        <v>1</v>
      </c>
      <c r="J53" s="405" t="b">
        <v>1</v>
      </c>
      <c r="K53" s="405" t="b">
        <v>1</v>
      </c>
      <c r="L53" s="405" t="b">
        <v>1</v>
      </c>
      <c r="M53" s="405" t="b">
        <v>1</v>
      </c>
      <c r="N53" s="405" t="b">
        <v>1</v>
      </c>
      <c r="O53" s="405" t="b">
        <v>1</v>
      </c>
      <c r="P53" s="405" t="b">
        <v>1</v>
      </c>
      <c r="Q53" s="405" t="b">
        <v>1</v>
      </c>
      <c r="R53" s="405" t="b">
        <v>1</v>
      </c>
      <c r="S53" s="405" t="b">
        <v>1</v>
      </c>
      <c r="T53" s="405" t="b">
        <v>1</v>
      </c>
      <c r="U53" s="405" t="b">
        <v>1</v>
      </c>
      <c r="V53" s="406" t="b">
        <v>1</v>
      </c>
      <c r="W53" s="35"/>
      <c r="X53" s="180" t="s">
        <v>235</v>
      </c>
      <c r="Y53" s="340">
        <v>4.3552522745260029E-4</v>
      </c>
      <c r="Z53" s="34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396" t="s">
        <v>218</v>
      </c>
      <c r="D54" s="397" t="b">
        <v>0</v>
      </c>
      <c r="E54" s="398" t="b">
        <v>0</v>
      </c>
      <c r="F54" s="397" t="b">
        <v>0</v>
      </c>
      <c r="G54" s="405" t="b">
        <v>1</v>
      </c>
      <c r="H54" s="405" t="b">
        <v>1</v>
      </c>
      <c r="I54" s="405" t="b">
        <v>1</v>
      </c>
      <c r="J54" s="405" t="b">
        <v>1</v>
      </c>
      <c r="K54" s="405" t="b">
        <v>1</v>
      </c>
      <c r="L54" s="405" t="b">
        <v>1</v>
      </c>
      <c r="M54" s="405" t="b">
        <v>1</v>
      </c>
      <c r="N54" s="405" t="b">
        <v>1</v>
      </c>
      <c r="O54" s="405" t="b">
        <v>1</v>
      </c>
      <c r="P54" s="405" t="b">
        <v>1</v>
      </c>
      <c r="Q54" s="405" t="b">
        <v>1</v>
      </c>
      <c r="R54" s="405" t="b">
        <v>1</v>
      </c>
      <c r="S54" s="405" t="b">
        <v>1</v>
      </c>
      <c r="T54" s="405" t="b">
        <v>1</v>
      </c>
      <c r="U54" s="405" t="b">
        <v>1</v>
      </c>
      <c r="V54" s="406" t="b">
        <v>1</v>
      </c>
      <c r="W54" s="35"/>
      <c r="X54" s="180" t="s">
        <v>236</v>
      </c>
      <c r="Y54" s="340">
        <v>3.7217229024403897E-4</v>
      </c>
      <c r="Z54" s="34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02" t="s">
        <v>219</v>
      </c>
      <c r="D55" s="397" t="b">
        <v>1</v>
      </c>
      <c r="E55" s="398" t="b">
        <v>1</v>
      </c>
      <c r="F55" s="397" t="b">
        <v>1</v>
      </c>
      <c r="G55" s="405" t="b">
        <v>1</v>
      </c>
      <c r="H55" s="405" t="b">
        <v>1</v>
      </c>
      <c r="I55" s="405" t="b">
        <v>1</v>
      </c>
      <c r="J55" s="405" t="b">
        <v>1</v>
      </c>
      <c r="K55" s="405" t="b">
        <v>1</v>
      </c>
      <c r="L55" s="405" t="b">
        <v>1</v>
      </c>
      <c r="M55" s="405" t="b">
        <v>1</v>
      </c>
      <c r="N55" s="405" t="b">
        <v>1</v>
      </c>
      <c r="O55" s="405" t="b">
        <v>1</v>
      </c>
      <c r="P55" s="405" t="b">
        <v>1</v>
      </c>
      <c r="Q55" s="405" t="b">
        <v>1</v>
      </c>
      <c r="R55" s="405" t="b">
        <v>1</v>
      </c>
      <c r="S55" s="405" t="b">
        <v>1</v>
      </c>
      <c r="T55" s="405" t="b">
        <v>1</v>
      </c>
      <c r="U55" s="405" t="b">
        <v>1</v>
      </c>
      <c r="V55" s="406" t="b">
        <v>1</v>
      </c>
      <c r="W55" s="35"/>
      <c r="X55" s="180" t="s">
        <v>237</v>
      </c>
      <c r="Y55" s="340">
        <v>2.3421760822486782E-4</v>
      </c>
      <c r="Z55" s="34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396" t="s">
        <v>220</v>
      </c>
      <c r="D56" s="397" t="b">
        <v>0</v>
      </c>
      <c r="E56" s="398" t="b">
        <v>0</v>
      </c>
      <c r="F56" s="397" t="b">
        <v>0</v>
      </c>
      <c r="G56" s="405" t="b">
        <v>1</v>
      </c>
      <c r="H56" s="405" t="b">
        <v>1</v>
      </c>
      <c r="I56" s="405" t="b">
        <v>1</v>
      </c>
      <c r="J56" s="405" t="b">
        <v>1</v>
      </c>
      <c r="K56" s="405" t="b">
        <v>1</v>
      </c>
      <c r="L56" s="405" t="b">
        <v>1</v>
      </c>
      <c r="M56" s="405" t="b">
        <v>1</v>
      </c>
      <c r="N56" s="405" t="b">
        <v>1</v>
      </c>
      <c r="O56" s="405" t="b">
        <v>1</v>
      </c>
      <c r="P56" s="405" t="b">
        <v>1</v>
      </c>
      <c r="Q56" s="405" t="b">
        <v>1</v>
      </c>
      <c r="R56" s="405" t="b">
        <v>1</v>
      </c>
      <c r="S56" s="405" t="b">
        <v>1</v>
      </c>
      <c r="T56" s="405" t="b">
        <v>1</v>
      </c>
      <c r="U56" s="405" t="b">
        <v>1</v>
      </c>
      <c r="V56" s="406" t="b">
        <v>1</v>
      </c>
      <c r="W56" s="35"/>
      <c r="X56" s="180" t="s">
        <v>238</v>
      </c>
      <c r="Y56" s="340">
        <v>3.9218138779391148E-4</v>
      </c>
      <c r="Z56" s="34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396" t="s">
        <v>221</v>
      </c>
      <c r="D57" s="397" t="b">
        <v>0</v>
      </c>
      <c r="E57" s="398" t="b">
        <v>0</v>
      </c>
      <c r="F57" s="397" t="b">
        <v>0</v>
      </c>
      <c r="G57" s="405" t="b">
        <v>1</v>
      </c>
      <c r="H57" s="405" t="b">
        <v>1</v>
      </c>
      <c r="I57" s="405" t="b">
        <v>1</v>
      </c>
      <c r="J57" s="405" t="b">
        <v>1</v>
      </c>
      <c r="K57" s="405" t="b">
        <v>1</v>
      </c>
      <c r="L57" s="405" t="b">
        <v>1</v>
      </c>
      <c r="M57" s="405" t="b">
        <v>1</v>
      </c>
      <c r="N57" s="405" t="b">
        <v>1</v>
      </c>
      <c r="O57" s="405" t="b">
        <v>1</v>
      </c>
      <c r="P57" s="405" t="b">
        <v>1</v>
      </c>
      <c r="Q57" s="405" t="b">
        <v>1</v>
      </c>
      <c r="R57" s="405" t="b">
        <v>1</v>
      </c>
      <c r="S57" s="405" t="b">
        <v>1</v>
      </c>
      <c r="T57" s="405" t="b">
        <v>1</v>
      </c>
      <c r="U57" s="405" t="b">
        <v>1</v>
      </c>
      <c r="V57" s="406" t="b">
        <v>1</v>
      </c>
      <c r="W57" s="35"/>
      <c r="X57" s="180" t="s">
        <v>239</v>
      </c>
      <c r="Y57" s="340">
        <v>2.51710742463223E-4</v>
      </c>
      <c r="Z57" s="34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396" t="s">
        <v>222</v>
      </c>
      <c r="D58" s="397" t="b">
        <v>0</v>
      </c>
      <c r="E58" s="398" t="b">
        <v>0</v>
      </c>
      <c r="F58" s="397" t="b">
        <v>0</v>
      </c>
      <c r="G58" s="405" t="b">
        <v>1</v>
      </c>
      <c r="H58" s="405" t="b">
        <v>1</v>
      </c>
      <c r="I58" s="405" t="b">
        <v>1</v>
      </c>
      <c r="J58" s="405" t="b">
        <v>1</v>
      </c>
      <c r="K58" s="405" t="b">
        <v>1</v>
      </c>
      <c r="L58" s="405" t="b">
        <v>1</v>
      </c>
      <c r="M58" s="405" t="b">
        <v>1</v>
      </c>
      <c r="N58" s="405" t="b">
        <v>1</v>
      </c>
      <c r="O58" s="405" t="b">
        <v>1</v>
      </c>
      <c r="P58" s="405" t="b">
        <v>1</v>
      </c>
      <c r="Q58" s="405" t="b">
        <v>1</v>
      </c>
      <c r="R58" s="405" t="b">
        <v>1</v>
      </c>
      <c r="S58" s="405" t="b">
        <v>1</v>
      </c>
      <c r="T58" s="405" t="b">
        <v>1</v>
      </c>
      <c r="U58" s="405" t="b">
        <v>1</v>
      </c>
      <c r="V58" s="406" t="b">
        <v>1</v>
      </c>
      <c r="W58" s="35"/>
      <c r="X58" s="180" t="s">
        <v>240</v>
      </c>
      <c r="Y58" s="340">
        <v>4.9438144200333368E-4</v>
      </c>
      <c r="Z58" s="34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396" t="s">
        <v>223</v>
      </c>
      <c r="D59" s="397" t="b">
        <v>0</v>
      </c>
      <c r="E59" s="398" t="b">
        <v>0</v>
      </c>
      <c r="F59" s="397" t="b">
        <v>0</v>
      </c>
      <c r="G59" s="405" t="b">
        <v>1</v>
      </c>
      <c r="H59" s="405" t="b">
        <v>1</v>
      </c>
      <c r="I59" s="405" t="b">
        <v>1</v>
      </c>
      <c r="J59" s="405" t="b">
        <v>1</v>
      </c>
      <c r="K59" s="405" t="b">
        <v>1</v>
      </c>
      <c r="L59" s="405" t="b">
        <v>1</v>
      </c>
      <c r="M59" s="405" t="b">
        <v>1</v>
      </c>
      <c r="N59" s="405" t="b">
        <v>1</v>
      </c>
      <c r="O59" s="405" t="b">
        <v>1</v>
      </c>
      <c r="P59" s="405" t="b">
        <v>1</v>
      </c>
      <c r="Q59" s="405" t="b">
        <v>1</v>
      </c>
      <c r="R59" s="405" t="b">
        <v>1</v>
      </c>
      <c r="S59" s="405" t="b">
        <v>1</v>
      </c>
      <c r="T59" s="405" t="b">
        <v>1</v>
      </c>
      <c r="U59" s="405" t="b">
        <v>1</v>
      </c>
      <c r="V59" s="406" t="b">
        <v>1</v>
      </c>
      <c r="W59" s="35"/>
      <c r="X59" s="180" t="s">
        <v>241</v>
      </c>
      <c r="Y59" s="340">
        <v>7.6676322767228755E-4</v>
      </c>
      <c r="Z59" s="34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396" t="s">
        <v>224</v>
      </c>
      <c r="D60" s="397" t="b">
        <v>0</v>
      </c>
      <c r="E60" s="398" t="b">
        <v>0</v>
      </c>
      <c r="F60" s="397" t="b">
        <v>0</v>
      </c>
      <c r="G60" s="405" t="b">
        <v>1</v>
      </c>
      <c r="H60" s="405" t="b">
        <v>1</v>
      </c>
      <c r="I60" s="405" t="b">
        <v>1</v>
      </c>
      <c r="J60" s="405" t="b">
        <v>1</v>
      </c>
      <c r="K60" s="405" t="b">
        <v>1</v>
      </c>
      <c r="L60" s="405" t="b">
        <v>1</v>
      </c>
      <c r="M60" s="405" t="b">
        <v>1</v>
      </c>
      <c r="N60" s="405" t="b">
        <v>1</v>
      </c>
      <c r="O60" s="405" t="b">
        <v>1</v>
      </c>
      <c r="P60" s="405" t="b">
        <v>1</v>
      </c>
      <c r="Q60" s="405" t="b">
        <v>1</v>
      </c>
      <c r="R60" s="405" t="b">
        <v>1</v>
      </c>
      <c r="S60" s="405" t="b">
        <v>1</v>
      </c>
      <c r="T60" s="405" t="b">
        <v>1</v>
      </c>
      <c r="U60" s="405" t="b">
        <v>1</v>
      </c>
      <c r="V60" s="406" t="b">
        <v>1</v>
      </c>
      <c r="W60" s="35"/>
      <c r="X60" s="180" t="s">
        <v>243</v>
      </c>
      <c r="Y60" s="340">
        <v>3.3864707385370345E-4</v>
      </c>
      <c r="Z60" s="34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396" t="s">
        <v>225</v>
      </c>
      <c r="D61" s="397" t="b">
        <v>0</v>
      </c>
      <c r="E61" s="398" t="b">
        <v>0</v>
      </c>
      <c r="F61" s="397" t="b">
        <v>0</v>
      </c>
      <c r="G61" s="405" t="b">
        <v>1</v>
      </c>
      <c r="H61" s="405" t="b">
        <v>1</v>
      </c>
      <c r="I61" s="405" t="b">
        <v>1</v>
      </c>
      <c r="J61" s="405" t="b">
        <v>1</v>
      </c>
      <c r="K61" s="405" t="b">
        <v>1</v>
      </c>
      <c r="L61" s="405" t="b">
        <v>1</v>
      </c>
      <c r="M61" s="405" t="b">
        <v>1</v>
      </c>
      <c r="N61" s="405" t="b">
        <v>1</v>
      </c>
      <c r="O61" s="405" t="b">
        <v>1</v>
      </c>
      <c r="P61" s="405" t="b">
        <v>1</v>
      </c>
      <c r="Q61" s="405" t="b">
        <v>1</v>
      </c>
      <c r="R61" s="405" t="b">
        <v>1</v>
      </c>
      <c r="S61" s="405" t="b">
        <v>1</v>
      </c>
      <c r="T61" s="405" t="b">
        <v>1</v>
      </c>
      <c r="U61" s="405" t="b">
        <v>1</v>
      </c>
      <c r="V61" s="406" t="b">
        <v>1</v>
      </c>
      <c r="W61" s="35"/>
      <c r="X61" s="180" t="s">
        <v>242</v>
      </c>
      <c r="Y61" s="340">
        <v>0</v>
      </c>
      <c r="Z61" s="34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396" t="s">
        <v>226</v>
      </c>
      <c r="D62" s="397" t="b">
        <v>0</v>
      </c>
      <c r="E62" s="398" t="b">
        <v>0</v>
      </c>
      <c r="F62" s="397" t="b">
        <v>0</v>
      </c>
      <c r="G62" s="405" t="b">
        <v>1</v>
      </c>
      <c r="H62" s="405" t="b">
        <v>1</v>
      </c>
      <c r="I62" s="405" t="b">
        <v>1</v>
      </c>
      <c r="J62" s="405" t="b">
        <v>1</v>
      </c>
      <c r="K62" s="405" t="b">
        <v>1</v>
      </c>
      <c r="L62" s="405" t="b">
        <v>1</v>
      </c>
      <c r="M62" s="405" t="b">
        <v>1</v>
      </c>
      <c r="N62" s="405" t="b">
        <v>1</v>
      </c>
      <c r="O62" s="405" t="b">
        <v>1</v>
      </c>
      <c r="P62" s="405" t="b">
        <v>1</v>
      </c>
      <c r="Q62" s="405" t="b">
        <v>1</v>
      </c>
      <c r="R62" s="405" t="b">
        <v>1</v>
      </c>
      <c r="S62" s="405" t="b">
        <v>1</v>
      </c>
      <c r="T62" s="405" t="b">
        <v>1</v>
      </c>
      <c r="U62" s="405" t="b">
        <v>1</v>
      </c>
      <c r="V62" s="406" t="b">
        <v>1</v>
      </c>
      <c r="W62" s="35"/>
      <c r="X62" s="180" t="s">
        <v>244</v>
      </c>
      <c r="Y62" s="340">
        <v>2.2923348213669437E-5</v>
      </c>
      <c r="Z62" s="34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02" t="s">
        <v>227</v>
      </c>
      <c r="D63" s="397" t="b">
        <v>1</v>
      </c>
      <c r="E63" s="398" t="b">
        <v>1</v>
      </c>
      <c r="F63" s="397" t="b">
        <v>1</v>
      </c>
      <c r="G63" s="405" t="b">
        <v>1</v>
      </c>
      <c r="H63" s="405" t="b">
        <v>1</v>
      </c>
      <c r="I63" s="405" t="b">
        <v>1</v>
      </c>
      <c r="J63" s="405" t="b">
        <v>1</v>
      </c>
      <c r="K63" s="405" t="b">
        <v>1</v>
      </c>
      <c r="L63" s="405" t="b">
        <v>1</v>
      </c>
      <c r="M63" s="405" t="b">
        <v>1</v>
      </c>
      <c r="N63" s="405" t="b">
        <v>1</v>
      </c>
      <c r="O63" s="405" t="b">
        <v>1</v>
      </c>
      <c r="P63" s="405" t="b">
        <v>1</v>
      </c>
      <c r="Q63" s="405" t="b">
        <v>1</v>
      </c>
      <c r="R63" s="405" t="b">
        <v>1</v>
      </c>
      <c r="S63" s="405" t="b">
        <v>1</v>
      </c>
      <c r="T63" s="405" t="b">
        <v>1</v>
      </c>
      <c r="U63" s="405" t="b">
        <v>1</v>
      </c>
      <c r="V63" s="406" t="b">
        <v>1</v>
      </c>
      <c r="W63" s="35"/>
      <c r="X63" s="180" t="s">
        <v>246</v>
      </c>
      <c r="Y63" s="340">
        <v>5.8465338475716154E-4</v>
      </c>
      <c r="Z63" s="34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02" t="s">
        <v>228</v>
      </c>
      <c r="D64" s="397" t="b">
        <v>1</v>
      </c>
      <c r="E64" s="398" t="b">
        <v>1</v>
      </c>
      <c r="F64" s="397" t="b">
        <v>1</v>
      </c>
      <c r="G64" s="405" t="b">
        <v>1</v>
      </c>
      <c r="H64" s="405" t="b">
        <v>1</v>
      </c>
      <c r="I64" s="405" t="b">
        <v>1</v>
      </c>
      <c r="J64" s="405" t="b">
        <v>1</v>
      </c>
      <c r="K64" s="405" t="b">
        <v>1</v>
      </c>
      <c r="L64" s="405" t="b">
        <v>1</v>
      </c>
      <c r="M64" s="405" t="b">
        <v>1</v>
      </c>
      <c r="N64" s="405" t="b">
        <v>1</v>
      </c>
      <c r="O64" s="405" t="b">
        <v>1</v>
      </c>
      <c r="P64" s="405" t="b">
        <v>1</v>
      </c>
      <c r="Q64" s="405" t="b">
        <v>1</v>
      </c>
      <c r="R64" s="405" t="b">
        <v>1</v>
      </c>
      <c r="S64" s="405" t="b">
        <v>1</v>
      </c>
      <c r="T64" s="405" t="b">
        <v>1</v>
      </c>
      <c r="U64" s="405" t="b">
        <v>1</v>
      </c>
      <c r="V64" s="406" t="b">
        <v>1</v>
      </c>
      <c r="W64" s="35"/>
      <c r="X64" s="180" t="s">
        <v>245</v>
      </c>
      <c r="Y64" s="340">
        <v>8.3039048317398809E-4</v>
      </c>
      <c r="Z64" s="34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02" t="s">
        <v>229</v>
      </c>
      <c r="D65" s="397" t="b">
        <v>1</v>
      </c>
      <c r="E65" s="398" t="b">
        <v>1</v>
      </c>
      <c r="F65" s="397" t="b">
        <v>1</v>
      </c>
      <c r="G65" s="405" t="b">
        <v>1</v>
      </c>
      <c r="H65" s="405" t="b">
        <v>1</v>
      </c>
      <c r="I65" s="405" t="b">
        <v>1</v>
      </c>
      <c r="J65" s="405" t="b">
        <v>1</v>
      </c>
      <c r="K65" s="405" t="b">
        <v>1</v>
      </c>
      <c r="L65" s="405" t="b">
        <v>1</v>
      </c>
      <c r="M65" s="405" t="b">
        <v>1</v>
      </c>
      <c r="N65" s="405" t="b">
        <v>1</v>
      </c>
      <c r="O65" s="405" t="b">
        <v>1</v>
      </c>
      <c r="P65" s="405" t="b">
        <v>1</v>
      </c>
      <c r="Q65" s="405" t="b">
        <v>1</v>
      </c>
      <c r="R65" s="405" t="b">
        <v>1</v>
      </c>
      <c r="S65" s="405" t="b">
        <v>1</v>
      </c>
      <c r="T65" s="405" t="b">
        <v>1</v>
      </c>
      <c r="U65" s="405" t="b">
        <v>1</v>
      </c>
      <c r="V65" s="406" t="b">
        <v>1</v>
      </c>
      <c r="W65" s="35"/>
      <c r="X65" s="180" t="s">
        <v>247</v>
      </c>
      <c r="Y65" s="340">
        <v>7.5840059121394163E-4</v>
      </c>
      <c r="Z65" s="34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02" t="s">
        <v>230</v>
      </c>
      <c r="D66" s="397" t="b">
        <v>1</v>
      </c>
      <c r="E66" s="398" t="b">
        <v>1</v>
      </c>
      <c r="F66" s="397" t="b">
        <v>1</v>
      </c>
      <c r="G66" s="405" t="b">
        <v>1</v>
      </c>
      <c r="H66" s="405" t="b">
        <v>1</v>
      </c>
      <c r="I66" s="405" t="b">
        <v>1</v>
      </c>
      <c r="J66" s="405" t="b">
        <v>1</v>
      </c>
      <c r="K66" s="405" t="b">
        <v>1</v>
      </c>
      <c r="L66" s="405" t="b">
        <v>1</v>
      </c>
      <c r="M66" s="405" t="b">
        <v>1</v>
      </c>
      <c r="N66" s="405" t="b">
        <v>1</v>
      </c>
      <c r="O66" s="405" t="b">
        <v>1</v>
      </c>
      <c r="P66" s="405" t="b">
        <v>1</v>
      </c>
      <c r="Q66" s="405" t="b">
        <v>1</v>
      </c>
      <c r="R66" s="405" t="b">
        <v>1</v>
      </c>
      <c r="S66" s="405" t="b">
        <v>1</v>
      </c>
      <c r="T66" s="405" t="b">
        <v>1</v>
      </c>
      <c r="U66" s="405" t="b">
        <v>1</v>
      </c>
      <c r="V66" s="40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02" t="s">
        <v>231</v>
      </c>
      <c r="D67" s="397" t="b">
        <v>1</v>
      </c>
      <c r="E67" s="398" t="b">
        <v>1</v>
      </c>
      <c r="F67" s="397" t="b">
        <v>1</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02" t="s">
        <v>232</v>
      </c>
      <c r="D68" s="397" t="b">
        <v>1</v>
      </c>
      <c r="E68" s="398" t="b">
        <v>1</v>
      </c>
      <c r="F68" s="397" t="b">
        <v>1</v>
      </c>
      <c r="G68" s="405" t="b">
        <v>1</v>
      </c>
      <c r="H68" s="405" t="b">
        <v>1</v>
      </c>
      <c r="I68" s="405" t="b">
        <v>1</v>
      </c>
      <c r="J68" s="405" t="b">
        <v>1</v>
      </c>
      <c r="K68" s="405" t="b">
        <v>1</v>
      </c>
      <c r="L68" s="405" t="b">
        <v>1</v>
      </c>
      <c r="M68" s="405" t="b">
        <v>1</v>
      </c>
      <c r="N68" s="405" t="b">
        <v>1</v>
      </c>
      <c r="O68" s="405" t="b">
        <v>1</v>
      </c>
      <c r="P68" s="405" t="b">
        <v>1</v>
      </c>
      <c r="Q68" s="405" t="b">
        <v>1</v>
      </c>
      <c r="R68" s="405" t="b">
        <v>1</v>
      </c>
      <c r="S68" s="405" t="b">
        <v>1</v>
      </c>
      <c r="T68" s="405" t="b">
        <v>1</v>
      </c>
      <c r="U68" s="405" t="b">
        <v>1</v>
      </c>
      <c r="V68" s="40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396" t="s">
        <v>233</v>
      </c>
      <c r="D69" s="397" t="b">
        <v>0</v>
      </c>
      <c r="E69" s="398" t="b">
        <v>0</v>
      </c>
      <c r="F69" s="397" t="b">
        <v>0</v>
      </c>
      <c r="G69" s="405" t="b">
        <v>1</v>
      </c>
      <c r="H69" s="405" t="b">
        <v>1</v>
      </c>
      <c r="I69" s="405" t="b">
        <v>1</v>
      </c>
      <c r="J69" s="405" t="b">
        <v>1</v>
      </c>
      <c r="K69" s="405" t="b">
        <v>1</v>
      </c>
      <c r="L69" s="405" t="b">
        <v>1</v>
      </c>
      <c r="M69" s="405" t="b">
        <v>1</v>
      </c>
      <c r="N69" s="405" t="b">
        <v>1</v>
      </c>
      <c r="O69" s="405" t="b">
        <v>1</v>
      </c>
      <c r="P69" s="405" t="b">
        <v>1</v>
      </c>
      <c r="Q69" s="405" t="b">
        <v>1</v>
      </c>
      <c r="R69" s="405" t="b">
        <v>1</v>
      </c>
      <c r="S69" s="405" t="b">
        <v>1</v>
      </c>
      <c r="T69" s="405" t="b">
        <v>1</v>
      </c>
      <c r="U69" s="405" t="b">
        <v>1</v>
      </c>
      <c r="V69" s="40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02" t="s">
        <v>234</v>
      </c>
      <c r="D70" s="407" t="b">
        <v>1</v>
      </c>
      <c r="E70" s="405" t="b">
        <v>1</v>
      </c>
      <c r="F70" s="408" t="b">
        <v>1</v>
      </c>
      <c r="G70" s="405" t="b">
        <v>1</v>
      </c>
      <c r="H70" s="405" t="b">
        <v>1</v>
      </c>
      <c r="I70" s="405" t="b">
        <v>1</v>
      </c>
      <c r="J70" s="405" t="b">
        <v>1</v>
      </c>
      <c r="K70" s="405" t="b">
        <v>1</v>
      </c>
      <c r="L70" s="405" t="b">
        <v>1</v>
      </c>
      <c r="M70" s="405" t="b">
        <v>1</v>
      </c>
      <c r="N70" s="405" t="b">
        <v>1</v>
      </c>
      <c r="O70" s="405" t="b">
        <v>1</v>
      </c>
      <c r="P70" s="405" t="b">
        <v>1</v>
      </c>
      <c r="Q70" s="405" t="b">
        <v>1</v>
      </c>
      <c r="R70" s="405" t="b">
        <v>1</v>
      </c>
      <c r="S70" s="405" t="b">
        <v>1</v>
      </c>
      <c r="T70" s="405" t="b">
        <v>1</v>
      </c>
      <c r="U70" s="405" t="b">
        <v>1</v>
      </c>
      <c r="V70" s="40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02" t="s">
        <v>235</v>
      </c>
      <c r="D71" s="405" t="b">
        <v>1</v>
      </c>
      <c r="E71" s="405" t="b">
        <v>1</v>
      </c>
      <c r="F71" s="405" t="b">
        <v>1</v>
      </c>
      <c r="G71" s="405" t="b">
        <v>1</v>
      </c>
      <c r="H71" s="405" t="b">
        <v>1</v>
      </c>
      <c r="I71" s="405" t="b">
        <v>1</v>
      </c>
      <c r="J71" s="405" t="b">
        <v>1</v>
      </c>
      <c r="K71" s="405" t="b">
        <v>1</v>
      </c>
      <c r="L71" s="405" t="b">
        <v>1</v>
      </c>
      <c r="M71" s="405" t="b">
        <v>1</v>
      </c>
      <c r="N71" s="405" t="b">
        <v>1</v>
      </c>
      <c r="O71" s="405" t="b">
        <v>1</v>
      </c>
      <c r="P71" s="405" t="b">
        <v>1</v>
      </c>
      <c r="Q71" s="405" t="b">
        <v>1</v>
      </c>
      <c r="R71" s="405" t="b">
        <v>1</v>
      </c>
      <c r="S71" s="405" t="b">
        <v>1</v>
      </c>
      <c r="T71" s="405" t="b">
        <v>1</v>
      </c>
      <c r="U71" s="405" t="b">
        <v>1</v>
      </c>
      <c r="V71" s="40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02" t="s">
        <v>236</v>
      </c>
      <c r="D72" s="405" t="b">
        <v>1</v>
      </c>
      <c r="E72" s="405" t="b">
        <v>1</v>
      </c>
      <c r="F72" s="405" t="b">
        <v>1</v>
      </c>
      <c r="G72" s="405" t="b">
        <v>1</v>
      </c>
      <c r="H72" s="405" t="b">
        <v>1</v>
      </c>
      <c r="I72" s="405" t="b">
        <v>1</v>
      </c>
      <c r="J72" s="405" t="b">
        <v>1</v>
      </c>
      <c r="K72" s="405" t="b">
        <v>1</v>
      </c>
      <c r="L72" s="405" t="b">
        <v>1</v>
      </c>
      <c r="M72" s="405" t="b">
        <v>1</v>
      </c>
      <c r="N72" s="405" t="b">
        <v>1</v>
      </c>
      <c r="O72" s="405" t="b">
        <v>1</v>
      </c>
      <c r="P72" s="405" t="b">
        <v>1</v>
      </c>
      <c r="Q72" s="405" t="b">
        <v>1</v>
      </c>
      <c r="R72" s="405" t="b">
        <v>1</v>
      </c>
      <c r="S72" s="405" t="b">
        <v>1</v>
      </c>
      <c r="T72" s="405" t="b">
        <v>1</v>
      </c>
      <c r="U72" s="405" t="b">
        <v>1</v>
      </c>
      <c r="V72" s="40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396" t="s">
        <v>237</v>
      </c>
      <c r="D73" s="405" t="b">
        <v>0</v>
      </c>
      <c r="E73" s="405" t="b">
        <v>0</v>
      </c>
      <c r="F73" s="405" t="b">
        <v>0</v>
      </c>
      <c r="G73" s="405" t="b">
        <v>1</v>
      </c>
      <c r="H73" s="405" t="b">
        <v>1</v>
      </c>
      <c r="I73" s="405" t="b">
        <v>1</v>
      </c>
      <c r="J73" s="405" t="b">
        <v>1</v>
      </c>
      <c r="K73" s="405" t="b">
        <v>1</v>
      </c>
      <c r="L73" s="405" t="b">
        <v>1</v>
      </c>
      <c r="M73" s="405" t="b">
        <v>1</v>
      </c>
      <c r="N73" s="405" t="b">
        <v>1</v>
      </c>
      <c r="O73" s="405" t="b">
        <v>1</v>
      </c>
      <c r="P73" s="405" t="b">
        <v>1</v>
      </c>
      <c r="Q73" s="405" t="b">
        <v>1</v>
      </c>
      <c r="R73" s="405" t="b">
        <v>1</v>
      </c>
      <c r="S73" s="405" t="b">
        <v>1</v>
      </c>
      <c r="T73" s="405" t="b">
        <v>1</v>
      </c>
      <c r="U73" s="405" t="b">
        <v>1</v>
      </c>
      <c r="V73" s="40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396" t="s">
        <v>238</v>
      </c>
      <c r="D74" s="405" t="b">
        <v>0</v>
      </c>
      <c r="E74" s="405" t="b">
        <v>0</v>
      </c>
      <c r="F74" s="405" t="b">
        <v>0</v>
      </c>
      <c r="G74" s="405" t="b">
        <v>1</v>
      </c>
      <c r="H74" s="405" t="b">
        <v>1</v>
      </c>
      <c r="I74" s="405" t="b">
        <v>1</v>
      </c>
      <c r="J74" s="405" t="b">
        <v>1</v>
      </c>
      <c r="K74" s="405" t="b">
        <v>1</v>
      </c>
      <c r="L74" s="405" t="b">
        <v>1</v>
      </c>
      <c r="M74" s="405" t="b">
        <v>1</v>
      </c>
      <c r="N74" s="405" t="b">
        <v>1</v>
      </c>
      <c r="O74" s="405" t="b">
        <v>1</v>
      </c>
      <c r="P74" s="405" t="b">
        <v>1</v>
      </c>
      <c r="Q74" s="405" t="b">
        <v>1</v>
      </c>
      <c r="R74" s="405" t="b">
        <v>1</v>
      </c>
      <c r="S74" s="405" t="b">
        <v>1</v>
      </c>
      <c r="T74" s="405" t="b">
        <v>1</v>
      </c>
      <c r="U74" s="405" t="b">
        <v>1</v>
      </c>
      <c r="V74" s="40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396" t="s">
        <v>239</v>
      </c>
      <c r="D75" s="405" t="b">
        <v>0</v>
      </c>
      <c r="E75" s="405" t="b">
        <v>0</v>
      </c>
      <c r="F75" s="405" t="b">
        <v>0</v>
      </c>
      <c r="G75" s="405" t="b">
        <v>1</v>
      </c>
      <c r="H75" s="405" t="b">
        <v>1</v>
      </c>
      <c r="I75" s="405" t="b">
        <v>1</v>
      </c>
      <c r="J75" s="405" t="b">
        <v>1</v>
      </c>
      <c r="K75" s="405" t="b">
        <v>1</v>
      </c>
      <c r="L75" s="405" t="b">
        <v>1</v>
      </c>
      <c r="M75" s="405" t="b">
        <v>1</v>
      </c>
      <c r="N75" s="405" t="b">
        <v>1</v>
      </c>
      <c r="O75" s="405" t="b">
        <v>1</v>
      </c>
      <c r="P75" s="405" t="b">
        <v>1</v>
      </c>
      <c r="Q75" s="405" t="b">
        <v>1</v>
      </c>
      <c r="R75" s="405" t="b">
        <v>1</v>
      </c>
      <c r="S75" s="405" t="b">
        <v>1</v>
      </c>
      <c r="T75" s="405" t="b">
        <v>1</v>
      </c>
      <c r="U75" s="405" t="b">
        <v>1</v>
      </c>
      <c r="V75" s="40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02" t="s">
        <v>240</v>
      </c>
      <c r="D76" s="405" t="b">
        <v>1</v>
      </c>
      <c r="E76" s="405" t="b">
        <v>1</v>
      </c>
      <c r="F76" s="405" t="b">
        <v>1</v>
      </c>
      <c r="G76" s="405" t="b">
        <v>1</v>
      </c>
      <c r="H76" s="405" t="b">
        <v>1</v>
      </c>
      <c r="I76" s="405" t="b">
        <v>1</v>
      </c>
      <c r="J76" s="405" t="b">
        <v>1</v>
      </c>
      <c r="K76" s="405" t="b">
        <v>1</v>
      </c>
      <c r="L76" s="405" t="b">
        <v>1</v>
      </c>
      <c r="M76" s="405" t="b">
        <v>1</v>
      </c>
      <c r="N76" s="405" t="b">
        <v>1</v>
      </c>
      <c r="O76" s="405" t="b">
        <v>1</v>
      </c>
      <c r="P76" s="405" t="b">
        <v>1</v>
      </c>
      <c r="Q76" s="405" t="b">
        <v>1</v>
      </c>
      <c r="R76" s="405" t="b">
        <v>1</v>
      </c>
      <c r="S76" s="405" t="b">
        <v>1</v>
      </c>
      <c r="T76" s="405" t="b">
        <v>1</v>
      </c>
      <c r="U76" s="405" t="b">
        <v>1</v>
      </c>
      <c r="V76" s="40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02" t="s">
        <v>241</v>
      </c>
      <c r="D77" s="405" t="b">
        <v>1</v>
      </c>
      <c r="E77" s="405" t="b">
        <v>1</v>
      </c>
      <c r="F77" s="405" t="b">
        <v>1</v>
      </c>
      <c r="G77" s="405" t="b">
        <v>1</v>
      </c>
      <c r="H77" s="405" t="b">
        <v>1</v>
      </c>
      <c r="I77" s="405" t="b">
        <v>1</v>
      </c>
      <c r="J77" s="405" t="b">
        <v>1</v>
      </c>
      <c r="K77" s="405" t="b">
        <v>1</v>
      </c>
      <c r="L77" s="405" t="b">
        <v>1</v>
      </c>
      <c r="M77" s="405" t="b">
        <v>1</v>
      </c>
      <c r="N77" s="405" t="b">
        <v>1</v>
      </c>
      <c r="O77" s="405" t="b">
        <v>1</v>
      </c>
      <c r="P77" s="405" t="b">
        <v>1</v>
      </c>
      <c r="Q77" s="405" t="b">
        <v>1</v>
      </c>
      <c r="R77" s="405" t="b">
        <v>1</v>
      </c>
      <c r="S77" s="405" t="b">
        <v>1</v>
      </c>
      <c r="T77" s="405" t="b">
        <v>1</v>
      </c>
      <c r="U77" s="405" t="b">
        <v>1</v>
      </c>
      <c r="V77" s="40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96" t="s">
        <v>242</v>
      </c>
      <c r="D78" s="405" t="b">
        <v>0</v>
      </c>
      <c r="E78" s="405" t="b">
        <v>0</v>
      </c>
      <c r="F78" s="405" t="b">
        <v>0</v>
      </c>
      <c r="G78" s="405" t="b">
        <v>1</v>
      </c>
      <c r="H78" s="405" t="b">
        <v>1</v>
      </c>
      <c r="I78" s="405" t="b">
        <v>1</v>
      </c>
      <c r="J78" s="405" t="b">
        <v>1</v>
      </c>
      <c r="K78" s="405" t="b">
        <v>1</v>
      </c>
      <c r="L78" s="405" t="b">
        <v>1</v>
      </c>
      <c r="M78" s="405" t="b">
        <v>1</v>
      </c>
      <c r="N78" s="405" t="b">
        <v>1</v>
      </c>
      <c r="O78" s="405" t="b">
        <v>1</v>
      </c>
      <c r="P78" s="405" t="b">
        <v>1</v>
      </c>
      <c r="Q78" s="405" t="b">
        <v>1</v>
      </c>
      <c r="R78" s="405" t="b">
        <v>1</v>
      </c>
      <c r="S78" s="405" t="b">
        <v>1</v>
      </c>
      <c r="T78" s="405" t="b">
        <v>1</v>
      </c>
      <c r="U78" s="405" t="b">
        <v>1</v>
      </c>
      <c r="V78" s="40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02" t="s">
        <v>243</v>
      </c>
      <c r="D79" s="405" t="b">
        <v>1</v>
      </c>
      <c r="E79" s="405" t="b">
        <v>1</v>
      </c>
      <c r="F79" s="405" t="b">
        <v>1</v>
      </c>
      <c r="G79" s="405" t="b">
        <v>1</v>
      </c>
      <c r="H79" s="405" t="b">
        <v>1</v>
      </c>
      <c r="I79" s="405" t="b">
        <v>1</v>
      </c>
      <c r="J79" s="405" t="b">
        <v>1</v>
      </c>
      <c r="K79" s="405" t="b">
        <v>1</v>
      </c>
      <c r="L79" s="405" t="b">
        <v>1</v>
      </c>
      <c r="M79" s="405" t="b">
        <v>1</v>
      </c>
      <c r="N79" s="405" t="b">
        <v>1</v>
      </c>
      <c r="O79" s="405" t="b">
        <v>1</v>
      </c>
      <c r="P79" s="405" t="b">
        <v>1</v>
      </c>
      <c r="Q79" s="405" t="b">
        <v>1</v>
      </c>
      <c r="R79" s="405" t="b">
        <v>1</v>
      </c>
      <c r="S79" s="405" t="b">
        <v>1</v>
      </c>
      <c r="T79" s="405" t="b">
        <v>1</v>
      </c>
      <c r="U79" s="405" t="b">
        <v>1</v>
      </c>
      <c r="V79" s="40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96" t="s">
        <v>244</v>
      </c>
      <c r="D80" s="405" t="b">
        <v>0</v>
      </c>
      <c r="E80" s="405" t="b">
        <v>0</v>
      </c>
      <c r="F80" s="405" t="b">
        <v>0</v>
      </c>
      <c r="G80" s="405" t="b">
        <v>1</v>
      </c>
      <c r="H80" s="405" t="b">
        <v>1</v>
      </c>
      <c r="I80" s="405" t="b">
        <v>1</v>
      </c>
      <c r="J80" s="405" t="b">
        <v>1</v>
      </c>
      <c r="K80" s="405" t="b">
        <v>1</v>
      </c>
      <c r="L80" s="405" t="b">
        <v>1</v>
      </c>
      <c r="M80" s="405" t="b">
        <v>1</v>
      </c>
      <c r="N80" s="405" t="b">
        <v>1</v>
      </c>
      <c r="O80" s="405" t="b">
        <v>1</v>
      </c>
      <c r="P80" s="405" t="b">
        <v>1</v>
      </c>
      <c r="Q80" s="405" t="b">
        <v>1</v>
      </c>
      <c r="R80" s="405" t="b">
        <v>1</v>
      </c>
      <c r="S80" s="405" t="b">
        <v>1</v>
      </c>
      <c r="T80" s="405" t="b">
        <v>1</v>
      </c>
      <c r="U80" s="405" t="b">
        <v>1</v>
      </c>
      <c r="V80" s="40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96" t="s">
        <v>245</v>
      </c>
      <c r="D81" s="405" t="b">
        <v>0</v>
      </c>
      <c r="E81" s="405" t="b">
        <v>0</v>
      </c>
      <c r="F81" s="405" t="b">
        <v>0</v>
      </c>
      <c r="G81" s="405" t="b">
        <v>1</v>
      </c>
      <c r="H81" s="405" t="b">
        <v>1</v>
      </c>
      <c r="I81" s="405" t="b">
        <v>1</v>
      </c>
      <c r="J81" s="405" t="b">
        <v>1</v>
      </c>
      <c r="K81" s="405" t="b">
        <v>1</v>
      </c>
      <c r="L81" s="405" t="b">
        <v>1</v>
      </c>
      <c r="M81" s="405" t="b">
        <v>1</v>
      </c>
      <c r="N81" s="405" t="b">
        <v>1</v>
      </c>
      <c r="O81" s="405" t="b">
        <v>1</v>
      </c>
      <c r="P81" s="405" t="b">
        <v>1</v>
      </c>
      <c r="Q81" s="405" t="b">
        <v>1</v>
      </c>
      <c r="R81" s="405" t="b">
        <v>1</v>
      </c>
      <c r="S81" s="405" t="b">
        <v>1</v>
      </c>
      <c r="T81" s="405" t="b">
        <v>1</v>
      </c>
      <c r="U81" s="405" t="b">
        <v>1</v>
      </c>
      <c r="V81" s="40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96" t="s">
        <v>246</v>
      </c>
      <c r="D82" s="405" t="b">
        <v>0</v>
      </c>
      <c r="E82" s="405" t="b">
        <v>0</v>
      </c>
      <c r="F82" s="405" t="b">
        <v>0</v>
      </c>
      <c r="G82" s="405" t="b">
        <v>1</v>
      </c>
      <c r="H82" s="405" t="b">
        <v>1</v>
      </c>
      <c r="I82" s="405" t="b">
        <v>1</v>
      </c>
      <c r="J82" s="405" t="b">
        <v>1</v>
      </c>
      <c r="K82" s="405" t="b">
        <v>1</v>
      </c>
      <c r="L82" s="405" t="b">
        <v>1</v>
      </c>
      <c r="M82" s="405" t="b">
        <v>1</v>
      </c>
      <c r="N82" s="405" t="b">
        <v>1</v>
      </c>
      <c r="O82" s="405" t="b">
        <v>1</v>
      </c>
      <c r="P82" s="405" t="b">
        <v>1</v>
      </c>
      <c r="Q82" s="405" t="b">
        <v>1</v>
      </c>
      <c r="R82" s="405" t="b">
        <v>1</v>
      </c>
      <c r="S82" s="405" t="b">
        <v>1</v>
      </c>
      <c r="T82" s="405" t="b">
        <v>1</v>
      </c>
      <c r="U82" s="405" t="b">
        <v>1</v>
      </c>
      <c r="V82" s="40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09" t="s">
        <v>247</v>
      </c>
      <c r="D83" s="410" t="b">
        <v>0</v>
      </c>
      <c r="E83" s="410" t="b">
        <v>0</v>
      </c>
      <c r="F83" s="410" t="b">
        <v>0</v>
      </c>
      <c r="G83" s="410" t="b">
        <v>1</v>
      </c>
      <c r="H83" s="410" t="b">
        <v>1</v>
      </c>
      <c r="I83" s="410" t="b">
        <v>1</v>
      </c>
      <c r="J83" s="410" t="b">
        <v>1</v>
      </c>
      <c r="K83" s="410" t="b">
        <v>1</v>
      </c>
      <c r="L83" s="410" t="b">
        <v>1</v>
      </c>
      <c r="M83" s="410" t="b">
        <v>1</v>
      </c>
      <c r="N83" s="410" t="b">
        <v>1</v>
      </c>
      <c r="O83" s="410" t="b">
        <v>1</v>
      </c>
      <c r="P83" s="410" t="b">
        <v>1</v>
      </c>
      <c r="Q83" s="410" t="b">
        <v>1</v>
      </c>
      <c r="R83" s="410" t="b">
        <v>1</v>
      </c>
      <c r="S83" s="410" t="b">
        <v>1</v>
      </c>
      <c r="T83" s="410" t="b">
        <v>1</v>
      </c>
      <c r="U83" s="410" t="b">
        <v>1</v>
      </c>
      <c r="V83" s="41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295</v>
      </c>
      <c r="D86" s="414"/>
      <c r="E86" s="414"/>
      <c r="F86" s="414"/>
      <c r="G86" s="35"/>
      <c r="H86" s="35"/>
      <c r="I86" s="35"/>
      <c r="J86" s="31" t="s">
        <v>300</v>
      </c>
      <c r="K86" s="339"/>
      <c r="L86" s="33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15" t="s">
        <v>296</v>
      </c>
      <c r="D87" s="416" t="s">
        <v>297</v>
      </c>
      <c r="E87" s="416" t="s">
        <v>298</v>
      </c>
      <c r="F87" s="416" t="s">
        <v>299</v>
      </c>
      <c r="G87" s="35"/>
      <c r="H87" s="35"/>
      <c r="I87" s="35"/>
      <c r="J87" s="426"/>
      <c r="K87" s="427" t="s">
        <v>123</v>
      </c>
      <c r="L87" s="428" t="s">
        <v>301</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17" t="s">
        <v>199</v>
      </c>
      <c r="D88" s="418">
        <v>0.18</v>
      </c>
      <c r="E88" s="418">
        <v>0.15</v>
      </c>
      <c r="F88" s="419">
        <v>0.17</v>
      </c>
      <c r="G88" s="35"/>
      <c r="H88" s="35"/>
      <c r="I88" s="35"/>
      <c r="J88" s="429" t="s">
        <v>302</v>
      </c>
      <c r="K88" s="430">
        <v>0.2</v>
      </c>
      <c r="L88" s="43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20" t="s">
        <v>198</v>
      </c>
      <c r="D89" s="421">
        <v>0.11</v>
      </c>
      <c r="E89" s="421">
        <v>0.11</v>
      </c>
      <c r="F89" s="422">
        <v>0.06</v>
      </c>
      <c r="G89" s="35"/>
      <c r="H89" s="35"/>
      <c r="I89" s="35"/>
      <c r="J89" s="429" t="s">
        <v>303</v>
      </c>
      <c r="K89" s="430">
        <v>0</v>
      </c>
      <c r="L89" s="43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20" t="s">
        <v>201</v>
      </c>
      <c r="D90" s="421">
        <v>0.09</v>
      </c>
      <c r="E90" s="421">
        <v>0.08</v>
      </c>
      <c r="F90" s="422">
        <v>0.06</v>
      </c>
      <c r="G90" s="35"/>
      <c r="H90" s="35"/>
      <c r="I90" s="35"/>
      <c r="J90" s="429" t="s">
        <v>304</v>
      </c>
      <c r="K90" s="430">
        <v>0.2</v>
      </c>
      <c r="L90" s="43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20" t="s">
        <v>200</v>
      </c>
      <c r="D91" s="421">
        <v>0.11</v>
      </c>
      <c r="E91" s="421">
        <v>0.1</v>
      </c>
      <c r="F91" s="422">
        <v>7.0000000000000007E-2</v>
      </c>
      <c r="G91" s="35"/>
      <c r="H91" s="35"/>
      <c r="I91" s="35"/>
      <c r="J91" s="429" t="s">
        <v>305</v>
      </c>
      <c r="K91" s="430">
        <v>0.2</v>
      </c>
      <c r="L91" s="43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20" t="s">
        <v>202</v>
      </c>
      <c r="D92" s="421">
        <v>0.15</v>
      </c>
      <c r="E92" s="421">
        <v>0.13</v>
      </c>
      <c r="F92" s="422">
        <v>0.1</v>
      </c>
      <c r="G92" s="35"/>
      <c r="H92" s="35"/>
      <c r="I92" s="35"/>
      <c r="J92" s="429" t="s">
        <v>306</v>
      </c>
      <c r="K92" s="430">
        <v>0.15</v>
      </c>
      <c r="L92" s="43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20" t="s">
        <v>203</v>
      </c>
      <c r="D93" s="421">
        <v>0.11</v>
      </c>
      <c r="E93" s="421">
        <v>0.09</v>
      </c>
      <c r="F93" s="422">
        <v>7.0000000000000007E-2</v>
      </c>
      <c r="G93" s="35"/>
      <c r="H93" s="35"/>
      <c r="I93" s="35"/>
      <c r="J93" s="429" t="s">
        <v>307</v>
      </c>
      <c r="K93" s="430">
        <v>0</v>
      </c>
      <c r="L93" s="43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20" t="s">
        <v>204</v>
      </c>
      <c r="D94" s="421">
        <v>0.17</v>
      </c>
      <c r="E94" s="421">
        <v>0.15</v>
      </c>
      <c r="F94" s="422">
        <v>0.13</v>
      </c>
      <c r="G94" s="35"/>
      <c r="H94" s="35"/>
      <c r="I94" s="35"/>
      <c r="J94" s="429" t="s">
        <v>308</v>
      </c>
      <c r="K94" s="430">
        <v>0.2</v>
      </c>
      <c r="L94" s="43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20" t="s">
        <v>11</v>
      </c>
      <c r="D95" s="421">
        <v>0.12</v>
      </c>
      <c r="E95" s="421">
        <v>0.12</v>
      </c>
      <c r="F95" s="422">
        <v>0.05</v>
      </c>
      <c r="G95" s="35"/>
      <c r="H95" s="35"/>
      <c r="I95" s="35"/>
      <c r="J95" s="429" t="s">
        <v>309</v>
      </c>
      <c r="K95" s="430">
        <v>0</v>
      </c>
      <c r="L95" s="43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20" t="s">
        <v>205</v>
      </c>
      <c r="D96" s="421">
        <v>0.14000000000000001</v>
      </c>
      <c r="E96" s="421">
        <v>0.1</v>
      </c>
      <c r="F96" s="422">
        <v>0.08</v>
      </c>
      <c r="G96" s="35"/>
      <c r="H96" s="35"/>
      <c r="I96" s="35"/>
      <c r="J96" s="432" t="s">
        <v>311</v>
      </c>
      <c r="K96" s="433">
        <v>0.05</v>
      </c>
      <c r="L96" s="43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20" t="s">
        <v>206</v>
      </c>
      <c r="D97" s="421">
        <v>0.11</v>
      </c>
      <c r="E97" s="421">
        <v>0.1</v>
      </c>
      <c r="F97" s="422">
        <v>0.08</v>
      </c>
      <c r="G97" s="35"/>
      <c r="H97" s="35"/>
      <c r="I97" s="35"/>
      <c r="J97" s="435" t="s">
        <v>310</v>
      </c>
      <c r="K97" s="436">
        <v>1</v>
      </c>
      <c r="L97" s="43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20" t="s">
        <v>207</v>
      </c>
      <c r="D98" s="421">
        <v>0.11</v>
      </c>
      <c r="E98" s="421">
        <v>0.1</v>
      </c>
      <c r="F98" s="42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20" t="s">
        <v>208</v>
      </c>
      <c r="D99" s="421">
        <v>0.37</v>
      </c>
      <c r="E99" s="421">
        <v>0.35</v>
      </c>
      <c r="F99" s="42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20" t="s">
        <v>212</v>
      </c>
      <c r="D100" s="421">
        <v>0.11</v>
      </c>
      <c r="E100" s="421">
        <v>0.08</v>
      </c>
      <c r="F100" s="42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20" t="s">
        <v>209</v>
      </c>
      <c r="D101" s="421">
        <v>0.09</v>
      </c>
      <c r="E101" s="421">
        <v>7.0000000000000007E-2</v>
      </c>
      <c r="F101" s="42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20" t="s">
        <v>210</v>
      </c>
      <c r="D102" s="421">
        <v>0.11</v>
      </c>
      <c r="E102" s="421">
        <v>0.08</v>
      </c>
      <c r="F102" s="42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20" t="s">
        <v>211</v>
      </c>
      <c r="D103" s="421">
        <v>0.11</v>
      </c>
      <c r="E103" s="421">
        <v>0.09</v>
      </c>
      <c r="F103" s="42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20" t="s">
        <v>213</v>
      </c>
      <c r="D104" s="421">
        <v>0.11</v>
      </c>
      <c r="E104" s="421">
        <v>0.09</v>
      </c>
      <c r="F104" s="42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20" t="s">
        <v>214</v>
      </c>
      <c r="D105" s="421">
        <v>0.09</v>
      </c>
      <c r="E105" s="421">
        <v>0.09</v>
      </c>
      <c r="F105" s="42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20" t="s">
        <v>215</v>
      </c>
      <c r="D106" s="421">
        <v>0.08</v>
      </c>
      <c r="E106" s="421">
        <v>0.08</v>
      </c>
      <c r="F106" s="42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20" t="s">
        <v>218</v>
      </c>
      <c r="D107" s="421">
        <v>0.15</v>
      </c>
      <c r="E107" s="421">
        <v>0.14000000000000001</v>
      </c>
      <c r="F107" s="42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20" t="s">
        <v>217</v>
      </c>
      <c r="D108" s="421">
        <v>0.13</v>
      </c>
      <c r="E108" s="421">
        <v>0.1</v>
      </c>
      <c r="F108" s="42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20" t="s">
        <v>216</v>
      </c>
      <c r="D109" s="421">
        <v>0.15</v>
      </c>
      <c r="E109" s="421">
        <v>0.12</v>
      </c>
      <c r="F109" s="42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20" t="s">
        <v>219</v>
      </c>
      <c r="D110" s="421">
        <v>0.14000000000000001</v>
      </c>
      <c r="E110" s="421">
        <v>0.11</v>
      </c>
      <c r="F110" s="42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20" t="s">
        <v>220</v>
      </c>
      <c r="D111" s="421">
        <v>0.11</v>
      </c>
      <c r="E111" s="421">
        <v>0.09</v>
      </c>
      <c r="F111" s="42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20" t="s">
        <v>222</v>
      </c>
      <c r="D112" s="421">
        <v>0.1</v>
      </c>
      <c r="E112" s="421">
        <v>0.08</v>
      </c>
      <c r="F112" s="42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20" t="s">
        <v>221</v>
      </c>
      <c r="D113" s="421">
        <v>0.1</v>
      </c>
      <c r="E113" s="421">
        <v>0.09</v>
      </c>
      <c r="F113" s="42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20" t="s">
        <v>223</v>
      </c>
      <c r="D114" s="421">
        <v>0.1</v>
      </c>
      <c r="E114" s="421">
        <v>0.09</v>
      </c>
      <c r="F114" s="42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20" t="s">
        <v>230</v>
      </c>
      <c r="D115" s="421">
        <v>0.11</v>
      </c>
      <c r="E115" s="421">
        <v>0.09</v>
      </c>
      <c r="F115" s="42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20" t="s">
        <v>231</v>
      </c>
      <c r="D116" s="421">
        <v>0.09</v>
      </c>
      <c r="E116" s="421">
        <v>0.08</v>
      </c>
      <c r="F116" s="42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20" t="s">
        <v>224</v>
      </c>
      <c r="D117" s="421">
        <v>0.1</v>
      </c>
      <c r="E117" s="421">
        <v>0.08</v>
      </c>
      <c r="F117" s="42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20" t="s">
        <v>226</v>
      </c>
      <c r="D118" s="421">
        <v>0.16</v>
      </c>
      <c r="E118" s="421">
        <v>0.13</v>
      </c>
      <c r="F118" s="42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20" t="s">
        <v>227</v>
      </c>
      <c r="D119" s="421">
        <v>0.16</v>
      </c>
      <c r="E119" s="421">
        <v>0.13</v>
      </c>
      <c r="F119" s="42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20" t="s">
        <v>228</v>
      </c>
      <c r="D120" s="421">
        <v>0.11</v>
      </c>
      <c r="E120" s="421">
        <v>0.09</v>
      </c>
      <c r="F120" s="42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20" t="s">
        <v>225</v>
      </c>
      <c r="D121" s="421">
        <v>0.12</v>
      </c>
      <c r="E121" s="421">
        <v>0.09</v>
      </c>
      <c r="F121" s="42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20" t="s">
        <v>229</v>
      </c>
      <c r="D122" s="421">
        <v>0.18</v>
      </c>
      <c r="E122" s="421">
        <v>0.15</v>
      </c>
      <c r="F122" s="42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20" t="s">
        <v>232</v>
      </c>
      <c r="D123" s="421">
        <v>0.12</v>
      </c>
      <c r="E123" s="421">
        <v>0.09</v>
      </c>
      <c r="F123" s="42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20" t="s">
        <v>233</v>
      </c>
      <c r="D124" s="421">
        <v>0.1</v>
      </c>
      <c r="E124" s="421">
        <v>7.0000000000000007E-2</v>
      </c>
      <c r="F124" s="42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20" t="s">
        <v>234</v>
      </c>
      <c r="D125" s="421">
        <v>0.1</v>
      </c>
      <c r="E125" s="421">
        <v>0.08</v>
      </c>
      <c r="F125" s="42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20" t="s">
        <v>235</v>
      </c>
      <c r="D126" s="421">
        <v>0.13</v>
      </c>
      <c r="E126" s="421">
        <v>0.09</v>
      </c>
      <c r="F126" s="42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20" t="s">
        <v>236</v>
      </c>
      <c r="D127" s="421">
        <v>0.14000000000000001</v>
      </c>
      <c r="E127" s="421">
        <v>0.12</v>
      </c>
      <c r="F127" s="42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20" t="s">
        <v>237</v>
      </c>
      <c r="D128" s="421">
        <v>0.12</v>
      </c>
      <c r="E128" s="421">
        <v>0.1</v>
      </c>
      <c r="F128" s="42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20" t="s">
        <v>238</v>
      </c>
      <c r="D129" s="421">
        <v>0.1</v>
      </c>
      <c r="E129" s="421">
        <v>0.08</v>
      </c>
      <c r="F129" s="42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20" t="s">
        <v>239</v>
      </c>
      <c r="D130" s="421">
        <v>0.1</v>
      </c>
      <c r="E130" s="421">
        <v>0.1</v>
      </c>
      <c r="F130" s="42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20" t="s">
        <v>240</v>
      </c>
      <c r="D131" s="421">
        <v>0.11</v>
      </c>
      <c r="E131" s="421">
        <v>0.08</v>
      </c>
      <c r="F131" s="42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20" t="s">
        <v>241</v>
      </c>
      <c r="D132" s="421">
        <v>0.1</v>
      </c>
      <c r="E132" s="421">
        <v>0.08</v>
      </c>
      <c r="F132" s="42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20" t="s">
        <v>243</v>
      </c>
      <c r="D133" s="421">
        <v>0.11</v>
      </c>
      <c r="E133" s="421">
        <v>0.08</v>
      </c>
      <c r="F133" s="42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20" t="s">
        <v>242</v>
      </c>
      <c r="D134" s="421">
        <v>0.17</v>
      </c>
      <c r="E134" s="421">
        <v>0.14000000000000001</v>
      </c>
      <c r="F134" s="42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20" t="s">
        <v>244</v>
      </c>
      <c r="D135" s="421">
        <v>0.09</v>
      </c>
      <c r="E135" s="421">
        <v>0.08</v>
      </c>
      <c r="F135" s="42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20" t="s">
        <v>246</v>
      </c>
      <c r="D136" s="421">
        <v>0.13</v>
      </c>
      <c r="E136" s="421">
        <v>0.11</v>
      </c>
      <c r="F136" s="42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20" t="s">
        <v>245</v>
      </c>
      <c r="D137" s="421">
        <v>0.1</v>
      </c>
      <c r="E137" s="421">
        <v>0.08</v>
      </c>
      <c r="F137" s="42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23" t="s">
        <v>247</v>
      </c>
      <c r="D138" s="424">
        <v>0.1</v>
      </c>
      <c r="E138" s="424">
        <v>0.08</v>
      </c>
      <c r="F138" s="42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55" t="s">
        <v>120</v>
      </c>
      <c r="E2" s="131"/>
      <c r="F2" s="131"/>
      <c r="G2" s="131"/>
      <c r="H2" s="131"/>
      <c r="I2" s="33"/>
      <c r="J2" s="33"/>
      <c r="K2" s="30"/>
      <c r="L2" s="33"/>
      <c r="M2" s="355" t="s">
        <v>164</v>
      </c>
      <c r="N2" s="131"/>
      <c r="O2" s="131"/>
      <c r="P2" s="131"/>
      <c r="Q2" s="131"/>
      <c r="R2" s="33"/>
      <c r="S2" s="33"/>
      <c r="T2" s="33"/>
      <c r="U2" s="33"/>
      <c r="V2" s="131"/>
      <c r="W2" s="131"/>
      <c r="X2" s="131"/>
      <c r="Y2" s="131"/>
      <c r="Z2" s="131"/>
      <c r="AA2" s="359"/>
      <c r="AB2" s="359"/>
      <c r="AC2" s="359"/>
      <c r="AD2" s="158"/>
      <c r="AE2" s="35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165</v>
      </c>
      <c r="N3" s="128"/>
      <c r="O3" s="128"/>
      <c r="P3" s="249" t="b">
        <v>0</v>
      </c>
      <c r="Q3" s="360" t="s">
        <v>267</v>
      </c>
      <c r="R3" s="33"/>
      <c r="S3" s="33"/>
      <c r="T3" s="33"/>
      <c r="U3" s="33"/>
      <c r="V3" s="131"/>
      <c r="W3" s="131"/>
      <c r="X3" s="131"/>
      <c r="Y3" s="131"/>
      <c r="Z3" s="131"/>
      <c r="AA3" s="359"/>
      <c r="AB3" s="359"/>
      <c r="AC3" s="35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275</v>
      </c>
      <c r="D4" s="33"/>
      <c r="E4" s="131"/>
      <c r="F4" s="33"/>
      <c r="G4" s="131"/>
      <c r="H4" s="131"/>
      <c r="I4" s="30"/>
      <c r="J4" s="33"/>
      <c r="K4" s="131"/>
      <c r="L4" s="33"/>
      <c r="M4" s="241" t="s">
        <v>264</v>
      </c>
      <c r="N4" s="128"/>
      <c r="O4" s="128"/>
      <c r="P4" s="242">
        <v>2014</v>
      </c>
      <c r="Q4" s="354" t="s">
        <v>166</v>
      </c>
      <c r="R4" s="33"/>
      <c r="S4" s="33"/>
      <c r="T4" s="33"/>
      <c r="U4" s="33"/>
      <c r="V4" s="131"/>
      <c r="W4" s="131"/>
      <c r="X4" s="131"/>
      <c r="Y4" s="131"/>
      <c r="Z4" s="131"/>
      <c r="AA4" s="359"/>
      <c r="AB4" s="359"/>
      <c r="AC4" s="35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276</v>
      </c>
      <c r="D5" s="33"/>
      <c r="E5" s="131"/>
      <c r="F5" s="33"/>
      <c r="G5" s="131"/>
      <c r="H5" s="131"/>
      <c r="I5" s="30"/>
      <c r="J5" s="33"/>
      <c r="K5" s="131"/>
      <c r="L5" s="33"/>
      <c r="M5" s="241" t="s">
        <v>265</v>
      </c>
      <c r="N5" s="128"/>
      <c r="O5" s="356"/>
      <c r="P5" s="249" t="s">
        <v>250</v>
      </c>
      <c r="Q5" s="358" t="s">
        <v>266</v>
      </c>
      <c r="R5" s="134"/>
      <c r="S5" s="33"/>
      <c r="T5" s="33"/>
      <c r="U5" s="33"/>
      <c r="V5" s="131"/>
      <c r="W5" s="131"/>
      <c r="X5" s="131"/>
      <c r="Y5" s="131"/>
      <c r="Z5" s="131"/>
      <c r="AA5" s="359"/>
      <c r="AB5" s="359"/>
      <c r="AC5" s="35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277</v>
      </c>
      <c r="D6" s="33"/>
      <c r="E6" s="131"/>
      <c r="F6" s="33"/>
      <c r="G6" s="131"/>
      <c r="H6" s="131"/>
      <c r="I6" s="131"/>
      <c r="J6" s="131"/>
      <c r="K6" s="33"/>
      <c r="L6" s="158"/>
      <c r="M6" s="158"/>
      <c r="N6" s="490"/>
      <c r="O6" s="490"/>
      <c r="P6" s="158"/>
      <c r="Q6" s="158"/>
      <c r="R6" s="134"/>
      <c r="S6" s="131"/>
      <c r="T6" s="131"/>
      <c r="U6" s="131"/>
      <c r="V6" s="131"/>
      <c r="W6" s="131"/>
      <c r="X6" s="131"/>
      <c r="Y6" s="131"/>
      <c r="Z6" s="131"/>
      <c r="AA6" s="359"/>
      <c r="AB6" s="359"/>
      <c r="AC6" s="35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127</v>
      </c>
      <c r="F7" s="191" t="s">
        <v>263</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3" t="s">
        <v>128</v>
      </c>
      <c r="F8" s="246"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4" t="s">
        <v>129</v>
      </c>
      <c r="F9" s="247"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4" t="s">
        <v>147</v>
      </c>
      <c r="F10" s="247"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5" t="s">
        <v>148</v>
      </c>
      <c r="F11" s="248"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262</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42"/>
      <c r="C14" s="343" t="s">
        <v>121</v>
      </c>
      <c r="D14" s="344"/>
      <c r="E14" s="344"/>
      <c r="F14" s="344"/>
      <c r="G14" s="344"/>
      <c r="H14" s="344"/>
      <c r="I14" s="344"/>
      <c r="J14" s="344"/>
      <c r="K14" s="344"/>
      <c r="L14" s="343" t="s">
        <v>126</v>
      </c>
      <c r="M14" s="344"/>
      <c r="N14" s="344"/>
      <c r="O14" s="344"/>
      <c r="P14" s="344"/>
      <c r="Q14" s="344"/>
      <c r="R14" s="344"/>
      <c r="S14" s="344"/>
      <c r="T14" s="344"/>
      <c r="U14" s="343" t="s">
        <v>122</v>
      </c>
      <c r="V14" s="344"/>
      <c r="W14" s="344"/>
      <c r="X14" s="344"/>
      <c r="Y14" s="344"/>
      <c r="Z14" s="344"/>
      <c r="AA14" s="344"/>
      <c r="AB14" s="344"/>
      <c r="AC14" s="48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45"/>
      <c r="C15" s="623" t="s">
        <v>123</v>
      </c>
      <c r="D15" s="621"/>
      <c r="E15" s="621"/>
      <c r="F15" s="621" t="s">
        <v>124</v>
      </c>
      <c r="G15" s="621"/>
      <c r="H15" s="621"/>
      <c r="I15" s="621" t="s">
        <v>125</v>
      </c>
      <c r="J15" s="624"/>
      <c r="K15" s="624"/>
      <c r="L15" s="623" t="s">
        <v>123</v>
      </c>
      <c r="M15" s="621"/>
      <c r="N15" s="621"/>
      <c r="O15" s="621" t="s">
        <v>124</v>
      </c>
      <c r="P15" s="621"/>
      <c r="Q15" s="621"/>
      <c r="R15" s="621" t="s">
        <v>125</v>
      </c>
      <c r="S15" s="624"/>
      <c r="T15" s="624"/>
      <c r="U15" s="623" t="s">
        <v>123</v>
      </c>
      <c r="V15" s="621"/>
      <c r="W15" s="621"/>
      <c r="X15" s="621" t="s">
        <v>124</v>
      </c>
      <c r="Y15" s="621"/>
      <c r="Z15" s="621"/>
      <c r="AA15" s="621" t="s">
        <v>125</v>
      </c>
      <c r="AB15" s="621"/>
      <c r="AC15" s="622"/>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46" t="s">
        <v>113</v>
      </c>
      <c r="C16" s="302" t="s">
        <v>114</v>
      </c>
      <c r="D16" s="303" t="s">
        <v>115</v>
      </c>
      <c r="E16" s="303" t="s">
        <v>116</v>
      </c>
      <c r="F16" s="304" t="s">
        <v>114</v>
      </c>
      <c r="G16" s="303" t="s">
        <v>115</v>
      </c>
      <c r="H16" s="303" t="s">
        <v>116</v>
      </c>
      <c r="I16" s="304" t="s">
        <v>114</v>
      </c>
      <c r="J16" s="303" t="s">
        <v>115</v>
      </c>
      <c r="K16" s="303" t="s">
        <v>116</v>
      </c>
      <c r="L16" s="305" t="s">
        <v>117</v>
      </c>
      <c r="M16" s="303" t="s">
        <v>118</v>
      </c>
      <c r="N16" s="306" t="s">
        <v>116</v>
      </c>
      <c r="O16" s="307" t="s">
        <v>117</v>
      </c>
      <c r="P16" s="303" t="s">
        <v>118</v>
      </c>
      <c r="Q16" s="303" t="s">
        <v>116</v>
      </c>
      <c r="R16" s="304" t="s">
        <v>117</v>
      </c>
      <c r="S16" s="303" t="s">
        <v>118</v>
      </c>
      <c r="T16" s="306" t="s">
        <v>116</v>
      </c>
      <c r="U16" s="305" t="s">
        <v>119</v>
      </c>
      <c r="V16" s="303" t="s">
        <v>115</v>
      </c>
      <c r="W16" s="306" t="s">
        <v>116</v>
      </c>
      <c r="X16" s="307" t="s">
        <v>119</v>
      </c>
      <c r="Y16" s="303" t="s">
        <v>115</v>
      </c>
      <c r="Z16" s="303" t="s">
        <v>116</v>
      </c>
      <c r="AA16" s="304" t="s">
        <v>119</v>
      </c>
      <c r="AB16" s="303" t="s">
        <v>115</v>
      </c>
      <c r="AC16" s="484" t="s">
        <v>116</v>
      </c>
      <c r="AD16" s="160" t="s">
        <v>113</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47" t="s">
        <v>198</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48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47" t="s">
        <v>199</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48"/>
      <c r="AD18" s="161" t="s">
        <v>154</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47" t="s">
        <v>200</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4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47" t="s">
        <v>201</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4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47" t="s">
        <v>202</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4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47" t="s">
        <v>203</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4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47" t="s">
        <v>204</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4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47" t="s">
        <v>205</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48"/>
      <c r="AD24" s="161" t="s">
        <v>10</v>
      </c>
      <c r="AE24" s="139"/>
      <c r="AF24" s="139"/>
      <c r="AG24" s="488"/>
      <c r="AH24" s="488"/>
      <c r="AI24" s="48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4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48"/>
      <c r="AD25" s="161" t="s">
        <v>11</v>
      </c>
      <c r="AE25" s="139"/>
      <c r="AF25" s="139"/>
      <c r="AG25" s="488"/>
      <c r="AH25" s="488"/>
      <c r="AI25" s="48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47" t="s">
        <v>206</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48"/>
      <c r="AD26" s="161" t="s">
        <v>12</v>
      </c>
      <c r="AE26" s="139"/>
      <c r="AF26" s="139"/>
      <c r="AG26" s="488"/>
      <c r="AH26" s="488"/>
      <c r="AI26" s="48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47" t="s">
        <v>207</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48"/>
      <c r="AD27" s="161" t="s">
        <v>13</v>
      </c>
      <c r="AE27" s="139"/>
      <c r="AF27" s="139"/>
      <c r="AG27" s="488"/>
      <c r="AH27" s="488"/>
      <c r="AI27" s="48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47" t="s">
        <v>208</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48"/>
      <c r="AD28" s="161" t="s">
        <v>155</v>
      </c>
      <c r="AE28" s="139"/>
      <c r="AF28" s="139"/>
      <c r="AG28" s="488"/>
      <c r="AH28" s="488"/>
      <c r="AI28" s="48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47" t="s">
        <v>209</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48"/>
      <c r="AD29" s="161" t="s">
        <v>14</v>
      </c>
      <c r="AE29" s="139"/>
      <c r="AF29" s="139"/>
      <c r="AG29" s="488"/>
      <c r="AH29" s="488"/>
      <c r="AI29" s="48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47" t="s">
        <v>210</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48"/>
      <c r="AD30" s="161" t="s">
        <v>15</v>
      </c>
      <c r="AE30" s="139"/>
      <c r="AF30" s="139"/>
      <c r="AG30" s="488"/>
      <c r="AH30" s="488"/>
      <c r="AI30" s="48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47" t="s">
        <v>211</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48"/>
      <c r="AD31" s="161" t="s">
        <v>16</v>
      </c>
      <c r="AE31" s="139"/>
      <c r="AF31" s="139"/>
      <c r="AG31" s="491"/>
      <c r="AH31" s="488"/>
      <c r="AI31" s="48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47" t="s">
        <v>212</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48"/>
      <c r="AD32" s="161" t="s">
        <v>17</v>
      </c>
      <c r="AE32" s="139"/>
      <c r="AF32" s="139"/>
      <c r="AG32" s="488"/>
      <c r="AH32" s="488"/>
      <c r="AI32" s="48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47" t="s">
        <v>213</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48"/>
      <c r="AD33" s="161" t="s">
        <v>18</v>
      </c>
      <c r="AE33" s="139"/>
      <c r="AF33" s="139"/>
      <c r="AG33" s="488"/>
      <c r="AH33" s="488"/>
      <c r="AI33" s="48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47" t="s">
        <v>214</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48"/>
      <c r="AD34" s="161" t="s">
        <v>19</v>
      </c>
      <c r="AE34" s="139"/>
      <c r="AF34" s="139"/>
      <c r="AG34" s="488"/>
      <c r="AH34" s="488"/>
      <c r="AI34" s="48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47" t="s">
        <v>215</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4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47" t="s">
        <v>216</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4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47" t="s">
        <v>217</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4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47" t="s">
        <v>218</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4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47" t="s">
        <v>219</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4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47" t="s">
        <v>220</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4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47" t="s">
        <v>221</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4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47" t="s">
        <v>222</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4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47" t="s">
        <v>223</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4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47" t="s">
        <v>224</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4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47" t="s">
        <v>225</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4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47" t="s">
        <v>226</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4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47" t="s">
        <v>227</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4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47" t="s">
        <v>228</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4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47" t="s">
        <v>229</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4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47" t="s">
        <v>230</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4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47" t="s">
        <v>231</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4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47" t="s">
        <v>232</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4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47" t="s">
        <v>233</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4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47" t="s">
        <v>234</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4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47" t="s">
        <v>235</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4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47" t="s">
        <v>236</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4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47" t="s">
        <v>237</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4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47" t="s">
        <v>238</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4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47" t="s">
        <v>239</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4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47" t="s">
        <v>240</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4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47" t="s">
        <v>241</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4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47" t="s">
        <v>242</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4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47" t="s">
        <v>243</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4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47" t="s">
        <v>244</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4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47" t="s">
        <v>245</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4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47" t="s">
        <v>246</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4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49" t="s">
        <v>247</v>
      </c>
      <c r="C67" s="481"/>
      <c r="D67" s="350"/>
      <c r="E67" s="482"/>
      <c r="F67" s="483"/>
      <c r="G67" s="350"/>
      <c r="H67" s="482"/>
      <c r="I67" s="483"/>
      <c r="J67" s="350"/>
      <c r="K67" s="350"/>
      <c r="L67" s="350"/>
      <c r="M67" s="350"/>
      <c r="N67" s="350"/>
      <c r="O67" s="350"/>
      <c r="P67" s="350"/>
      <c r="Q67" s="350"/>
      <c r="R67" s="350"/>
      <c r="S67" s="350"/>
      <c r="T67" s="350"/>
      <c r="U67" s="350"/>
      <c r="V67" s="350"/>
      <c r="W67" s="350"/>
      <c r="X67" s="350"/>
      <c r="Y67" s="350"/>
      <c r="Z67" s="350"/>
      <c r="AA67" s="350"/>
      <c r="AB67" s="350"/>
      <c r="AC67" s="35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48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487" t="b">
        <v>1</v>
      </c>
      <c r="F173" s="486" t="s">
        <v>100</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487" t="b">
        <v>0</v>
      </c>
      <c r="F174" s="486" t="s">
        <v>253</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487"/>
      <c r="F175" s="486" t="s">
        <v>255</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486" t="s">
        <v>197</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486" t="s">
        <v>254</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486" t="s">
        <v>250</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486" t="s">
        <v>256</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486" t="s">
        <v>251</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486" t="s">
        <v>257</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486" t="s">
        <v>252</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48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48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48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48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48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48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48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48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48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baseColWidth="10" defaultColWidth="10.83203125" defaultRowHeight="12" x14ac:dyDescent="0"/>
  <cols>
    <col min="1" max="1" width="10.83203125" style="375"/>
    <col min="2" max="2" width="15.1640625" style="375" customWidth="1"/>
    <col min="3" max="3" width="32.5" style="375" customWidth="1"/>
    <col min="4" max="4" width="10.83203125" style="375"/>
    <col min="5" max="5" width="6.1640625" style="375" bestFit="1" customWidth="1"/>
    <col min="6" max="9" width="15.5" style="375" customWidth="1"/>
    <col min="10" max="10" width="14.6640625" style="375" customWidth="1"/>
    <col min="11" max="17" width="15.5" style="375" customWidth="1"/>
    <col min="18" max="18" width="15" style="375" customWidth="1"/>
    <col min="19" max="19" width="15.33203125" style="375" customWidth="1"/>
    <col min="20" max="20" width="7.1640625" style="375" customWidth="1"/>
    <col min="21" max="21" width="47.33203125" style="375" customWidth="1"/>
    <col min="22" max="23" width="20.33203125" style="375" customWidth="1"/>
    <col min="24" max="16384" width="10.83203125" style="375"/>
  </cols>
  <sheetData>
    <row r="2" spans="2:19" ht="32">
      <c r="B2" s="437" t="s">
        <v>312</v>
      </c>
    </row>
    <row r="5" spans="2:19" ht="18" customHeight="1">
      <c r="B5" s="438" t="s">
        <v>313</v>
      </c>
      <c r="C5" s="439" t="s">
        <v>326</v>
      </c>
      <c r="H5" s="440"/>
    </row>
    <row r="6" spans="2:19" ht="18">
      <c r="E6" s="438" t="str">
        <f>C5 &amp; " Scenario"</f>
        <v>BAU Scenario</v>
      </c>
    </row>
    <row r="7" spans="2:19" ht="27" thickBot="1">
      <c r="B7" s="438" t="s">
        <v>315</v>
      </c>
      <c r="C7" s="441"/>
      <c r="F7" s="626" t="s">
        <v>123</v>
      </c>
      <c r="G7" s="627"/>
      <c r="H7" s="627"/>
      <c r="I7" s="628"/>
      <c r="J7" s="626" t="s">
        <v>124</v>
      </c>
      <c r="K7" s="627"/>
      <c r="L7" s="627"/>
      <c r="M7" s="628"/>
      <c r="N7" s="626" t="s">
        <v>125</v>
      </c>
      <c r="O7" s="627"/>
      <c r="P7" s="627"/>
      <c r="Q7" s="628"/>
    </row>
    <row r="8" spans="2:19" ht="50" customHeight="1" thickTop="1" thickBot="1">
      <c r="B8" s="442" t="s">
        <v>127</v>
      </c>
      <c r="C8" s="443" t="s">
        <v>316</v>
      </c>
      <c r="E8" s="444" t="s">
        <v>296</v>
      </c>
      <c r="F8" s="444" t="s">
        <v>317</v>
      </c>
      <c r="G8" s="445" t="s">
        <v>318</v>
      </c>
      <c r="H8" s="445" t="s">
        <v>319</v>
      </c>
      <c r="I8" s="446" t="s">
        <v>320</v>
      </c>
      <c r="J8" s="444" t="s">
        <v>317</v>
      </c>
      <c r="K8" s="445" t="s">
        <v>318</v>
      </c>
      <c r="L8" s="445" t="s">
        <v>319</v>
      </c>
      <c r="M8" s="446" t="s">
        <v>320</v>
      </c>
      <c r="N8" s="444" t="s">
        <v>317</v>
      </c>
      <c r="O8" s="445" t="s">
        <v>318</v>
      </c>
      <c r="P8" s="445" t="s">
        <v>319</v>
      </c>
      <c r="Q8" s="446" t="s">
        <v>320</v>
      </c>
      <c r="R8" s="444" t="s">
        <v>321</v>
      </c>
      <c r="S8" s="446" t="s">
        <v>322</v>
      </c>
    </row>
    <row r="9" spans="2:19" ht="18">
      <c r="B9" s="447" t="s">
        <v>128</v>
      </c>
      <c r="C9" s="448" t="b">
        <v>1</v>
      </c>
      <c r="E9" s="449" t="s">
        <v>199</v>
      </c>
      <c r="F9" s="450" t="s">
        <v>323</v>
      </c>
      <c r="G9" s="451" t="s">
        <v>323</v>
      </c>
      <c r="H9" s="451">
        <v>0</v>
      </c>
      <c r="I9" s="452">
        <v>0</v>
      </c>
      <c r="J9" s="450" t="s">
        <v>323</v>
      </c>
      <c r="K9" s="451" t="s">
        <v>323</v>
      </c>
      <c r="L9" s="451">
        <v>0</v>
      </c>
      <c r="M9" s="453">
        <v>0</v>
      </c>
      <c r="N9" s="454" t="s">
        <v>323</v>
      </c>
      <c r="O9" s="451" t="s">
        <v>323</v>
      </c>
      <c r="P9" s="451">
        <v>0</v>
      </c>
      <c r="Q9" s="453">
        <v>0</v>
      </c>
      <c r="R9" s="455">
        <v>2014</v>
      </c>
      <c r="S9" s="456">
        <v>2050</v>
      </c>
    </row>
    <row r="10" spans="2:19" ht="18">
      <c r="B10" s="457" t="s">
        <v>129</v>
      </c>
      <c r="C10" s="458" t="b">
        <v>1</v>
      </c>
      <c r="E10" s="459" t="s">
        <v>198</v>
      </c>
      <c r="F10" s="460" t="s">
        <v>323</v>
      </c>
      <c r="G10" s="461" t="s">
        <v>323</v>
      </c>
      <c r="H10" s="461">
        <v>0</v>
      </c>
      <c r="I10" s="462">
        <v>0</v>
      </c>
      <c r="J10" s="460" t="s">
        <v>323</v>
      </c>
      <c r="K10" s="461" t="s">
        <v>323</v>
      </c>
      <c r="L10" s="461">
        <v>0</v>
      </c>
      <c r="M10" s="463">
        <v>0</v>
      </c>
      <c r="N10" s="464" t="s">
        <v>323</v>
      </c>
      <c r="O10" s="461" t="s">
        <v>323</v>
      </c>
      <c r="P10" s="461">
        <v>0</v>
      </c>
      <c r="Q10" s="463">
        <v>0</v>
      </c>
      <c r="R10" s="465">
        <v>2014</v>
      </c>
      <c r="S10" s="466">
        <v>2050</v>
      </c>
    </row>
    <row r="11" spans="2:19" ht="18">
      <c r="B11" s="457" t="s">
        <v>339</v>
      </c>
      <c r="C11" s="458" t="b">
        <v>1</v>
      </c>
      <c r="E11" s="459" t="s">
        <v>201</v>
      </c>
      <c r="F11" s="460" t="s">
        <v>323</v>
      </c>
      <c r="G11" s="461" t="s">
        <v>323</v>
      </c>
      <c r="H11" s="461">
        <v>0</v>
      </c>
      <c r="I11" s="462">
        <v>0</v>
      </c>
      <c r="J11" s="460" t="s">
        <v>323</v>
      </c>
      <c r="K11" s="461" t="s">
        <v>323</v>
      </c>
      <c r="L11" s="461">
        <v>0</v>
      </c>
      <c r="M11" s="463">
        <v>0</v>
      </c>
      <c r="N11" s="464" t="s">
        <v>323</v>
      </c>
      <c r="O11" s="461" t="s">
        <v>323</v>
      </c>
      <c r="P11" s="461">
        <v>0</v>
      </c>
      <c r="Q11" s="463">
        <v>0</v>
      </c>
      <c r="R11" s="465">
        <v>2014</v>
      </c>
      <c r="S11" s="466">
        <v>2050</v>
      </c>
    </row>
    <row r="12" spans="2:19" ht="19" thickBot="1">
      <c r="B12" s="467" t="s">
        <v>148</v>
      </c>
      <c r="C12" s="468" t="b">
        <v>1</v>
      </c>
      <c r="E12" s="459" t="s">
        <v>200</v>
      </c>
      <c r="F12" s="460" t="s">
        <v>323</v>
      </c>
      <c r="G12" s="461" t="s">
        <v>323</v>
      </c>
      <c r="H12" s="461">
        <v>0</v>
      </c>
      <c r="I12" s="462">
        <v>0</v>
      </c>
      <c r="J12" s="460" t="s">
        <v>323</v>
      </c>
      <c r="K12" s="461" t="s">
        <v>323</v>
      </c>
      <c r="L12" s="461">
        <v>0</v>
      </c>
      <c r="M12" s="463">
        <v>0</v>
      </c>
      <c r="N12" s="464" t="s">
        <v>323</v>
      </c>
      <c r="O12" s="461" t="s">
        <v>323</v>
      </c>
      <c r="P12" s="461">
        <v>0</v>
      </c>
      <c r="Q12" s="463">
        <v>0</v>
      </c>
      <c r="R12" s="465">
        <v>2014</v>
      </c>
      <c r="S12" s="466">
        <v>2050</v>
      </c>
    </row>
    <row r="13" spans="2:19" ht="13" thickTop="1">
      <c r="E13" s="459" t="s">
        <v>202</v>
      </c>
      <c r="F13" s="460" t="s">
        <v>323</v>
      </c>
      <c r="G13" s="461" t="s">
        <v>323</v>
      </c>
      <c r="H13" s="461">
        <v>0</v>
      </c>
      <c r="I13" s="462">
        <v>0</v>
      </c>
      <c r="J13" s="460" t="s">
        <v>323</v>
      </c>
      <c r="K13" s="461" t="s">
        <v>323</v>
      </c>
      <c r="L13" s="461">
        <v>0</v>
      </c>
      <c r="M13" s="463">
        <v>0</v>
      </c>
      <c r="N13" s="464" t="s">
        <v>323</v>
      </c>
      <c r="O13" s="461" t="s">
        <v>323</v>
      </c>
      <c r="P13" s="461">
        <v>0</v>
      </c>
      <c r="Q13" s="463">
        <v>0</v>
      </c>
      <c r="R13" s="465">
        <v>2014</v>
      </c>
      <c r="S13" s="466">
        <v>2050</v>
      </c>
    </row>
    <row r="14" spans="2:19" ht="12" customHeight="1">
      <c r="B14" s="629" t="s">
        <v>372</v>
      </c>
      <c r="C14" s="629"/>
      <c r="E14" s="459" t="s">
        <v>203</v>
      </c>
      <c r="F14" s="460" t="s">
        <v>323</v>
      </c>
      <c r="G14" s="461" t="s">
        <v>323</v>
      </c>
      <c r="H14" s="461">
        <v>0</v>
      </c>
      <c r="I14" s="462">
        <v>0</v>
      </c>
      <c r="J14" s="460" t="s">
        <v>323</v>
      </c>
      <c r="K14" s="461" t="s">
        <v>323</v>
      </c>
      <c r="L14" s="461">
        <v>0</v>
      </c>
      <c r="M14" s="463">
        <v>0</v>
      </c>
      <c r="N14" s="464" t="s">
        <v>323</v>
      </c>
      <c r="O14" s="461" t="s">
        <v>323</v>
      </c>
      <c r="P14" s="461">
        <v>0</v>
      </c>
      <c r="Q14" s="463">
        <v>0</v>
      </c>
      <c r="R14" s="465">
        <v>2014</v>
      </c>
      <c r="S14" s="466">
        <v>2050</v>
      </c>
    </row>
    <row r="15" spans="2:19" ht="12" customHeight="1">
      <c r="B15" s="629"/>
      <c r="C15" s="629"/>
      <c r="E15" s="459" t="s">
        <v>204</v>
      </c>
      <c r="F15" s="460" t="s">
        <v>323</v>
      </c>
      <c r="G15" s="461" t="s">
        <v>323</v>
      </c>
      <c r="H15" s="461">
        <v>0</v>
      </c>
      <c r="I15" s="462">
        <v>0</v>
      </c>
      <c r="J15" s="460" t="s">
        <v>323</v>
      </c>
      <c r="K15" s="461" t="s">
        <v>323</v>
      </c>
      <c r="L15" s="461">
        <v>0</v>
      </c>
      <c r="M15" s="463">
        <v>0</v>
      </c>
      <c r="N15" s="464" t="s">
        <v>323</v>
      </c>
      <c r="O15" s="461" t="s">
        <v>323</v>
      </c>
      <c r="P15" s="461">
        <v>0</v>
      </c>
      <c r="Q15" s="463">
        <v>0</v>
      </c>
      <c r="R15" s="465">
        <v>2014</v>
      </c>
      <c r="S15" s="466">
        <v>2050</v>
      </c>
    </row>
    <row r="16" spans="2:19" ht="12" customHeight="1">
      <c r="B16" s="629"/>
      <c r="C16" s="629"/>
      <c r="E16" s="459" t="s">
        <v>11</v>
      </c>
      <c r="F16" s="460" t="s">
        <v>323</v>
      </c>
      <c r="G16" s="461" t="s">
        <v>323</v>
      </c>
      <c r="H16" s="461">
        <v>0</v>
      </c>
      <c r="I16" s="462">
        <v>0</v>
      </c>
      <c r="J16" s="460" t="s">
        <v>323</v>
      </c>
      <c r="K16" s="461" t="s">
        <v>323</v>
      </c>
      <c r="L16" s="461">
        <v>0</v>
      </c>
      <c r="M16" s="463">
        <v>0</v>
      </c>
      <c r="N16" s="464" t="s">
        <v>323</v>
      </c>
      <c r="O16" s="461" t="s">
        <v>323</v>
      </c>
      <c r="P16" s="461">
        <v>0</v>
      </c>
      <c r="Q16" s="463">
        <v>0</v>
      </c>
      <c r="R16" s="465">
        <v>2014</v>
      </c>
      <c r="S16" s="466">
        <v>2050</v>
      </c>
    </row>
    <row r="17" spans="2:19" ht="12" customHeight="1">
      <c r="B17" s="629"/>
      <c r="C17" s="629"/>
      <c r="E17" s="459" t="s">
        <v>205</v>
      </c>
      <c r="F17" s="460" t="s">
        <v>323</v>
      </c>
      <c r="G17" s="461" t="s">
        <v>323</v>
      </c>
      <c r="H17" s="461">
        <v>0</v>
      </c>
      <c r="I17" s="462">
        <v>0</v>
      </c>
      <c r="J17" s="460" t="s">
        <v>323</v>
      </c>
      <c r="K17" s="461" t="s">
        <v>323</v>
      </c>
      <c r="L17" s="461">
        <v>0</v>
      </c>
      <c r="M17" s="463">
        <v>0</v>
      </c>
      <c r="N17" s="464" t="s">
        <v>323</v>
      </c>
      <c r="O17" s="461" t="s">
        <v>323</v>
      </c>
      <c r="P17" s="461">
        <v>0</v>
      </c>
      <c r="Q17" s="463">
        <v>0</v>
      </c>
      <c r="R17" s="465">
        <v>2014</v>
      </c>
      <c r="S17" s="466">
        <v>2050</v>
      </c>
    </row>
    <row r="18" spans="2:19" ht="13" customHeight="1">
      <c r="B18" s="629"/>
      <c r="C18" s="629"/>
      <c r="E18" s="459" t="s">
        <v>206</v>
      </c>
      <c r="F18" s="460" t="s">
        <v>323</v>
      </c>
      <c r="G18" s="461" t="s">
        <v>323</v>
      </c>
      <c r="H18" s="461">
        <v>0</v>
      </c>
      <c r="I18" s="462">
        <v>0</v>
      </c>
      <c r="J18" s="460" t="s">
        <v>323</v>
      </c>
      <c r="K18" s="461" t="s">
        <v>323</v>
      </c>
      <c r="L18" s="461">
        <v>0</v>
      </c>
      <c r="M18" s="463">
        <v>0</v>
      </c>
      <c r="N18" s="464" t="s">
        <v>323</v>
      </c>
      <c r="O18" s="461" t="s">
        <v>323</v>
      </c>
      <c r="P18" s="461">
        <v>0</v>
      </c>
      <c r="Q18" s="463">
        <v>0</v>
      </c>
      <c r="R18" s="465">
        <v>2014</v>
      </c>
      <c r="S18" s="466">
        <v>2050</v>
      </c>
    </row>
    <row r="19" spans="2:19" ht="12" customHeight="1">
      <c r="B19" s="629"/>
      <c r="C19" s="629"/>
      <c r="E19" s="459" t="s">
        <v>207</v>
      </c>
      <c r="F19" s="460" t="s">
        <v>323</v>
      </c>
      <c r="G19" s="461" t="s">
        <v>323</v>
      </c>
      <c r="H19" s="461">
        <v>0</v>
      </c>
      <c r="I19" s="462">
        <v>0</v>
      </c>
      <c r="J19" s="460" t="s">
        <v>323</v>
      </c>
      <c r="K19" s="461" t="s">
        <v>323</v>
      </c>
      <c r="L19" s="461">
        <v>0</v>
      </c>
      <c r="M19" s="463">
        <v>0</v>
      </c>
      <c r="N19" s="464" t="s">
        <v>323</v>
      </c>
      <c r="O19" s="461" t="s">
        <v>323</v>
      </c>
      <c r="P19" s="461">
        <v>0</v>
      </c>
      <c r="Q19" s="463">
        <v>0</v>
      </c>
      <c r="R19" s="465">
        <v>2014</v>
      </c>
      <c r="S19" s="466">
        <v>2050</v>
      </c>
    </row>
    <row r="20" spans="2:19" ht="12" customHeight="1">
      <c r="B20" s="629"/>
      <c r="C20" s="629"/>
      <c r="E20" s="459" t="s">
        <v>208</v>
      </c>
      <c r="F20" s="460" t="s">
        <v>323</v>
      </c>
      <c r="G20" s="461" t="s">
        <v>323</v>
      </c>
      <c r="H20" s="461">
        <v>0</v>
      </c>
      <c r="I20" s="462">
        <v>0</v>
      </c>
      <c r="J20" s="460" t="s">
        <v>323</v>
      </c>
      <c r="K20" s="461" t="s">
        <v>323</v>
      </c>
      <c r="L20" s="461">
        <v>0</v>
      </c>
      <c r="M20" s="463">
        <v>0</v>
      </c>
      <c r="N20" s="464" t="s">
        <v>323</v>
      </c>
      <c r="O20" s="461" t="s">
        <v>323</v>
      </c>
      <c r="P20" s="461">
        <v>0</v>
      </c>
      <c r="Q20" s="463">
        <v>0</v>
      </c>
      <c r="R20" s="465">
        <v>2014</v>
      </c>
      <c r="S20" s="466">
        <v>2050</v>
      </c>
    </row>
    <row r="21" spans="2:19" ht="12" customHeight="1">
      <c r="B21" s="629"/>
      <c r="C21" s="629"/>
      <c r="E21" s="459" t="s">
        <v>212</v>
      </c>
      <c r="F21" s="460" t="s">
        <v>323</v>
      </c>
      <c r="G21" s="461" t="s">
        <v>323</v>
      </c>
      <c r="H21" s="461">
        <v>0</v>
      </c>
      <c r="I21" s="462">
        <v>0</v>
      </c>
      <c r="J21" s="460" t="s">
        <v>323</v>
      </c>
      <c r="K21" s="461" t="s">
        <v>323</v>
      </c>
      <c r="L21" s="461">
        <v>0</v>
      </c>
      <c r="M21" s="463">
        <v>0</v>
      </c>
      <c r="N21" s="464" t="s">
        <v>323</v>
      </c>
      <c r="O21" s="461" t="s">
        <v>323</v>
      </c>
      <c r="P21" s="461">
        <v>0</v>
      </c>
      <c r="Q21" s="463">
        <v>0</v>
      </c>
      <c r="R21" s="465">
        <v>2014</v>
      </c>
      <c r="S21" s="466">
        <v>2050</v>
      </c>
    </row>
    <row r="22" spans="2:19" ht="12" customHeight="1">
      <c r="B22" s="629"/>
      <c r="C22" s="629"/>
      <c r="E22" s="459" t="s">
        <v>209</v>
      </c>
      <c r="F22" s="460" t="s">
        <v>323</v>
      </c>
      <c r="G22" s="461" t="s">
        <v>323</v>
      </c>
      <c r="H22" s="461">
        <v>0</v>
      </c>
      <c r="I22" s="462">
        <v>0</v>
      </c>
      <c r="J22" s="460" t="s">
        <v>323</v>
      </c>
      <c r="K22" s="461" t="s">
        <v>323</v>
      </c>
      <c r="L22" s="461">
        <v>0</v>
      </c>
      <c r="M22" s="463">
        <v>0</v>
      </c>
      <c r="N22" s="464" t="s">
        <v>323</v>
      </c>
      <c r="O22" s="461" t="s">
        <v>323</v>
      </c>
      <c r="P22" s="461">
        <v>0</v>
      </c>
      <c r="Q22" s="463">
        <v>0</v>
      </c>
      <c r="R22" s="465">
        <v>2014</v>
      </c>
      <c r="S22" s="466">
        <v>2050</v>
      </c>
    </row>
    <row r="23" spans="2:19" ht="12" customHeight="1">
      <c r="B23" s="629"/>
      <c r="C23" s="629"/>
      <c r="E23" s="459" t="s">
        <v>210</v>
      </c>
      <c r="F23" s="460" t="s">
        <v>323</v>
      </c>
      <c r="G23" s="461" t="s">
        <v>323</v>
      </c>
      <c r="H23" s="461">
        <v>0</v>
      </c>
      <c r="I23" s="462">
        <v>0</v>
      </c>
      <c r="J23" s="460" t="s">
        <v>323</v>
      </c>
      <c r="K23" s="461" t="s">
        <v>323</v>
      </c>
      <c r="L23" s="461">
        <v>0</v>
      </c>
      <c r="M23" s="463">
        <v>0</v>
      </c>
      <c r="N23" s="464" t="s">
        <v>323</v>
      </c>
      <c r="O23" s="461" t="s">
        <v>323</v>
      </c>
      <c r="P23" s="461">
        <v>0</v>
      </c>
      <c r="Q23" s="463">
        <v>0</v>
      </c>
      <c r="R23" s="465">
        <v>2014</v>
      </c>
      <c r="S23" s="466">
        <v>2050</v>
      </c>
    </row>
    <row r="24" spans="2:19" ht="12" customHeight="1">
      <c r="B24" s="629"/>
      <c r="C24" s="629"/>
      <c r="E24" s="459" t="s">
        <v>211</v>
      </c>
      <c r="F24" s="460" t="s">
        <v>323</v>
      </c>
      <c r="G24" s="461" t="s">
        <v>323</v>
      </c>
      <c r="H24" s="461">
        <v>0</v>
      </c>
      <c r="I24" s="462">
        <v>0</v>
      </c>
      <c r="J24" s="460" t="s">
        <v>323</v>
      </c>
      <c r="K24" s="461" t="s">
        <v>323</v>
      </c>
      <c r="L24" s="461">
        <v>0</v>
      </c>
      <c r="M24" s="463">
        <v>0</v>
      </c>
      <c r="N24" s="464" t="s">
        <v>323</v>
      </c>
      <c r="O24" s="461" t="s">
        <v>323</v>
      </c>
      <c r="P24" s="461">
        <v>0</v>
      </c>
      <c r="Q24" s="463">
        <v>0</v>
      </c>
      <c r="R24" s="465">
        <v>2014</v>
      </c>
      <c r="S24" s="466">
        <v>2050</v>
      </c>
    </row>
    <row r="25" spans="2:19" ht="12" customHeight="1">
      <c r="B25" s="629"/>
      <c r="C25" s="629"/>
      <c r="E25" s="459" t="s">
        <v>213</v>
      </c>
      <c r="F25" s="460" t="s">
        <v>323</v>
      </c>
      <c r="G25" s="461" t="s">
        <v>323</v>
      </c>
      <c r="H25" s="461">
        <v>0</v>
      </c>
      <c r="I25" s="462">
        <v>0</v>
      </c>
      <c r="J25" s="460" t="s">
        <v>323</v>
      </c>
      <c r="K25" s="461" t="s">
        <v>323</v>
      </c>
      <c r="L25" s="461">
        <v>0</v>
      </c>
      <c r="M25" s="463">
        <v>0</v>
      </c>
      <c r="N25" s="464" t="s">
        <v>323</v>
      </c>
      <c r="O25" s="461" t="s">
        <v>323</v>
      </c>
      <c r="P25" s="461">
        <v>0</v>
      </c>
      <c r="Q25" s="463">
        <v>0</v>
      </c>
      <c r="R25" s="465">
        <v>2014</v>
      </c>
      <c r="S25" s="466">
        <v>2050</v>
      </c>
    </row>
    <row r="26" spans="2:19" ht="12" customHeight="1">
      <c r="B26" s="629"/>
      <c r="C26" s="629"/>
      <c r="E26" s="459" t="s">
        <v>214</v>
      </c>
      <c r="F26" s="460" t="s">
        <v>323</v>
      </c>
      <c r="G26" s="461" t="s">
        <v>323</v>
      </c>
      <c r="H26" s="461">
        <v>0</v>
      </c>
      <c r="I26" s="462">
        <v>0</v>
      </c>
      <c r="J26" s="460" t="s">
        <v>323</v>
      </c>
      <c r="K26" s="461" t="s">
        <v>323</v>
      </c>
      <c r="L26" s="461">
        <v>0</v>
      </c>
      <c r="M26" s="463">
        <v>0</v>
      </c>
      <c r="N26" s="464" t="s">
        <v>323</v>
      </c>
      <c r="O26" s="461" t="s">
        <v>323</v>
      </c>
      <c r="P26" s="461">
        <v>0</v>
      </c>
      <c r="Q26" s="463">
        <v>0</v>
      </c>
      <c r="R26" s="465">
        <v>2014</v>
      </c>
      <c r="S26" s="466">
        <v>2050</v>
      </c>
    </row>
    <row r="27" spans="2:19" ht="12" customHeight="1">
      <c r="B27" s="629"/>
      <c r="C27" s="629"/>
      <c r="E27" s="459" t="s">
        <v>215</v>
      </c>
      <c r="F27" s="460" t="s">
        <v>323</v>
      </c>
      <c r="G27" s="461" t="s">
        <v>323</v>
      </c>
      <c r="H27" s="461">
        <v>0</v>
      </c>
      <c r="I27" s="462">
        <v>0</v>
      </c>
      <c r="J27" s="460" t="s">
        <v>323</v>
      </c>
      <c r="K27" s="461" t="s">
        <v>323</v>
      </c>
      <c r="L27" s="461">
        <v>0</v>
      </c>
      <c r="M27" s="463">
        <v>0</v>
      </c>
      <c r="N27" s="464" t="s">
        <v>323</v>
      </c>
      <c r="O27" s="461" t="s">
        <v>323</v>
      </c>
      <c r="P27" s="461">
        <v>0</v>
      </c>
      <c r="Q27" s="463">
        <v>0</v>
      </c>
      <c r="R27" s="465">
        <v>2014</v>
      </c>
      <c r="S27" s="466">
        <v>2050</v>
      </c>
    </row>
    <row r="28" spans="2:19" ht="12" customHeight="1">
      <c r="B28" s="629"/>
      <c r="C28" s="629"/>
      <c r="E28" s="459" t="s">
        <v>218</v>
      </c>
      <c r="F28" s="460" t="s">
        <v>323</v>
      </c>
      <c r="G28" s="461" t="s">
        <v>323</v>
      </c>
      <c r="H28" s="461">
        <v>0</v>
      </c>
      <c r="I28" s="462">
        <v>0</v>
      </c>
      <c r="J28" s="460" t="s">
        <v>323</v>
      </c>
      <c r="K28" s="461" t="s">
        <v>323</v>
      </c>
      <c r="L28" s="461">
        <v>0</v>
      </c>
      <c r="M28" s="463">
        <v>0</v>
      </c>
      <c r="N28" s="464" t="s">
        <v>323</v>
      </c>
      <c r="O28" s="461" t="s">
        <v>323</v>
      </c>
      <c r="P28" s="461">
        <v>0</v>
      </c>
      <c r="Q28" s="463">
        <v>0</v>
      </c>
      <c r="R28" s="465">
        <v>2014</v>
      </c>
      <c r="S28" s="466">
        <v>2050</v>
      </c>
    </row>
    <row r="29" spans="2:19" ht="12" customHeight="1">
      <c r="B29" s="629"/>
      <c r="C29" s="629"/>
      <c r="E29" s="459" t="s">
        <v>217</v>
      </c>
      <c r="F29" s="460" t="s">
        <v>323</v>
      </c>
      <c r="G29" s="461" t="s">
        <v>323</v>
      </c>
      <c r="H29" s="461">
        <v>0</v>
      </c>
      <c r="I29" s="462">
        <v>0</v>
      </c>
      <c r="J29" s="460" t="s">
        <v>323</v>
      </c>
      <c r="K29" s="461" t="s">
        <v>323</v>
      </c>
      <c r="L29" s="461">
        <v>0</v>
      </c>
      <c r="M29" s="463">
        <v>0</v>
      </c>
      <c r="N29" s="464" t="s">
        <v>323</v>
      </c>
      <c r="O29" s="461" t="s">
        <v>323</v>
      </c>
      <c r="P29" s="461">
        <v>0</v>
      </c>
      <c r="Q29" s="463">
        <v>0</v>
      </c>
      <c r="R29" s="465">
        <v>2014</v>
      </c>
      <c r="S29" s="466">
        <v>2050</v>
      </c>
    </row>
    <row r="30" spans="2:19" ht="12" customHeight="1">
      <c r="B30" s="629"/>
      <c r="C30" s="629"/>
      <c r="E30" s="459" t="s">
        <v>216</v>
      </c>
      <c r="F30" s="460" t="s">
        <v>323</v>
      </c>
      <c r="G30" s="461" t="s">
        <v>323</v>
      </c>
      <c r="H30" s="461">
        <v>0</v>
      </c>
      <c r="I30" s="462">
        <v>0</v>
      </c>
      <c r="J30" s="460" t="s">
        <v>323</v>
      </c>
      <c r="K30" s="461" t="s">
        <v>323</v>
      </c>
      <c r="L30" s="461">
        <v>0</v>
      </c>
      <c r="M30" s="463">
        <v>0</v>
      </c>
      <c r="N30" s="464" t="s">
        <v>323</v>
      </c>
      <c r="O30" s="461" t="s">
        <v>323</v>
      </c>
      <c r="P30" s="461">
        <v>0</v>
      </c>
      <c r="Q30" s="463">
        <v>0</v>
      </c>
      <c r="R30" s="465">
        <v>2014</v>
      </c>
      <c r="S30" s="466">
        <v>2050</v>
      </c>
    </row>
    <row r="31" spans="2:19" ht="12" customHeight="1">
      <c r="B31" s="629"/>
      <c r="C31" s="629"/>
      <c r="E31" s="459" t="s">
        <v>219</v>
      </c>
      <c r="F31" s="460" t="s">
        <v>323</v>
      </c>
      <c r="G31" s="461" t="s">
        <v>323</v>
      </c>
      <c r="H31" s="461">
        <v>0</v>
      </c>
      <c r="I31" s="462">
        <v>0</v>
      </c>
      <c r="J31" s="460" t="s">
        <v>323</v>
      </c>
      <c r="K31" s="461" t="s">
        <v>323</v>
      </c>
      <c r="L31" s="461">
        <v>0</v>
      </c>
      <c r="M31" s="463">
        <v>0</v>
      </c>
      <c r="N31" s="464" t="s">
        <v>323</v>
      </c>
      <c r="O31" s="461" t="s">
        <v>323</v>
      </c>
      <c r="P31" s="461">
        <v>0</v>
      </c>
      <c r="Q31" s="463">
        <v>0</v>
      </c>
      <c r="R31" s="465">
        <v>2014</v>
      </c>
      <c r="S31" s="466">
        <v>2050</v>
      </c>
    </row>
    <row r="32" spans="2:19" ht="12" customHeight="1">
      <c r="B32" s="629"/>
      <c r="C32" s="629"/>
      <c r="E32" s="459" t="s">
        <v>220</v>
      </c>
      <c r="F32" s="460" t="s">
        <v>323</v>
      </c>
      <c r="G32" s="461" t="s">
        <v>323</v>
      </c>
      <c r="H32" s="461">
        <v>0</v>
      </c>
      <c r="I32" s="462">
        <v>0</v>
      </c>
      <c r="J32" s="460" t="s">
        <v>323</v>
      </c>
      <c r="K32" s="461" t="s">
        <v>323</v>
      </c>
      <c r="L32" s="461">
        <v>0</v>
      </c>
      <c r="M32" s="463">
        <v>0</v>
      </c>
      <c r="N32" s="464" t="s">
        <v>323</v>
      </c>
      <c r="O32" s="461" t="s">
        <v>323</v>
      </c>
      <c r="P32" s="461">
        <v>0</v>
      </c>
      <c r="Q32" s="463">
        <v>0</v>
      </c>
      <c r="R32" s="465">
        <v>2014</v>
      </c>
      <c r="S32" s="466">
        <v>2050</v>
      </c>
    </row>
    <row r="33" spans="2:19" ht="12" customHeight="1">
      <c r="B33" s="629"/>
      <c r="C33" s="629"/>
      <c r="E33" s="459" t="s">
        <v>222</v>
      </c>
      <c r="F33" s="460" t="s">
        <v>323</v>
      </c>
      <c r="G33" s="461" t="s">
        <v>323</v>
      </c>
      <c r="H33" s="461">
        <v>0</v>
      </c>
      <c r="I33" s="462">
        <v>0</v>
      </c>
      <c r="J33" s="460" t="s">
        <v>323</v>
      </c>
      <c r="K33" s="461" t="s">
        <v>323</v>
      </c>
      <c r="L33" s="461">
        <v>0</v>
      </c>
      <c r="M33" s="463">
        <v>0</v>
      </c>
      <c r="N33" s="464" t="s">
        <v>323</v>
      </c>
      <c r="O33" s="461" t="s">
        <v>323</v>
      </c>
      <c r="P33" s="461">
        <v>0</v>
      </c>
      <c r="Q33" s="463">
        <v>0</v>
      </c>
      <c r="R33" s="465">
        <v>2014</v>
      </c>
      <c r="S33" s="466">
        <v>2050</v>
      </c>
    </row>
    <row r="34" spans="2:19" ht="12" customHeight="1">
      <c r="B34" s="629"/>
      <c r="C34" s="629"/>
      <c r="E34" s="459" t="s">
        <v>221</v>
      </c>
      <c r="F34" s="460" t="s">
        <v>323</v>
      </c>
      <c r="G34" s="461" t="s">
        <v>323</v>
      </c>
      <c r="H34" s="461">
        <v>0</v>
      </c>
      <c r="I34" s="462">
        <v>0</v>
      </c>
      <c r="J34" s="460" t="s">
        <v>323</v>
      </c>
      <c r="K34" s="461" t="s">
        <v>323</v>
      </c>
      <c r="L34" s="461">
        <v>0</v>
      </c>
      <c r="M34" s="463">
        <v>0</v>
      </c>
      <c r="N34" s="464" t="s">
        <v>323</v>
      </c>
      <c r="O34" s="461" t="s">
        <v>323</v>
      </c>
      <c r="P34" s="461">
        <v>0</v>
      </c>
      <c r="Q34" s="463">
        <v>0</v>
      </c>
      <c r="R34" s="465">
        <v>2014</v>
      </c>
      <c r="S34" s="466">
        <v>2050</v>
      </c>
    </row>
    <row r="35" spans="2:19" ht="12" customHeight="1">
      <c r="B35" s="629"/>
      <c r="C35" s="629"/>
      <c r="E35" s="459" t="s">
        <v>223</v>
      </c>
      <c r="F35" s="460" t="s">
        <v>323</v>
      </c>
      <c r="G35" s="461" t="s">
        <v>323</v>
      </c>
      <c r="H35" s="461">
        <v>0</v>
      </c>
      <c r="I35" s="462">
        <v>0</v>
      </c>
      <c r="J35" s="460" t="s">
        <v>323</v>
      </c>
      <c r="K35" s="461" t="s">
        <v>323</v>
      </c>
      <c r="L35" s="461">
        <v>0</v>
      </c>
      <c r="M35" s="463">
        <v>0</v>
      </c>
      <c r="N35" s="464" t="s">
        <v>323</v>
      </c>
      <c r="O35" s="461" t="s">
        <v>323</v>
      </c>
      <c r="P35" s="461">
        <v>0</v>
      </c>
      <c r="Q35" s="463">
        <v>0</v>
      </c>
      <c r="R35" s="465">
        <v>2014</v>
      </c>
      <c r="S35" s="466">
        <v>2050</v>
      </c>
    </row>
    <row r="36" spans="2:19" ht="12" customHeight="1">
      <c r="B36" s="629"/>
      <c r="C36" s="629"/>
      <c r="E36" s="459" t="s">
        <v>230</v>
      </c>
      <c r="F36" s="460" t="s">
        <v>323</v>
      </c>
      <c r="G36" s="461" t="s">
        <v>323</v>
      </c>
      <c r="H36" s="461">
        <v>0</v>
      </c>
      <c r="I36" s="462">
        <v>0</v>
      </c>
      <c r="J36" s="460" t="s">
        <v>323</v>
      </c>
      <c r="K36" s="461" t="s">
        <v>323</v>
      </c>
      <c r="L36" s="461">
        <v>0</v>
      </c>
      <c r="M36" s="463">
        <v>0</v>
      </c>
      <c r="N36" s="464" t="s">
        <v>323</v>
      </c>
      <c r="O36" s="461" t="s">
        <v>323</v>
      </c>
      <c r="P36" s="461">
        <v>0</v>
      </c>
      <c r="Q36" s="463">
        <v>0</v>
      </c>
      <c r="R36" s="465">
        <v>2014</v>
      </c>
      <c r="S36" s="466">
        <v>2050</v>
      </c>
    </row>
    <row r="37" spans="2:19" ht="12" customHeight="1">
      <c r="B37" s="629"/>
      <c r="C37" s="629"/>
      <c r="E37" s="459" t="s">
        <v>231</v>
      </c>
      <c r="F37" s="460" t="s">
        <v>323</v>
      </c>
      <c r="G37" s="461" t="s">
        <v>323</v>
      </c>
      <c r="H37" s="461">
        <v>0</v>
      </c>
      <c r="I37" s="462">
        <v>0</v>
      </c>
      <c r="J37" s="460" t="s">
        <v>323</v>
      </c>
      <c r="K37" s="461" t="s">
        <v>323</v>
      </c>
      <c r="L37" s="461">
        <v>0</v>
      </c>
      <c r="M37" s="463">
        <v>0</v>
      </c>
      <c r="N37" s="464" t="s">
        <v>323</v>
      </c>
      <c r="O37" s="461" t="s">
        <v>323</v>
      </c>
      <c r="P37" s="461">
        <v>0</v>
      </c>
      <c r="Q37" s="463">
        <v>0</v>
      </c>
      <c r="R37" s="465">
        <v>2014</v>
      </c>
      <c r="S37" s="466">
        <v>2050</v>
      </c>
    </row>
    <row r="38" spans="2:19" ht="12" customHeight="1">
      <c r="B38" s="629"/>
      <c r="C38" s="629"/>
      <c r="E38" s="459" t="s">
        <v>224</v>
      </c>
      <c r="F38" s="460" t="s">
        <v>323</v>
      </c>
      <c r="G38" s="461" t="s">
        <v>323</v>
      </c>
      <c r="H38" s="461">
        <v>0</v>
      </c>
      <c r="I38" s="462">
        <v>0</v>
      </c>
      <c r="J38" s="460" t="s">
        <v>323</v>
      </c>
      <c r="K38" s="461" t="s">
        <v>323</v>
      </c>
      <c r="L38" s="461">
        <v>0</v>
      </c>
      <c r="M38" s="463">
        <v>0</v>
      </c>
      <c r="N38" s="464" t="s">
        <v>323</v>
      </c>
      <c r="O38" s="461" t="s">
        <v>323</v>
      </c>
      <c r="P38" s="461">
        <v>0</v>
      </c>
      <c r="Q38" s="463">
        <v>0</v>
      </c>
      <c r="R38" s="465">
        <v>2014</v>
      </c>
      <c r="S38" s="466">
        <v>2050</v>
      </c>
    </row>
    <row r="39" spans="2:19">
      <c r="B39" s="629"/>
      <c r="C39" s="629"/>
      <c r="E39" s="459" t="s">
        <v>226</v>
      </c>
      <c r="F39" s="460" t="s">
        <v>323</v>
      </c>
      <c r="G39" s="461" t="s">
        <v>323</v>
      </c>
      <c r="H39" s="461">
        <v>0</v>
      </c>
      <c r="I39" s="462">
        <v>0</v>
      </c>
      <c r="J39" s="460" t="s">
        <v>323</v>
      </c>
      <c r="K39" s="461" t="s">
        <v>323</v>
      </c>
      <c r="L39" s="461">
        <v>0</v>
      </c>
      <c r="M39" s="463">
        <v>0</v>
      </c>
      <c r="N39" s="464" t="s">
        <v>323</v>
      </c>
      <c r="O39" s="461" t="s">
        <v>323</v>
      </c>
      <c r="P39" s="461">
        <v>0</v>
      </c>
      <c r="Q39" s="463">
        <v>0</v>
      </c>
      <c r="R39" s="465">
        <v>2014</v>
      </c>
      <c r="S39" s="466">
        <v>2050</v>
      </c>
    </row>
    <row r="40" spans="2:19">
      <c r="B40" s="629"/>
      <c r="C40" s="629"/>
      <c r="E40" s="459" t="s">
        <v>227</v>
      </c>
      <c r="F40" s="460" t="s">
        <v>323</v>
      </c>
      <c r="G40" s="461" t="s">
        <v>323</v>
      </c>
      <c r="H40" s="461">
        <v>0</v>
      </c>
      <c r="I40" s="462">
        <v>0</v>
      </c>
      <c r="J40" s="460" t="s">
        <v>323</v>
      </c>
      <c r="K40" s="461" t="s">
        <v>323</v>
      </c>
      <c r="L40" s="461">
        <v>0</v>
      </c>
      <c r="M40" s="463">
        <v>0</v>
      </c>
      <c r="N40" s="464" t="s">
        <v>323</v>
      </c>
      <c r="O40" s="461" t="s">
        <v>323</v>
      </c>
      <c r="P40" s="461">
        <v>0</v>
      </c>
      <c r="Q40" s="463">
        <v>0</v>
      </c>
      <c r="R40" s="465">
        <v>2014</v>
      </c>
      <c r="S40" s="466">
        <v>2050</v>
      </c>
    </row>
    <row r="41" spans="2:19">
      <c r="B41" s="629"/>
      <c r="C41" s="629"/>
      <c r="E41" s="459" t="s">
        <v>228</v>
      </c>
      <c r="F41" s="460" t="s">
        <v>323</v>
      </c>
      <c r="G41" s="461" t="s">
        <v>323</v>
      </c>
      <c r="H41" s="461">
        <v>0</v>
      </c>
      <c r="I41" s="462">
        <v>0</v>
      </c>
      <c r="J41" s="460" t="s">
        <v>323</v>
      </c>
      <c r="K41" s="461" t="s">
        <v>323</v>
      </c>
      <c r="L41" s="461">
        <v>0</v>
      </c>
      <c r="M41" s="463">
        <v>0</v>
      </c>
      <c r="N41" s="464" t="s">
        <v>323</v>
      </c>
      <c r="O41" s="461" t="s">
        <v>323</v>
      </c>
      <c r="P41" s="461">
        <v>0</v>
      </c>
      <c r="Q41" s="463">
        <v>0</v>
      </c>
      <c r="R41" s="465">
        <v>2014</v>
      </c>
      <c r="S41" s="466">
        <v>2050</v>
      </c>
    </row>
    <row r="42" spans="2:19">
      <c r="B42" s="629"/>
      <c r="C42" s="629"/>
      <c r="E42" s="459" t="s">
        <v>225</v>
      </c>
      <c r="F42" s="460" t="s">
        <v>323</v>
      </c>
      <c r="G42" s="461" t="s">
        <v>323</v>
      </c>
      <c r="H42" s="461">
        <v>0</v>
      </c>
      <c r="I42" s="462">
        <v>0</v>
      </c>
      <c r="J42" s="460" t="s">
        <v>323</v>
      </c>
      <c r="K42" s="461" t="s">
        <v>323</v>
      </c>
      <c r="L42" s="461">
        <v>0</v>
      </c>
      <c r="M42" s="463">
        <v>0</v>
      </c>
      <c r="N42" s="464" t="s">
        <v>323</v>
      </c>
      <c r="O42" s="461" t="s">
        <v>323</v>
      </c>
      <c r="P42" s="461">
        <v>0</v>
      </c>
      <c r="Q42" s="463">
        <v>0</v>
      </c>
      <c r="R42" s="465">
        <v>2014</v>
      </c>
      <c r="S42" s="466">
        <v>2050</v>
      </c>
    </row>
    <row r="43" spans="2:19">
      <c r="B43" s="629"/>
      <c r="C43" s="629"/>
      <c r="E43" s="459" t="s">
        <v>229</v>
      </c>
      <c r="F43" s="460" t="s">
        <v>323</v>
      </c>
      <c r="G43" s="461" t="s">
        <v>323</v>
      </c>
      <c r="H43" s="461">
        <v>0</v>
      </c>
      <c r="I43" s="462">
        <v>0</v>
      </c>
      <c r="J43" s="460" t="s">
        <v>323</v>
      </c>
      <c r="K43" s="461" t="s">
        <v>323</v>
      </c>
      <c r="L43" s="461">
        <v>0</v>
      </c>
      <c r="M43" s="463">
        <v>0</v>
      </c>
      <c r="N43" s="464" t="s">
        <v>323</v>
      </c>
      <c r="O43" s="461" t="s">
        <v>323</v>
      </c>
      <c r="P43" s="461">
        <v>0</v>
      </c>
      <c r="Q43" s="463">
        <v>0</v>
      </c>
      <c r="R43" s="465">
        <v>2014</v>
      </c>
      <c r="S43" s="466">
        <v>2050</v>
      </c>
    </row>
    <row r="44" spans="2:19">
      <c r="B44" s="629"/>
      <c r="C44" s="629"/>
      <c r="E44" s="459" t="s">
        <v>232</v>
      </c>
      <c r="F44" s="460" t="s">
        <v>323</v>
      </c>
      <c r="G44" s="461" t="s">
        <v>323</v>
      </c>
      <c r="H44" s="461">
        <v>0</v>
      </c>
      <c r="I44" s="462">
        <v>0</v>
      </c>
      <c r="J44" s="460" t="s">
        <v>323</v>
      </c>
      <c r="K44" s="461" t="s">
        <v>323</v>
      </c>
      <c r="L44" s="461">
        <v>0</v>
      </c>
      <c r="M44" s="463">
        <v>0</v>
      </c>
      <c r="N44" s="464" t="s">
        <v>323</v>
      </c>
      <c r="O44" s="461" t="s">
        <v>323</v>
      </c>
      <c r="P44" s="461">
        <v>0</v>
      </c>
      <c r="Q44" s="463">
        <v>0</v>
      </c>
      <c r="R44" s="465">
        <v>2014</v>
      </c>
      <c r="S44" s="466">
        <v>2050</v>
      </c>
    </row>
    <row r="45" spans="2:19">
      <c r="B45" s="629"/>
      <c r="C45" s="629"/>
      <c r="E45" s="459" t="s">
        <v>233</v>
      </c>
      <c r="F45" s="460" t="s">
        <v>323</v>
      </c>
      <c r="G45" s="461" t="s">
        <v>323</v>
      </c>
      <c r="H45" s="461">
        <v>0</v>
      </c>
      <c r="I45" s="462">
        <v>0</v>
      </c>
      <c r="J45" s="460" t="s">
        <v>323</v>
      </c>
      <c r="K45" s="461" t="s">
        <v>323</v>
      </c>
      <c r="L45" s="461">
        <v>0</v>
      </c>
      <c r="M45" s="463">
        <v>0</v>
      </c>
      <c r="N45" s="464" t="s">
        <v>323</v>
      </c>
      <c r="O45" s="461" t="s">
        <v>323</v>
      </c>
      <c r="P45" s="461">
        <v>0</v>
      </c>
      <c r="Q45" s="463">
        <v>0</v>
      </c>
      <c r="R45" s="465">
        <v>2014</v>
      </c>
      <c r="S45" s="466">
        <v>2050</v>
      </c>
    </row>
    <row r="46" spans="2:19">
      <c r="B46" s="629"/>
      <c r="C46" s="629"/>
      <c r="E46" s="459" t="s">
        <v>234</v>
      </c>
      <c r="F46" s="460" t="s">
        <v>323</v>
      </c>
      <c r="G46" s="461" t="s">
        <v>323</v>
      </c>
      <c r="H46" s="461">
        <v>0</v>
      </c>
      <c r="I46" s="462">
        <v>0</v>
      </c>
      <c r="J46" s="460" t="s">
        <v>323</v>
      </c>
      <c r="K46" s="461" t="s">
        <v>323</v>
      </c>
      <c r="L46" s="461">
        <v>0</v>
      </c>
      <c r="M46" s="463">
        <v>0</v>
      </c>
      <c r="N46" s="464" t="s">
        <v>323</v>
      </c>
      <c r="O46" s="461" t="s">
        <v>323</v>
      </c>
      <c r="P46" s="461">
        <v>0</v>
      </c>
      <c r="Q46" s="463">
        <v>0</v>
      </c>
      <c r="R46" s="465">
        <v>2014</v>
      </c>
      <c r="S46" s="466">
        <v>2050</v>
      </c>
    </row>
    <row r="47" spans="2:19">
      <c r="B47" s="629"/>
      <c r="C47" s="629"/>
      <c r="E47" s="459" t="s">
        <v>235</v>
      </c>
      <c r="F47" s="460" t="s">
        <v>323</v>
      </c>
      <c r="G47" s="461" t="s">
        <v>323</v>
      </c>
      <c r="H47" s="461">
        <v>0</v>
      </c>
      <c r="I47" s="462">
        <v>0</v>
      </c>
      <c r="J47" s="460" t="s">
        <v>323</v>
      </c>
      <c r="K47" s="461" t="s">
        <v>323</v>
      </c>
      <c r="L47" s="461">
        <v>0</v>
      </c>
      <c r="M47" s="463">
        <v>0</v>
      </c>
      <c r="N47" s="464" t="s">
        <v>323</v>
      </c>
      <c r="O47" s="461" t="s">
        <v>323</v>
      </c>
      <c r="P47" s="461">
        <v>0</v>
      </c>
      <c r="Q47" s="463">
        <v>0</v>
      </c>
      <c r="R47" s="465">
        <v>2014</v>
      </c>
      <c r="S47" s="466">
        <v>2050</v>
      </c>
    </row>
    <row r="48" spans="2:19">
      <c r="B48" s="629"/>
      <c r="C48" s="629"/>
      <c r="E48" s="459" t="s">
        <v>236</v>
      </c>
      <c r="F48" s="460" t="s">
        <v>323</v>
      </c>
      <c r="G48" s="461" t="s">
        <v>323</v>
      </c>
      <c r="H48" s="461">
        <v>0</v>
      </c>
      <c r="I48" s="462">
        <v>0</v>
      </c>
      <c r="J48" s="460" t="s">
        <v>323</v>
      </c>
      <c r="K48" s="461" t="s">
        <v>323</v>
      </c>
      <c r="L48" s="461">
        <v>0</v>
      </c>
      <c r="M48" s="463">
        <v>0</v>
      </c>
      <c r="N48" s="464" t="s">
        <v>323</v>
      </c>
      <c r="O48" s="461" t="s">
        <v>323</v>
      </c>
      <c r="P48" s="461">
        <v>0</v>
      </c>
      <c r="Q48" s="463">
        <v>0</v>
      </c>
      <c r="R48" s="465">
        <v>2014</v>
      </c>
      <c r="S48" s="466">
        <v>2050</v>
      </c>
    </row>
    <row r="49" spans="2:19">
      <c r="B49" s="629"/>
      <c r="C49" s="629"/>
      <c r="E49" s="459" t="s">
        <v>237</v>
      </c>
      <c r="F49" s="460" t="s">
        <v>323</v>
      </c>
      <c r="G49" s="461" t="s">
        <v>323</v>
      </c>
      <c r="H49" s="461">
        <v>0</v>
      </c>
      <c r="I49" s="462">
        <v>0</v>
      </c>
      <c r="J49" s="460" t="s">
        <v>323</v>
      </c>
      <c r="K49" s="461" t="s">
        <v>323</v>
      </c>
      <c r="L49" s="461">
        <v>0</v>
      </c>
      <c r="M49" s="463">
        <v>0</v>
      </c>
      <c r="N49" s="464" t="s">
        <v>323</v>
      </c>
      <c r="O49" s="461" t="s">
        <v>323</v>
      </c>
      <c r="P49" s="461">
        <v>0</v>
      </c>
      <c r="Q49" s="463">
        <v>0</v>
      </c>
      <c r="R49" s="465">
        <v>2014</v>
      </c>
      <c r="S49" s="466">
        <v>2050</v>
      </c>
    </row>
    <row r="50" spans="2:19">
      <c r="B50" s="629"/>
      <c r="C50" s="629"/>
      <c r="E50" s="459" t="s">
        <v>238</v>
      </c>
      <c r="F50" s="460" t="s">
        <v>323</v>
      </c>
      <c r="G50" s="461" t="s">
        <v>323</v>
      </c>
      <c r="H50" s="461">
        <v>0</v>
      </c>
      <c r="I50" s="462">
        <v>0</v>
      </c>
      <c r="J50" s="460" t="s">
        <v>323</v>
      </c>
      <c r="K50" s="461" t="s">
        <v>323</v>
      </c>
      <c r="L50" s="461">
        <v>0</v>
      </c>
      <c r="M50" s="463">
        <v>0</v>
      </c>
      <c r="N50" s="464" t="s">
        <v>323</v>
      </c>
      <c r="O50" s="461" t="s">
        <v>323</v>
      </c>
      <c r="P50" s="461">
        <v>0</v>
      </c>
      <c r="Q50" s="463">
        <v>0</v>
      </c>
      <c r="R50" s="465">
        <v>2014</v>
      </c>
      <c r="S50" s="466">
        <v>2050</v>
      </c>
    </row>
    <row r="51" spans="2:19">
      <c r="B51" s="629"/>
      <c r="C51" s="629"/>
      <c r="E51" s="459" t="s">
        <v>239</v>
      </c>
      <c r="F51" s="460" t="s">
        <v>323</v>
      </c>
      <c r="G51" s="461" t="s">
        <v>323</v>
      </c>
      <c r="H51" s="461">
        <v>0</v>
      </c>
      <c r="I51" s="462">
        <v>0</v>
      </c>
      <c r="J51" s="460" t="s">
        <v>323</v>
      </c>
      <c r="K51" s="461" t="s">
        <v>323</v>
      </c>
      <c r="L51" s="461">
        <v>0</v>
      </c>
      <c r="M51" s="463">
        <v>0</v>
      </c>
      <c r="N51" s="464" t="s">
        <v>323</v>
      </c>
      <c r="O51" s="461" t="s">
        <v>323</v>
      </c>
      <c r="P51" s="461">
        <v>0</v>
      </c>
      <c r="Q51" s="463">
        <v>0</v>
      </c>
      <c r="R51" s="465">
        <v>2014</v>
      </c>
      <c r="S51" s="466">
        <v>2050</v>
      </c>
    </row>
    <row r="52" spans="2:19">
      <c r="E52" s="459" t="s">
        <v>240</v>
      </c>
      <c r="F52" s="460" t="s">
        <v>323</v>
      </c>
      <c r="G52" s="461" t="s">
        <v>323</v>
      </c>
      <c r="H52" s="461">
        <v>0</v>
      </c>
      <c r="I52" s="462">
        <v>0</v>
      </c>
      <c r="J52" s="460" t="s">
        <v>323</v>
      </c>
      <c r="K52" s="461" t="s">
        <v>323</v>
      </c>
      <c r="L52" s="461">
        <v>0</v>
      </c>
      <c r="M52" s="463">
        <v>0</v>
      </c>
      <c r="N52" s="464" t="s">
        <v>323</v>
      </c>
      <c r="O52" s="461" t="s">
        <v>323</v>
      </c>
      <c r="P52" s="461">
        <v>0</v>
      </c>
      <c r="Q52" s="463">
        <v>0</v>
      </c>
      <c r="R52" s="465">
        <v>2014</v>
      </c>
      <c r="S52" s="466">
        <v>2050</v>
      </c>
    </row>
    <row r="53" spans="2:19">
      <c r="B53" s="630" t="s">
        <v>324</v>
      </c>
      <c r="C53" s="630"/>
      <c r="E53" s="459" t="s">
        <v>241</v>
      </c>
      <c r="F53" s="460" t="s">
        <v>323</v>
      </c>
      <c r="G53" s="461" t="s">
        <v>323</v>
      </c>
      <c r="H53" s="461">
        <v>0</v>
      </c>
      <c r="I53" s="462">
        <v>0</v>
      </c>
      <c r="J53" s="460" t="s">
        <v>323</v>
      </c>
      <c r="K53" s="461" t="s">
        <v>323</v>
      </c>
      <c r="L53" s="461">
        <v>0</v>
      </c>
      <c r="M53" s="463">
        <v>0</v>
      </c>
      <c r="N53" s="464" t="s">
        <v>323</v>
      </c>
      <c r="O53" s="461" t="s">
        <v>323</v>
      </c>
      <c r="P53" s="461">
        <v>0</v>
      </c>
      <c r="Q53" s="463">
        <v>0</v>
      </c>
      <c r="R53" s="465">
        <v>2014</v>
      </c>
      <c r="S53" s="466">
        <v>2050</v>
      </c>
    </row>
    <row r="54" spans="2:19">
      <c r="B54" s="630"/>
      <c r="C54" s="630"/>
      <c r="E54" s="459" t="s">
        <v>243</v>
      </c>
      <c r="F54" s="460" t="s">
        <v>323</v>
      </c>
      <c r="G54" s="461" t="s">
        <v>323</v>
      </c>
      <c r="H54" s="461">
        <v>0</v>
      </c>
      <c r="I54" s="462">
        <v>0</v>
      </c>
      <c r="J54" s="460" t="s">
        <v>323</v>
      </c>
      <c r="K54" s="461" t="s">
        <v>323</v>
      </c>
      <c r="L54" s="461">
        <v>0</v>
      </c>
      <c r="M54" s="463">
        <v>0</v>
      </c>
      <c r="N54" s="464" t="s">
        <v>323</v>
      </c>
      <c r="O54" s="461" t="s">
        <v>323</v>
      </c>
      <c r="P54" s="461">
        <v>0</v>
      </c>
      <c r="Q54" s="463">
        <v>0</v>
      </c>
      <c r="R54" s="465">
        <v>2014</v>
      </c>
      <c r="S54" s="466">
        <v>2050</v>
      </c>
    </row>
    <row r="55" spans="2:19">
      <c r="B55" s="630"/>
      <c r="C55" s="630"/>
      <c r="E55" s="459" t="s">
        <v>242</v>
      </c>
      <c r="F55" s="460" t="s">
        <v>323</v>
      </c>
      <c r="G55" s="461" t="s">
        <v>323</v>
      </c>
      <c r="H55" s="461">
        <v>0</v>
      </c>
      <c r="I55" s="462">
        <v>0</v>
      </c>
      <c r="J55" s="460" t="s">
        <v>323</v>
      </c>
      <c r="K55" s="461" t="s">
        <v>323</v>
      </c>
      <c r="L55" s="461">
        <v>0</v>
      </c>
      <c r="M55" s="463">
        <v>0</v>
      </c>
      <c r="N55" s="464" t="s">
        <v>323</v>
      </c>
      <c r="O55" s="461" t="s">
        <v>323</v>
      </c>
      <c r="P55" s="461">
        <v>0</v>
      </c>
      <c r="Q55" s="463">
        <v>0</v>
      </c>
      <c r="R55" s="465">
        <v>2014</v>
      </c>
      <c r="S55" s="466">
        <v>2050</v>
      </c>
    </row>
    <row r="56" spans="2:19">
      <c r="E56" s="459" t="s">
        <v>244</v>
      </c>
      <c r="F56" s="460" t="s">
        <v>323</v>
      </c>
      <c r="G56" s="461" t="s">
        <v>323</v>
      </c>
      <c r="H56" s="461">
        <v>0</v>
      </c>
      <c r="I56" s="462">
        <v>0</v>
      </c>
      <c r="J56" s="460" t="s">
        <v>323</v>
      </c>
      <c r="K56" s="461" t="s">
        <v>323</v>
      </c>
      <c r="L56" s="461">
        <v>0</v>
      </c>
      <c r="M56" s="463">
        <v>0</v>
      </c>
      <c r="N56" s="464" t="s">
        <v>323</v>
      </c>
      <c r="O56" s="461" t="s">
        <v>323</v>
      </c>
      <c r="P56" s="461">
        <v>0</v>
      </c>
      <c r="Q56" s="463">
        <v>0</v>
      </c>
      <c r="R56" s="465">
        <v>2014</v>
      </c>
      <c r="S56" s="466">
        <v>2050</v>
      </c>
    </row>
    <row r="57" spans="2:19">
      <c r="B57" s="625" t="s">
        <v>325</v>
      </c>
      <c r="C57" s="625"/>
      <c r="E57" s="459" t="s">
        <v>246</v>
      </c>
      <c r="F57" s="460" t="s">
        <v>323</v>
      </c>
      <c r="G57" s="461" t="s">
        <v>323</v>
      </c>
      <c r="H57" s="461">
        <v>0</v>
      </c>
      <c r="I57" s="462">
        <v>0</v>
      </c>
      <c r="J57" s="460" t="s">
        <v>323</v>
      </c>
      <c r="K57" s="461" t="s">
        <v>323</v>
      </c>
      <c r="L57" s="461">
        <v>0</v>
      </c>
      <c r="M57" s="463">
        <v>0</v>
      </c>
      <c r="N57" s="464" t="s">
        <v>323</v>
      </c>
      <c r="O57" s="461" t="s">
        <v>323</v>
      </c>
      <c r="P57" s="461">
        <v>0</v>
      </c>
      <c r="Q57" s="463">
        <v>0</v>
      </c>
      <c r="R57" s="465">
        <v>2014</v>
      </c>
      <c r="S57" s="466">
        <v>2050</v>
      </c>
    </row>
    <row r="58" spans="2:19">
      <c r="B58" s="625"/>
      <c r="C58" s="625"/>
      <c r="E58" s="459" t="s">
        <v>245</v>
      </c>
      <c r="F58" s="460" t="s">
        <v>323</v>
      </c>
      <c r="G58" s="461" t="s">
        <v>323</v>
      </c>
      <c r="H58" s="461">
        <v>0</v>
      </c>
      <c r="I58" s="462">
        <v>0</v>
      </c>
      <c r="J58" s="460" t="s">
        <v>323</v>
      </c>
      <c r="K58" s="461" t="s">
        <v>323</v>
      </c>
      <c r="L58" s="461">
        <v>0</v>
      </c>
      <c r="M58" s="463">
        <v>0</v>
      </c>
      <c r="N58" s="464" t="s">
        <v>323</v>
      </c>
      <c r="O58" s="461" t="s">
        <v>323</v>
      </c>
      <c r="P58" s="461">
        <v>0</v>
      </c>
      <c r="Q58" s="463">
        <v>0</v>
      </c>
      <c r="R58" s="465">
        <v>2014</v>
      </c>
      <c r="S58" s="466">
        <v>2050</v>
      </c>
    </row>
    <row r="59" spans="2:19" ht="13" thickBot="1">
      <c r="B59" s="625"/>
      <c r="C59" s="625"/>
      <c r="E59" s="469" t="s">
        <v>247</v>
      </c>
      <c r="F59" s="470" t="s">
        <v>323</v>
      </c>
      <c r="G59" s="471" t="s">
        <v>323</v>
      </c>
      <c r="H59" s="471">
        <v>0</v>
      </c>
      <c r="I59" s="472">
        <v>0</v>
      </c>
      <c r="J59" s="470" t="s">
        <v>323</v>
      </c>
      <c r="K59" s="471" t="s">
        <v>323</v>
      </c>
      <c r="L59" s="471">
        <v>0</v>
      </c>
      <c r="M59" s="473">
        <v>0</v>
      </c>
      <c r="N59" s="474" t="s">
        <v>323</v>
      </c>
      <c r="O59" s="471" t="s">
        <v>323</v>
      </c>
      <c r="P59" s="471">
        <v>0</v>
      </c>
      <c r="Q59" s="473">
        <v>0</v>
      </c>
      <c r="R59" s="475">
        <v>2014</v>
      </c>
      <c r="S59" s="476">
        <v>2050</v>
      </c>
    </row>
    <row r="60" spans="2:19">
      <c r="B60" s="625"/>
      <c r="C60" s="625"/>
      <c r="M60" s="440"/>
    </row>
    <row r="125" spans="2:2">
      <c r="B125" s="477" t="s">
        <v>326</v>
      </c>
    </row>
    <row r="126" spans="2:2">
      <c r="B126" s="477" t="s">
        <v>314</v>
      </c>
    </row>
    <row r="127" spans="2:2">
      <c r="B127" s="477" t="s">
        <v>327</v>
      </c>
    </row>
    <row r="128" spans="2:2">
      <c r="B128" s="477" t="s">
        <v>328</v>
      </c>
    </row>
    <row r="129" spans="2:2">
      <c r="B129" s="477" t="s">
        <v>329</v>
      </c>
    </row>
    <row r="132" spans="2:2">
      <c r="B132" s="478">
        <v>2014</v>
      </c>
    </row>
    <row r="133" spans="2:2">
      <c r="B133" s="478">
        <v>2016</v>
      </c>
    </row>
    <row r="134" spans="2:2">
      <c r="B134" s="478">
        <v>2018</v>
      </c>
    </row>
    <row r="135" spans="2:2">
      <c r="B135" s="478">
        <v>2020</v>
      </c>
    </row>
    <row r="136" spans="2:2">
      <c r="B136" s="478">
        <v>2022</v>
      </c>
    </row>
    <row r="137" spans="2:2">
      <c r="B137" s="478">
        <v>2024</v>
      </c>
    </row>
    <row r="138" spans="2:2">
      <c r="B138" s="478">
        <v>2026</v>
      </c>
    </row>
    <row r="139" spans="2:2">
      <c r="B139" s="478">
        <v>2028</v>
      </c>
    </row>
    <row r="140" spans="2:2">
      <c r="B140" s="478">
        <v>2030</v>
      </c>
    </row>
    <row r="141" spans="2:2">
      <c r="B141" s="478">
        <v>2032</v>
      </c>
    </row>
    <row r="142" spans="2:2">
      <c r="B142" s="478">
        <v>2034</v>
      </c>
    </row>
    <row r="143" spans="2:2">
      <c r="B143" s="478">
        <v>2036</v>
      </c>
    </row>
    <row r="144" spans="2:2">
      <c r="B144" s="478">
        <v>2038</v>
      </c>
    </row>
    <row r="145" spans="2:2">
      <c r="B145" s="478">
        <v>2040</v>
      </c>
    </row>
    <row r="146" spans="2:2">
      <c r="B146" s="478">
        <v>2042</v>
      </c>
    </row>
    <row r="147" spans="2:2">
      <c r="B147" s="478">
        <v>2044</v>
      </c>
    </row>
    <row r="148" spans="2:2">
      <c r="B148" s="478">
        <v>2046</v>
      </c>
    </row>
    <row r="149" spans="2:2">
      <c r="B149" s="478">
        <v>2048</v>
      </c>
    </row>
    <row r="150" spans="2:2">
      <c r="B150" s="478">
        <v>2050</v>
      </c>
    </row>
    <row r="153" spans="2:2">
      <c r="B153" s="479" t="b">
        <v>1</v>
      </c>
    </row>
    <row r="154" spans="2:2">
      <c r="B154" s="479" t="b">
        <v>0</v>
      </c>
    </row>
    <row r="166" spans="1:4">
      <c r="A166" s="478"/>
      <c r="B166" s="478" t="s">
        <v>330</v>
      </c>
      <c r="C166" s="478" t="s">
        <v>331</v>
      </c>
      <c r="D166" s="478" t="s">
        <v>332</v>
      </c>
    </row>
    <row r="167" spans="1:4">
      <c r="A167" s="478" t="s">
        <v>199</v>
      </c>
      <c r="B167" s="478">
        <v>25</v>
      </c>
      <c r="C167" s="478">
        <v>25</v>
      </c>
      <c r="D167" s="478">
        <v>25</v>
      </c>
    </row>
    <row r="168" spans="1:4">
      <c r="A168" s="478" t="s">
        <v>198</v>
      </c>
      <c r="B168" s="478">
        <v>0</v>
      </c>
      <c r="C168" s="478">
        <v>0</v>
      </c>
      <c r="D168" s="478">
        <v>0</v>
      </c>
    </row>
    <row r="169" spans="1:4">
      <c r="A169" s="478" t="s">
        <v>201</v>
      </c>
      <c r="B169" s="478">
        <v>25</v>
      </c>
      <c r="C169" s="478">
        <v>300</v>
      </c>
      <c r="D169" s="478">
        <v>300</v>
      </c>
    </row>
    <row r="170" spans="1:4">
      <c r="A170" s="478" t="s">
        <v>200</v>
      </c>
      <c r="B170" s="478" t="s">
        <v>323</v>
      </c>
      <c r="C170" s="478" t="s">
        <v>323</v>
      </c>
      <c r="D170" s="478" t="s">
        <v>323</v>
      </c>
    </row>
    <row r="171" spans="1:4">
      <c r="A171" s="478" t="s">
        <v>202</v>
      </c>
      <c r="B171" s="478">
        <v>1000</v>
      </c>
      <c r="C171" s="478">
        <v>1000</v>
      </c>
      <c r="D171" s="478">
        <v>1000</v>
      </c>
    </row>
    <row r="172" spans="1:4">
      <c r="A172" s="478" t="s">
        <v>203</v>
      </c>
      <c r="B172" s="478" t="s">
        <v>323</v>
      </c>
      <c r="C172" s="478" t="s">
        <v>323</v>
      </c>
      <c r="D172" s="478" t="s">
        <v>323</v>
      </c>
    </row>
    <row r="173" spans="1:4">
      <c r="A173" s="478" t="s">
        <v>204</v>
      </c>
      <c r="B173" s="478">
        <v>2000</v>
      </c>
      <c r="C173" s="478">
        <v>2000</v>
      </c>
      <c r="D173" s="478">
        <v>2000</v>
      </c>
    </row>
    <row r="174" spans="1:4">
      <c r="A174" s="478" t="s">
        <v>11</v>
      </c>
      <c r="B174" s="478">
        <v>1000</v>
      </c>
      <c r="C174" s="478">
        <v>1000</v>
      </c>
      <c r="D174" s="478">
        <v>0</v>
      </c>
    </row>
    <row r="175" spans="1:4">
      <c r="A175" s="478" t="s">
        <v>205</v>
      </c>
      <c r="B175" s="478">
        <v>25</v>
      </c>
      <c r="C175" s="478">
        <v>2000</v>
      </c>
      <c r="D175" s="478">
        <v>2000</v>
      </c>
    </row>
    <row r="176" spans="1:4">
      <c r="A176" s="478" t="s">
        <v>206</v>
      </c>
      <c r="B176" s="478">
        <v>2000</v>
      </c>
      <c r="C176" s="478">
        <v>2000</v>
      </c>
      <c r="D176" s="478">
        <v>2000</v>
      </c>
    </row>
    <row r="177" spans="1:4">
      <c r="A177" s="478" t="s">
        <v>207</v>
      </c>
      <c r="B177" s="478">
        <v>10</v>
      </c>
      <c r="C177" s="478">
        <v>100</v>
      </c>
      <c r="D177" s="478">
        <v>100</v>
      </c>
    </row>
    <row r="178" spans="1:4">
      <c r="A178" s="478" t="s">
        <v>208</v>
      </c>
      <c r="B178" s="478">
        <v>100</v>
      </c>
      <c r="C178" s="478">
        <v>100</v>
      </c>
      <c r="D178" s="478">
        <v>100</v>
      </c>
    </row>
    <row r="179" spans="1:4">
      <c r="A179" s="478" t="s">
        <v>212</v>
      </c>
      <c r="B179" s="478">
        <v>500</v>
      </c>
      <c r="C179" s="478">
        <v>500</v>
      </c>
      <c r="D179" s="478">
        <v>500</v>
      </c>
    </row>
    <row r="180" spans="1:4">
      <c r="A180" s="478" t="s">
        <v>209</v>
      </c>
      <c r="B180" s="478">
        <v>0</v>
      </c>
      <c r="C180" s="478">
        <v>0</v>
      </c>
      <c r="D180" s="478">
        <v>0</v>
      </c>
    </row>
    <row r="181" spans="1:4">
      <c r="A181" s="478" t="s">
        <v>210</v>
      </c>
      <c r="B181" s="478">
        <v>40</v>
      </c>
      <c r="C181" s="478">
        <v>40</v>
      </c>
      <c r="D181" s="478">
        <v>40</v>
      </c>
    </row>
    <row r="182" spans="1:4">
      <c r="A182" s="478" t="s">
        <v>211</v>
      </c>
      <c r="B182" s="478">
        <v>1000</v>
      </c>
      <c r="C182" s="478">
        <v>1000</v>
      </c>
      <c r="D182" s="478">
        <v>1000</v>
      </c>
    </row>
    <row r="183" spans="1:4">
      <c r="A183" s="478" t="s">
        <v>213</v>
      </c>
      <c r="B183" s="478">
        <v>25</v>
      </c>
      <c r="C183" s="478">
        <v>200</v>
      </c>
      <c r="D183" s="478">
        <v>200</v>
      </c>
    </row>
    <row r="184" spans="1:4">
      <c r="A184" s="478" t="s">
        <v>214</v>
      </c>
      <c r="B184" s="478">
        <v>30</v>
      </c>
      <c r="C184" s="478">
        <v>30</v>
      </c>
      <c r="D184" s="478">
        <v>30</v>
      </c>
    </row>
    <row r="185" spans="1:4">
      <c r="A185" s="478" t="s">
        <v>215</v>
      </c>
      <c r="B185" s="478">
        <v>25</v>
      </c>
      <c r="C185" s="478">
        <v>300</v>
      </c>
      <c r="D185" s="478">
        <v>0</v>
      </c>
    </row>
    <row r="186" spans="1:4">
      <c r="A186" s="478" t="s">
        <v>218</v>
      </c>
      <c r="B186" s="478">
        <v>2000</v>
      </c>
      <c r="C186" s="478">
        <v>2000</v>
      </c>
      <c r="D186" s="478">
        <v>2000</v>
      </c>
    </row>
    <row r="187" spans="1:4">
      <c r="A187" s="478" t="s">
        <v>217</v>
      </c>
      <c r="B187" s="478">
        <v>2000</v>
      </c>
      <c r="C187" s="478">
        <v>2000</v>
      </c>
      <c r="D187" s="478">
        <v>2000</v>
      </c>
    </row>
    <row r="188" spans="1:4">
      <c r="A188" s="478" t="s">
        <v>216</v>
      </c>
      <c r="B188" s="478">
        <v>660</v>
      </c>
      <c r="C188" s="478">
        <v>660</v>
      </c>
      <c r="D188" s="478">
        <v>660</v>
      </c>
    </row>
    <row r="189" spans="1:4">
      <c r="A189" s="478" t="s">
        <v>219</v>
      </c>
      <c r="B189" s="478">
        <v>150</v>
      </c>
      <c r="C189" s="478">
        <v>150</v>
      </c>
      <c r="D189" s="478">
        <v>150</v>
      </c>
    </row>
    <row r="190" spans="1:4">
      <c r="A190" s="478" t="s">
        <v>220</v>
      </c>
      <c r="B190" s="478">
        <v>1000</v>
      </c>
      <c r="C190" s="478">
        <v>1000</v>
      </c>
      <c r="D190" s="478">
        <v>1000</v>
      </c>
    </row>
    <row r="191" spans="1:4">
      <c r="A191" s="478" t="s">
        <v>222</v>
      </c>
      <c r="B191" s="478">
        <v>100</v>
      </c>
      <c r="C191" s="478">
        <v>100</v>
      </c>
      <c r="D191" s="478">
        <v>100</v>
      </c>
    </row>
    <row r="192" spans="1:4">
      <c r="A192" s="478" t="s">
        <v>221</v>
      </c>
      <c r="B192" s="478">
        <v>0</v>
      </c>
      <c r="C192" s="478">
        <v>0</v>
      </c>
      <c r="D192" s="478">
        <v>0</v>
      </c>
    </row>
    <row r="193" spans="1:4">
      <c r="A193" s="478" t="s">
        <v>223</v>
      </c>
      <c r="B193" s="478">
        <v>50</v>
      </c>
      <c r="C193" s="478">
        <v>50</v>
      </c>
      <c r="D193" s="478">
        <v>50</v>
      </c>
    </row>
    <row r="194" spans="1:4">
      <c r="A194" s="478" t="s">
        <v>230</v>
      </c>
      <c r="B194" s="478">
        <v>1000</v>
      </c>
      <c r="C194" s="478">
        <v>1000</v>
      </c>
      <c r="D194" s="478">
        <v>1000</v>
      </c>
    </row>
    <row r="195" spans="1:4">
      <c r="A195" s="478" t="s">
        <v>231</v>
      </c>
      <c r="B195" s="478">
        <v>100</v>
      </c>
      <c r="C195" s="478">
        <v>100</v>
      </c>
      <c r="D195" s="478">
        <v>100</v>
      </c>
    </row>
    <row r="196" spans="1:4">
      <c r="A196" s="478" t="s">
        <v>224</v>
      </c>
      <c r="B196" s="478">
        <v>25</v>
      </c>
      <c r="C196" s="478">
        <v>25</v>
      </c>
      <c r="D196" s="478">
        <v>25</v>
      </c>
    </row>
    <row r="197" spans="1:4">
      <c r="A197" s="478" t="s">
        <v>226</v>
      </c>
      <c r="B197" s="478">
        <v>100</v>
      </c>
      <c r="C197" s="478">
        <v>100</v>
      </c>
      <c r="D197" s="478">
        <v>100</v>
      </c>
    </row>
    <row r="198" spans="1:4">
      <c r="A198" s="478" t="s">
        <v>227</v>
      </c>
      <c r="B198" s="478" t="s">
        <v>323</v>
      </c>
      <c r="C198" s="478" t="s">
        <v>323</v>
      </c>
      <c r="D198" s="478" t="s">
        <v>323</v>
      </c>
    </row>
    <row r="199" spans="1:4">
      <c r="A199" s="478" t="s">
        <v>228</v>
      </c>
      <c r="B199" s="478">
        <v>80000</v>
      </c>
      <c r="C199" s="478">
        <v>80000</v>
      </c>
      <c r="D199" s="478">
        <v>80000</v>
      </c>
    </row>
    <row r="200" spans="1:4">
      <c r="A200" s="478" t="s">
        <v>225</v>
      </c>
      <c r="B200" s="478">
        <v>1000</v>
      </c>
      <c r="C200" s="478">
        <v>1000</v>
      </c>
      <c r="D200" s="478">
        <v>1000</v>
      </c>
    </row>
    <row r="201" spans="1:4">
      <c r="A201" s="478" t="s">
        <v>229</v>
      </c>
      <c r="B201" s="478">
        <v>25</v>
      </c>
      <c r="C201" s="478">
        <v>2000</v>
      </c>
      <c r="D201" s="478">
        <v>2000</v>
      </c>
    </row>
    <row r="202" spans="1:4">
      <c r="A202" s="478" t="s">
        <v>232</v>
      </c>
      <c r="B202" s="478" t="s">
        <v>323</v>
      </c>
      <c r="C202" s="478" t="s">
        <v>323</v>
      </c>
      <c r="D202" s="478" t="s">
        <v>323</v>
      </c>
    </row>
    <row r="203" spans="1:4">
      <c r="A203" s="478" t="s">
        <v>233</v>
      </c>
      <c r="B203" s="478">
        <v>15</v>
      </c>
      <c r="C203" s="478">
        <v>15</v>
      </c>
      <c r="D203" s="478">
        <v>15</v>
      </c>
    </row>
    <row r="204" spans="1:4">
      <c r="A204" s="478" t="s">
        <v>234</v>
      </c>
      <c r="B204" s="478">
        <v>25</v>
      </c>
      <c r="C204" s="478">
        <v>2000</v>
      </c>
      <c r="D204" s="478">
        <v>2000</v>
      </c>
    </row>
    <row r="205" spans="1:4">
      <c r="A205" s="478" t="s">
        <v>235</v>
      </c>
      <c r="B205" s="478">
        <v>50</v>
      </c>
      <c r="C205" s="478">
        <v>3000</v>
      </c>
      <c r="D205" s="478">
        <v>3000</v>
      </c>
    </row>
    <row r="206" spans="1:4">
      <c r="A206" s="478" t="s">
        <v>236</v>
      </c>
      <c r="B206" s="478">
        <v>5000</v>
      </c>
      <c r="C206" s="478">
        <v>5000</v>
      </c>
      <c r="D206" s="478">
        <v>5000</v>
      </c>
    </row>
    <row r="207" spans="1:4">
      <c r="A207" s="478" t="s">
        <v>237</v>
      </c>
      <c r="B207" s="478">
        <v>20</v>
      </c>
      <c r="C207" s="478">
        <v>100</v>
      </c>
      <c r="D207" s="478">
        <v>100</v>
      </c>
    </row>
    <row r="208" spans="1:4">
      <c r="A208" s="478" t="s">
        <v>238</v>
      </c>
      <c r="B208" s="478">
        <v>0</v>
      </c>
      <c r="C208" s="478">
        <v>0</v>
      </c>
      <c r="D208" s="478">
        <v>0</v>
      </c>
    </row>
    <row r="209" spans="1:4">
      <c r="A209" s="478" t="s">
        <v>239</v>
      </c>
      <c r="B209" s="478">
        <v>0</v>
      </c>
      <c r="C209" s="478">
        <v>0</v>
      </c>
      <c r="D209" s="478">
        <v>0</v>
      </c>
    </row>
    <row r="210" spans="1:4">
      <c r="A210" s="478" t="s">
        <v>240</v>
      </c>
      <c r="B210" s="478">
        <v>0</v>
      </c>
      <c r="C210" s="478">
        <v>0</v>
      </c>
      <c r="D210" s="478">
        <v>0</v>
      </c>
    </row>
    <row r="211" spans="1:4">
      <c r="A211" s="478" t="s">
        <v>241</v>
      </c>
      <c r="B211" s="478">
        <v>25</v>
      </c>
      <c r="C211" s="478">
        <v>2000</v>
      </c>
      <c r="D211" s="478">
        <v>2000</v>
      </c>
    </row>
    <row r="212" spans="1:4">
      <c r="A212" s="478" t="s">
        <v>243</v>
      </c>
      <c r="B212" s="478">
        <v>10</v>
      </c>
      <c r="C212" s="478">
        <v>500</v>
      </c>
      <c r="D212" s="478">
        <v>500</v>
      </c>
    </row>
    <row r="213" spans="1:4">
      <c r="A213" s="478" t="s">
        <v>242</v>
      </c>
      <c r="B213" s="478">
        <v>500</v>
      </c>
      <c r="C213" s="478">
        <v>500</v>
      </c>
      <c r="D213" s="478">
        <v>500</v>
      </c>
    </row>
    <row r="214" spans="1:4">
      <c r="A214" s="478" t="s">
        <v>244</v>
      </c>
      <c r="B214" s="478">
        <v>100</v>
      </c>
      <c r="C214" s="478">
        <v>100</v>
      </c>
      <c r="D214" s="478">
        <v>100</v>
      </c>
    </row>
    <row r="215" spans="1:4">
      <c r="A215" s="478" t="s">
        <v>246</v>
      </c>
      <c r="B215" s="478">
        <v>100</v>
      </c>
      <c r="C215" s="478">
        <v>100</v>
      </c>
      <c r="D215" s="478">
        <v>100</v>
      </c>
    </row>
    <row r="216" spans="1:4">
      <c r="A216" s="478" t="s">
        <v>245</v>
      </c>
      <c r="B216" s="478">
        <v>25</v>
      </c>
      <c r="C216" s="478">
        <v>500</v>
      </c>
      <c r="D216" s="478">
        <v>2000</v>
      </c>
    </row>
    <row r="217" spans="1:4">
      <c r="A217" s="478" t="s">
        <v>247</v>
      </c>
      <c r="B217" s="478">
        <v>25</v>
      </c>
      <c r="C217" s="478">
        <v>25</v>
      </c>
      <c r="D217" s="478">
        <v>25</v>
      </c>
    </row>
    <row r="218" spans="1:4">
      <c r="B218" s="48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2015-03-23T16:37:43Z</dcterms:modified>
</cp:coreProperties>
</file>