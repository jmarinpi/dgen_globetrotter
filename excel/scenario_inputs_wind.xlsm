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38400" windowHeight="13176" tabRatio="782"/>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<sst xmlns="http://schemas.openxmlformats.org/spreadsheetml/2006/main" count="1174" uniqueCount="360">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</sst>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9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11" fillId="22" borderId="48" xfId="3" applyFont="1" applyFill="1" applyBorder="1" applyAlignment="1">
      <alignment horizontal="center"/>
    </xf>
    <xf numFmtId="0" fontId="31" fillId="22" borderId="81" xfId="0" applyFont="1" applyFill="1" applyBorder="1" applyAlignment="1">
      <alignment horizontal="left"/>
    </xf>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22945920"/>
        <c:axId val="122947840"/>
      </c:scatterChart>
      <c:valAx>
        <c:axId val="122945920"/>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22947840"/>
        <c:crosses val="autoZero"/>
        <c:crossBetween val="midCat"/>
      </c:valAx>
      <c:valAx>
        <c:axId val="122947840"/>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22945920"/>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53219072"/>
        <c:axId val="159572352"/>
      </c:scatterChart>
      <c:valAx>
        <c:axId val="15321907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9572352"/>
        <c:crosses val="autoZero"/>
        <c:crossBetween val="midCat"/>
      </c:valAx>
      <c:valAx>
        <c:axId val="15957235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321907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5730560"/>
        <c:axId val="55732096"/>
      </c:scatterChart>
      <c:valAx>
        <c:axId val="5573056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5732096"/>
        <c:crosses val="autoZero"/>
        <c:crossBetween val="midCat"/>
      </c:valAx>
      <c:valAx>
        <c:axId val="557320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57305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1501140</xdr:colOff>
          <xdr:row>6</xdr:row>
          <xdr:rowOff>53340</xdr:rowOff>
        </xdr:from>
        <xdr:to>
          <xdr:col>9</xdr:col>
          <xdr:colOff>60960</xdr:colOff>
          <xdr:row>7</xdr:row>
          <xdr:rowOff>99060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workbookViewId="0">
      <selection activeCell="C7" sqref="C7"/>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12" t="s">
        <v>101</v>
      </c>
      <c r="D12" s="242">
        <v>2050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12" t="s">
        <v>153</v>
      </c>
      <c r="D13" s="287"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89" t="s">
        <v>62</v>
      </c>
      <c r="D25" s="588"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8" thickBot="1" x14ac:dyDescent="0.4">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5">
      <c r="A1243" s="1"/>
      <c r="C1243" s="1"/>
      <c r="D1243" s="1"/>
      <c r="E1243" s="1"/>
      <c r="G1243" s="33"/>
      <c r="H1243" s="33"/>
    </row>
    <row r="1244" spans="1:50" x14ac:dyDescent="0.35">
      <c r="A1244" s="1"/>
      <c r="E1244" s="1"/>
      <c r="G1244" s="33"/>
      <c r="H1244" s="33"/>
    </row>
    <row r="1245" spans="1:50" x14ac:dyDescent="0.35">
      <c r="A1245" s="1"/>
      <c r="E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defaultColWidth="9.109375" defaultRowHeight="15" x14ac:dyDescent="0.35"/>
  <cols>
    <col min="1" max="1" width="4.77734375" style="91" customWidth="1"/>
    <col min="2" max="2" width="23.44140625" style="91" customWidth="1"/>
    <col min="3" max="3" width="33.109375" style="91" customWidth="1"/>
    <col min="4" max="4" width="9.109375" style="91" bestFit="1" customWidth="1"/>
    <col min="5"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6.44140625" style="9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4"/>
      <c r="C4" s="408"/>
      <c r="D4" s="409"/>
      <c r="E4" s="409"/>
      <c r="F4" s="410"/>
      <c r="G4" s="411" t="s">
        <v>296</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4">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5">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5">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x14ac:dyDescent="0.4">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4">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x14ac:dyDescent="0.35">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x14ac:dyDescent="0.4">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6" thickBot="1" x14ac:dyDescent="0.4">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6.2" x14ac:dyDescent="0.3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2" x14ac:dyDescent="0.3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21" x14ac:dyDescent="0.4">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1" x14ac:dyDescent="0.4">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6" thickBot="1" x14ac:dyDescent="0.4">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6" thickBot="1" x14ac:dyDescent="0.4">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6.2" x14ac:dyDescent="0.3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2" x14ac:dyDescent="0.3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21" x14ac:dyDescent="0.4">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1" x14ac:dyDescent="0.4">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6.2" x14ac:dyDescent="0.3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6" thickBot="1" x14ac:dyDescent="0.4">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6" thickBot="1" x14ac:dyDescent="0.4">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6.2" x14ac:dyDescent="0.3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2" x14ac:dyDescent="0.3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21" x14ac:dyDescent="0.4">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1" x14ac:dyDescent="0.4">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6.2" x14ac:dyDescent="0.3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6" thickBot="1" x14ac:dyDescent="0.4">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6" thickBot="1" x14ac:dyDescent="0.4">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6.2" x14ac:dyDescent="0.3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2" x14ac:dyDescent="0.3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21" x14ac:dyDescent="0.4">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1" x14ac:dyDescent="0.4">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6.2" x14ac:dyDescent="0.3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6" thickBot="1" x14ac:dyDescent="0.4">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6" thickBot="1" x14ac:dyDescent="0.4">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5">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6" t="s">
        <v>285</v>
      </c>
      <c r="Y46" s="556"/>
      <c r="Z46" s="556"/>
      <c r="AA46" s="556"/>
      <c r="AB46" s="556"/>
      <c r="AC46" s="556"/>
      <c r="AD46" s="556"/>
      <c r="AE46" s="556"/>
      <c r="AF46" s="556"/>
      <c r="AG46" s="556"/>
      <c r="AH46" s="556"/>
      <c r="AI46" s="556"/>
      <c r="AJ46" s="556"/>
      <c r="AK46" s="556"/>
      <c r="AL46" s="556"/>
      <c r="AM46" s="556"/>
      <c r="AN46" s="556"/>
      <c r="AO46" s="556"/>
      <c r="AP46" s="556"/>
      <c r="AQ46" s="556"/>
      <c r="AR46" s="556"/>
      <c r="AS46" s="89"/>
      <c r="AT46" s="93"/>
      <c r="AU46" s="94"/>
      <c r="AV46" s="95"/>
      <c r="AW46" s="94"/>
      <c r="AX46" s="96"/>
      <c r="AY46" s="94"/>
      <c r="AZ46" s="95"/>
      <c r="BA46" s="96"/>
      <c r="BB46" s="93"/>
      <c r="BC46" s="89"/>
      <c r="BD46" s="89"/>
      <c r="BE46" s="89"/>
      <c r="BF46" s="89"/>
      <c r="BG46" s="89"/>
      <c r="BH46" s="89"/>
      <c r="BI46" s="89"/>
      <c r="BJ46" s="89"/>
    </row>
    <row r="47" spans="1:62" ht="16.2" x14ac:dyDescent="0.3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56"/>
      <c r="Y47" s="556"/>
      <c r="Z47" s="556"/>
      <c r="AA47" s="556"/>
      <c r="AB47" s="556"/>
      <c r="AC47" s="556"/>
      <c r="AD47" s="556"/>
      <c r="AE47" s="556"/>
      <c r="AF47" s="556"/>
      <c r="AG47" s="556"/>
      <c r="AH47" s="556"/>
      <c r="AI47" s="556"/>
      <c r="AJ47" s="556"/>
      <c r="AK47" s="556"/>
      <c r="AL47" s="556"/>
      <c r="AM47" s="556"/>
      <c r="AN47" s="556"/>
      <c r="AO47" s="556"/>
      <c r="AP47" s="556"/>
      <c r="AQ47" s="556"/>
      <c r="AR47" s="556"/>
      <c r="AS47" s="89"/>
      <c r="AT47" s="93"/>
      <c r="AU47" s="94"/>
      <c r="AV47" s="95"/>
      <c r="AW47" s="94"/>
      <c r="AX47" s="96"/>
      <c r="AY47" s="94"/>
      <c r="AZ47" s="95"/>
      <c r="BA47" s="96"/>
      <c r="BB47" s="93"/>
      <c r="BC47" s="89"/>
      <c r="BD47" s="89"/>
      <c r="BE47" s="89"/>
      <c r="BF47" s="89"/>
      <c r="BG47" s="89"/>
      <c r="BH47" s="89"/>
      <c r="BI47" s="89"/>
      <c r="BJ47" s="89"/>
    </row>
    <row r="48" spans="1:62" ht="21" x14ac:dyDescent="0.4">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6"/>
      <c r="Y48" s="556"/>
      <c r="Z48" s="556"/>
      <c r="AA48" s="556"/>
      <c r="AB48" s="556"/>
      <c r="AC48" s="556"/>
      <c r="AD48" s="556"/>
      <c r="AE48" s="556"/>
      <c r="AF48" s="556"/>
      <c r="AG48" s="556"/>
      <c r="AH48" s="556"/>
      <c r="AI48" s="556"/>
      <c r="AJ48" s="556"/>
      <c r="AK48" s="556"/>
      <c r="AL48" s="556"/>
      <c r="AM48" s="556"/>
      <c r="AN48" s="556"/>
      <c r="AO48" s="556"/>
      <c r="AP48" s="556"/>
      <c r="AQ48" s="556"/>
      <c r="AR48" s="556"/>
      <c r="AS48" s="89"/>
      <c r="AT48" s="93"/>
      <c r="AU48" s="94"/>
      <c r="AV48" s="95"/>
      <c r="AW48" s="94"/>
      <c r="AX48" s="96"/>
      <c r="AY48" s="94"/>
      <c r="AZ48" s="97"/>
      <c r="BA48" s="96"/>
      <c r="BB48" s="93"/>
      <c r="BC48" s="89"/>
      <c r="BD48" s="89"/>
      <c r="BE48" s="89"/>
      <c r="BF48" s="89"/>
      <c r="BG48" s="89"/>
      <c r="BH48" s="89"/>
      <c r="BI48" s="89"/>
      <c r="BJ48" s="89"/>
    </row>
    <row r="49" spans="1:62" ht="21" x14ac:dyDescent="0.4">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56"/>
      <c r="Y49" s="556"/>
      <c r="Z49" s="556"/>
      <c r="AA49" s="556"/>
      <c r="AB49" s="556"/>
      <c r="AC49" s="556"/>
      <c r="AD49" s="556"/>
      <c r="AE49" s="556"/>
      <c r="AF49" s="556"/>
      <c r="AG49" s="556"/>
      <c r="AH49" s="556"/>
      <c r="AI49" s="556"/>
      <c r="AJ49" s="556"/>
      <c r="AK49" s="556"/>
      <c r="AL49" s="556"/>
      <c r="AM49" s="556"/>
      <c r="AN49" s="556"/>
      <c r="AO49" s="556"/>
      <c r="AP49" s="556"/>
      <c r="AQ49" s="556"/>
      <c r="AR49" s="556"/>
      <c r="AS49" s="89"/>
      <c r="AT49" s="93"/>
      <c r="AU49" s="94"/>
      <c r="AV49" s="95"/>
      <c r="AW49" s="94"/>
      <c r="AX49" s="96"/>
      <c r="AY49" s="94"/>
      <c r="AZ49" s="97"/>
      <c r="BA49" s="96"/>
      <c r="BB49" s="93"/>
      <c r="BC49" s="89"/>
      <c r="BD49" s="89"/>
      <c r="BE49" s="89"/>
      <c r="BF49" s="89"/>
      <c r="BG49" s="89"/>
      <c r="BH49" s="89"/>
      <c r="BI49" s="89"/>
      <c r="BJ49" s="89"/>
    </row>
    <row r="50" spans="1:62" ht="16.2" x14ac:dyDescent="0.3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56"/>
      <c r="Y50" s="556"/>
      <c r="Z50" s="556"/>
      <c r="AA50" s="556"/>
      <c r="AB50" s="556"/>
      <c r="AC50" s="556"/>
      <c r="AD50" s="556"/>
      <c r="AE50" s="556"/>
      <c r="AF50" s="556"/>
      <c r="AG50" s="556"/>
      <c r="AH50" s="556"/>
      <c r="AI50" s="556"/>
      <c r="AJ50" s="556"/>
      <c r="AK50" s="556"/>
      <c r="AL50" s="556"/>
      <c r="AM50" s="556"/>
      <c r="AN50" s="556"/>
      <c r="AO50" s="556"/>
      <c r="AP50" s="556"/>
      <c r="AQ50" s="556"/>
      <c r="AR50" s="556"/>
      <c r="AS50" s="89"/>
      <c r="AT50" s="93"/>
      <c r="AU50" s="94"/>
      <c r="AV50" s="95"/>
      <c r="AW50" s="94"/>
      <c r="AX50" s="96"/>
      <c r="AY50" s="94"/>
      <c r="AZ50" s="95"/>
      <c r="BA50" s="96"/>
      <c r="BB50" s="93"/>
      <c r="BC50" s="89"/>
      <c r="BD50" s="89"/>
      <c r="BE50" s="89"/>
      <c r="BF50" s="89"/>
      <c r="BG50" s="89"/>
      <c r="BH50" s="89"/>
      <c r="BI50" s="89"/>
      <c r="BJ50" s="89"/>
    </row>
    <row r="51" spans="1:62" ht="15.6" thickBot="1" x14ac:dyDescent="0.4">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56"/>
      <c r="Y51" s="556"/>
      <c r="Z51" s="556"/>
      <c r="AA51" s="556"/>
      <c r="AB51" s="556"/>
      <c r="AC51" s="556"/>
      <c r="AD51" s="556"/>
      <c r="AE51" s="556"/>
      <c r="AF51" s="556"/>
      <c r="AG51" s="556"/>
      <c r="AH51" s="556"/>
      <c r="AI51" s="556"/>
      <c r="AJ51" s="556"/>
      <c r="AK51" s="556"/>
      <c r="AL51" s="556"/>
      <c r="AM51" s="556"/>
      <c r="AN51" s="556"/>
      <c r="AO51" s="556"/>
      <c r="AP51" s="556"/>
      <c r="AQ51" s="556"/>
      <c r="AR51" s="556"/>
      <c r="AS51" s="89"/>
      <c r="AT51" s="93"/>
      <c r="AU51" s="94"/>
      <c r="AV51" s="95"/>
      <c r="AW51" s="94"/>
      <c r="AX51" s="96"/>
      <c r="AY51" s="94"/>
      <c r="AZ51" s="95"/>
      <c r="BA51" s="96"/>
      <c r="BB51" s="93"/>
      <c r="BC51" s="89"/>
      <c r="BD51" s="89"/>
      <c r="BE51" s="89"/>
      <c r="BF51" s="89"/>
      <c r="BG51" s="89"/>
      <c r="BH51" s="89"/>
      <c r="BI51" s="89"/>
      <c r="BJ51" s="89"/>
    </row>
    <row r="52" spans="1:62" x14ac:dyDescent="0.3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1501140</xdr:colOff>
                    <xdr:row>6</xdr:row>
                    <xdr:rowOff>53340</xdr:rowOff>
                  </from>
                  <to>
                    <xdr:col>9</xdr:col>
                    <xdr:colOff>60960</xdr:colOff>
                    <xdr:row>7</xdr:row>
                    <xdr:rowOff>99060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zoomScalePageLayoutView="145" workbookViewId="0">
      <selection activeCell="F67" sqref="F6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3" width="5.44140625" style="91" customWidth="1"/>
    <col min="34" max="44" width="9.44140625" style="91" bestFit="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5">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4">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4">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5">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4">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4">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4">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5">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2" x14ac:dyDescent="0.3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2" x14ac:dyDescent="0.3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2" x14ac:dyDescent="0.3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2" x14ac:dyDescent="0.3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2" x14ac:dyDescent="0.3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8" thickBot="1" x14ac:dyDescent="0.4">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5">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 x14ac:dyDescent="0.35">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8" thickBot="1" x14ac:dyDescent="0.4">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5">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5">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4">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4">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3.6" thickBot="1" x14ac:dyDescent="0.4">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6" thickTop="1" x14ac:dyDescent="0.35">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5">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5">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5">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5">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5">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5">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5">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5">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5">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6" thickBot="1" x14ac:dyDescent="0.4">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4">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6" thickBot="1" x14ac:dyDescent="0.4">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399999999999999" thickTop="1" thickBot="1" x14ac:dyDescent="0.4">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8" thickTop="1" x14ac:dyDescent="0.35">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2" x14ac:dyDescent="0.3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2" x14ac:dyDescent="0.3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2" x14ac:dyDescent="0.3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2" x14ac:dyDescent="0.3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2" x14ac:dyDescent="0.3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2" x14ac:dyDescent="0.3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2" x14ac:dyDescent="0.3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2" x14ac:dyDescent="0.3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8" thickBot="1" x14ac:dyDescent="0.4">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20.399999999999999" x14ac:dyDescent="0.35">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6" thickBot="1" x14ac:dyDescent="0.4">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3.95" customHeight="1" x14ac:dyDescent="0.35">
      <c r="A62" s="88"/>
      <c r="B62" s="202"/>
      <c r="C62" s="557" t="s">
        <v>354</v>
      </c>
      <c r="D62" s="558"/>
      <c r="E62" s="558" t="s">
        <v>355</v>
      </c>
      <c r="F62" s="559"/>
      <c r="G62" s="530"/>
      <c r="H62" s="560" t="s">
        <v>353</v>
      </c>
      <c r="I62" s="560"/>
      <c r="J62" s="560"/>
      <c r="K62" s="560"/>
      <c r="L62" s="560"/>
      <c r="M62" s="560"/>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x14ac:dyDescent="0.4">
      <c r="A63" s="88"/>
      <c r="B63" s="88"/>
      <c r="C63" s="542" t="s">
        <v>356</v>
      </c>
      <c r="D63" s="543" t="s">
        <v>357</v>
      </c>
      <c r="E63" s="542" t="s">
        <v>356</v>
      </c>
      <c r="F63" s="544" t="s">
        <v>357</v>
      </c>
      <c r="G63" s="202"/>
      <c r="H63" s="560"/>
      <c r="I63" s="560"/>
      <c r="J63" s="560"/>
      <c r="K63" s="560"/>
      <c r="L63" s="560"/>
      <c r="M63" s="560"/>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6.2" x14ac:dyDescent="0.35">
      <c r="A64" s="88"/>
      <c r="B64" s="537" t="s">
        <v>125</v>
      </c>
      <c r="C64" s="539">
        <v>0.85</v>
      </c>
      <c r="D64" s="540">
        <v>1.1499999999999999</v>
      </c>
      <c r="E64" s="540">
        <v>0.5</v>
      </c>
      <c r="F64" s="541">
        <v>1</v>
      </c>
      <c r="G64" s="202"/>
      <c r="H64" s="560"/>
      <c r="I64" s="560"/>
      <c r="J64" s="560"/>
      <c r="K64" s="560"/>
      <c r="L64" s="560"/>
      <c r="M64" s="560"/>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6.2" x14ac:dyDescent="0.35">
      <c r="A65" s="88"/>
      <c r="B65" s="427" t="s">
        <v>126</v>
      </c>
      <c r="C65" s="531">
        <v>0.25</v>
      </c>
      <c r="D65" s="532">
        <v>1.1499999999999999</v>
      </c>
      <c r="E65" s="532">
        <v>0.1</v>
      </c>
      <c r="F65" s="533">
        <v>1</v>
      </c>
      <c r="G65" s="202"/>
      <c r="H65" s="560"/>
      <c r="I65" s="560"/>
      <c r="J65" s="560"/>
      <c r="K65" s="560"/>
      <c r="L65" s="560"/>
      <c r="M65" s="560"/>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8" thickBot="1" x14ac:dyDescent="0.4">
      <c r="A66" s="88"/>
      <c r="B66" s="538" t="s">
        <v>127</v>
      </c>
      <c r="C66" s="534">
        <v>0.25</v>
      </c>
      <c r="D66" s="535">
        <v>1.1499999999999999</v>
      </c>
      <c r="E66" s="535">
        <v>0.1</v>
      </c>
      <c r="F66" s="536">
        <v>1</v>
      </c>
      <c r="G66" s="202"/>
      <c r="H66" s="560"/>
      <c r="I66" s="560"/>
      <c r="J66" s="560"/>
      <c r="K66" s="560"/>
      <c r="L66" s="560"/>
      <c r="M66" s="560"/>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5">
      <c r="A67" s="378"/>
      <c r="B67" s="378"/>
      <c r="C67" s="378"/>
      <c r="D67" s="378"/>
      <c r="E67" s="378"/>
      <c r="F67" s="202"/>
      <c r="G67" s="202"/>
      <c r="H67" s="560"/>
      <c r="I67" s="560"/>
      <c r="J67" s="560"/>
      <c r="K67" s="560"/>
      <c r="L67" s="560"/>
      <c r="M67" s="560"/>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5">
      <c r="A68" s="378"/>
      <c r="B68" s="378"/>
      <c r="C68" s="378"/>
      <c r="D68" s="378"/>
      <c r="E68" s="378"/>
      <c r="F68" s="202"/>
      <c r="G68" s="202"/>
      <c r="H68" s="560"/>
      <c r="I68" s="560"/>
      <c r="J68" s="560"/>
      <c r="K68" s="560"/>
      <c r="L68" s="560"/>
      <c r="M68" s="560"/>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5">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5">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5">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5">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5">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5">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5">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12" sqref="E12"/>
    </sheetView>
  </sheetViews>
  <sheetFormatPr defaultColWidth="9.109375" defaultRowHeight="15" x14ac:dyDescent="0.35"/>
  <cols>
    <col min="1" max="2" width="4.44140625" style="1" customWidth="1"/>
    <col min="3" max="3" width="21.33203125" style="1" customWidth="1"/>
    <col min="4" max="4" width="21"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70" t="s">
        <v>53</v>
      </c>
      <c r="D9" s="571"/>
      <c r="E9" s="380" t="s">
        <v>168</v>
      </c>
      <c r="F9" s="228" t="s">
        <v>169</v>
      </c>
      <c r="G9" s="158"/>
      <c r="H9" s="332"/>
      <c r="I9" s="332"/>
      <c r="J9" s="561" t="s">
        <v>148</v>
      </c>
      <c r="K9" s="562"/>
      <c r="L9" s="563"/>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145</v>
      </c>
      <c r="D12" s="224"/>
      <c r="E12" s="382">
        <v>0.5</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572" t="s">
        <v>54</v>
      </c>
      <c r="D17" s="573"/>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574" t="s">
        <v>149</v>
      </c>
      <c r="D26" s="575"/>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22"/>
      <c r="D35" s="564" t="s">
        <v>125</v>
      </c>
      <c r="E35" s="565"/>
      <c r="F35" s="566" t="s">
        <v>126</v>
      </c>
      <c r="G35" s="567"/>
      <c r="H35" s="568" t="s">
        <v>127</v>
      </c>
      <c r="I35" s="56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90"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576" t="s">
        <v>301</v>
      </c>
      <c r="D32" s="576"/>
      <c r="E32" s="576"/>
      <c r="F32" s="577"/>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70" workbookViewId="0">
      <selection activeCell="C67" sqref="C67:AC67"/>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64"/>
      <c r="C15" s="580" t="s">
        <v>125</v>
      </c>
      <c r="D15" s="578"/>
      <c r="E15" s="578"/>
      <c r="F15" s="578" t="s">
        <v>126</v>
      </c>
      <c r="G15" s="578"/>
      <c r="H15" s="578"/>
      <c r="I15" s="578" t="s">
        <v>127</v>
      </c>
      <c r="J15" s="581"/>
      <c r="K15" s="581"/>
      <c r="L15" s="580" t="s">
        <v>125</v>
      </c>
      <c r="M15" s="578"/>
      <c r="N15" s="578"/>
      <c r="O15" s="578" t="s">
        <v>126</v>
      </c>
      <c r="P15" s="578"/>
      <c r="Q15" s="578"/>
      <c r="R15" s="578" t="s">
        <v>127</v>
      </c>
      <c r="S15" s="581"/>
      <c r="T15" s="581"/>
      <c r="U15" s="580" t="s">
        <v>125</v>
      </c>
      <c r="V15" s="578"/>
      <c r="W15" s="578"/>
      <c r="X15" s="578" t="s">
        <v>126</v>
      </c>
      <c r="Y15" s="578"/>
      <c r="Z15" s="578"/>
      <c r="AA15" s="578" t="s">
        <v>127</v>
      </c>
      <c r="AB15" s="578"/>
      <c r="AC15" s="579"/>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D17" sqref="D17"/>
    </sheetView>
  </sheetViews>
  <sheetFormatPr defaultColWidth="10.77734375" defaultRowHeight="13.2" x14ac:dyDescent="0.25"/>
  <cols>
    <col min="1" max="1" width="10.77734375" style="396"/>
    <col min="2" max="2" width="15.109375" style="396" customWidth="1"/>
    <col min="3" max="3" width="32.44140625" style="396" customWidth="1"/>
    <col min="4" max="4" width="10.77734375" style="396"/>
    <col min="5" max="5" width="6.109375" style="396" bestFit="1" customWidth="1"/>
    <col min="6" max="9" width="15.44140625" style="396" customWidth="1"/>
    <col min="10" max="10" width="14.6640625" style="396" customWidth="1"/>
    <col min="11" max="17" width="15.44140625" style="396" customWidth="1"/>
    <col min="18" max="18" width="15" style="396" customWidth="1"/>
    <col min="19" max="19" width="15.33203125" style="396" customWidth="1"/>
    <col min="20" max="20" width="7.109375" style="396" customWidth="1"/>
    <col min="21" max="21" width="47.33203125" style="396" customWidth="1"/>
    <col min="22" max="23" width="20.33203125" style="396" customWidth="1"/>
    <col min="24" max="16384" width="10.77734375" style="396"/>
  </cols>
  <sheetData>
    <row r="2" spans="2:19" ht="35.4" x14ac:dyDescent="0.6">
      <c r="B2" s="475" t="s">
        <v>330</v>
      </c>
    </row>
    <row r="5" spans="2:19" ht="18" customHeight="1" x14ac:dyDescent="0.4">
      <c r="B5" s="476" t="s">
        <v>331</v>
      </c>
      <c r="C5" s="477" t="s">
        <v>332</v>
      </c>
      <c r="H5" s="478"/>
    </row>
    <row r="6" spans="2:19" ht="21" x14ac:dyDescent="0.4">
      <c r="E6" s="476" t="str">
        <f>C5 &amp; " Scenario"</f>
        <v>Full Everywhere Scenario</v>
      </c>
    </row>
    <row r="7" spans="2:19" ht="28.8" thickBot="1" x14ac:dyDescent="0.55000000000000004">
      <c r="B7" s="476" t="s">
        <v>333</v>
      </c>
      <c r="C7" s="479"/>
      <c r="F7" s="583" t="s">
        <v>125</v>
      </c>
      <c r="G7" s="584"/>
      <c r="H7" s="584"/>
      <c r="I7" s="585"/>
      <c r="J7" s="583" t="s">
        <v>126</v>
      </c>
      <c r="K7" s="584"/>
      <c r="L7" s="584"/>
      <c r="M7" s="585"/>
      <c r="N7" s="583" t="s">
        <v>127</v>
      </c>
      <c r="O7" s="584"/>
      <c r="P7" s="584"/>
      <c r="Q7" s="585"/>
    </row>
    <row r="8" spans="2:19" ht="49.95" customHeight="1" thickTop="1" thickBot="1" x14ac:dyDescent="0.5">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7.399999999999999" x14ac:dyDescent="0.4">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7.399999999999999" x14ac:dyDescent="0.4">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7.399999999999999" x14ac:dyDescent="0.4">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8" thickBot="1" x14ac:dyDescent="0.45">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8" thickTop="1" x14ac:dyDescent="0.25">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x14ac:dyDescent="0.25">
      <c r="B14" s="586" t="s">
        <v>342</v>
      </c>
      <c r="C14" s="586"/>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x14ac:dyDescent="0.25">
      <c r="B15" s="586"/>
      <c r="C15" s="586"/>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x14ac:dyDescent="0.25">
      <c r="B16" s="586"/>
      <c r="C16" s="586"/>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x14ac:dyDescent="0.25">
      <c r="B17" s="586"/>
      <c r="C17" s="586"/>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05" customHeight="1" x14ac:dyDescent="0.25">
      <c r="B18" s="586"/>
      <c r="C18" s="586"/>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x14ac:dyDescent="0.25">
      <c r="B19" s="586"/>
      <c r="C19" s="586"/>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x14ac:dyDescent="0.25">
      <c r="B20" s="586"/>
      <c r="C20" s="586"/>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x14ac:dyDescent="0.25">
      <c r="B21" s="586"/>
      <c r="C21" s="586"/>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x14ac:dyDescent="0.25">
      <c r="B22" s="586"/>
      <c r="C22" s="586"/>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x14ac:dyDescent="0.25">
      <c r="B23" s="586"/>
      <c r="C23" s="586"/>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x14ac:dyDescent="0.25">
      <c r="B24" s="586"/>
      <c r="C24" s="586"/>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x14ac:dyDescent="0.25">
      <c r="B25" s="586"/>
      <c r="C25" s="586"/>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x14ac:dyDescent="0.25">
      <c r="B26" s="586"/>
      <c r="C26" s="586"/>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x14ac:dyDescent="0.25">
      <c r="B27" s="586"/>
      <c r="C27" s="586"/>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x14ac:dyDescent="0.25">
      <c r="B28" s="586"/>
      <c r="C28" s="586"/>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x14ac:dyDescent="0.25">
      <c r="B29" s="586"/>
      <c r="C29" s="586"/>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x14ac:dyDescent="0.25">
      <c r="B30" s="586"/>
      <c r="C30" s="586"/>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x14ac:dyDescent="0.25">
      <c r="B31" s="586"/>
      <c r="C31" s="586"/>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x14ac:dyDescent="0.25">
      <c r="B32" s="586"/>
      <c r="C32" s="586"/>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x14ac:dyDescent="0.25">
      <c r="B33" s="586"/>
      <c r="C33" s="586"/>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x14ac:dyDescent="0.25">
      <c r="B34" s="586"/>
      <c r="C34" s="586"/>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x14ac:dyDescent="0.25">
      <c r="B35" s="586"/>
      <c r="C35" s="586"/>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x14ac:dyDescent="0.25">
      <c r="B36" s="586"/>
      <c r="C36" s="586"/>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x14ac:dyDescent="0.25">
      <c r="B37" s="586"/>
      <c r="C37" s="586"/>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x14ac:dyDescent="0.25">
      <c r="B38" s="586"/>
      <c r="C38" s="586"/>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x14ac:dyDescent="0.25">
      <c r="B39" s="586"/>
      <c r="C39" s="586"/>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x14ac:dyDescent="0.25">
      <c r="B40" s="586"/>
      <c r="C40" s="586"/>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x14ac:dyDescent="0.25">
      <c r="B41" s="586"/>
      <c r="C41" s="586"/>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x14ac:dyDescent="0.25">
      <c r="B42" s="586"/>
      <c r="C42" s="586"/>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x14ac:dyDescent="0.25">
      <c r="B43" s="586"/>
      <c r="C43" s="586"/>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x14ac:dyDescent="0.25">
      <c r="B44" s="586"/>
      <c r="C44" s="586"/>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x14ac:dyDescent="0.25">
      <c r="B45" s="586"/>
      <c r="C45" s="586"/>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x14ac:dyDescent="0.25">
      <c r="B46" s="586"/>
      <c r="C46" s="586"/>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x14ac:dyDescent="0.25">
      <c r="B47" s="586"/>
      <c r="C47" s="586"/>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x14ac:dyDescent="0.25">
      <c r="B48" s="586"/>
      <c r="C48" s="586"/>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x14ac:dyDescent="0.25">
      <c r="B49" s="586"/>
      <c r="C49" s="586"/>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x14ac:dyDescent="0.25">
      <c r="B50" s="586"/>
      <c r="C50" s="586"/>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x14ac:dyDescent="0.25">
      <c r="B51" s="586"/>
      <c r="C51" s="586"/>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x14ac:dyDescent="0.25">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x14ac:dyDescent="0.25">
      <c r="B53" s="587" t="s">
        <v>343</v>
      </c>
      <c r="C53" s="587"/>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x14ac:dyDescent="0.25">
      <c r="B54" s="587"/>
      <c r="C54" s="587"/>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x14ac:dyDescent="0.25">
      <c r="B55" s="587"/>
      <c r="C55" s="587"/>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x14ac:dyDescent="0.25">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x14ac:dyDescent="0.25">
      <c r="B57" s="582" t="s">
        <v>344</v>
      </c>
      <c r="C57" s="582"/>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x14ac:dyDescent="0.25">
      <c r="B58" s="582"/>
      <c r="C58" s="582"/>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8" thickBot="1" x14ac:dyDescent="0.3">
      <c r="B59" s="582"/>
      <c r="C59" s="582"/>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x14ac:dyDescent="0.25">
      <c r="B60" s="582"/>
      <c r="C60" s="582"/>
      <c r="M60" s="478"/>
    </row>
    <row r="125" spans="2:2" x14ac:dyDescent="0.25">
      <c r="B125" s="515" t="s">
        <v>345</v>
      </c>
    </row>
    <row r="126" spans="2:2" x14ac:dyDescent="0.25">
      <c r="B126" s="515" t="s">
        <v>332</v>
      </c>
    </row>
    <row r="127" spans="2:2" x14ac:dyDescent="0.25">
      <c r="B127" s="515" t="s">
        <v>346</v>
      </c>
    </row>
    <row r="128" spans="2:2" x14ac:dyDescent="0.25">
      <c r="B128" s="515" t="s">
        <v>347</v>
      </c>
    </row>
    <row r="129" spans="2:2" x14ac:dyDescent="0.25">
      <c r="B129" s="515" t="s">
        <v>348</v>
      </c>
    </row>
    <row r="132" spans="2:2" x14ac:dyDescent="0.25">
      <c r="B132" s="516">
        <v>2014</v>
      </c>
    </row>
    <row r="133" spans="2:2" x14ac:dyDescent="0.25">
      <c r="B133" s="516">
        <v>2016</v>
      </c>
    </row>
    <row r="134" spans="2:2" x14ac:dyDescent="0.25">
      <c r="B134" s="516">
        <v>2018</v>
      </c>
    </row>
    <row r="135" spans="2:2" x14ac:dyDescent="0.25">
      <c r="B135" s="516">
        <v>2020</v>
      </c>
    </row>
    <row r="136" spans="2:2" x14ac:dyDescent="0.25">
      <c r="B136" s="516">
        <v>2022</v>
      </c>
    </row>
    <row r="137" spans="2:2" x14ac:dyDescent="0.25">
      <c r="B137" s="516">
        <v>2024</v>
      </c>
    </row>
    <row r="138" spans="2:2" x14ac:dyDescent="0.25">
      <c r="B138" s="516">
        <v>2026</v>
      </c>
    </row>
    <row r="139" spans="2:2" x14ac:dyDescent="0.25">
      <c r="B139" s="516">
        <v>2028</v>
      </c>
    </row>
    <row r="140" spans="2:2" x14ac:dyDescent="0.25">
      <c r="B140" s="516">
        <v>2030</v>
      </c>
    </row>
    <row r="141" spans="2:2" x14ac:dyDescent="0.25">
      <c r="B141" s="516">
        <v>2032</v>
      </c>
    </row>
    <row r="142" spans="2:2" x14ac:dyDescent="0.25">
      <c r="B142" s="516">
        <v>2034</v>
      </c>
    </row>
    <row r="143" spans="2:2" x14ac:dyDescent="0.25">
      <c r="B143" s="516">
        <v>2036</v>
      </c>
    </row>
    <row r="144" spans="2:2" x14ac:dyDescent="0.25">
      <c r="B144" s="516">
        <v>2038</v>
      </c>
    </row>
    <row r="145" spans="2:2" x14ac:dyDescent="0.25">
      <c r="B145" s="516">
        <v>2040</v>
      </c>
    </row>
    <row r="146" spans="2:2" x14ac:dyDescent="0.25">
      <c r="B146" s="516">
        <v>2042</v>
      </c>
    </row>
    <row r="147" spans="2:2" x14ac:dyDescent="0.25">
      <c r="B147" s="516">
        <v>2044</v>
      </c>
    </row>
    <row r="148" spans="2:2" x14ac:dyDescent="0.25">
      <c r="B148" s="516">
        <v>2046</v>
      </c>
    </row>
    <row r="149" spans="2:2" x14ac:dyDescent="0.25">
      <c r="B149" s="516">
        <v>2048</v>
      </c>
    </row>
    <row r="150" spans="2:2" x14ac:dyDescent="0.25">
      <c r="B150" s="516">
        <v>2050</v>
      </c>
    </row>
    <row r="153" spans="2:2" x14ac:dyDescent="0.25">
      <c r="B153" s="517" t="b">
        <v>1</v>
      </c>
    </row>
    <row r="154" spans="2:2" x14ac:dyDescent="0.25">
      <c r="B154" s="517" t="b">
        <v>0</v>
      </c>
    </row>
    <row r="166" spans="1:4" x14ac:dyDescent="0.25">
      <c r="A166" s="516"/>
      <c r="B166" s="516" t="s">
        <v>349</v>
      </c>
      <c r="C166" s="516" t="s">
        <v>350</v>
      </c>
      <c r="D166" s="516" t="s">
        <v>351</v>
      </c>
    </row>
    <row r="167" spans="1:4" x14ac:dyDescent="0.25">
      <c r="A167" s="516" t="s">
        <v>211</v>
      </c>
      <c r="B167" s="516">
        <v>25</v>
      </c>
      <c r="C167" s="516">
        <v>25</v>
      </c>
      <c r="D167" s="516">
        <v>25</v>
      </c>
    </row>
    <row r="168" spans="1:4" x14ac:dyDescent="0.25">
      <c r="A168" s="516" t="s">
        <v>210</v>
      </c>
      <c r="B168" s="516">
        <v>0</v>
      </c>
      <c r="C168" s="516">
        <v>0</v>
      </c>
      <c r="D168" s="516">
        <v>0</v>
      </c>
    </row>
    <row r="169" spans="1:4" x14ac:dyDescent="0.25">
      <c r="A169" s="516" t="s">
        <v>213</v>
      </c>
      <c r="B169" s="516">
        <v>25</v>
      </c>
      <c r="C169" s="516">
        <v>300</v>
      </c>
      <c r="D169" s="516">
        <v>300</v>
      </c>
    </row>
    <row r="170" spans="1:4" x14ac:dyDescent="0.25">
      <c r="A170" s="516" t="s">
        <v>212</v>
      </c>
      <c r="B170" s="516" t="s">
        <v>341</v>
      </c>
      <c r="C170" s="516" t="s">
        <v>341</v>
      </c>
      <c r="D170" s="516" t="s">
        <v>341</v>
      </c>
    </row>
    <row r="171" spans="1:4" x14ac:dyDescent="0.25">
      <c r="A171" s="516" t="s">
        <v>214</v>
      </c>
      <c r="B171" s="516">
        <v>1000</v>
      </c>
      <c r="C171" s="516">
        <v>1000</v>
      </c>
      <c r="D171" s="516">
        <v>1000</v>
      </c>
    </row>
    <row r="172" spans="1:4" x14ac:dyDescent="0.25">
      <c r="A172" s="516" t="s">
        <v>215</v>
      </c>
      <c r="B172" s="516" t="s">
        <v>341</v>
      </c>
      <c r="C172" s="516" t="s">
        <v>341</v>
      </c>
      <c r="D172" s="516" t="s">
        <v>341</v>
      </c>
    </row>
    <row r="173" spans="1:4" x14ac:dyDescent="0.25">
      <c r="A173" s="516" t="s">
        <v>216</v>
      </c>
      <c r="B173" s="516">
        <v>2000</v>
      </c>
      <c r="C173" s="516">
        <v>2000</v>
      </c>
      <c r="D173" s="516">
        <v>2000</v>
      </c>
    </row>
    <row r="174" spans="1:4" x14ac:dyDescent="0.25">
      <c r="A174" s="516" t="s">
        <v>11</v>
      </c>
      <c r="B174" s="516">
        <v>1000</v>
      </c>
      <c r="C174" s="516">
        <v>1000</v>
      </c>
      <c r="D174" s="516">
        <v>0</v>
      </c>
    </row>
    <row r="175" spans="1:4" x14ac:dyDescent="0.25">
      <c r="A175" s="516" t="s">
        <v>217</v>
      </c>
      <c r="B175" s="516">
        <v>25</v>
      </c>
      <c r="C175" s="516">
        <v>2000</v>
      </c>
      <c r="D175" s="516">
        <v>2000</v>
      </c>
    </row>
    <row r="176" spans="1:4" x14ac:dyDescent="0.25">
      <c r="A176" s="516" t="s">
        <v>218</v>
      </c>
      <c r="B176" s="516">
        <v>2000</v>
      </c>
      <c r="C176" s="516">
        <v>2000</v>
      </c>
      <c r="D176" s="516">
        <v>2000</v>
      </c>
    </row>
    <row r="177" spans="1:4" x14ac:dyDescent="0.25">
      <c r="A177" s="516" t="s">
        <v>219</v>
      </c>
      <c r="B177" s="516">
        <v>10</v>
      </c>
      <c r="C177" s="516">
        <v>100</v>
      </c>
      <c r="D177" s="516">
        <v>100</v>
      </c>
    </row>
    <row r="178" spans="1:4" x14ac:dyDescent="0.25">
      <c r="A178" s="516" t="s">
        <v>220</v>
      </c>
      <c r="B178" s="516">
        <v>100</v>
      </c>
      <c r="C178" s="516">
        <v>100</v>
      </c>
      <c r="D178" s="516">
        <v>100</v>
      </c>
    </row>
    <row r="179" spans="1:4" x14ac:dyDescent="0.25">
      <c r="A179" s="516" t="s">
        <v>224</v>
      </c>
      <c r="B179" s="516">
        <v>500</v>
      </c>
      <c r="C179" s="516">
        <v>500</v>
      </c>
      <c r="D179" s="516">
        <v>500</v>
      </c>
    </row>
    <row r="180" spans="1:4" x14ac:dyDescent="0.25">
      <c r="A180" s="516" t="s">
        <v>221</v>
      </c>
      <c r="B180" s="516">
        <v>0</v>
      </c>
      <c r="C180" s="516">
        <v>0</v>
      </c>
      <c r="D180" s="516">
        <v>0</v>
      </c>
    </row>
    <row r="181" spans="1:4" x14ac:dyDescent="0.25">
      <c r="A181" s="516" t="s">
        <v>222</v>
      </c>
      <c r="B181" s="516">
        <v>40</v>
      </c>
      <c r="C181" s="516">
        <v>40</v>
      </c>
      <c r="D181" s="516">
        <v>40</v>
      </c>
    </row>
    <row r="182" spans="1:4" x14ac:dyDescent="0.25">
      <c r="A182" s="516" t="s">
        <v>223</v>
      </c>
      <c r="B182" s="516">
        <v>1000</v>
      </c>
      <c r="C182" s="516">
        <v>1000</v>
      </c>
      <c r="D182" s="516">
        <v>1000</v>
      </c>
    </row>
    <row r="183" spans="1:4" x14ac:dyDescent="0.25">
      <c r="A183" s="516" t="s">
        <v>225</v>
      </c>
      <c r="B183" s="516">
        <v>25</v>
      </c>
      <c r="C183" s="516">
        <v>200</v>
      </c>
      <c r="D183" s="516">
        <v>200</v>
      </c>
    </row>
    <row r="184" spans="1:4" x14ac:dyDescent="0.25">
      <c r="A184" s="516" t="s">
        <v>226</v>
      </c>
      <c r="B184" s="516">
        <v>30</v>
      </c>
      <c r="C184" s="516">
        <v>30</v>
      </c>
      <c r="D184" s="516">
        <v>30</v>
      </c>
    </row>
    <row r="185" spans="1:4" x14ac:dyDescent="0.25">
      <c r="A185" s="516" t="s">
        <v>227</v>
      </c>
      <c r="B185" s="516">
        <v>25</v>
      </c>
      <c r="C185" s="516">
        <v>300</v>
      </c>
      <c r="D185" s="516">
        <v>0</v>
      </c>
    </row>
    <row r="186" spans="1:4" x14ac:dyDescent="0.25">
      <c r="A186" s="516" t="s">
        <v>230</v>
      </c>
      <c r="B186" s="516">
        <v>2000</v>
      </c>
      <c r="C186" s="516">
        <v>2000</v>
      </c>
      <c r="D186" s="516">
        <v>2000</v>
      </c>
    </row>
    <row r="187" spans="1:4" x14ac:dyDescent="0.25">
      <c r="A187" s="516" t="s">
        <v>229</v>
      </c>
      <c r="B187" s="516">
        <v>2000</v>
      </c>
      <c r="C187" s="516">
        <v>2000</v>
      </c>
      <c r="D187" s="516">
        <v>2000</v>
      </c>
    </row>
    <row r="188" spans="1:4" x14ac:dyDescent="0.25">
      <c r="A188" s="516" t="s">
        <v>228</v>
      </c>
      <c r="B188" s="516">
        <v>660</v>
      </c>
      <c r="C188" s="516">
        <v>660</v>
      </c>
      <c r="D188" s="516">
        <v>660</v>
      </c>
    </row>
    <row r="189" spans="1:4" x14ac:dyDescent="0.25">
      <c r="A189" s="516" t="s">
        <v>231</v>
      </c>
      <c r="B189" s="516">
        <v>150</v>
      </c>
      <c r="C189" s="516">
        <v>150</v>
      </c>
      <c r="D189" s="516">
        <v>150</v>
      </c>
    </row>
    <row r="190" spans="1:4" x14ac:dyDescent="0.25">
      <c r="A190" s="516" t="s">
        <v>232</v>
      </c>
      <c r="B190" s="516">
        <v>1000</v>
      </c>
      <c r="C190" s="516">
        <v>1000</v>
      </c>
      <c r="D190" s="516">
        <v>1000</v>
      </c>
    </row>
    <row r="191" spans="1:4" x14ac:dyDescent="0.25">
      <c r="A191" s="516" t="s">
        <v>234</v>
      </c>
      <c r="B191" s="516">
        <v>100</v>
      </c>
      <c r="C191" s="516">
        <v>100</v>
      </c>
      <c r="D191" s="516">
        <v>100</v>
      </c>
    </row>
    <row r="192" spans="1:4" x14ac:dyDescent="0.25">
      <c r="A192" s="516" t="s">
        <v>233</v>
      </c>
      <c r="B192" s="516">
        <v>0</v>
      </c>
      <c r="C192" s="516">
        <v>0</v>
      </c>
      <c r="D192" s="516">
        <v>0</v>
      </c>
    </row>
    <row r="193" spans="1:4" x14ac:dyDescent="0.25">
      <c r="A193" s="516" t="s">
        <v>235</v>
      </c>
      <c r="B193" s="516">
        <v>50</v>
      </c>
      <c r="C193" s="516">
        <v>50</v>
      </c>
      <c r="D193" s="516">
        <v>50</v>
      </c>
    </row>
    <row r="194" spans="1:4" x14ac:dyDescent="0.25">
      <c r="A194" s="516" t="s">
        <v>242</v>
      </c>
      <c r="B194" s="516">
        <v>1000</v>
      </c>
      <c r="C194" s="516">
        <v>1000</v>
      </c>
      <c r="D194" s="516">
        <v>1000</v>
      </c>
    </row>
    <row r="195" spans="1:4" x14ac:dyDescent="0.25">
      <c r="A195" s="516" t="s">
        <v>243</v>
      </c>
      <c r="B195" s="516">
        <v>100</v>
      </c>
      <c r="C195" s="516">
        <v>100</v>
      </c>
      <c r="D195" s="516">
        <v>100</v>
      </c>
    </row>
    <row r="196" spans="1:4" x14ac:dyDescent="0.25">
      <c r="A196" s="516" t="s">
        <v>236</v>
      </c>
      <c r="B196" s="516">
        <v>25</v>
      </c>
      <c r="C196" s="516">
        <v>25</v>
      </c>
      <c r="D196" s="516">
        <v>25</v>
      </c>
    </row>
    <row r="197" spans="1:4" x14ac:dyDescent="0.25">
      <c r="A197" s="516" t="s">
        <v>238</v>
      </c>
      <c r="B197" s="516">
        <v>100</v>
      </c>
      <c r="C197" s="516">
        <v>100</v>
      </c>
      <c r="D197" s="516">
        <v>100</v>
      </c>
    </row>
    <row r="198" spans="1:4" x14ac:dyDescent="0.25">
      <c r="A198" s="516" t="s">
        <v>239</v>
      </c>
      <c r="B198" s="516" t="s">
        <v>341</v>
      </c>
      <c r="C198" s="516" t="s">
        <v>341</v>
      </c>
      <c r="D198" s="516" t="s">
        <v>341</v>
      </c>
    </row>
    <row r="199" spans="1:4" x14ac:dyDescent="0.25">
      <c r="A199" s="516" t="s">
        <v>240</v>
      </c>
      <c r="B199" s="516">
        <v>80000</v>
      </c>
      <c r="C199" s="516">
        <v>80000</v>
      </c>
      <c r="D199" s="516">
        <v>80000</v>
      </c>
    </row>
    <row r="200" spans="1:4" x14ac:dyDescent="0.25">
      <c r="A200" s="516" t="s">
        <v>237</v>
      </c>
      <c r="B200" s="516">
        <v>1000</v>
      </c>
      <c r="C200" s="516">
        <v>1000</v>
      </c>
      <c r="D200" s="516">
        <v>1000</v>
      </c>
    </row>
    <row r="201" spans="1:4" x14ac:dyDescent="0.25">
      <c r="A201" s="516" t="s">
        <v>241</v>
      </c>
      <c r="B201" s="516">
        <v>25</v>
      </c>
      <c r="C201" s="516">
        <v>2000</v>
      </c>
      <c r="D201" s="516">
        <v>2000</v>
      </c>
    </row>
    <row r="202" spans="1:4" x14ac:dyDescent="0.25">
      <c r="A202" s="516" t="s">
        <v>244</v>
      </c>
      <c r="B202" s="516" t="s">
        <v>341</v>
      </c>
      <c r="C202" s="516" t="s">
        <v>341</v>
      </c>
      <c r="D202" s="516" t="s">
        <v>341</v>
      </c>
    </row>
    <row r="203" spans="1:4" x14ac:dyDescent="0.25">
      <c r="A203" s="516" t="s">
        <v>245</v>
      </c>
      <c r="B203" s="516">
        <v>15</v>
      </c>
      <c r="C203" s="516">
        <v>15</v>
      </c>
      <c r="D203" s="516">
        <v>15</v>
      </c>
    </row>
    <row r="204" spans="1:4" x14ac:dyDescent="0.25">
      <c r="A204" s="516" t="s">
        <v>246</v>
      </c>
      <c r="B204" s="516">
        <v>25</v>
      </c>
      <c r="C204" s="516">
        <v>2000</v>
      </c>
      <c r="D204" s="516">
        <v>2000</v>
      </c>
    </row>
    <row r="205" spans="1:4" x14ac:dyDescent="0.25">
      <c r="A205" s="516" t="s">
        <v>247</v>
      </c>
      <c r="B205" s="516">
        <v>50</v>
      </c>
      <c r="C205" s="516">
        <v>3000</v>
      </c>
      <c r="D205" s="516">
        <v>3000</v>
      </c>
    </row>
    <row r="206" spans="1:4" x14ac:dyDescent="0.25">
      <c r="A206" s="516" t="s">
        <v>248</v>
      </c>
      <c r="B206" s="516">
        <v>5000</v>
      </c>
      <c r="C206" s="516">
        <v>5000</v>
      </c>
      <c r="D206" s="516">
        <v>5000</v>
      </c>
    </row>
    <row r="207" spans="1:4" x14ac:dyDescent="0.25">
      <c r="A207" s="516" t="s">
        <v>249</v>
      </c>
      <c r="B207" s="516">
        <v>20</v>
      </c>
      <c r="C207" s="516">
        <v>100</v>
      </c>
      <c r="D207" s="516">
        <v>100</v>
      </c>
    </row>
    <row r="208" spans="1:4" x14ac:dyDescent="0.25">
      <c r="A208" s="516" t="s">
        <v>250</v>
      </c>
      <c r="B208" s="516">
        <v>0</v>
      </c>
      <c r="C208" s="516">
        <v>0</v>
      </c>
      <c r="D208" s="516">
        <v>0</v>
      </c>
    </row>
    <row r="209" spans="1:4" x14ac:dyDescent="0.25">
      <c r="A209" s="516" t="s">
        <v>251</v>
      </c>
      <c r="B209" s="516">
        <v>0</v>
      </c>
      <c r="C209" s="516">
        <v>0</v>
      </c>
      <c r="D209" s="516">
        <v>0</v>
      </c>
    </row>
    <row r="210" spans="1:4" x14ac:dyDescent="0.25">
      <c r="A210" s="516" t="s">
        <v>252</v>
      </c>
      <c r="B210" s="516">
        <v>0</v>
      </c>
      <c r="C210" s="516">
        <v>0</v>
      </c>
      <c r="D210" s="516">
        <v>0</v>
      </c>
    </row>
    <row r="211" spans="1:4" x14ac:dyDescent="0.25">
      <c r="A211" s="516" t="s">
        <v>253</v>
      </c>
      <c r="B211" s="516">
        <v>25</v>
      </c>
      <c r="C211" s="516">
        <v>2000</v>
      </c>
      <c r="D211" s="516">
        <v>2000</v>
      </c>
    </row>
    <row r="212" spans="1:4" x14ac:dyDescent="0.25">
      <c r="A212" s="516" t="s">
        <v>255</v>
      </c>
      <c r="B212" s="516">
        <v>10</v>
      </c>
      <c r="C212" s="516">
        <v>500</v>
      </c>
      <c r="D212" s="516">
        <v>500</v>
      </c>
    </row>
    <row r="213" spans="1:4" x14ac:dyDescent="0.25">
      <c r="A213" s="516" t="s">
        <v>254</v>
      </c>
      <c r="B213" s="516">
        <v>500</v>
      </c>
      <c r="C213" s="516">
        <v>500</v>
      </c>
      <c r="D213" s="516">
        <v>500</v>
      </c>
    </row>
    <row r="214" spans="1:4" x14ac:dyDescent="0.25">
      <c r="A214" s="516" t="s">
        <v>256</v>
      </c>
      <c r="B214" s="516">
        <v>100</v>
      </c>
      <c r="C214" s="516">
        <v>100</v>
      </c>
      <c r="D214" s="516">
        <v>100</v>
      </c>
    </row>
    <row r="215" spans="1:4" x14ac:dyDescent="0.25">
      <c r="A215" s="516" t="s">
        <v>258</v>
      </c>
      <c r="B215" s="516">
        <v>100</v>
      </c>
      <c r="C215" s="516">
        <v>100</v>
      </c>
      <c r="D215" s="516">
        <v>100</v>
      </c>
    </row>
    <row r="216" spans="1:4" x14ac:dyDescent="0.25">
      <c r="A216" s="516" t="s">
        <v>257</v>
      </c>
      <c r="B216" s="516">
        <v>25</v>
      </c>
      <c r="C216" s="516">
        <v>500</v>
      </c>
      <c r="D216" s="516">
        <v>2000</v>
      </c>
    </row>
    <row r="217" spans="1:4" x14ac:dyDescent="0.25">
      <c r="A217" s="516" t="s">
        <v>259</v>
      </c>
      <c r="B217" s="516">
        <v>25</v>
      </c>
      <c r="C217" s="516">
        <v>25</v>
      </c>
      <c r="D217" s="516">
        <v>25</v>
      </c>
    </row>
    <row r="218" spans="1:4" x14ac:dyDescent="0.25">
      <c r="B218" s="51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67</vt:i4>
      </vt:variant>
    </vt:vector>
  </HeadingPairs>
  <TitlesOfParts>
    <vt:vector size="74" baseType="lpstr">
      <vt:lpstr>Main</vt:lpstr>
      <vt:lpstr>Wind Cost</vt:lpstr>
      <vt:lpstr>Wind Performance</vt:lpstr>
      <vt:lpstr>Finance</vt:lpstr>
      <vt:lpstr>Market Projections</vt:lpstr>
      <vt:lpstr>Wind Policies</vt:lpstr>
      <vt:lpstr>Net Metering</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rate_type_weights</vt:lpstr>
      <vt:lpstr>Region_Scenario</vt:lpstr>
      <vt:lpstr>Res_Max_Market</vt:lpstr>
      <vt:lpstr>Res_Rate_Escal</vt:lpstr>
      <vt:lpstr>Res_Rate_Scenario</vt:lpstr>
      <vt:lpstr>sys_sizing</vt:lpstr>
      <vt:lpstr>ud_rates</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2015-02-19T18:11:24Z</dcterms:modified>
</cp:coreProperties>
</file>