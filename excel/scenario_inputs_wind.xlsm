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0" yWindow="0" windowWidth="38400" windowHeight="19400" tabRatio="782"/>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Main!$E$157:$E$159</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Main!$D$26</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Main!$D$11:$D$34</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#REF!,#REF!</definedName>
    <definedName name="nm" localSheetId="6">#REF!,#REF!</definedName>
    <definedName name="nm">'Wind Policies'!$B$17:$B$67,'Wind Policies'!#REF!</definedName>
    <definedName name="Normalized_Wind_Power_Curves" localSheetId="6">#REF!</definedName>
    <definedName name="Normalized_Wind_Power_Curves">'Wind Performance'!$B$24:$I$42</definedName>
    <definedName name="overwrite_exist_inc">'Wind Policies'!$P$3</definedName>
    <definedName name="overwrite_exist_nm">'Wind Policies'!#REF!</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38" l="1"/>
  <c r="AA40" i="34"/>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9" i="8"/>
  <c r="J210" i="8"/>
  <c r="J211" i="8"/>
  <c r="J212" i="8"/>
  <c r="J213" i="8"/>
  <c r="J214" i="8"/>
  <c r="J215" i="8"/>
  <c r="J216" i="8"/>
  <c r="J217" i="8"/>
  <c r="J218" i="8"/>
  <c r="J219" i="8"/>
  <c r="J220" i="8"/>
  <c r="J221" i="8"/>
  <c r="J222" i="8"/>
  <c r="J223" i="8"/>
  <c r="J224" i="8"/>
  <c r="J225" i="8"/>
  <c r="J226" i="8"/>
  <c r="J227" i="8"/>
  <c r="J228"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2">
      <text>
        <r>
          <rPr>
            <b/>
            <sz val="9"/>
            <color indexed="81"/>
            <rFont val="Arial"/>
          </rPr>
          <t>Given the available location- and time-specific turbine heights, system sizes, and resource, wind systems will be sized as close as possible to the specified percentage of annual electric load of each customer.</t>
        </r>
      </text>
    </comment>
    <comment ref="C29" authorId="2">
      <text>
        <r>
          <rPr>
            <sz val="9"/>
            <color indexed="81"/>
            <rFont val="Arial"/>
          </rPr>
          <t>Systems with annual generation exceeding the specified percentage of annual electric consusumption will be excluded from consideration for each customer.</t>
        </r>
      </text>
    </comment>
    <comment ref="C30" authorId="2">
      <text>
        <r>
          <rPr>
            <sz val="9"/>
            <color indexed="81"/>
            <rFont val="Arial"/>
          </rPr>
          <t>Given the available location- and time-specific turbine heights, system sizes, and resource, wind systems will be sized as close as possible to the specified percentage of annual electric load of each customer.</t>
        </r>
      </text>
    </comment>
    <comment ref="C31" authorId="2">
      <text>
        <r>
          <rPr>
            <sz val="9"/>
            <color indexed="81"/>
            <rFont val="Arial"/>
          </rPr>
          <t xml:space="preserve">Systems with annual generation exceeding the specified percentage of annual electric consusumption will be excluded from consideration for each customer
</t>
        </r>
      </text>
    </comment>
    <comment ref="C32" authorId="2">
      <text>
        <r>
          <rPr>
            <sz val="9"/>
            <color indexed="81"/>
            <rFont val="Arial"/>
          </rPr>
          <t>Given the available location- and time-specific turbine heights, system sizes, and resource, wind systems will be sized as close as possible to the specified percentage of annual electric load of each customer.</t>
        </r>
      </text>
    </comment>
    <comment ref="C33" authorId="2">
      <text>
        <r>
          <rPr>
            <sz val="9"/>
            <color indexed="81"/>
            <rFont val="Arial"/>
          </rPr>
          <t xml:space="preserve">Systems with annual generation exceeding the specified percentage of annual electric consusumption will be excluded from consideration for each customer
</t>
        </r>
      </text>
    </comment>
    <comment ref="C34"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<sst xmlns="http://schemas.openxmlformats.org/spreadsheetml/2006/main" count="1169" uniqueCount="359">
  <si>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</si>
  <si>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</si>
  <si>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</si>
  <si>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</si>
  <si>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</si>
  <si>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</si>
  <si>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</si>
  <si>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</si>
  <si>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</si>
  <si>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</si>
  <si>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</si>
  <si>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</si>
  <si>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</si>
  <si>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</si>
  <si>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</si>
  <si>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</si>
  <si>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</si>
  <si>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</si>
  <si>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</si>
  <si>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</si>
  <si>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</si>
  <si>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</si>
  <si>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</si>
  <si>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</si>
  <si>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</si>
  <si>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</si>
  <si>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</si>
  <si>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</si>
  <si>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</si>
  <si>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</si>
  <si>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</si>
  <si>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</si>
  <si>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</si>
  <si>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</si>
  <si>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</si>
  <si>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</si>
  <si>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</si>
  <si>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</si>
  <si>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</si>
  <si>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</si>
  <si>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</si>
  <si>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</si>
  <si>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</si>
  <si>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</si>
  <si>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</si>
  <si>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</si>
  <si>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</si>
  <si>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</si>
  <si>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</si>
  <si>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</si>
  <si>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</si>
  <si>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</si>
  <si>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</si>
  <si>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</si>
  <si>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</si>
  <si>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</si>
  <si>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</si>
  <si>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</si>
  <si>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</si>
  <si>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</si>
  <si>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</si>
  <si>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</si>
  <si>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</si>
  <si>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</si>
  <si>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</si>
  <si>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</si>
  <si>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</si>
  <si>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</si>
  <si>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</si>
  <si>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</si>
  <si>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</si>
  <si>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</si>
  <si>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</si>
  <si>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</si>
  <si>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</si>
  <si>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</si>
  <si>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</si>
  <si>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</si>
  <si>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</si>
  <si>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</si>
  <si>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</si>
  <si>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</si>
  <si>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</si>
  <si>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</si>
  <si>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</si>
  <si>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</si>
  <si>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</si>
  <si>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</si>
  <si>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</si>
  <si>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</si>
  <si>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</si>
  <si>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</si>
  <si>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</si>
  <si>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</si>
  <si>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</si>
  <si>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</si>
  <si>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</si>
  <si>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</si>
  <si>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</si>
  <si>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</si>
  <si>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</si>
  <si>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</si>
  <si>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</si>
  <si>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</si>
  <si>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</si>
  <si>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</si>
  <si>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</si>
  <si>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</si>
  <si>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</si>
  <si>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</si>
  <si>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</si>
  <si>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</si>
  <si>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</si>
  <si>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</si>
  <si>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</si>
  <si>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</si>
  <si>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</si>
  <si>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</si>
  <si>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</si>
  <si>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</si>
  <si>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</si>
  <si>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</si>
  <si>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</si>
  <si>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</si>
  <si>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</si>
  <si>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</si>
  <si>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</si>
  <si>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</si>
  <si>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</si>
  <si>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</si>
  <si>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</si>
  <si>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</si>
  <si>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</si>
  <si>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</si>
  <si>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</si>
  <si>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</si>
  <si>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</si>
  <si>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</si>
  <si>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</si>
  <si>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</si>
  <si>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</si>
  <si>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</si>
  <si>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</si>
  <si>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</si>
  <si>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</si>
  <si>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</si>
  <si>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</si>
  <si>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</si>
  <si>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</si>
  <si>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</si>
  <si>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</si>
  <si>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</si>
  <si>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</si>
  <si>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</si>
  <si>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</si>
  <si>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</si>
  <si>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</si>
  <si>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</si>
  <si>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</si>
  <si>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</si>
  <si>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</si>
  <si>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</si>
  <si>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</si>
  <si>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</si>
  <si>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</si>
  <si>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</si>
  <si>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</si>
  <si>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</si>
  <si>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</si>
  <si>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</si>
  <si>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</si>
  <si>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</si>
  <si>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</si>
  <si>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</si>
  <si>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</si>
  <si>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</si>
  <si>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</si>
  <si>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</si>
  <si>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</si>
  <si>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</si>
  <si>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</si>
  <si>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</si>
  <si>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</si>
  <si>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</si>
  <si>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</si>
  <si>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</si>
  <si>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</si>
  <si>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</si>
  <si>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</si>
  <si>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</si>
  <si>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</si>
  <si>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</si>
  <si>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</si>
  <si>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</si>
  <si>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</si>
  <si>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</si>
  <si>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</si>
  <si>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</si>
  <si>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</si>
  <si>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</si>
  <si>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</si>
  <si>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</si>
  <si>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</si>
  <si>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</si>
  <si>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</si>
  <si>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</si>
  <si>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</si>
  <si>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</si>
  <si>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</si>
  <si>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</si>
  <si>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</si>
  <si>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</si>
  <si>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</si>
  <si>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</si>
  <si>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</si>
  <si>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</si>
  <si>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</si>
  <si>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</si>
  <si>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</si>
  <si>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</si>
  <si>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</si>
  <si>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</si>
  <si>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</si>
  <si>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</si>
  <si>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</si>
  <si>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</si>
  <si>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</si>
  <si>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</si>
  <si>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</si>
  <si>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</si>
  <si>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</si>
  <si>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</si>
  <si>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</si>
  <si>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</si>
  <si>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</si>
  <si>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</si>
  <si>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</si>
  <si>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</si>
  <si>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</si>
  <si>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</si>
  <si>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</si>
  <si>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</si>
  <si>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</si>
  <si>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</si>
  <si>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</si>
  <si>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</si>
  <si>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</si>
  <si>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</si>
  <si>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</si>
  <si>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</si>
  <si>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</si>
  <si>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</si>
  <si>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</si>
  <si>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</si>
  <si>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</si>
  <si>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</si>
  <si>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</si>
  <si>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</si>
  <si>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</si>
  <si>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</si>
  <si>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</si>
  <si>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</si>
  <si>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</si>
  <si>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</si>
  <si>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</si>
  <si>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</si>
  <si>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</si>
  <si>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</si>
  <si>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</si>
  <si>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</si>
  <si>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</si>
  <si>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</si>
  <si>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</si>
  <si>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</si>
  <si>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</si>
  <si>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</si>
  <si>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</si>
  <si>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</si>
  <si>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</si>
  <si>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</si>
  <si>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</si>
  <si>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</si>
  <si>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</si>
  <si>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</si>
  <si>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</si>
  <si>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</si>
  <si>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</si>
  <si>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</si>
  <si>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</si>
  <si>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</si>
  <si>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</si>
  <si>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</si>
  <si>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</si>
  <si>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</si>
  <si>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</si>
  <si>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</si>
  <si>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</si>
  <si>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</si>
  <si>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</si>
  <si>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</si>
  <si>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</si>
  <si>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</si>
  <si>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</si>
  <si>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</si>
  <si>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</si>
  <si>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</si>
  <si>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</si>
  <si>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</si>
  <si>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</si>
  <si>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</si>
  <si>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</si>
  <si>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</si>
  <si>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</si>
  <si>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</si>
  <si>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</si>
  <si>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</si>
  <si>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</si>
  <si>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</si>
  <si>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</si>
  <si>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</si>
  <si>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</si>
  <si>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</si>
  <si>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</si>
  <si>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</si>
  <si>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</si>
  <si>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</si>
  <si>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</si>
  <si>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</si>
  <si>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</si>
  <si>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</si>
  <si>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</si>
  <si>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</si>
  <si>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</si>
  <si>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</si>
  <si>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</si>
  <si>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</si>
  <si>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</si>
  <si>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</si>
  <si>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</si>
  <si>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</si>
  <si>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</si>
  <si>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</si>
  <si>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</si>
  <si>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</si>
  <si>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</si>
  <si>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</si>
  <si>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</si>
  <si>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</si>
  <si>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</si>
  <si>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</si>
  <si>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</si>
  <si>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</si>
  <si>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</si>
  <si>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Res System Sizing Target</t>
  </si>
  <si>
    <t>Res System Oversizing Limit</t>
  </si>
  <si>
    <t>Com System Sizing Target</t>
  </si>
  <si>
    <t>Com System Oversizing Limit</t>
  </si>
  <si>
    <t>Ind System Sizing Target</t>
  </si>
  <si>
    <t>Ind System Oversizing Limit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</si>
</sst>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9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ont>
    <font>
      <b/>
      <sz val="16"/>
      <color indexed="18"/>
      <name val="Arial"/>
    </font>
    <font>
      <b/>
      <sz val="16"/>
      <name val="Arial"/>
    </font>
    <font>
      <sz val="10"/>
      <color theme="0" tint="-0.34998626667073579"/>
      <name val="Arial"/>
    </font>
    <font>
      <sz val="11"/>
      <color theme="1"/>
      <name val="Calibri"/>
      <family val="2"/>
      <scheme val="minor"/>
    </font>
    <font>
      <sz val="9"/>
      <color indexed="81"/>
      <name val="Arial"/>
    </font>
    <font>
      <b/>
      <sz val="9"/>
      <color indexed="81"/>
      <name val="Arial"/>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s>
  <borders count="133">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s>
  <cellStyleXfs count="34">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561">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2" fontId="0" fillId="0" borderId="50" xfId="0" applyNumberFormat="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11" fillId="10" borderId="0" xfId="0" applyFont="1"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9" fontId="11" fillId="0" borderId="48" xfId="3" applyNumberFormat="1" applyFont="1" applyFill="1" applyBorder="1" applyAlignment="1">
      <alignment horizontal="center"/>
    </xf>
  </cellXfs>
  <cellStyles count="34">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externalLink" Target="externalLinks/externalLink2.xml"/><Relationship Id="rId10" Type="http://schemas.openxmlformats.org/officeDocument/2006/relationships/externalLink" Target="externalLinks/externalLink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18691944"/>
        <c:axId val="2118538632"/>
      </c:scatterChart>
      <c:valAx>
        <c:axId val="211869194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8538632"/>
        <c:crosses val="autoZero"/>
        <c:crossBetween val="midCat"/>
      </c:valAx>
      <c:valAx>
        <c:axId val="211853863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8691944"/>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18617560"/>
        <c:axId val="2118620872"/>
      </c:scatterChart>
      <c:valAx>
        <c:axId val="211861756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8620872"/>
        <c:crosses val="autoZero"/>
        <c:crossBetween val="midCat"/>
      </c:valAx>
      <c:valAx>
        <c:axId val="211862087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86175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06507240"/>
        <c:axId val="2106510632"/>
      </c:scatterChart>
      <c:valAx>
        <c:axId val="210650724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06510632"/>
        <c:crosses val="autoZero"/>
        <c:crossBetween val="midCat"/>
      </c:valAx>
      <c:valAx>
        <c:axId val="210651063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065072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7:E159" totalsRowShown="0" headerRowDxfId="2" dataDxfId="1" headerRowCellStyle="Normal_NAV_TOY_MODEL" dataCellStyle="Normal_NAV_TOY_MODEL">
  <autoFilter ref="E157:E159"/>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73"/>
  <sheetViews>
    <sheetView tabSelected="1" topLeftCell="A3" workbookViewId="0">
      <selection activeCell="D11" sqref="D11:D3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07"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1"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2" t="s">
        <v>69</v>
      </c>
      <c r="D11" s="241" t="s">
        <v>8</v>
      </c>
      <c r="E11" s="61"/>
      <c r="F11" s="131"/>
      <c r="G11" s="61"/>
      <c r="H11" s="373"/>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3" t="s">
        <v>101</v>
      </c>
      <c r="D12" s="242">
        <v>2020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3" t="s">
        <v>153</v>
      </c>
      <c r="D13" s="288" t="s">
        <v>202</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4"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4"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4" t="s">
        <v>65</v>
      </c>
      <c r="D16" s="242" t="s">
        <v>311</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5"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14" t="s">
        <v>66</v>
      </c>
      <c r="D19" s="242" t="s">
        <v>311</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14"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5"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14" t="s">
        <v>183</v>
      </c>
      <c r="D22" s="242" t="s">
        <v>311</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15"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15"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15" t="s">
        <v>62</v>
      </c>
      <c r="D25" s="242"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14"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429"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15" t="s">
        <v>353</v>
      </c>
      <c r="D28" s="560">
        <v>0.85</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15" t="s">
        <v>354</v>
      </c>
      <c r="D29" s="560">
        <v>1.1499999999999999</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15" t="s">
        <v>355</v>
      </c>
      <c r="D30" s="560">
        <v>0.25</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315" t="s">
        <v>356</v>
      </c>
      <c r="D31" s="560">
        <v>1.1499999999999999</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5">
      <c r="A32" s="21"/>
      <c r="B32" s="21"/>
      <c r="C32" s="315" t="s">
        <v>357</v>
      </c>
      <c r="D32" s="560">
        <v>0.25</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ht="15">
      <c r="A33" s="21"/>
      <c r="B33" s="21"/>
      <c r="C33" s="315" t="s">
        <v>358</v>
      </c>
      <c r="D33" s="560">
        <v>1.1499999999999999</v>
      </c>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ht="16" thickBot="1">
      <c r="A34" s="21"/>
      <c r="B34" s="21"/>
      <c r="C34" s="316" t="s">
        <v>299</v>
      </c>
      <c r="D34" s="243">
        <v>1</v>
      </c>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33"/>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7"/>
      <c r="D138" s="33"/>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7"/>
      <c r="D139" s="33"/>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7"/>
      <c r="D140" s="33"/>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7"/>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2"/>
      <c r="F144" s="18"/>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2"/>
      <c r="F145" s="18"/>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2"/>
      <c r="F146" s="18"/>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2"/>
      <c r="F147" s="18"/>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7"/>
      <c r="F148" s="2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19"/>
      <c r="F149" s="19"/>
      <c r="G149" s="18"/>
      <c r="H149" s="21"/>
      <c r="I149" s="64"/>
      <c r="J149" s="19"/>
      <c r="K149" s="19"/>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67" t="s">
        <v>3</v>
      </c>
      <c r="F150" s="61"/>
      <c r="G150" s="18"/>
      <c r="H150" s="21"/>
      <c r="I150" s="64"/>
      <c r="J150" s="19"/>
      <c r="K150" s="19"/>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103</v>
      </c>
      <c r="F151" s="61"/>
      <c r="G151" s="18"/>
      <c r="H151" s="21"/>
      <c r="I151" s="64"/>
      <c r="J151" s="19"/>
      <c r="K151" s="19"/>
      <c r="L151" s="61"/>
      <c r="M151" s="61"/>
      <c r="N151" s="61"/>
      <c r="O151" s="61"/>
      <c r="P151" s="61"/>
      <c r="Q151" s="61"/>
      <c r="R151" s="61"/>
      <c r="S151" s="61"/>
      <c r="T151" s="61"/>
      <c r="U151" s="61"/>
      <c r="V151" s="65"/>
      <c r="W151" s="65"/>
      <c r="X151" s="65"/>
      <c r="Y151" s="65"/>
      <c r="Z151" s="65"/>
      <c r="AA151" s="65"/>
      <c r="AB151" s="65"/>
      <c r="AC151" s="33"/>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21"/>
      <c r="E152" s="61" t="s">
        <v>82</v>
      </c>
      <c r="F152" s="61"/>
      <c r="G152" s="18"/>
      <c r="H152" s="21"/>
      <c r="I152" s="64"/>
      <c r="J152" s="19"/>
      <c r="K152" s="19"/>
      <c r="L152" s="61"/>
      <c r="M152" s="61"/>
      <c r="N152" s="61"/>
      <c r="O152" s="61"/>
      <c r="P152" s="61"/>
      <c r="Q152" s="61"/>
      <c r="R152" s="61"/>
      <c r="S152" s="61"/>
      <c r="T152" s="61"/>
      <c r="U152" s="61"/>
      <c r="V152" s="65"/>
      <c r="W152" s="65"/>
      <c r="X152" s="65"/>
      <c r="Y152" s="65"/>
      <c r="Z152" s="65"/>
      <c r="AA152" s="65"/>
      <c r="AB152" s="65"/>
      <c r="AC152" s="33"/>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19"/>
      <c r="B153" s="21"/>
      <c r="C153" s="21"/>
      <c r="D153" s="21"/>
      <c r="E153" s="108" t="s">
        <v>83</v>
      </c>
      <c r="F153" s="61"/>
      <c r="G153" s="18"/>
      <c r="H153" s="21"/>
      <c r="I153" s="19"/>
      <c r="J153" s="21"/>
      <c r="K153" s="61"/>
      <c r="L153" s="61"/>
      <c r="M153" s="61"/>
      <c r="N153" s="61"/>
      <c r="O153" s="61"/>
      <c r="P153" s="61"/>
      <c r="Q153" s="61"/>
      <c r="R153" s="61"/>
      <c r="S153" s="61"/>
      <c r="T153" s="61"/>
      <c r="U153" s="61"/>
      <c r="V153" s="65"/>
      <c r="W153" s="65"/>
      <c r="X153" s="65"/>
      <c r="Y153" s="65"/>
      <c r="Z153" s="65"/>
      <c r="AA153" s="65"/>
      <c r="AB153" s="65"/>
      <c r="AC153" s="33"/>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21"/>
      <c r="E154" s="108" t="s">
        <v>84</v>
      </c>
      <c r="F154" s="61"/>
      <c r="G154" s="21"/>
      <c r="H154" s="19"/>
      <c r="I154" s="67"/>
      <c r="J154" s="67"/>
      <c r="K154" s="67"/>
      <c r="L154" s="61"/>
      <c r="M154" s="61"/>
      <c r="N154" s="61"/>
      <c r="O154" s="61"/>
      <c r="P154" s="61"/>
      <c r="Q154" s="61"/>
      <c r="R154" s="61"/>
      <c r="S154" s="61"/>
      <c r="T154" s="61"/>
      <c r="U154" s="61"/>
      <c r="V154" s="65"/>
      <c r="W154" s="65"/>
      <c r="X154" s="65"/>
      <c r="Y154" s="65"/>
      <c r="Z154" s="65"/>
      <c r="AA154" s="65"/>
      <c r="AB154" s="65"/>
      <c r="AC154" s="33"/>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21"/>
      <c r="E155" s="61" t="s">
        <v>104</v>
      </c>
      <c r="F155" s="61"/>
      <c r="G155" s="66"/>
      <c r="H155" s="19"/>
      <c r="I155" s="61"/>
      <c r="J155" s="61"/>
      <c r="K155" s="61"/>
      <c r="L155" s="67"/>
      <c r="M155" s="46"/>
      <c r="N155" s="46"/>
      <c r="O155" s="46"/>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67"/>
      <c r="D156" s="19"/>
      <c r="E156" s="61"/>
      <c r="F156" s="61"/>
      <c r="G156" s="106"/>
      <c r="H156" s="67"/>
      <c r="I156" s="61" t="s">
        <v>108</v>
      </c>
      <c r="J156" s="67" t="s">
        <v>4</v>
      </c>
      <c r="K156" s="61" t="s">
        <v>78</v>
      </c>
      <c r="L156" s="67"/>
      <c r="M156" s="46"/>
      <c r="N156" s="46"/>
      <c r="O156" s="46"/>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19"/>
      <c r="D157" s="19"/>
      <c r="E157" s="61" t="s">
        <v>86</v>
      </c>
      <c r="F157" s="61"/>
      <c r="G157" s="107" t="s">
        <v>68</v>
      </c>
      <c r="H157" s="61"/>
      <c r="I157" s="61" t="s">
        <v>58</v>
      </c>
      <c r="J157" s="67" t="s">
        <v>5</v>
      </c>
      <c r="K157" s="61" t="s">
        <v>79</v>
      </c>
      <c r="L157" s="19"/>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61" t="s">
        <v>60</v>
      </c>
      <c r="F158" s="109"/>
      <c r="G158" s="107" t="s">
        <v>58</v>
      </c>
      <c r="H158" s="61"/>
      <c r="I158" s="61"/>
      <c r="J158" s="67" t="s">
        <v>6</v>
      </c>
      <c r="K158" s="61"/>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61" t="s">
        <v>61</v>
      </c>
      <c r="F159" s="109"/>
      <c r="G159" s="106"/>
      <c r="H159" s="61"/>
      <c r="I159" s="61"/>
      <c r="J159" s="67" t="s">
        <v>7</v>
      </c>
      <c r="K159" s="61"/>
      <c r="L159" s="21"/>
      <c r="M159" s="21"/>
      <c r="N159" s="21"/>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2"/>
      <c r="F160" s="109"/>
      <c r="G160" s="106"/>
      <c r="H160" s="61"/>
      <c r="I160" s="67"/>
      <c r="J160" s="67" t="s">
        <v>8</v>
      </c>
      <c r="K160" s="67"/>
      <c r="L160" s="21"/>
      <c r="M160" s="21"/>
      <c r="N160" s="21"/>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280</v>
      </c>
      <c r="F161" s="109"/>
      <c r="G161" s="106"/>
      <c r="H161" s="61"/>
      <c r="I161" s="67"/>
      <c r="J161" s="67" t="s">
        <v>0</v>
      </c>
      <c r="K161" s="67"/>
      <c r="L161" s="21"/>
      <c r="M161" s="21"/>
      <c r="N161" s="21"/>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09" t="s">
        <v>281</v>
      </c>
      <c r="F162" s="109"/>
      <c r="G162" s="107" t="s">
        <v>86</v>
      </c>
      <c r="H162" s="67"/>
      <c r="I162" s="67"/>
      <c r="J162" s="67" t="s">
        <v>9</v>
      </c>
      <c r="K162" s="67"/>
      <c r="L162" s="21"/>
      <c r="M162" s="21"/>
      <c r="N162" s="21"/>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09" t="s">
        <v>282</v>
      </c>
      <c r="F163" s="109"/>
      <c r="G163" s="107" t="s">
        <v>60</v>
      </c>
      <c r="H163" s="67"/>
      <c r="I163" s="111"/>
      <c r="J163" s="67" t="s">
        <v>10</v>
      </c>
      <c r="K163" s="111"/>
      <c r="L163" s="19"/>
      <c r="M163" s="19"/>
      <c r="N163" s="19"/>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09" t="s">
        <v>283</v>
      </c>
      <c r="F164" s="109"/>
      <c r="G164" s="110" t="s">
        <v>67</v>
      </c>
      <c r="H164" s="67"/>
      <c r="I164" s="111"/>
      <c r="J164" s="67" t="s">
        <v>201</v>
      </c>
      <c r="K164" s="111"/>
      <c r="L164" s="19"/>
      <c r="M164" s="19"/>
      <c r="N164" s="19"/>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F165" s="109"/>
      <c r="G165" s="110" t="s">
        <v>61</v>
      </c>
      <c r="H165" s="67"/>
      <c r="I165" s="111"/>
      <c r="J165" s="67" t="s">
        <v>12</v>
      </c>
      <c r="K165" s="111"/>
      <c r="L165" s="19"/>
      <c r="M165" s="19"/>
      <c r="N165" s="19"/>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9"/>
      <c r="F166" s="109"/>
      <c r="G166" s="61"/>
      <c r="H166" s="111"/>
      <c r="I166" s="111"/>
      <c r="J166" s="67" t="s">
        <v>13</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09" t="s">
        <v>59</v>
      </c>
      <c r="F167" s="109"/>
      <c r="G167" s="61"/>
      <c r="H167" s="111"/>
      <c r="I167" s="111"/>
      <c r="J167" s="67" t="s">
        <v>14</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109" t="s">
        <v>64</v>
      </c>
      <c r="F168" s="109"/>
      <c r="G168" s="61"/>
      <c r="H168" s="111"/>
      <c r="I168" s="111"/>
      <c r="J168" s="67" t="s">
        <v>15</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09"/>
      <c r="F169" s="61"/>
      <c r="G169" s="61"/>
      <c r="H169" s="111"/>
      <c r="I169" s="111"/>
      <c r="J169" s="67" t="s">
        <v>16</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09" t="s">
        <v>88</v>
      </c>
      <c r="F170" s="61"/>
      <c r="G170" s="61"/>
      <c r="H170" s="111"/>
      <c r="I170" s="111"/>
      <c r="J170" s="67" t="s">
        <v>17</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89</v>
      </c>
      <c r="F171" s="61"/>
      <c r="G171" s="61"/>
      <c r="H171" s="111"/>
      <c r="I171" s="111"/>
      <c r="J171" s="67" t="s">
        <v>18</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c r="F172" s="61"/>
      <c r="G172" s="61"/>
      <c r="H172" s="111"/>
      <c r="I172" s="111"/>
      <c r="J172" s="67" t="s">
        <v>19</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111"/>
      <c r="I173" s="111"/>
      <c r="J173" s="67" t="s">
        <v>20</v>
      </c>
      <c r="K173" s="111"/>
      <c r="L173" s="58"/>
      <c r="M173" s="58"/>
      <c r="N173" s="58"/>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85</v>
      </c>
      <c r="F174" s="61"/>
      <c r="G174" s="61"/>
      <c r="H174" s="111"/>
      <c r="I174" s="109"/>
      <c r="J174" s="67" t="s">
        <v>21</v>
      </c>
      <c r="K174" s="109"/>
      <c r="L174" s="58"/>
      <c r="M174" s="58"/>
      <c r="N174" s="58"/>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108" t="s">
        <v>96</v>
      </c>
      <c r="F175" s="61"/>
      <c r="G175" s="61"/>
      <c r="H175" s="111"/>
      <c r="I175" s="109"/>
      <c r="J175" s="67" t="s">
        <v>22</v>
      </c>
      <c r="K175" s="109"/>
      <c r="L175" s="58"/>
      <c r="M175" s="58"/>
      <c r="N175" s="58"/>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113" t="s">
        <v>87</v>
      </c>
      <c r="F176" s="61"/>
      <c r="G176" s="61"/>
      <c r="H176" s="67"/>
      <c r="I176" s="109"/>
      <c r="J176" s="67" t="s">
        <v>23</v>
      </c>
      <c r="K176" s="109"/>
      <c r="L176" s="58"/>
      <c r="M176" s="58"/>
      <c r="N176" s="58"/>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7"/>
      <c r="I177" s="109"/>
      <c r="J177" s="67" t="s">
        <v>24</v>
      </c>
      <c r="K177" s="109"/>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203</v>
      </c>
      <c r="F178" s="61"/>
      <c r="G178" s="61"/>
      <c r="H178" s="61"/>
      <c r="I178" s="109"/>
      <c r="J178" s="67" t="s">
        <v>25</v>
      </c>
      <c r="K178" s="109"/>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202</v>
      </c>
      <c r="F179" s="61"/>
      <c r="G179" s="61"/>
      <c r="H179" s="61"/>
      <c r="I179" s="109"/>
      <c r="J179" s="67" t="s">
        <v>26</v>
      </c>
      <c r="K179" s="109"/>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204</v>
      </c>
      <c r="F180" s="61"/>
      <c r="G180" s="61"/>
      <c r="H180" s="61"/>
      <c r="I180" s="109"/>
      <c r="J180" s="67" t="s">
        <v>27</v>
      </c>
      <c r="K180" s="109"/>
      <c r="L180" s="59"/>
      <c r="M180" s="59"/>
      <c r="N180" s="59"/>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179</v>
      </c>
      <c r="F181" s="61"/>
      <c r="G181" s="61"/>
      <c r="H181" s="61"/>
      <c r="I181" s="61"/>
      <c r="J181" s="67" t="s">
        <v>28</v>
      </c>
      <c r="K181" s="61"/>
      <c r="L181" s="59"/>
      <c r="M181" s="59"/>
      <c r="N181" s="59"/>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29</v>
      </c>
      <c r="K182" s="61"/>
      <c r="L182" s="59"/>
      <c r="M182" s="59"/>
      <c r="N182" s="59"/>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30</v>
      </c>
      <c r="K183" s="61"/>
      <c r="L183" s="59"/>
      <c r="M183" s="59"/>
      <c r="N183" s="59"/>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31</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32</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33</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106</v>
      </c>
      <c r="F187" s="61"/>
      <c r="G187" s="61"/>
      <c r="H187" s="61"/>
      <c r="I187" s="61"/>
      <c r="J187" s="67" t="s">
        <v>34</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74</v>
      </c>
      <c r="F188" s="61"/>
      <c r="G188" s="61"/>
      <c r="H188" s="61"/>
      <c r="I188" s="61"/>
      <c r="J188" s="67" t="s">
        <v>35</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105</v>
      </c>
      <c r="F189" s="61"/>
      <c r="G189" s="61"/>
      <c r="H189" s="61"/>
      <c r="I189" s="61"/>
      <c r="J189" s="67" t="s">
        <v>36</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37</v>
      </c>
      <c r="K190" s="61"/>
      <c r="L190" s="21"/>
      <c r="M190" s="21"/>
      <c r="N190" s="21"/>
      <c r="O190" s="2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38</v>
      </c>
      <c r="K191" s="61"/>
      <c r="L191" s="21"/>
      <c r="M191" s="21"/>
      <c r="N191" s="21"/>
      <c r="O191" s="2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75</v>
      </c>
      <c r="F192" s="61"/>
      <c r="G192" s="61"/>
      <c r="H192" s="61"/>
      <c r="I192" s="61"/>
      <c r="J192" s="67" t="s">
        <v>39</v>
      </c>
      <c r="K192" s="61"/>
      <c r="L192" s="21"/>
      <c r="M192" s="21"/>
      <c r="N192" s="21"/>
      <c r="O192" s="2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74</v>
      </c>
      <c r="F193" s="61"/>
      <c r="G193" s="61"/>
      <c r="H193" s="61"/>
      <c r="I193" s="61"/>
      <c r="J193" s="67" t="s">
        <v>40</v>
      </c>
      <c r="K193" s="61"/>
      <c r="L193" s="21"/>
      <c r="M193" s="21"/>
      <c r="N193" s="21"/>
      <c r="O193" s="2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c r="F194" s="61"/>
      <c r="G194" s="61"/>
      <c r="H194" s="61"/>
      <c r="I194" s="61"/>
      <c r="J194" s="67" t="s">
        <v>41</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77</v>
      </c>
      <c r="F195" s="61"/>
      <c r="G195" s="61"/>
      <c r="H195" s="61"/>
      <c r="I195" s="61"/>
      <c r="J195" s="67" t="s">
        <v>42</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76</v>
      </c>
      <c r="F196" s="61"/>
      <c r="G196" s="61"/>
      <c r="H196" s="61"/>
      <c r="I196" s="61"/>
      <c r="J196" s="67" t="s">
        <v>43</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44</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80</v>
      </c>
      <c r="F198" s="61"/>
      <c r="G198" s="61"/>
      <c r="H198" s="61"/>
      <c r="I198" s="61"/>
      <c r="J198" s="67" t="s">
        <v>45</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81</v>
      </c>
      <c r="F199" s="61"/>
      <c r="G199" s="61"/>
      <c r="H199" s="61"/>
      <c r="I199" s="61"/>
      <c r="J199" s="67" t="s">
        <v>46</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87</v>
      </c>
      <c r="F200" s="61"/>
      <c r="G200" s="61"/>
      <c r="H200" s="61"/>
      <c r="I200" s="61"/>
      <c r="J200" s="67" t="s">
        <v>47</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c r="F201" s="61"/>
      <c r="G201" s="61"/>
      <c r="H201" s="61"/>
      <c r="I201" s="61"/>
      <c r="J201" s="67" t="s">
        <v>48</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91</v>
      </c>
      <c r="F202" s="61"/>
      <c r="G202" s="61"/>
      <c r="H202" s="61"/>
      <c r="I202" s="61"/>
      <c r="J202" s="67" t="s">
        <v>49</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90</v>
      </c>
      <c r="F203" s="61"/>
      <c r="G203" s="61"/>
      <c r="H203" s="61"/>
      <c r="I203" s="61"/>
      <c r="J203" s="67" t="s">
        <v>50</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67" t="s">
        <v>51</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93</v>
      </c>
      <c r="F205" s="61"/>
      <c r="G205" s="61"/>
      <c r="H205" s="61"/>
      <c r="I205" s="61"/>
      <c r="J205" s="67" t="s">
        <v>52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33"/>
      <c r="E206" s="61" t="s">
        <v>95</v>
      </c>
      <c r="F206" s="61"/>
      <c r="G206" s="61"/>
      <c r="H206" s="61"/>
      <c r="I206" s="61"/>
      <c r="J206" s="61"/>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33"/>
      <c r="E207" s="61" t="s">
        <v>92</v>
      </c>
      <c r="F207" s="61"/>
      <c r="G207" s="61"/>
      <c r="H207" s="61"/>
      <c r="I207" s="61"/>
      <c r="J207" s="61"/>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33"/>
      <c r="E208" s="61"/>
      <c r="F208" s="61"/>
      <c r="G208" s="61"/>
      <c r="H208" s="61"/>
      <c r="I208" s="61"/>
      <c r="J208" s="116">
        <v>2010</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33"/>
      <c r="E209" s="61" t="s">
        <v>97</v>
      </c>
      <c r="F209" s="61"/>
      <c r="G209" s="61"/>
      <c r="H209" s="61"/>
      <c r="I209" s="61"/>
      <c r="J209" s="116">
        <f>J208+2</f>
        <v>2012</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99</v>
      </c>
      <c r="F210" s="61"/>
      <c r="G210" s="61"/>
      <c r="H210" s="61"/>
      <c r="I210" s="61"/>
      <c r="J210" s="116">
        <f t="shared" ref="J210:J228" si="0">J209+2</f>
        <v>2014</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6">
        <f t="shared" si="0"/>
        <v>2016</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6">
        <f t="shared" si="0"/>
        <v>2018</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7" t="s">
        <v>98</v>
      </c>
      <c r="F213" s="61"/>
      <c r="G213" s="61"/>
      <c r="H213" s="61"/>
      <c r="I213" s="61"/>
      <c r="J213" s="116">
        <f t="shared" si="0"/>
        <v>2020</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58</v>
      </c>
      <c r="F214" s="61"/>
      <c r="G214" s="61"/>
      <c r="H214" s="61"/>
      <c r="I214" s="61"/>
      <c r="J214" s="116">
        <f t="shared" si="0"/>
        <v>2022</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108" t="s">
        <v>84</v>
      </c>
      <c r="F215" s="61"/>
      <c r="G215" s="61"/>
      <c r="H215" s="61"/>
      <c r="I215" s="61"/>
      <c r="J215" s="116">
        <f t="shared" si="0"/>
        <v>2024</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6">
        <f t="shared" si="0"/>
        <v>2026</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6">
        <f t="shared" si="0"/>
        <v>2028</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187</v>
      </c>
      <c r="F218" s="61"/>
      <c r="G218" s="61"/>
      <c r="H218" s="61"/>
      <c r="I218" s="61"/>
      <c r="J218" s="116">
        <f t="shared" si="0"/>
        <v>2030</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188</v>
      </c>
      <c r="F219" s="61"/>
      <c r="G219" s="61"/>
      <c r="H219" s="61"/>
      <c r="I219" s="61"/>
      <c r="J219" s="116">
        <f t="shared" si="0"/>
        <v>2032</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189</v>
      </c>
      <c r="F220" s="61"/>
      <c r="G220" s="61"/>
      <c r="H220" s="61"/>
      <c r="I220" s="61"/>
      <c r="J220" s="116">
        <f t="shared" si="0"/>
        <v>2034</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190</v>
      </c>
      <c r="F221" s="61"/>
      <c r="G221" s="61"/>
      <c r="H221" s="61"/>
      <c r="I221" s="61"/>
      <c r="J221" s="116">
        <f t="shared" si="0"/>
        <v>2036</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c r="F222" s="61"/>
      <c r="G222" s="61"/>
      <c r="H222" s="61"/>
      <c r="I222" s="61"/>
      <c r="J222" s="116">
        <f t="shared" si="0"/>
        <v>2038</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116">
        <f t="shared" si="0"/>
        <v>2040</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196</v>
      </c>
      <c r="F224" s="61"/>
      <c r="G224" s="61"/>
      <c r="H224" s="61"/>
      <c r="I224" s="61"/>
      <c r="J224" s="116">
        <f t="shared" si="0"/>
        <v>2042</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t="s">
        <v>197</v>
      </c>
      <c r="F225" s="61"/>
      <c r="G225" s="61"/>
      <c r="H225" s="61"/>
      <c r="I225" s="61"/>
      <c r="J225" s="116">
        <f t="shared" si="0"/>
        <v>2044</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t="s">
        <v>198</v>
      </c>
      <c r="F226" s="61"/>
      <c r="G226" s="61"/>
      <c r="H226" s="61"/>
      <c r="I226" s="61"/>
      <c r="J226" s="116">
        <f t="shared" si="0"/>
        <v>2046</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t="s">
        <v>199</v>
      </c>
      <c r="F227" s="61"/>
      <c r="G227" s="61"/>
      <c r="H227" s="61"/>
      <c r="I227" s="61"/>
      <c r="J227" s="116">
        <f t="shared" si="0"/>
        <v>2048</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t="s">
        <v>200</v>
      </c>
      <c r="F228" s="61"/>
      <c r="G228" s="61"/>
      <c r="H228" s="61"/>
      <c r="I228" s="61"/>
      <c r="J228" s="116">
        <f t="shared" si="0"/>
        <v>2050</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0.1</v>
      </c>
      <c r="F231" s="61"/>
      <c r="G231" s="61"/>
      <c r="H231" s="61"/>
      <c r="I231" s="61"/>
      <c r="J231" s="61" t="s">
        <v>311</v>
      </c>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0.2</v>
      </c>
      <c r="F232" s="61"/>
      <c r="G232" s="61"/>
      <c r="H232" s="61"/>
      <c r="I232" s="61"/>
      <c r="J232" s="61" t="s">
        <v>312</v>
      </c>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0.3</v>
      </c>
      <c r="F233" s="61"/>
      <c r="G233" s="61"/>
      <c r="H233" s="61"/>
      <c r="I233" s="61"/>
      <c r="J233" s="61" t="s">
        <v>313</v>
      </c>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0.4</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0.5</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0.6</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v>0.7</v>
      </c>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v>0.8</v>
      </c>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v>0.9</v>
      </c>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v>1</v>
      </c>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19"/>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19"/>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19"/>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19"/>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21"/>
      <c r="B288" s="21"/>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21"/>
      <c r="B289" s="21"/>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21"/>
      <c r="B290" s="21"/>
      <c r="C290" s="21"/>
      <c r="D290" s="21"/>
      <c r="E290" s="61"/>
      <c r="F290" s="61"/>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21"/>
      <c r="B291" s="21"/>
      <c r="C291" s="21"/>
      <c r="D291" s="21"/>
      <c r="E291" s="61"/>
      <c r="F291" s="61"/>
      <c r="G291" s="61"/>
      <c r="H291" s="61"/>
      <c r="I291" s="61"/>
      <c r="J291" s="61"/>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1"/>
      <c r="G292" s="61"/>
      <c r="H292" s="61"/>
      <c r="I292" s="61"/>
      <c r="J292" s="61"/>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1"/>
      <c r="G293" s="61"/>
      <c r="H293" s="61"/>
      <c r="I293" s="61"/>
      <c r="J293" s="61"/>
      <c r="K293" s="61"/>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1"/>
      <c r="J294" s="61"/>
      <c r="K294" s="61"/>
      <c r="L294" s="61"/>
      <c r="M294" s="61"/>
      <c r="N294" s="61"/>
      <c r="O294" s="61"/>
      <c r="P294" s="61"/>
      <c r="Q294" s="61"/>
      <c r="R294" s="61"/>
      <c r="S294" s="61"/>
      <c r="T294" s="61"/>
      <c r="U294" s="61"/>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21"/>
      <c r="D295" s="21"/>
      <c r="E295" s="61"/>
      <c r="F295" s="65"/>
      <c r="G295" s="61"/>
      <c r="H295" s="61"/>
      <c r="I295" s="61"/>
      <c r="J295" s="65"/>
      <c r="K295" s="61"/>
      <c r="L295" s="61"/>
      <c r="M295" s="61"/>
      <c r="N295" s="61"/>
      <c r="O295" s="61"/>
      <c r="P295" s="61"/>
      <c r="Q295" s="61"/>
      <c r="R295" s="61"/>
      <c r="S295" s="61"/>
      <c r="T295" s="61"/>
      <c r="U295" s="61"/>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21"/>
      <c r="D296" s="21"/>
      <c r="E296" s="61"/>
      <c r="F296" s="65"/>
      <c r="G296" s="61"/>
      <c r="H296" s="61"/>
      <c r="I296" s="61"/>
      <c r="J296" s="65"/>
      <c r="K296" s="61"/>
      <c r="L296" s="61"/>
      <c r="M296" s="61"/>
      <c r="N296" s="61"/>
      <c r="O296" s="61"/>
      <c r="P296" s="61"/>
      <c r="Q296" s="61"/>
      <c r="R296" s="61"/>
      <c r="S296" s="61"/>
      <c r="T296" s="61"/>
      <c r="U296" s="61"/>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21"/>
      <c r="D297" s="21"/>
      <c r="E297" s="61"/>
      <c r="F297" s="65"/>
      <c r="G297" s="61"/>
      <c r="H297" s="61"/>
      <c r="I297" s="65"/>
      <c r="J297" s="65"/>
      <c r="K297" s="65"/>
      <c r="L297" s="61"/>
      <c r="M297" s="61"/>
      <c r="N297" s="61"/>
      <c r="O297" s="61"/>
      <c r="P297" s="61"/>
      <c r="Q297" s="61"/>
      <c r="R297" s="61"/>
      <c r="S297" s="61"/>
      <c r="T297" s="61"/>
      <c r="U297" s="61"/>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21"/>
      <c r="D298" s="21"/>
      <c r="E298" s="61"/>
      <c r="F298" s="65"/>
      <c r="G298" s="61"/>
      <c r="H298" s="61"/>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1"/>
      <c r="F299" s="65"/>
      <c r="G299" s="61"/>
      <c r="H299" s="61"/>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65"/>
      <c r="G345" s="65"/>
      <c r="H345" s="65"/>
      <c r="I345" s="65"/>
      <c r="J345" s="65"/>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65"/>
      <c r="G346" s="65"/>
      <c r="H346" s="65"/>
      <c r="I346" s="65"/>
      <c r="J346" s="65"/>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65"/>
      <c r="F347" s="65"/>
      <c r="G347" s="65"/>
      <c r="H347" s="65"/>
      <c r="I347" s="65"/>
      <c r="J347" s="65"/>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65"/>
      <c r="F348" s="65"/>
      <c r="G348" s="65"/>
      <c r="H348" s="65"/>
      <c r="I348" s="65"/>
      <c r="J348" s="65"/>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65"/>
      <c r="F349" s="33"/>
      <c r="G349" s="65"/>
      <c r="H349" s="65"/>
      <c r="I349" s="65"/>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65"/>
      <c r="F350" s="33"/>
      <c r="G350" s="65"/>
      <c r="H350" s="65"/>
      <c r="I350" s="65"/>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65"/>
      <c r="H351" s="65"/>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65"/>
      <c r="H352" s="65"/>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65"/>
      <c r="H353" s="65"/>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65"/>
      <c r="H354" s="65"/>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33"/>
      <c r="B1239" s="33"/>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33"/>
      <c r="B1240" s="33"/>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33"/>
      <c r="B1241" s="33"/>
      <c r="C1241" s="33"/>
      <c r="D1241" s="33"/>
      <c r="E1241" s="33"/>
      <c r="F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33"/>
      <c r="B1242" s="33"/>
      <c r="C1242" s="33"/>
      <c r="D1242" s="33"/>
      <c r="E1242" s="33"/>
      <c r="F1242" s="33"/>
      <c r="G1242" s="33"/>
      <c r="H1242" s="33"/>
      <c r="I1242" s="33"/>
      <c r="J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33"/>
      <c r="D1243" s="33"/>
      <c r="E1243" s="33"/>
      <c r="F1243" s="33"/>
      <c r="G1243" s="33"/>
      <c r="H1243" s="33"/>
      <c r="I1243" s="33"/>
      <c r="J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33"/>
      <c r="D1244" s="33"/>
      <c r="E1244" s="33"/>
      <c r="F1244" s="33"/>
      <c r="G1244" s="33"/>
      <c r="H1244" s="33"/>
      <c r="I1244" s="33"/>
      <c r="J1244" s="33"/>
      <c r="K1244" s="65"/>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33"/>
      <c r="D1245" s="33"/>
      <c r="E1245" s="33"/>
      <c r="G1245" s="33"/>
      <c r="H1245" s="33"/>
      <c r="I1245" s="33"/>
      <c r="J1245" s="33"/>
      <c r="K1245" s="65"/>
      <c r="L1245" s="65"/>
      <c r="M1245" s="65"/>
      <c r="N1245" s="65"/>
      <c r="O1245" s="65"/>
      <c r="P1245" s="65"/>
      <c r="Q1245" s="65"/>
      <c r="R1245" s="65"/>
      <c r="S1245" s="65"/>
      <c r="T1245" s="65"/>
      <c r="U1245" s="65"/>
      <c r="V1245" s="65"/>
      <c r="W1245" s="65"/>
      <c r="X1245" s="65"/>
      <c r="Y1245" s="65"/>
      <c r="Z1245" s="65"/>
      <c r="AA1245" s="65"/>
      <c r="AB1245" s="65"/>
      <c r="AC1245" s="65"/>
      <c r="AD1245" s="33"/>
      <c r="AE1245" s="33"/>
      <c r="AF1245" s="33"/>
      <c r="AG1245" s="33"/>
      <c r="AH1245" s="33"/>
      <c r="AI1245" s="33"/>
      <c r="AJ1245" s="33"/>
      <c r="AK1245" s="33"/>
      <c r="AL1245" s="33"/>
      <c r="AM1245" s="33"/>
      <c r="AN1245" s="33"/>
      <c r="AO1245" s="33"/>
      <c r="AP1245" s="33"/>
      <c r="AQ1245" s="33"/>
      <c r="AR1245" s="33"/>
      <c r="AS1245" s="33"/>
      <c r="AT1245" s="33"/>
      <c r="AU1245" s="33"/>
      <c r="AV1245" s="33"/>
      <c r="AW1245" s="33"/>
      <c r="AX1245" s="33"/>
    </row>
    <row r="1246" spans="1:50">
      <c r="A1246" s="1"/>
      <c r="C1246" s="1"/>
      <c r="D1246" s="1"/>
      <c r="E1246" s="33"/>
      <c r="G1246" s="33"/>
      <c r="H1246" s="33"/>
      <c r="I1246" s="33"/>
      <c r="K1246" s="65"/>
      <c r="L1246" s="65"/>
      <c r="M1246" s="65"/>
      <c r="N1246" s="65"/>
      <c r="O1246" s="65"/>
      <c r="P1246" s="65"/>
      <c r="Q1246" s="65"/>
      <c r="R1246" s="65"/>
      <c r="S1246" s="65"/>
      <c r="T1246" s="65"/>
      <c r="U1246" s="65"/>
      <c r="V1246" s="65"/>
      <c r="W1246" s="65"/>
      <c r="X1246" s="65"/>
      <c r="Y1246" s="65"/>
      <c r="Z1246" s="65"/>
      <c r="AA1246" s="65"/>
      <c r="AB1246" s="65"/>
      <c r="AC1246" s="65"/>
      <c r="AD1246" s="33"/>
      <c r="AE1246" s="33"/>
      <c r="AF1246" s="33"/>
      <c r="AG1246" s="33"/>
      <c r="AH1246" s="33"/>
      <c r="AI1246" s="33"/>
      <c r="AJ1246" s="33"/>
      <c r="AK1246" s="33"/>
      <c r="AL1246" s="33"/>
      <c r="AM1246" s="33"/>
      <c r="AN1246" s="33"/>
      <c r="AO1246" s="33"/>
      <c r="AP1246" s="33"/>
      <c r="AQ1246" s="33"/>
      <c r="AR1246" s="33"/>
      <c r="AS1246" s="33"/>
      <c r="AT1246" s="33"/>
      <c r="AU1246" s="33"/>
      <c r="AV1246" s="33"/>
      <c r="AW1246" s="33"/>
      <c r="AX1246" s="33"/>
    </row>
    <row r="1247" spans="1:50">
      <c r="A1247" s="1"/>
      <c r="C1247" s="1"/>
      <c r="D1247" s="1"/>
      <c r="E1247" s="1"/>
      <c r="G1247" s="33"/>
      <c r="H1247" s="33"/>
      <c r="I1247" s="33"/>
      <c r="K1247" s="65"/>
      <c r="L1247" s="65"/>
      <c r="M1247" s="65"/>
      <c r="N1247" s="65"/>
      <c r="O1247" s="65"/>
      <c r="P1247" s="65"/>
      <c r="Q1247" s="65"/>
      <c r="R1247" s="65"/>
      <c r="S1247" s="65"/>
      <c r="T1247" s="65"/>
      <c r="U1247" s="65"/>
      <c r="V1247" s="65"/>
      <c r="W1247" s="65"/>
      <c r="X1247" s="65"/>
      <c r="Y1247" s="65"/>
      <c r="Z1247" s="65"/>
      <c r="AA1247" s="65"/>
      <c r="AB1247" s="65"/>
      <c r="AC1247" s="65"/>
      <c r="AD1247" s="33"/>
      <c r="AE1247" s="33"/>
      <c r="AF1247" s="33"/>
      <c r="AG1247" s="33"/>
      <c r="AH1247" s="33"/>
      <c r="AI1247" s="33"/>
      <c r="AJ1247" s="33"/>
      <c r="AK1247" s="33"/>
      <c r="AL1247" s="33"/>
      <c r="AM1247" s="33"/>
      <c r="AN1247" s="33"/>
      <c r="AO1247" s="33"/>
      <c r="AP1247" s="33"/>
      <c r="AQ1247" s="33"/>
      <c r="AR1247" s="33"/>
      <c r="AS1247" s="33"/>
      <c r="AT1247" s="33"/>
      <c r="AU1247" s="33"/>
      <c r="AV1247" s="33"/>
      <c r="AW1247" s="33"/>
      <c r="AX1247" s="33"/>
    </row>
    <row r="1248" spans="1:50">
      <c r="A1248" s="1"/>
      <c r="C1248" s="1"/>
      <c r="D1248" s="1"/>
      <c r="E1248" s="1"/>
      <c r="G1248" s="33"/>
      <c r="H1248" s="33"/>
      <c r="L1248" s="65"/>
      <c r="M1248" s="65"/>
      <c r="N1248" s="65"/>
      <c r="O1248" s="65"/>
      <c r="P1248" s="65"/>
      <c r="Q1248" s="65"/>
      <c r="R1248" s="65"/>
      <c r="S1248" s="65"/>
      <c r="T1248" s="65"/>
      <c r="U1248" s="65"/>
      <c r="V1248" s="65"/>
      <c r="W1248" s="65"/>
      <c r="X1248" s="65"/>
      <c r="Y1248" s="65"/>
      <c r="Z1248" s="65"/>
      <c r="AA1248" s="65"/>
      <c r="AB1248" s="65"/>
      <c r="AC1248" s="65"/>
      <c r="AD1248" s="33"/>
      <c r="AE1248" s="33"/>
      <c r="AF1248" s="33"/>
      <c r="AG1248" s="33"/>
      <c r="AH1248" s="33"/>
      <c r="AI1248" s="33"/>
      <c r="AJ1248" s="33"/>
      <c r="AK1248" s="33"/>
      <c r="AL1248" s="33"/>
      <c r="AM1248" s="33"/>
      <c r="AN1248" s="33"/>
      <c r="AO1248" s="33"/>
      <c r="AP1248" s="33"/>
      <c r="AQ1248" s="33"/>
      <c r="AR1248" s="33"/>
      <c r="AS1248" s="33"/>
      <c r="AT1248" s="33"/>
      <c r="AU1248" s="33"/>
      <c r="AV1248" s="33"/>
      <c r="AW1248" s="33"/>
      <c r="AX1248" s="33"/>
    </row>
    <row r="1249" spans="1:8">
      <c r="A1249" s="1"/>
      <c r="C1249" s="1"/>
      <c r="D1249" s="1"/>
      <c r="E1249" s="1"/>
      <c r="G1249" s="33"/>
      <c r="H1249" s="33"/>
    </row>
    <row r="1250" spans="1:8">
      <c r="A1250" s="1"/>
      <c r="E1250" s="1"/>
      <c r="G1250" s="33"/>
      <c r="H1250" s="33"/>
    </row>
    <row r="1251" spans="1:8">
      <c r="A1251" s="1"/>
      <c r="E1251" s="1"/>
    </row>
    <row r="1252" spans="1:8">
      <c r="A1252" s="1"/>
    </row>
    <row r="1253" spans="1:8">
      <c r="A1253" s="1"/>
    </row>
    <row r="1254" spans="1:8">
      <c r="A1254" s="1"/>
    </row>
    <row r="1255" spans="1:8">
      <c r="A1255" s="1"/>
    </row>
    <row r="1256" spans="1:8">
      <c r="A1256" s="1"/>
    </row>
    <row r="1257" spans="1:8">
      <c r="A1257" s="1"/>
    </row>
    <row r="1258" spans="1:8">
      <c r="A1258" s="1"/>
    </row>
    <row r="1259" spans="1:8">
      <c r="A1259" s="1"/>
    </row>
    <row r="1260" spans="1:8">
      <c r="A1260" s="1"/>
    </row>
    <row r="1261" spans="1:8">
      <c r="A1261" s="1"/>
    </row>
    <row r="1262" spans="1:8">
      <c r="A1262" s="1"/>
    </row>
    <row r="1263" spans="1:8">
      <c r="A1263" s="1"/>
    </row>
    <row r="1264" spans="1:8">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row r="2270" spans="1:1">
      <c r="A2270" s="1"/>
    </row>
    <row r="2271" spans="1:1">
      <c r="A2271" s="1"/>
    </row>
    <row r="2272" spans="1:1">
      <c r="A2272" s="1"/>
    </row>
    <row r="2273" spans="1:1">
      <c r="A2273" s="1"/>
    </row>
  </sheetData>
  <phoneticPr fontId="4" type="noConversion"/>
  <dataValidations count="13">
    <dataValidation type="list" allowBlank="1" showInputMessage="1" showErrorMessage="1" sqref="D26">
      <formula1>"No Carbon Price, Price Based On State Carbon Intensity, Price Based On NG Offset"</formula1>
    </dataValidation>
    <dataValidation type="list" allowBlank="1" showInputMessage="1" showErrorMessage="1" sqref="D22 D16 D19">
      <formula1>$J$231:$J$233</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$J$156:$J$205</formula1>
    </dataValidation>
    <dataValidation type="list" allowBlank="1" showInputMessage="1" showErrorMessage="1" sqref="D13">
      <formula1>$E$178:$E$181</formula1>
    </dataValidation>
    <dataValidation type="list" allowBlank="1" showInputMessage="1" showErrorMessage="1" sqref="D12">
      <formula1>$J$210:$J$228</formula1>
    </dataValidation>
    <dataValidation type="list" allowBlank="1" showInputMessage="1" showErrorMessage="1" sqref="D15">
      <formula1>$E$224:$E$228</formula1>
    </dataValidation>
    <dataValidation type="list" allowBlank="1" showInputMessage="1" showErrorMessage="1" sqref="D25">
      <formula1>$E$161:$E$164</formula1>
    </dataValidation>
    <dataValidation type="whole" showInputMessage="1" showErrorMessage="1" sqref="D34">
      <formula1>-10000000000</formula1>
      <formula2>10000000000</formula2>
    </dataValidation>
    <dataValidation type="list" allowBlank="1" showInputMessage="1" showErrorMessage="1" sqref="D27">
      <formula1>$E$218:$E$221</formula1>
    </dataValidation>
    <dataValidation type="decimal" showInputMessage="1" showErrorMessage="1" sqref="D32 D28 D30">
      <formula1>0.01</formula1>
      <formula2>1</formula2>
    </dataValidation>
    <dataValidation type="decimal" operator="greaterThanOrEqual" showInputMessage="1" showErrorMessage="1" sqref="D31 D29 D33">
      <formula1>1</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79"/>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72" t="s">
        <v>109</v>
      </c>
      <c r="D2" s="89"/>
      <c r="E2" s="88"/>
      <c r="F2" s="88"/>
      <c r="G2" s="88"/>
      <c r="H2" s="88"/>
      <c r="I2" s="88"/>
      <c r="J2" s="88"/>
      <c r="K2" s="88"/>
      <c r="L2" s="88"/>
      <c r="M2" s="88"/>
      <c r="N2" s="88"/>
      <c r="O2" s="88"/>
      <c r="P2" s="88"/>
      <c r="Q2" s="88"/>
      <c r="R2" s="88"/>
      <c r="S2" s="88"/>
      <c r="T2" s="88"/>
      <c r="U2" s="88"/>
      <c r="V2" s="88"/>
      <c r="W2" s="88"/>
      <c r="X2" s="88"/>
      <c r="Y2" s="421"/>
      <c r="Z2" s="421"/>
      <c r="AA2" s="421"/>
      <c r="AB2" s="421"/>
      <c r="AC2" s="421"/>
      <c r="AD2" s="421"/>
      <c r="AE2" s="421"/>
      <c r="AF2" s="421"/>
      <c r="AG2" s="421"/>
      <c r="AH2" s="421"/>
      <c r="AI2" s="421"/>
      <c r="AJ2" s="421"/>
      <c r="AK2" s="421"/>
      <c r="AL2" s="421"/>
      <c r="AM2" s="421"/>
      <c r="AN2" s="421"/>
      <c r="AO2" s="421"/>
      <c r="AP2" s="89"/>
      <c r="AQ2" s="89"/>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88"/>
      <c r="X3" s="88"/>
      <c r="Y3" s="421"/>
      <c r="Z3" s="421"/>
      <c r="AA3" s="421"/>
      <c r="AB3" s="421"/>
      <c r="AC3" s="421"/>
      <c r="AD3" s="421"/>
      <c r="AE3" s="421"/>
      <c r="AF3" s="421"/>
      <c r="AG3" s="421"/>
      <c r="AH3" s="421"/>
      <c r="AI3" s="421"/>
      <c r="AJ3" s="421"/>
      <c r="AK3" s="421"/>
      <c r="AL3" s="421"/>
      <c r="AM3" s="421"/>
      <c r="AN3" s="421"/>
      <c r="AO3" s="421"/>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09"/>
      <c r="D4" s="410"/>
      <c r="E4" s="410"/>
      <c r="F4" s="411"/>
      <c r="G4" s="412" t="s">
        <v>296</v>
      </c>
      <c r="H4" s="411"/>
      <c r="I4" s="410"/>
      <c r="J4" s="413"/>
      <c r="K4" s="88"/>
      <c r="L4" s="88"/>
      <c r="M4" s="88"/>
      <c r="N4" s="88"/>
      <c r="O4" s="88"/>
      <c r="P4" s="88"/>
      <c r="Q4" s="88"/>
      <c r="R4" s="88"/>
      <c r="S4" s="88"/>
      <c r="T4" s="88"/>
      <c r="U4" s="88"/>
      <c r="V4" s="88"/>
      <c r="W4" s="88"/>
      <c r="X4" s="88"/>
      <c r="Y4" s="421"/>
      <c r="Z4" s="421"/>
      <c r="AA4" s="421"/>
      <c r="AB4" s="421"/>
      <c r="AC4" s="421"/>
      <c r="AD4" s="421"/>
      <c r="AE4" s="421"/>
      <c r="AF4" s="421"/>
      <c r="AG4" s="421"/>
      <c r="AH4" s="421"/>
      <c r="AI4" s="421"/>
      <c r="AJ4" s="421"/>
      <c r="AK4" s="421"/>
      <c r="AL4" s="421"/>
      <c r="AM4" s="421"/>
      <c r="AN4" s="421"/>
      <c r="AO4" s="421"/>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25" t="s">
        <v>160</v>
      </c>
      <c r="D5" s="423">
        <v>0.03</v>
      </c>
      <c r="E5" s="414" t="s">
        <v>161</v>
      </c>
      <c r="F5" s="415"/>
      <c r="G5" s="416" t="s">
        <v>293</v>
      </c>
      <c r="H5" s="415"/>
      <c r="I5" s="422" t="s">
        <v>297</v>
      </c>
      <c r="J5" s="417"/>
      <c r="K5" s="88"/>
      <c r="L5" s="88"/>
      <c r="M5" s="88"/>
      <c r="N5" s="88"/>
      <c r="O5" s="88"/>
      <c r="P5" s="88"/>
      <c r="Q5" s="88"/>
      <c r="R5" s="88"/>
      <c r="S5" s="88"/>
      <c r="T5" s="88"/>
      <c r="U5" s="88"/>
      <c r="V5" s="88"/>
      <c r="W5" s="88"/>
      <c r="X5" s="88"/>
      <c r="Y5" s="421"/>
      <c r="Z5" s="421"/>
      <c r="AA5" s="421"/>
      <c r="AB5" s="421"/>
      <c r="AC5" s="421"/>
      <c r="AD5" s="421"/>
      <c r="AE5" s="421"/>
      <c r="AF5" s="421"/>
      <c r="AG5" s="421"/>
      <c r="AH5" s="421"/>
      <c r="AI5" s="421"/>
      <c r="AJ5" s="421"/>
      <c r="AK5" s="421"/>
      <c r="AL5" s="421"/>
      <c r="AM5" s="421"/>
      <c r="AN5" s="421"/>
      <c r="AO5" s="421"/>
      <c r="AP5" s="89"/>
      <c r="AQ5" s="89"/>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24"/>
      <c r="C6" s="426"/>
      <c r="D6" s="423">
        <v>1.4999999999999999E-2</v>
      </c>
      <c r="E6" s="414" t="s">
        <v>161</v>
      </c>
      <c r="F6" s="415"/>
      <c r="G6" s="416" t="s">
        <v>294</v>
      </c>
      <c r="H6" s="418"/>
      <c r="I6" s="428" t="s">
        <v>298</v>
      </c>
      <c r="J6" s="417"/>
      <c r="K6" s="88"/>
      <c r="L6" s="88"/>
      <c r="M6" s="88"/>
      <c r="N6" s="88"/>
      <c r="O6" s="88"/>
      <c r="P6" s="88"/>
      <c r="Q6" s="88"/>
      <c r="R6" s="88"/>
      <c r="S6" s="88"/>
      <c r="T6" s="88"/>
      <c r="U6" s="88"/>
      <c r="V6" s="88"/>
      <c r="W6" s="88"/>
      <c r="X6" s="88"/>
      <c r="Y6" s="421"/>
      <c r="Z6" s="421"/>
      <c r="AA6" s="421"/>
      <c r="AB6" s="421"/>
      <c r="AC6" s="421"/>
      <c r="AD6" s="421"/>
      <c r="AE6" s="421"/>
      <c r="AF6" s="421"/>
      <c r="AG6" s="421"/>
      <c r="AH6" s="421"/>
      <c r="AI6" s="421"/>
      <c r="AJ6" s="421"/>
      <c r="AK6" s="421"/>
      <c r="AL6" s="421"/>
      <c r="AM6" s="421"/>
      <c r="AN6" s="421"/>
      <c r="AO6" s="421"/>
      <c r="AP6" s="89"/>
      <c r="AQ6" s="89"/>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24"/>
      <c r="C7" s="426"/>
      <c r="D7" s="423">
        <v>8.9999999999999993E-3</v>
      </c>
      <c r="E7" s="414" t="s">
        <v>161</v>
      </c>
      <c r="F7" s="418"/>
      <c r="G7" s="416" t="s">
        <v>295</v>
      </c>
      <c r="H7" s="418"/>
      <c r="I7" s="254"/>
      <c r="J7" s="417"/>
      <c r="K7" s="88"/>
      <c r="L7" s="88"/>
      <c r="M7" s="88"/>
      <c r="N7" s="88"/>
      <c r="O7" s="88"/>
      <c r="P7" s="88"/>
      <c r="Q7" s="88"/>
      <c r="R7" s="88"/>
      <c r="S7" s="88"/>
      <c r="T7" s="88"/>
      <c r="U7" s="88"/>
      <c r="V7" s="88"/>
      <c r="W7" s="88"/>
      <c r="X7" s="88"/>
      <c r="Y7" s="88"/>
      <c r="Z7" s="88"/>
      <c r="AA7" s="88"/>
      <c r="AB7" s="88"/>
      <c r="AC7" s="88"/>
      <c r="AD7" s="88"/>
      <c r="AE7" s="88"/>
      <c r="AF7" s="88"/>
      <c r="AG7" s="397"/>
      <c r="AH7" s="88"/>
      <c r="AI7" s="88"/>
      <c r="AJ7" s="89"/>
      <c r="AK7" s="89"/>
      <c r="AL7" s="89"/>
      <c r="AM7" s="89"/>
      <c r="AN7" s="89"/>
      <c r="AO7" s="89"/>
      <c r="AP7" s="89"/>
      <c r="AQ7" s="89"/>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27"/>
      <c r="D8" s="419"/>
      <c r="E8" s="419"/>
      <c r="F8" s="419"/>
      <c r="G8" s="419"/>
      <c r="H8" s="419"/>
      <c r="I8" s="419"/>
      <c r="J8" s="420"/>
      <c r="K8" s="88"/>
      <c r="L8" s="88"/>
      <c r="M8" s="88"/>
      <c r="N8" s="202"/>
      <c r="O8" s="202"/>
      <c r="P8" s="202"/>
      <c r="Q8" s="202"/>
      <c r="R8" s="202"/>
      <c r="S8" s="202"/>
      <c r="T8" s="202"/>
      <c r="U8" s="202"/>
      <c r="V8" s="202"/>
      <c r="W8" s="397"/>
      <c r="X8" s="88"/>
      <c r="Y8" s="88"/>
      <c r="Z8" s="88"/>
      <c r="AA8" s="88"/>
      <c r="AB8" s="88"/>
      <c r="AC8" s="88"/>
      <c r="AD8" s="88"/>
      <c r="AE8" s="88"/>
      <c r="AF8" s="88"/>
      <c r="AG8" s="397"/>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08"/>
      <c r="D9" s="88"/>
      <c r="E9" s="88"/>
      <c r="F9" s="88"/>
      <c r="G9" s="88"/>
      <c r="H9" s="88"/>
      <c r="I9" s="88"/>
      <c r="J9" s="88"/>
      <c r="K9" s="88"/>
      <c r="L9" s="88"/>
      <c r="M9" s="88"/>
      <c r="N9" s="88"/>
      <c r="O9" s="88"/>
      <c r="P9" s="88"/>
      <c r="Q9" s="88"/>
      <c r="R9" s="88"/>
      <c r="S9" s="88"/>
      <c r="T9" s="88"/>
      <c r="U9" s="88"/>
      <c r="V9" s="88"/>
      <c r="W9" s="397"/>
      <c r="X9" s="88"/>
      <c r="Y9" s="88"/>
      <c r="Z9" s="88"/>
      <c r="AA9" s="88"/>
      <c r="AB9" s="88"/>
      <c r="AC9" s="88"/>
      <c r="AD9" s="88"/>
      <c r="AE9" s="88"/>
      <c r="AF9" s="88"/>
      <c r="AG9" s="397"/>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397"/>
      <c r="X10" s="88"/>
      <c r="Y10" s="88"/>
      <c r="Z10" s="88"/>
      <c r="AA10" s="88"/>
      <c r="AB10" s="88"/>
      <c r="AC10" s="88"/>
      <c r="AD10" s="88"/>
      <c r="AE10" s="88"/>
      <c r="AF10" s="88"/>
      <c r="AG10" s="397"/>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254"/>
      <c r="C11" s="88"/>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7"/>
      <c r="X11" s="254"/>
      <c r="Y11" s="88"/>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110</v>
      </c>
      <c r="D12" s="268">
        <v>14057.532827154573</v>
      </c>
      <c r="E12" s="257">
        <f>D12*(1-$D$5)^2</f>
        <v>13226.732637069737</v>
      </c>
      <c r="F12" s="257">
        <f t="shared" ref="F12:V12" si="0">E12*(1-$D$5)^2</f>
        <v>12445.032738218915</v>
      </c>
      <c r="G12" s="257">
        <f t="shared" si="0"/>
        <v>11709.531303390177</v>
      </c>
      <c r="H12" s="257">
        <f t="shared" si="0"/>
        <v>11017.498003359817</v>
      </c>
      <c r="I12" s="257">
        <f t="shared" si="0"/>
        <v>10366.363871361251</v>
      </c>
      <c r="J12" s="257">
        <f t="shared" si="0"/>
        <v>9753.7117665637998</v>
      </c>
      <c r="K12" s="257">
        <f t="shared" si="0"/>
        <v>9177.2674011598792</v>
      </c>
      <c r="L12" s="257">
        <f t="shared" si="0"/>
        <v>8634.8908977513292</v>
      </c>
      <c r="M12" s="257">
        <f t="shared" si="0"/>
        <v>8124.5688456942253</v>
      </c>
      <c r="N12" s="257">
        <f t="shared" si="0"/>
        <v>7644.406826913696</v>
      </c>
      <c r="O12" s="257">
        <f t="shared" si="0"/>
        <v>7192.6223834430966</v>
      </c>
      <c r="P12" s="257">
        <f t="shared" si="0"/>
        <v>6767.5384005816095</v>
      </c>
      <c r="Q12" s="257">
        <f t="shared" si="0"/>
        <v>6367.5768811072357</v>
      </c>
      <c r="R12" s="257">
        <f t="shared" si="0"/>
        <v>5991.2530874337981</v>
      </c>
      <c r="S12" s="257">
        <f t="shared" si="0"/>
        <v>5637.1700299664608</v>
      </c>
      <c r="T12" s="257">
        <f t="shared" si="0"/>
        <v>5304.0132811954427</v>
      </c>
      <c r="U12" s="257">
        <f t="shared" si="0"/>
        <v>4990.546096276792</v>
      </c>
      <c r="V12" s="257">
        <f t="shared" si="0"/>
        <v>4695.6048219868335</v>
      </c>
      <c r="W12" s="253"/>
      <c r="X12" s="255"/>
      <c r="Y12" s="256" t="s">
        <v>110</v>
      </c>
      <c r="Z12" s="268">
        <v>4196.0970660021721</v>
      </c>
      <c r="AA12" s="257">
        <f>Z12*(1-$D$6)^2</f>
        <v>4071.1582758619575</v>
      </c>
      <c r="AB12" s="257">
        <f t="shared" ref="AB12:AR12" si="1">AA12*(1-$D$6)^2</f>
        <v>3949.9395381981676</v>
      </c>
      <c r="AC12" s="257">
        <f t="shared" si="1"/>
        <v>3832.3300884483174</v>
      </c>
      <c r="AD12" s="257">
        <f t="shared" si="1"/>
        <v>3718.2224600647687</v>
      </c>
      <c r="AE12" s="257">
        <f t="shared" si="1"/>
        <v>3607.5123863163403</v>
      </c>
      <c r="AF12" s="257">
        <f t="shared" si="1"/>
        <v>3500.0987050137715</v>
      </c>
      <c r="AG12" s="257">
        <f t="shared" si="1"/>
        <v>3395.8832660719863</v>
      </c>
      <c r="AH12" s="257">
        <f t="shared" si="1"/>
        <v>3294.770841824693</v>
      </c>
      <c r="AI12" s="257">
        <f t="shared" si="1"/>
        <v>3196.6690400093626</v>
      </c>
      <c r="AJ12" s="257">
        <f t="shared" si="1"/>
        <v>3101.488219343084</v>
      </c>
      <c r="AK12" s="257">
        <f t="shared" si="1"/>
        <v>3009.1414076121437</v>
      </c>
      <c r="AL12" s="257">
        <f t="shared" si="1"/>
        <v>2919.5442222004922</v>
      </c>
      <c r="AM12" s="257">
        <f t="shared" si="1"/>
        <v>2832.6147929844724</v>
      </c>
      <c r="AN12" s="257">
        <f t="shared" si="1"/>
        <v>2748.2736875233595</v>
      </c>
      <c r="AO12" s="257">
        <f t="shared" si="1"/>
        <v>2666.4438384773516</v>
      </c>
      <c r="AP12" s="257">
        <f t="shared" si="1"/>
        <v>2587.0504731866886</v>
      </c>
      <c r="AQ12" s="257">
        <f t="shared" si="1"/>
        <v>2510.0210453475547</v>
      </c>
      <c r="AR12" s="257">
        <f t="shared" si="1"/>
        <v>2435.2851687223315</v>
      </c>
      <c r="AS12" s="89"/>
      <c r="AT12" s="94"/>
      <c r="AU12" s="94"/>
      <c r="AV12" s="94"/>
      <c r="AW12" s="94"/>
      <c r="AX12" s="94"/>
      <c r="AY12" s="94"/>
      <c r="AZ12" s="89"/>
      <c r="BA12" s="89"/>
      <c r="BB12" s="89"/>
      <c r="BC12" s="89"/>
      <c r="BD12" s="89"/>
      <c r="BE12" s="89"/>
      <c r="BF12" s="89"/>
    </row>
    <row r="13" spans="1:121" ht="20.25" customHeight="1">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157</v>
      </c>
      <c r="C14" s="258" t="s">
        <v>162</v>
      </c>
      <c r="D14" s="271">
        <v>0.02</v>
      </c>
      <c r="E14" s="260">
        <v>0.02</v>
      </c>
      <c r="F14" s="260">
        <v>0.02</v>
      </c>
      <c r="G14" s="260">
        <v>0.02</v>
      </c>
      <c r="H14" s="260">
        <v>0.02</v>
      </c>
      <c r="I14" s="260">
        <v>0.02</v>
      </c>
      <c r="J14" s="260">
        <v>0.02</v>
      </c>
      <c r="K14" s="260">
        <v>0.02</v>
      </c>
      <c r="L14" s="260">
        <v>0.02</v>
      </c>
      <c r="M14" s="260">
        <v>0.02</v>
      </c>
      <c r="N14" s="260">
        <v>0.02</v>
      </c>
      <c r="O14" s="260">
        <v>0.02</v>
      </c>
      <c r="P14" s="260">
        <v>0.02</v>
      </c>
      <c r="Q14" s="260">
        <v>0.02</v>
      </c>
      <c r="R14" s="260">
        <v>0.02</v>
      </c>
      <c r="S14" s="260">
        <v>0.02</v>
      </c>
      <c r="T14" s="260">
        <v>0.02</v>
      </c>
      <c r="U14" s="260">
        <v>0.02</v>
      </c>
      <c r="V14" s="272">
        <v>0.02</v>
      </c>
      <c r="W14" s="88"/>
      <c r="X14" s="259" t="s">
        <v>157</v>
      </c>
      <c r="Y14" s="258" t="s">
        <v>162</v>
      </c>
      <c r="Z14" s="271">
        <v>0.02</v>
      </c>
      <c r="AA14" s="260">
        <v>0.02</v>
      </c>
      <c r="AB14" s="260">
        <v>0.02</v>
      </c>
      <c r="AC14" s="260">
        <v>0.02</v>
      </c>
      <c r="AD14" s="260">
        <v>0.02</v>
      </c>
      <c r="AE14" s="260">
        <v>0.02</v>
      </c>
      <c r="AF14" s="260">
        <v>0.02</v>
      </c>
      <c r="AG14" s="260">
        <v>0.02</v>
      </c>
      <c r="AH14" s="260">
        <v>0.02</v>
      </c>
      <c r="AI14" s="260">
        <v>0.02</v>
      </c>
      <c r="AJ14" s="260">
        <v>0.02</v>
      </c>
      <c r="AK14" s="260">
        <v>0.02</v>
      </c>
      <c r="AL14" s="260">
        <v>0.02</v>
      </c>
      <c r="AM14" s="260">
        <v>0.02</v>
      </c>
      <c r="AN14" s="260">
        <v>0.02</v>
      </c>
      <c r="AO14" s="260">
        <v>0.02</v>
      </c>
      <c r="AP14" s="260">
        <v>0.02</v>
      </c>
      <c r="AQ14" s="260">
        <v>0.02</v>
      </c>
      <c r="AR14" s="260">
        <v>0.02</v>
      </c>
      <c r="AS14" s="89"/>
      <c r="AT14" s="94"/>
      <c r="AU14" s="94"/>
      <c r="AV14" s="94"/>
      <c r="AW14" s="94"/>
      <c r="AX14" s="94"/>
      <c r="AY14" s="94"/>
      <c r="AZ14" s="89"/>
      <c r="BA14" s="89"/>
      <c r="BB14" s="89"/>
      <c r="BC14" s="89"/>
      <c r="BD14" s="89"/>
      <c r="BE14" s="89"/>
      <c r="BF14" s="89"/>
    </row>
    <row r="15" spans="1:121" ht="14.25" customHeight="1">
      <c r="A15" s="100"/>
      <c r="B15" s="261"/>
      <c r="C15" s="258" t="s">
        <v>111</v>
      </c>
      <c r="D15" s="273">
        <v>30</v>
      </c>
      <c r="E15" s="117">
        <f>D15</f>
        <v>30</v>
      </c>
      <c r="F15" s="117">
        <f t="shared" ref="F15:V15" si="2">E15</f>
        <v>30</v>
      </c>
      <c r="G15" s="117">
        <f t="shared" si="2"/>
        <v>30</v>
      </c>
      <c r="H15" s="117">
        <f t="shared" si="2"/>
        <v>30</v>
      </c>
      <c r="I15" s="117">
        <f t="shared" si="2"/>
        <v>30</v>
      </c>
      <c r="J15" s="117">
        <f t="shared" si="2"/>
        <v>30</v>
      </c>
      <c r="K15" s="117">
        <f t="shared" si="2"/>
        <v>30</v>
      </c>
      <c r="L15" s="117">
        <f t="shared" si="2"/>
        <v>30</v>
      </c>
      <c r="M15" s="117">
        <f t="shared" si="2"/>
        <v>30</v>
      </c>
      <c r="N15" s="117">
        <f t="shared" si="2"/>
        <v>30</v>
      </c>
      <c r="O15" s="117">
        <f t="shared" si="2"/>
        <v>30</v>
      </c>
      <c r="P15" s="117">
        <f t="shared" si="2"/>
        <v>30</v>
      </c>
      <c r="Q15" s="117">
        <f t="shared" si="2"/>
        <v>30</v>
      </c>
      <c r="R15" s="117">
        <f t="shared" si="2"/>
        <v>30</v>
      </c>
      <c r="S15" s="117">
        <f t="shared" si="2"/>
        <v>30</v>
      </c>
      <c r="T15" s="117">
        <f t="shared" si="2"/>
        <v>30</v>
      </c>
      <c r="U15" s="117">
        <f t="shared" si="2"/>
        <v>30</v>
      </c>
      <c r="V15" s="117">
        <f t="shared" si="2"/>
        <v>30</v>
      </c>
      <c r="W15" s="88"/>
      <c r="X15" s="261"/>
      <c r="Y15" s="258" t="s">
        <v>111</v>
      </c>
      <c r="Z15" s="273">
        <v>50</v>
      </c>
      <c r="AA15" s="117">
        <f>Z15</f>
        <v>50</v>
      </c>
      <c r="AB15" s="117">
        <f t="shared" ref="AB15:AR15" si="3">AA15</f>
        <v>50</v>
      </c>
      <c r="AC15" s="117">
        <f t="shared" si="3"/>
        <v>50</v>
      </c>
      <c r="AD15" s="117">
        <f t="shared" si="3"/>
        <v>50</v>
      </c>
      <c r="AE15" s="117">
        <f t="shared" si="3"/>
        <v>50</v>
      </c>
      <c r="AF15" s="117">
        <f t="shared" si="3"/>
        <v>50</v>
      </c>
      <c r="AG15" s="117">
        <f t="shared" si="3"/>
        <v>50</v>
      </c>
      <c r="AH15" s="117">
        <f t="shared" si="3"/>
        <v>50</v>
      </c>
      <c r="AI15" s="117">
        <f t="shared" si="3"/>
        <v>50</v>
      </c>
      <c r="AJ15" s="117">
        <f t="shared" si="3"/>
        <v>50</v>
      </c>
      <c r="AK15" s="117">
        <f t="shared" si="3"/>
        <v>50</v>
      </c>
      <c r="AL15" s="117">
        <f t="shared" si="3"/>
        <v>50</v>
      </c>
      <c r="AM15" s="117">
        <f t="shared" si="3"/>
        <v>50</v>
      </c>
      <c r="AN15" s="117">
        <f t="shared" si="3"/>
        <v>50</v>
      </c>
      <c r="AO15" s="117">
        <f t="shared" si="3"/>
        <v>50</v>
      </c>
      <c r="AP15" s="117">
        <f t="shared" si="3"/>
        <v>50</v>
      </c>
      <c r="AQ15" s="117">
        <f t="shared" si="3"/>
        <v>50</v>
      </c>
      <c r="AR15" s="117">
        <f t="shared" si="3"/>
        <v>50</v>
      </c>
      <c r="AS15" s="90"/>
      <c r="AT15" s="94"/>
      <c r="AU15" s="94"/>
      <c r="AV15" s="94"/>
      <c r="AW15" s="94"/>
      <c r="AX15" s="94"/>
      <c r="AY15" s="94"/>
      <c r="AZ15" s="89"/>
      <c r="BA15" s="89"/>
      <c r="BB15" s="89"/>
      <c r="BC15" s="89"/>
      <c r="BD15" s="89"/>
      <c r="BE15" s="89"/>
      <c r="BF15" s="89"/>
    </row>
    <row r="16" spans="1:121" ht="18.75" customHeight="1" thickBot="1">
      <c r="A16" s="88"/>
      <c r="B16" s="129"/>
      <c r="C16" s="262" t="s">
        <v>194</v>
      </c>
      <c r="D16" s="274">
        <v>336</v>
      </c>
      <c r="E16" s="335">
        <f>D16</f>
        <v>336</v>
      </c>
      <c r="F16" s="335">
        <f t="shared" ref="F16:V16" si="4">E16</f>
        <v>336</v>
      </c>
      <c r="G16" s="335">
        <f t="shared" si="4"/>
        <v>336</v>
      </c>
      <c r="H16" s="335">
        <f t="shared" si="4"/>
        <v>336</v>
      </c>
      <c r="I16" s="335">
        <f t="shared" si="4"/>
        <v>336</v>
      </c>
      <c r="J16" s="335">
        <f t="shared" si="4"/>
        <v>336</v>
      </c>
      <c r="K16" s="335">
        <f t="shared" si="4"/>
        <v>336</v>
      </c>
      <c r="L16" s="335">
        <f t="shared" si="4"/>
        <v>336</v>
      </c>
      <c r="M16" s="335">
        <f t="shared" si="4"/>
        <v>336</v>
      </c>
      <c r="N16" s="335">
        <f t="shared" si="4"/>
        <v>336</v>
      </c>
      <c r="O16" s="335">
        <f t="shared" si="4"/>
        <v>336</v>
      </c>
      <c r="P16" s="335">
        <f t="shared" si="4"/>
        <v>336</v>
      </c>
      <c r="Q16" s="335">
        <f t="shared" si="4"/>
        <v>336</v>
      </c>
      <c r="R16" s="335">
        <f t="shared" si="4"/>
        <v>336</v>
      </c>
      <c r="S16" s="335">
        <f t="shared" si="4"/>
        <v>336</v>
      </c>
      <c r="T16" s="335">
        <f t="shared" si="4"/>
        <v>336</v>
      </c>
      <c r="U16" s="335">
        <f t="shared" si="4"/>
        <v>336</v>
      </c>
      <c r="V16" s="335">
        <f t="shared" si="4"/>
        <v>336</v>
      </c>
      <c r="W16" s="88"/>
      <c r="X16" s="129"/>
      <c r="Y16" s="262" t="s">
        <v>194</v>
      </c>
      <c r="Z16" s="274">
        <v>10.757999999999999</v>
      </c>
      <c r="AA16" s="275">
        <f>Z16</f>
        <v>10.757999999999999</v>
      </c>
      <c r="AB16" s="275">
        <f t="shared" ref="AB16:AR16" si="5">AA16</f>
        <v>10.757999999999999</v>
      </c>
      <c r="AC16" s="275">
        <f t="shared" si="5"/>
        <v>10.757999999999999</v>
      </c>
      <c r="AD16" s="275">
        <f t="shared" si="5"/>
        <v>10.757999999999999</v>
      </c>
      <c r="AE16" s="275">
        <f t="shared" si="5"/>
        <v>10.757999999999999</v>
      </c>
      <c r="AF16" s="275">
        <f t="shared" si="5"/>
        <v>10.757999999999999</v>
      </c>
      <c r="AG16" s="275">
        <f t="shared" si="5"/>
        <v>10.757999999999999</v>
      </c>
      <c r="AH16" s="275">
        <f t="shared" si="5"/>
        <v>10.757999999999999</v>
      </c>
      <c r="AI16" s="275">
        <f t="shared" si="5"/>
        <v>10.757999999999999</v>
      </c>
      <c r="AJ16" s="275">
        <f t="shared" si="5"/>
        <v>10.757999999999999</v>
      </c>
      <c r="AK16" s="275">
        <f t="shared" si="5"/>
        <v>10.757999999999999</v>
      </c>
      <c r="AL16" s="275">
        <f t="shared" si="5"/>
        <v>10.757999999999999</v>
      </c>
      <c r="AM16" s="275">
        <f t="shared" si="5"/>
        <v>10.757999999999999</v>
      </c>
      <c r="AN16" s="275">
        <f t="shared" si="5"/>
        <v>10.757999999999999</v>
      </c>
      <c r="AO16" s="275">
        <f t="shared" si="5"/>
        <v>10.757999999999999</v>
      </c>
      <c r="AP16" s="275">
        <f t="shared" si="5"/>
        <v>10.757999999999999</v>
      </c>
      <c r="AQ16" s="275">
        <f t="shared" si="5"/>
        <v>10.757999999999999</v>
      </c>
      <c r="AR16" s="275">
        <f t="shared" si="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c r="A18" s="88"/>
      <c r="B18" s="254"/>
      <c r="C18" s="88"/>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88"/>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110</v>
      </c>
      <c r="D19" s="270">
        <v>8006.4074732891868</v>
      </c>
      <c r="E19" s="257">
        <f>D19*(1-$D$5)^2</f>
        <v>7533.2287916177957</v>
      </c>
      <c r="F19" s="257">
        <f t="shared" ref="F19:V19" si="6">E19*(1-$D$5)^2</f>
        <v>7088.014970033184</v>
      </c>
      <c r="G19" s="257">
        <f t="shared" si="6"/>
        <v>6669.1132853042227</v>
      </c>
      <c r="H19" s="257">
        <f t="shared" si="6"/>
        <v>6274.9686901427431</v>
      </c>
      <c r="I19" s="257">
        <f t="shared" si="6"/>
        <v>5904.1180405553068</v>
      </c>
      <c r="J19" s="257">
        <f t="shared" si="6"/>
        <v>5555.1846643584877</v>
      </c>
      <c r="K19" s="257">
        <f t="shared" si="6"/>
        <v>5226.8732506949009</v>
      </c>
      <c r="L19" s="257">
        <f t="shared" si="6"/>
        <v>4917.9650415788319</v>
      </c>
      <c r="M19" s="257">
        <f t="shared" si="6"/>
        <v>4627.3133076215227</v>
      </c>
      <c r="N19" s="257">
        <f t="shared" si="6"/>
        <v>4353.8390911410906</v>
      </c>
      <c r="O19" s="257">
        <f t="shared" si="6"/>
        <v>4096.5272008546517</v>
      </c>
      <c r="P19" s="257">
        <f t="shared" si="6"/>
        <v>3854.4224432841415</v>
      </c>
      <c r="Q19" s="257">
        <f t="shared" si="6"/>
        <v>3626.6260768860484</v>
      </c>
      <c r="R19" s="257">
        <f t="shared" si="6"/>
        <v>3412.2924757420828</v>
      </c>
      <c r="S19" s="257">
        <f t="shared" si="6"/>
        <v>3210.6259904257258</v>
      </c>
      <c r="T19" s="257">
        <f t="shared" si="6"/>
        <v>3020.8779943915652</v>
      </c>
      <c r="U19" s="257">
        <f t="shared" si="6"/>
        <v>2842.3441049230237</v>
      </c>
      <c r="V19" s="257">
        <f t="shared" si="6"/>
        <v>2674.3615683220728</v>
      </c>
      <c r="W19" s="88"/>
      <c r="X19" s="255"/>
      <c r="Y19" s="256" t="s">
        <v>110</v>
      </c>
      <c r="Z19" s="268">
        <v>3471.5567121367853</v>
      </c>
      <c r="AA19" s="257">
        <f>Z19*(1-$D$6)^2</f>
        <v>3368.1911110329124</v>
      </c>
      <c r="AB19" s="257">
        <f t="shared" ref="AB19:AR19" si="7">AA19*(1-$D$6)^2</f>
        <v>3267.9032207019077</v>
      </c>
      <c r="AC19" s="257">
        <f t="shared" si="7"/>
        <v>3170.6014023055086</v>
      </c>
      <c r="AD19" s="257">
        <f t="shared" si="7"/>
        <v>3076.196745551862</v>
      </c>
      <c r="AE19" s="257">
        <f t="shared" si="7"/>
        <v>2984.6029874530554</v>
      </c>
      <c r="AF19" s="257">
        <f t="shared" si="7"/>
        <v>2895.7364335016409</v>
      </c>
      <c r="AG19" s="257">
        <f t="shared" si="7"/>
        <v>2809.5158811941296</v>
      </c>
      <c r="AH19" s="257">
        <f t="shared" si="7"/>
        <v>2725.8625458315746</v>
      </c>
      <c r="AI19" s="257">
        <f t="shared" si="7"/>
        <v>2644.6999885294395</v>
      </c>
      <c r="AJ19" s="257">
        <f t="shared" si="7"/>
        <v>2565.9540463709754</v>
      </c>
      <c r="AK19" s="257">
        <f t="shared" si="7"/>
        <v>2489.5527646402797</v>
      </c>
      <c r="AL19" s="257">
        <f t="shared" si="7"/>
        <v>2415.4263310731153</v>
      </c>
      <c r="AM19" s="257">
        <f t="shared" si="7"/>
        <v>2343.5070120654132</v>
      </c>
      <c r="AN19" s="257">
        <f t="shared" si="7"/>
        <v>2273.7290907811657</v>
      </c>
      <c r="AO19" s="257">
        <f t="shared" si="7"/>
        <v>2206.0288071031564</v>
      </c>
      <c r="AP19" s="257">
        <f t="shared" si="7"/>
        <v>2140.3442993716599</v>
      </c>
      <c r="AQ19" s="257">
        <f t="shared" si="7"/>
        <v>2076.6155478578689</v>
      </c>
      <c r="AR19" s="257">
        <f t="shared" si="7"/>
        <v>2014.784319920401</v>
      </c>
      <c r="AS19" s="89"/>
      <c r="AT19" s="94"/>
      <c r="AU19" s="94"/>
      <c r="AV19" s="94"/>
      <c r="AW19" s="94"/>
      <c r="AX19" s="94"/>
      <c r="AY19" s="94"/>
      <c r="AZ19" s="95"/>
      <c r="BA19" s="96"/>
      <c r="BB19" s="93"/>
      <c r="BC19" s="89"/>
      <c r="BD19" s="89"/>
      <c r="BE19" s="89"/>
      <c r="BF19" s="89"/>
      <c r="BG19" s="89"/>
      <c r="BH19" s="89"/>
      <c r="BI19" s="89"/>
      <c r="BJ19" s="89"/>
    </row>
    <row r="20" spans="1:62" ht="18">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157</v>
      </c>
      <c r="C21" s="258" t="s">
        <v>162</v>
      </c>
      <c r="D21" s="271">
        <v>0.02</v>
      </c>
      <c r="E21" s="260">
        <v>0.02</v>
      </c>
      <c r="F21" s="260">
        <v>0.02</v>
      </c>
      <c r="G21" s="260">
        <v>0.02</v>
      </c>
      <c r="H21" s="260">
        <v>0.02</v>
      </c>
      <c r="I21" s="260">
        <v>0.02</v>
      </c>
      <c r="J21" s="260">
        <v>0.02</v>
      </c>
      <c r="K21" s="260">
        <v>0.02</v>
      </c>
      <c r="L21" s="260">
        <v>0.02</v>
      </c>
      <c r="M21" s="260">
        <v>0.02</v>
      </c>
      <c r="N21" s="260">
        <v>0.02</v>
      </c>
      <c r="O21" s="260">
        <v>0.02</v>
      </c>
      <c r="P21" s="260">
        <v>0.02</v>
      </c>
      <c r="Q21" s="260">
        <v>0.02</v>
      </c>
      <c r="R21" s="260">
        <v>0.02</v>
      </c>
      <c r="S21" s="260">
        <v>0.02</v>
      </c>
      <c r="T21" s="260">
        <v>0.02</v>
      </c>
      <c r="U21" s="260">
        <v>0.02</v>
      </c>
      <c r="V21" s="260">
        <v>0.02</v>
      </c>
      <c r="W21" s="88"/>
      <c r="X21" s="259" t="s">
        <v>157</v>
      </c>
      <c r="Y21" s="258" t="s">
        <v>162</v>
      </c>
      <c r="Z21" s="271">
        <v>0.02</v>
      </c>
      <c r="AA21" s="260">
        <v>0.02</v>
      </c>
      <c r="AB21" s="260">
        <v>0.02</v>
      </c>
      <c r="AC21" s="260">
        <v>0.02</v>
      </c>
      <c r="AD21" s="260">
        <v>0.02</v>
      </c>
      <c r="AE21" s="260">
        <v>0.02</v>
      </c>
      <c r="AF21" s="260">
        <v>0.02</v>
      </c>
      <c r="AG21" s="260">
        <v>0.02</v>
      </c>
      <c r="AH21" s="260">
        <v>0.02</v>
      </c>
      <c r="AI21" s="260">
        <v>0.02</v>
      </c>
      <c r="AJ21" s="260">
        <v>0.02</v>
      </c>
      <c r="AK21" s="260">
        <v>0.02</v>
      </c>
      <c r="AL21" s="260">
        <v>0.02</v>
      </c>
      <c r="AM21" s="260">
        <v>0.02</v>
      </c>
      <c r="AN21" s="260">
        <v>0.02</v>
      </c>
      <c r="AO21" s="260">
        <v>0.02</v>
      </c>
      <c r="AP21" s="260">
        <v>0.02</v>
      </c>
      <c r="AQ21" s="260">
        <v>0.02</v>
      </c>
      <c r="AR21" s="260">
        <v>0.02</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111</v>
      </c>
      <c r="D22" s="273">
        <v>30</v>
      </c>
      <c r="E22" s="117">
        <f>D22</f>
        <v>30</v>
      </c>
      <c r="F22" s="117">
        <f t="shared" ref="F22:V22" si="8">E22</f>
        <v>30</v>
      </c>
      <c r="G22" s="117">
        <f t="shared" si="8"/>
        <v>30</v>
      </c>
      <c r="H22" s="117">
        <f t="shared" si="8"/>
        <v>30</v>
      </c>
      <c r="I22" s="117">
        <f t="shared" si="8"/>
        <v>30</v>
      </c>
      <c r="J22" s="117">
        <f t="shared" si="8"/>
        <v>30</v>
      </c>
      <c r="K22" s="117">
        <f t="shared" si="8"/>
        <v>30</v>
      </c>
      <c r="L22" s="117">
        <f t="shared" si="8"/>
        <v>30</v>
      </c>
      <c r="M22" s="117">
        <f t="shared" si="8"/>
        <v>30</v>
      </c>
      <c r="N22" s="117">
        <f t="shared" si="8"/>
        <v>30</v>
      </c>
      <c r="O22" s="117">
        <f t="shared" si="8"/>
        <v>30</v>
      </c>
      <c r="P22" s="117">
        <f t="shared" si="8"/>
        <v>30</v>
      </c>
      <c r="Q22" s="117">
        <f t="shared" si="8"/>
        <v>30</v>
      </c>
      <c r="R22" s="117">
        <f t="shared" si="8"/>
        <v>30</v>
      </c>
      <c r="S22" s="117">
        <f t="shared" si="8"/>
        <v>30</v>
      </c>
      <c r="T22" s="117">
        <f t="shared" si="8"/>
        <v>30</v>
      </c>
      <c r="U22" s="117">
        <f t="shared" si="8"/>
        <v>30</v>
      </c>
      <c r="V22" s="117">
        <f t="shared" si="8"/>
        <v>30</v>
      </c>
      <c r="W22" s="88"/>
      <c r="X22" s="261"/>
      <c r="Y22" s="258" t="s">
        <v>111</v>
      </c>
      <c r="Z22" s="273">
        <v>50</v>
      </c>
      <c r="AA22" s="117">
        <f>Z22</f>
        <v>50</v>
      </c>
      <c r="AB22" s="117">
        <f t="shared" ref="AB22:AR22" si="9">AA22</f>
        <v>50</v>
      </c>
      <c r="AC22" s="117">
        <f t="shared" si="9"/>
        <v>50</v>
      </c>
      <c r="AD22" s="117">
        <f t="shared" si="9"/>
        <v>50</v>
      </c>
      <c r="AE22" s="117">
        <f t="shared" si="9"/>
        <v>50</v>
      </c>
      <c r="AF22" s="117">
        <f t="shared" si="9"/>
        <v>50</v>
      </c>
      <c r="AG22" s="117">
        <f t="shared" si="9"/>
        <v>50</v>
      </c>
      <c r="AH22" s="117">
        <f t="shared" si="9"/>
        <v>50</v>
      </c>
      <c r="AI22" s="117">
        <f t="shared" si="9"/>
        <v>50</v>
      </c>
      <c r="AJ22" s="117">
        <f t="shared" si="9"/>
        <v>50</v>
      </c>
      <c r="AK22" s="117">
        <f t="shared" si="9"/>
        <v>50</v>
      </c>
      <c r="AL22" s="117">
        <f t="shared" si="9"/>
        <v>50</v>
      </c>
      <c r="AM22" s="117">
        <f t="shared" si="9"/>
        <v>50</v>
      </c>
      <c r="AN22" s="117">
        <f t="shared" si="9"/>
        <v>50</v>
      </c>
      <c r="AO22" s="117">
        <f t="shared" si="9"/>
        <v>50</v>
      </c>
      <c r="AP22" s="117">
        <f t="shared" si="9"/>
        <v>50</v>
      </c>
      <c r="AQ22" s="117">
        <f t="shared" si="9"/>
        <v>50</v>
      </c>
      <c r="AR22" s="117">
        <f t="shared" si="9"/>
        <v>50</v>
      </c>
      <c r="AS22" s="89"/>
      <c r="AT22" s="94"/>
      <c r="AU22" s="94"/>
      <c r="AV22" s="94"/>
      <c r="AW22" s="94"/>
      <c r="AX22" s="94"/>
      <c r="AY22" s="94"/>
      <c r="AZ22" s="334"/>
      <c r="BA22" s="96"/>
      <c r="BB22" s="93"/>
      <c r="BC22" s="89"/>
      <c r="BD22" s="89"/>
      <c r="BE22" s="89"/>
      <c r="BF22" s="89"/>
      <c r="BG22" s="89"/>
      <c r="BH22" s="89"/>
      <c r="BI22" s="89"/>
      <c r="BJ22" s="89"/>
    </row>
    <row r="23" spans="1:62" ht="15" thickBot="1">
      <c r="A23" s="88"/>
      <c r="B23" s="129"/>
      <c r="C23" s="262" t="s">
        <v>194</v>
      </c>
      <c r="D23" s="274">
        <v>145.16483010102866</v>
      </c>
      <c r="E23" s="275">
        <f>D23</f>
        <v>145.16483010102866</v>
      </c>
      <c r="F23" s="275">
        <f t="shared" ref="F23:V23" si="10">E23</f>
        <v>145.16483010102866</v>
      </c>
      <c r="G23" s="275">
        <f t="shared" si="10"/>
        <v>145.16483010102866</v>
      </c>
      <c r="H23" s="275">
        <f t="shared" si="10"/>
        <v>145.16483010102866</v>
      </c>
      <c r="I23" s="275">
        <f t="shared" si="10"/>
        <v>145.16483010102866</v>
      </c>
      <c r="J23" s="275">
        <f t="shared" si="10"/>
        <v>145.16483010102866</v>
      </c>
      <c r="K23" s="275">
        <f t="shared" si="10"/>
        <v>145.16483010102866</v>
      </c>
      <c r="L23" s="275">
        <f t="shared" si="10"/>
        <v>145.16483010102866</v>
      </c>
      <c r="M23" s="275">
        <f t="shared" si="10"/>
        <v>145.16483010102866</v>
      </c>
      <c r="N23" s="275">
        <f t="shared" si="10"/>
        <v>145.16483010102866</v>
      </c>
      <c r="O23" s="275">
        <f t="shared" si="10"/>
        <v>145.16483010102866</v>
      </c>
      <c r="P23" s="275">
        <f t="shared" si="10"/>
        <v>145.16483010102866</v>
      </c>
      <c r="Q23" s="275">
        <f t="shared" si="10"/>
        <v>145.16483010102866</v>
      </c>
      <c r="R23" s="275">
        <f t="shared" si="10"/>
        <v>145.16483010102866</v>
      </c>
      <c r="S23" s="275">
        <f t="shared" si="10"/>
        <v>145.16483010102866</v>
      </c>
      <c r="T23" s="275">
        <f t="shared" si="10"/>
        <v>145.16483010102866</v>
      </c>
      <c r="U23" s="275">
        <f t="shared" si="10"/>
        <v>145.16483010102866</v>
      </c>
      <c r="V23" s="275">
        <f t="shared" si="10"/>
        <v>145.16483010102866</v>
      </c>
      <c r="W23" s="88"/>
      <c r="X23" s="129"/>
      <c r="Y23" s="262" t="s">
        <v>194</v>
      </c>
      <c r="Z23" s="274">
        <v>9.8829999999999991</v>
      </c>
      <c r="AA23" s="275">
        <f>Z23</f>
        <v>9.8829999999999991</v>
      </c>
      <c r="AB23" s="275">
        <f t="shared" ref="AB23:AR23" si="11">AA23</f>
        <v>9.8829999999999991</v>
      </c>
      <c r="AC23" s="275">
        <f t="shared" si="11"/>
        <v>9.8829999999999991</v>
      </c>
      <c r="AD23" s="275">
        <f t="shared" si="11"/>
        <v>9.8829999999999991</v>
      </c>
      <c r="AE23" s="275">
        <f t="shared" si="11"/>
        <v>9.8829999999999991</v>
      </c>
      <c r="AF23" s="275">
        <f t="shared" si="11"/>
        <v>9.8829999999999991</v>
      </c>
      <c r="AG23" s="275">
        <f t="shared" si="11"/>
        <v>9.8829999999999991</v>
      </c>
      <c r="AH23" s="275">
        <f t="shared" si="11"/>
        <v>9.8829999999999991</v>
      </c>
      <c r="AI23" s="275">
        <f t="shared" si="11"/>
        <v>9.8829999999999991</v>
      </c>
      <c r="AJ23" s="275">
        <f t="shared" si="11"/>
        <v>9.8829999999999991</v>
      </c>
      <c r="AK23" s="275">
        <f t="shared" si="11"/>
        <v>9.8829999999999991</v>
      </c>
      <c r="AL23" s="275">
        <f t="shared" si="11"/>
        <v>9.8829999999999991</v>
      </c>
      <c r="AM23" s="275">
        <f t="shared" si="11"/>
        <v>9.8829999999999991</v>
      </c>
      <c r="AN23" s="275">
        <f t="shared" si="11"/>
        <v>9.8829999999999991</v>
      </c>
      <c r="AO23" s="275">
        <f t="shared" si="11"/>
        <v>9.8829999999999991</v>
      </c>
      <c r="AP23" s="275">
        <f t="shared" si="11"/>
        <v>9.8829999999999991</v>
      </c>
      <c r="AQ23" s="275">
        <f t="shared" si="11"/>
        <v>9.8829999999999991</v>
      </c>
      <c r="AR23" s="275">
        <f t="shared" si="1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c r="A25" s="88"/>
      <c r="B25" s="254"/>
      <c r="C25" s="88"/>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88"/>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110</v>
      </c>
      <c r="D26" s="268">
        <v>6593.3437240497487</v>
      </c>
      <c r="E26" s="257">
        <f>D26*(1-$D$5)^2</f>
        <v>6203.6771099584084</v>
      </c>
      <c r="F26" s="257">
        <f t="shared" ref="F26:V26" si="12">E26*(1-$D$5)^2</f>
        <v>5837.039792759866</v>
      </c>
      <c r="G26" s="257">
        <f t="shared" si="12"/>
        <v>5492.0707410077575</v>
      </c>
      <c r="H26" s="257">
        <f t="shared" si="12"/>
        <v>5167.4893602141992</v>
      </c>
      <c r="I26" s="257">
        <f t="shared" si="12"/>
        <v>4862.0907390255397</v>
      </c>
      <c r="J26" s="257">
        <f t="shared" si="12"/>
        <v>4574.74117634913</v>
      </c>
      <c r="K26" s="257">
        <f t="shared" si="12"/>
        <v>4304.3739728268965</v>
      </c>
      <c r="L26" s="257">
        <f t="shared" si="12"/>
        <v>4049.9854710328268</v>
      </c>
      <c r="M26" s="257">
        <f t="shared" si="12"/>
        <v>3810.6313296947865</v>
      </c>
      <c r="N26" s="257">
        <f t="shared" si="12"/>
        <v>3585.4230181098246</v>
      </c>
      <c r="O26" s="257">
        <f t="shared" si="12"/>
        <v>3373.5245177395336</v>
      </c>
      <c r="P26" s="257">
        <f t="shared" si="12"/>
        <v>3174.1492187411272</v>
      </c>
      <c r="Q26" s="257">
        <f t="shared" si="12"/>
        <v>2986.5569999135264</v>
      </c>
      <c r="R26" s="257">
        <f t="shared" si="12"/>
        <v>2810.051481218637</v>
      </c>
      <c r="S26" s="257">
        <f t="shared" si="12"/>
        <v>2643.9774386786153</v>
      </c>
      <c r="T26" s="257">
        <f t="shared" si="12"/>
        <v>2487.7183720527091</v>
      </c>
      <c r="U26" s="257">
        <f t="shared" si="12"/>
        <v>2340.6942162643941</v>
      </c>
      <c r="V26" s="257">
        <f t="shared" si="12"/>
        <v>2202.3591880831682</v>
      </c>
      <c r="W26" s="88"/>
      <c r="X26" s="255"/>
      <c r="Y26" s="256" t="s">
        <v>110</v>
      </c>
      <c r="Z26" s="268">
        <v>3081.0086968394335</v>
      </c>
      <c r="AA26" s="257">
        <f>Z26*(1-$D$7)^2</f>
        <v>3025.8001020007678</v>
      </c>
      <c r="AB26" s="257">
        <f t="shared" ref="AB26:AR26" si="13">AA26*(1-$D$7)^2</f>
        <v>2971.5807899730157</v>
      </c>
      <c r="AC26" s="257">
        <f t="shared" si="13"/>
        <v>2918.3330337974894</v>
      </c>
      <c r="AD26" s="257">
        <f t="shared" si="13"/>
        <v>2866.0394241648723</v>
      </c>
      <c r="AE26" s="257">
        <f t="shared" si="13"/>
        <v>2814.682863723262</v>
      </c>
      <c r="AF26" s="257">
        <f t="shared" si="13"/>
        <v>2764.2465614882049</v>
      </c>
      <c r="AG26" s="257">
        <f t="shared" si="13"/>
        <v>2714.7140273528976</v>
      </c>
      <c r="AH26" s="257">
        <f t="shared" si="13"/>
        <v>2666.0690666967607</v>
      </c>
      <c r="AI26" s="257">
        <f t="shared" si="13"/>
        <v>2618.2957750906216</v>
      </c>
      <c r="AJ26" s="257">
        <f t="shared" si="13"/>
        <v>2571.3785330967726</v>
      </c>
      <c r="AK26" s="257">
        <f t="shared" si="13"/>
        <v>2525.3020011622116</v>
      </c>
      <c r="AL26" s="257">
        <f t="shared" si="13"/>
        <v>2480.0511146033859</v>
      </c>
      <c r="AM26" s="257">
        <f t="shared" si="13"/>
        <v>2435.6110786808076</v>
      </c>
      <c r="AN26" s="257">
        <f t="shared" si="13"/>
        <v>2391.9673637619262</v>
      </c>
      <c r="AO26" s="257">
        <f t="shared" si="13"/>
        <v>2349.1057005706762</v>
      </c>
      <c r="AP26" s="257">
        <f t="shared" si="13"/>
        <v>2307.0120755221501</v>
      </c>
      <c r="AQ26" s="257">
        <f t="shared" si="13"/>
        <v>2265.6727261408687</v>
      </c>
      <c r="AR26" s="257">
        <f t="shared" si="13"/>
        <v>2225.0741365611502</v>
      </c>
      <c r="AS26" s="89"/>
      <c r="AT26" s="94"/>
      <c r="AU26" s="94"/>
      <c r="AV26" s="94"/>
      <c r="AW26" s="94"/>
      <c r="AX26" s="94"/>
      <c r="AY26" s="94"/>
      <c r="AZ26" s="95"/>
      <c r="BA26" s="96"/>
      <c r="BB26" s="93"/>
      <c r="BC26" s="89"/>
      <c r="BD26" s="89"/>
      <c r="BE26" s="89"/>
      <c r="BF26" s="89"/>
      <c r="BG26" s="89"/>
      <c r="BH26" s="89"/>
      <c r="BI26" s="89"/>
      <c r="BJ26" s="89"/>
    </row>
    <row r="27" spans="1:62" ht="18">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157</v>
      </c>
      <c r="C28" s="258" t="s">
        <v>162</v>
      </c>
      <c r="D28" s="271">
        <v>0.02</v>
      </c>
      <c r="E28" s="260">
        <v>0.02</v>
      </c>
      <c r="F28" s="260">
        <v>0.02</v>
      </c>
      <c r="G28" s="260">
        <v>0.02</v>
      </c>
      <c r="H28" s="260">
        <v>0.02</v>
      </c>
      <c r="I28" s="260">
        <v>0.02</v>
      </c>
      <c r="J28" s="260">
        <v>0.02</v>
      </c>
      <c r="K28" s="260">
        <v>0.02</v>
      </c>
      <c r="L28" s="260">
        <v>0.02</v>
      </c>
      <c r="M28" s="260">
        <v>0.02</v>
      </c>
      <c r="N28" s="260">
        <v>0.02</v>
      </c>
      <c r="O28" s="260">
        <v>0.02</v>
      </c>
      <c r="P28" s="260">
        <v>0.02</v>
      </c>
      <c r="Q28" s="260">
        <v>0.02</v>
      </c>
      <c r="R28" s="260">
        <v>0.02</v>
      </c>
      <c r="S28" s="260">
        <v>0.02</v>
      </c>
      <c r="T28" s="260">
        <v>0.02</v>
      </c>
      <c r="U28" s="260">
        <v>0.02</v>
      </c>
      <c r="V28" s="260">
        <v>0.02</v>
      </c>
      <c r="W28" s="88"/>
      <c r="X28" s="259" t="s">
        <v>157</v>
      </c>
      <c r="Y28" s="258" t="s">
        <v>162</v>
      </c>
      <c r="Z28" s="271">
        <v>0.02</v>
      </c>
      <c r="AA28" s="260">
        <v>0.02</v>
      </c>
      <c r="AB28" s="260">
        <v>0.02</v>
      </c>
      <c r="AC28" s="260">
        <v>0.02</v>
      </c>
      <c r="AD28" s="260">
        <v>0.02</v>
      </c>
      <c r="AE28" s="260">
        <v>0.02</v>
      </c>
      <c r="AF28" s="260">
        <v>0.02</v>
      </c>
      <c r="AG28" s="260">
        <v>0.02</v>
      </c>
      <c r="AH28" s="260">
        <v>0.02</v>
      </c>
      <c r="AI28" s="260">
        <v>0.02</v>
      </c>
      <c r="AJ28" s="260">
        <v>0.02</v>
      </c>
      <c r="AK28" s="260">
        <v>0.02</v>
      </c>
      <c r="AL28" s="260">
        <v>0.02</v>
      </c>
      <c r="AM28" s="260">
        <v>0.02</v>
      </c>
      <c r="AN28" s="260">
        <v>0.02</v>
      </c>
      <c r="AO28" s="260">
        <v>0.02</v>
      </c>
      <c r="AP28" s="260">
        <v>0.02</v>
      </c>
      <c r="AQ28" s="260">
        <v>0.02</v>
      </c>
      <c r="AR28" s="260">
        <v>0.02</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111</v>
      </c>
      <c r="D29" s="273">
        <v>30</v>
      </c>
      <c r="E29" s="117">
        <f>D29</f>
        <v>30</v>
      </c>
      <c r="F29" s="117">
        <f t="shared" ref="F29:V29" si="14">E29</f>
        <v>30</v>
      </c>
      <c r="G29" s="117">
        <f t="shared" si="14"/>
        <v>30</v>
      </c>
      <c r="H29" s="117">
        <f t="shared" si="14"/>
        <v>30</v>
      </c>
      <c r="I29" s="117">
        <f t="shared" si="14"/>
        <v>30</v>
      </c>
      <c r="J29" s="117">
        <f t="shared" si="14"/>
        <v>30</v>
      </c>
      <c r="K29" s="117">
        <f t="shared" si="14"/>
        <v>30</v>
      </c>
      <c r="L29" s="117">
        <f t="shared" si="14"/>
        <v>30</v>
      </c>
      <c r="M29" s="117">
        <f t="shared" si="14"/>
        <v>30</v>
      </c>
      <c r="N29" s="117">
        <f t="shared" si="14"/>
        <v>30</v>
      </c>
      <c r="O29" s="117">
        <f t="shared" si="14"/>
        <v>30</v>
      </c>
      <c r="P29" s="117">
        <f t="shared" si="14"/>
        <v>30</v>
      </c>
      <c r="Q29" s="117">
        <f t="shared" si="14"/>
        <v>30</v>
      </c>
      <c r="R29" s="117">
        <f t="shared" si="14"/>
        <v>30</v>
      </c>
      <c r="S29" s="117">
        <f t="shared" si="14"/>
        <v>30</v>
      </c>
      <c r="T29" s="117">
        <f t="shared" si="14"/>
        <v>30</v>
      </c>
      <c r="U29" s="117">
        <f t="shared" si="14"/>
        <v>30</v>
      </c>
      <c r="V29" s="117">
        <f t="shared" si="14"/>
        <v>30</v>
      </c>
      <c r="W29" s="88"/>
      <c r="X29" s="261"/>
      <c r="Y29" s="258" t="s">
        <v>111</v>
      </c>
      <c r="Z29" s="273">
        <v>50</v>
      </c>
      <c r="AA29" s="117">
        <f>Z29</f>
        <v>50</v>
      </c>
      <c r="AB29" s="117">
        <f t="shared" ref="AB29:AR29" si="15">AA29</f>
        <v>50</v>
      </c>
      <c r="AC29" s="117">
        <f t="shared" si="15"/>
        <v>50</v>
      </c>
      <c r="AD29" s="117">
        <f t="shared" si="15"/>
        <v>50</v>
      </c>
      <c r="AE29" s="117">
        <f t="shared" si="15"/>
        <v>50</v>
      </c>
      <c r="AF29" s="117">
        <f t="shared" si="15"/>
        <v>50</v>
      </c>
      <c r="AG29" s="117">
        <f t="shared" si="15"/>
        <v>50</v>
      </c>
      <c r="AH29" s="117">
        <f t="shared" si="15"/>
        <v>50</v>
      </c>
      <c r="AI29" s="117">
        <f t="shared" si="15"/>
        <v>50</v>
      </c>
      <c r="AJ29" s="117">
        <f t="shared" si="15"/>
        <v>50</v>
      </c>
      <c r="AK29" s="117">
        <f t="shared" si="15"/>
        <v>50</v>
      </c>
      <c r="AL29" s="117">
        <f t="shared" si="15"/>
        <v>50</v>
      </c>
      <c r="AM29" s="117">
        <f t="shared" si="15"/>
        <v>50</v>
      </c>
      <c r="AN29" s="117">
        <f t="shared" si="15"/>
        <v>50</v>
      </c>
      <c r="AO29" s="117">
        <f t="shared" si="15"/>
        <v>50</v>
      </c>
      <c r="AP29" s="117">
        <f t="shared" si="15"/>
        <v>50</v>
      </c>
      <c r="AQ29" s="117">
        <f t="shared" si="15"/>
        <v>50</v>
      </c>
      <c r="AR29" s="117">
        <f t="shared" si="1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194</v>
      </c>
      <c r="D30" s="274">
        <v>105.41977076772139</v>
      </c>
      <c r="E30" s="275">
        <f>D30</f>
        <v>105.41977076772139</v>
      </c>
      <c r="F30" s="275">
        <f t="shared" ref="F30:V30" si="16">E30</f>
        <v>105.41977076772139</v>
      </c>
      <c r="G30" s="275">
        <f t="shared" si="16"/>
        <v>105.41977076772139</v>
      </c>
      <c r="H30" s="275">
        <f t="shared" si="16"/>
        <v>105.41977076772139</v>
      </c>
      <c r="I30" s="275">
        <f t="shared" si="16"/>
        <v>105.41977076772139</v>
      </c>
      <c r="J30" s="275">
        <f t="shared" si="16"/>
        <v>105.41977076772139</v>
      </c>
      <c r="K30" s="275">
        <f t="shared" si="16"/>
        <v>105.41977076772139</v>
      </c>
      <c r="L30" s="275">
        <f t="shared" si="16"/>
        <v>105.41977076772139</v>
      </c>
      <c r="M30" s="275">
        <f t="shared" si="16"/>
        <v>105.41977076772139</v>
      </c>
      <c r="N30" s="275">
        <f t="shared" si="16"/>
        <v>105.41977076772139</v>
      </c>
      <c r="O30" s="275">
        <f t="shared" si="16"/>
        <v>105.41977076772139</v>
      </c>
      <c r="P30" s="275">
        <f t="shared" si="16"/>
        <v>105.41977076772139</v>
      </c>
      <c r="Q30" s="275">
        <f t="shared" si="16"/>
        <v>105.41977076772139</v>
      </c>
      <c r="R30" s="275">
        <f t="shared" si="16"/>
        <v>105.41977076772139</v>
      </c>
      <c r="S30" s="275">
        <f t="shared" si="16"/>
        <v>105.41977076772139</v>
      </c>
      <c r="T30" s="275">
        <f t="shared" si="16"/>
        <v>105.41977076772139</v>
      </c>
      <c r="U30" s="275">
        <f t="shared" si="16"/>
        <v>105.41977076772139</v>
      </c>
      <c r="V30" s="275">
        <f t="shared" si="16"/>
        <v>105.41977076772139</v>
      </c>
      <c r="W30" s="88"/>
      <c r="X30" s="129"/>
      <c r="Y30" s="262" t="s">
        <v>194</v>
      </c>
      <c r="Z30" s="274">
        <v>9.0079999999999991</v>
      </c>
      <c r="AA30" s="275">
        <f>Z30</f>
        <v>9.0079999999999991</v>
      </c>
      <c r="AB30" s="275">
        <f t="shared" ref="AB30:AR30" si="17">AA30</f>
        <v>9.0079999999999991</v>
      </c>
      <c r="AC30" s="275">
        <f t="shared" si="17"/>
        <v>9.0079999999999991</v>
      </c>
      <c r="AD30" s="275">
        <f t="shared" si="17"/>
        <v>9.0079999999999991</v>
      </c>
      <c r="AE30" s="275">
        <f t="shared" si="17"/>
        <v>9.0079999999999991</v>
      </c>
      <c r="AF30" s="275">
        <f t="shared" si="17"/>
        <v>9.0079999999999991</v>
      </c>
      <c r="AG30" s="275">
        <f t="shared" si="17"/>
        <v>9.0079999999999991</v>
      </c>
      <c r="AH30" s="275">
        <f t="shared" si="17"/>
        <v>9.0079999999999991</v>
      </c>
      <c r="AI30" s="275">
        <f t="shared" si="17"/>
        <v>9.0079999999999991</v>
      </c>
      <c r="AJ30" s="275">
        <f t="shared" si="17"/>
        <v>9.0079999999999991</v>
      </c>
      <c r="AK30" s="275">
        <f t="shared" si="17"/>
        <v>9.0079999999999991</v>
      </c>
      <c r="AL30" s="275">
        <f t="shared" si="17"/>
        <v>9.0079999999999991</v>
      </c>
      <c r="AM30" s="275">
        <f t="shared" si="17"/>
        <v>9.0079999999999991</v>
      </c>
      <c r="AN30" s="275">
        <f t="shared" si="17"/>
        <v>9.0079999999999991</v>
      </c>
      <c r="AO30" s="275">
        <f t="shared" si="17"/>
        <v>9.0079999999999991</v>
      </c>
      <c r="AP30" s="275">
        <f t="shared" si="17"/>
        <v>9.0079999999999991</v>
      </c>
      <c r="AQ30" s="275">
        <f t="shared" si="17"/>
        <v>9.0079999999999991</v>
      </c>
      <c r="AR30" s="275">
        <f t="shared" si="1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c r="A32" s="88"/>
      <c r="B32" s="254"/>
      <c r="C32" s="88"/>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88"/>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110</v>
      </c>
      <c r="D33" s="268">
        <v>6656.1567655584122</v>
      </c>
      <c r="E33" s="257">
        <f>D33*(1-$D$5)^2</f>
        <v>6262.7779007139097</v>
      </c>
      <c r="F33" s="257">
        <f t="shared" ref="F33:V33" si="18">E33*(1-$D$5)^2</f>
        <v>5892.6477267817172</v>
      </c>
      <c r="G33" s="257">
        <f t="shared" si="18"/>
        <v>5544.3922461289176</v>
      </c>
      <c r="H33" s="257">
        <f t="shared" si="18"/>
        <v>5216.7186643826981</v>
      </c>
      <c r="I33" s="257">
        <f t="shared" si="18"/>
        <v>4908.41059131768</v>
      </c>
      <c r="J33" s="257">
        <f t="shared" si="18"/>
        <v>4618.3235253708053</v>
      </c>
      <c r="K33" s="257">
        <f t="shared" si="18"/>
        <v>4345.3806050213907</v>
      </c>
      <c r="L33" s="257">
        <f t="shared" si="18"/>
        <v>4088.5686112646263</v>
      </c>
      <c r="M33" s="257">
        <f t="shared" si="18"/>
        <v>3846.9342063388867</v>
      </c>
      <c r="N33" s="257">
        <f t="shared" si="18"/>
        <v>3619.5803947442582</v>
      </c>
      <c r="O33" s="257">
        <f t="shared" si="18"/>
        <v>3405.6631934148722</v>
      </c>
      <c r="P33" s="257">
        <f t="shared" si="18"/>
        <v>3204.388498684053</v>
      </c>
      <c r="Q33" s="257">
        <f t="shared" si="18"/>
        <v>3015.0091384118255</v>
      </c>
      <c r="R33" s="257">
        <f t="shared" si="18"/>
        <v>2836.8220983316864</v>
      </c>
      <c r="S33" s="257">
        <f t="shared" si="18"/>
        <v>2669.1659123202835</v>
      </c>
      <c r="T33" s="257">
        <f t="shared" si="18"/>
        <v>2511.4182069021545</v>
      </c>
      <c r="U33" s="257">
        <f t="shared" si="18"/>
        <v>2362.9933908742369</v>
      </c>
      <c r="V33" s="257">
        <f t="shared" si="18"/>
        <v>2223.3404814735695</v>
      </c>
      <c r="W33" s="88"/>
      <c r="X33" s="255"/>
      <c r="Y33" s="256" t="s">
        <v>110</v>
      </c>
      <c r="Z33" s="268">
        <v>2886.5113582713989</v>
      </c>
      <c r="AA33" s="257">
        <f>Z33*(1-$D$7)^2</f>
        <v>2834.7879612425336</v>
      </c>
      <c r="AB33" s="257">
        <f t="shared" ref="AB33:AR33" si="19">AA33*(1-$D$7)^2</f>
        <v>2783.9913957650288</v>
      </c>
      <c r="AC33" s="257">
        <f t="shared" si="19"/>
        <v>2734.1050539443149</v>
      </c>
      <c r="AD33" s="257">
        <f t="shared" si="19"/>
        <v>2685.1126254826868</v>
      </c>
      <c r="AE33" s="257">
        <f t="shared" si="19"/>
        <v>2636.9980923466624</v>
      </c>
      <c r="AF33" s="257">
        <f t="shared" si="19"/>
        <v>2589.7457235299025</v>
      </c>
      <c r="AG33" s="257">
        <f t="shared" si="19"/>
        <v>2543.3400699099702</v>
      </c>
      <c r="AH33" s="257">
        <f t="shared" si="19"/>
        <v>2497.7659591972533</v>
      </c>
      <c r="AI33" s="257">
        <f t="shared" si="19"/>
        <v>2453.0084909743978</v>
      </c>
      <c r="AJ33" s="257">
        <f t="shared" si="19"/>
        <v>2409.0530318246274</v>
      </c>
      <c r="AK33" s="257">
        <f t="shared" si="19"/>
        <v>2365.885210547362</v>
      </c>
      <c r="AL33" s="257">
        <f t="shared" si="19"/>
        <v>2323.4909134595637</v>
      </c>
      <c r="AM33" s="257">
        <f t="shared" si="19"/>
        <v>2281.8562797812815</v>
      </c>
      <c r="AN33" s="257">
        <f t="shared" si="19"/>
        <v>2240.9676971038807</v>
      </c>
      <c r="AO33" s="257">
        <f t="shared" si="19"/>
        <v>2200.8117969394762</v>
      </c>
      <c r="AP33" s="257">
        <f t="shared" si="19"/>
        <v>2161.3754503501177</v>
      </c>
      <c r="AQ33" s="257">
        <f t="shared" si="19"/>
        <v>2122.6457636552941</v>
      </c>
      <c r="AR33" s="257">
        <f t="shared" si="19"/>
        <v>2084.6100742163549</v>
      </c>
      <c r="AS33" s="89"/>
      <c r="AT33" s="94"/>
      <c r="AU33" s="94"/>
      <c r="AV33" s="94"/>
      <c r="AW33" s="94"/>
      <c r="AX33" s="94"/>
      <c r="AY33" s="94"/>
      <c r="AZ33" s="95"/>
      <c r="BA33" s="96"/>
      <c r="BB33" s="93"/>
      <c r="BC33" s="89"/>
      <c r="BD33" s="89"/>
      <c r="BE33" s="89"/>
      <c r="BF33" s="89"/>
      <c r="BG33" s="89"/>
      <c r="BH33" s="89"/>
      <c r="BI33" s="89"/>
      <c r="BJ33" s="89"/>
    </row>
    <row r="34" spans="1:62" ht="18">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157</v>
      </c>
      <c r="C35" s="258" t="s">
        <v>162</v>
      </c>
      <c r="D35" s="271">
        <v>0.02</v>
      </c>
      <c r="E35" s="260">
        <v>0.02</v>
      </c>
      <c r="F35" s="260">
        <v>0.02</v>
      </c>
      <c r="G35" s="260">
        <v>0.02</v>
      </c>
      <c r="H35" s="260">
        <v>0.02</v>
      </c>
      <c r="I35" s="260">
        <v>0.02</v>
      </c>
      <c r="J35" s="260">
        <v>0.02</v>
      </c>
      <c r="K35" s="260">
        <v>0.02</v>
      </c>
      <c r="L35" s="260">
        <v>0.02</v>
      </c>
      <c r="M35" s="260">
        <v>0.02</v>
      </c>
      <c r="N35" s="260">
        <v>0.02</v>
      </c>
      <c r="O35" s="260">
        <v>0.02</v>
      </c>
      <c r="P35" s="260">
        <v>0.02</v>
      </c>
      <c r="Q35" s="260">
        <v>0.02</v>
      </c>
      <c r="R35" s="260">
        <v>0.02</v>
      </c>
      <c r="S35" s="260">
        <v>0.02</v>
      </c>
      <c r="T35" s="260">
        <v>0.02</v>
      </c>
      <c r="U35" s="260">
        <v>0.02</v>
      </c>
      <c r="V35" s="260">
        <v>0.02</v>
      </c>
      <c r="W35" s="88"/>
      <c r="X35" s="259" t="s">
        <v>157</v>
      </c>
      <c r="Y35" s="258" t="s">
        <v>162</v>
      </c>
      <c r="Z35" s="271">
        <v>0.02</v>
      </c>
      <c r="AA35" s="260">
        <v>0.02</v>
      </c>
      <c r="AB35" s="260">
        <v>0.02</v>
      </c>
      <c r="AC35" s="260">
        <v>0.02</v>
      </c>
      <c r="AD35" s="260">
        <v>0.02</v>
      </c>
      <c r="AE35" s="260">
        <v>0.02</v>
      </c>
      <c r="AF35" s="260">
        <v>0.02</v>
      </c>
      <c r="AG35" s="260">
        <v>0.02</v>
      </c>
      <c r="AH35" s="260">
        <v>0.02</v>
      </c>
      <c r="AI35" s="260">
        <v>0.02</v>
      </c>
      <c r="AJ35" s="260">
        <v>0.02</v>
      </c>
      <c r="AK35" s="260">
        <v>0.02</v>
      </c>
      <c r="AL35" s="260">
        <v>0.02</v>
      </c>
      <c r="AM35" s="260">
        <v>0.02</v>
      </c>
      <c r="AN35" s="260">
        <v>0.02</v>
      </c>
      <c r="AO35" s="260">
        <v>0.02</v>
      </c>
      <c r="AP35" s="260">
        <v>0.02</v>
      </c>
      <c r="AQ35" s="260">
        <v>0.02</v>
      </c>
      <c r="AR35" s="260">
        <v>0.02</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111</v>
      </c>
      <c r="D36" s="273">
        <v>30</v>
      </c>
      <c r="E36" s="117">
        <f>D36</f>
        <v>30</v>
      </c>
      <c r="F36" s="117">
        <f t="shared" ref="F36:V36" si="20">E36</f>
        <v>30</v>
      </c>
      <c r="G36" s="117">
        <f t="shared" si="20"/>
        <v>30</v>
      </c>
      <c r="H36" s="117">
        <f t="shared" si="20"/>
        <v>30</v>
      </c>
      <c r="I36" s="117">
        <f t="shared" si="20"/>
        <v>30</v>
      </c>
      <c r="J36" s="117">
        <f t="shared" si="20"/>
        <v>30</v>
      </c>
      <c r="K36" s="117">
        <f t="shared" si="20"/>
        <v>30</v>
      </c>
      <c r="L36" s="117">
        <f t="shared" si="20"/>
        <v>30</v>
      </c>
      <c r="M36" s="117">
        <f t="shared" si="20"/>
        <v>30</v>
      </c>
      <c r="N36" s="117">
        <f t="shared" si="20"/>
        <v>30</v>
      </c>
      <c r="O36" s="117">
        <f t="shared" si="20"/>
        <v>30</v>
      </c>
      <c r="P36" s="117">
        <f t="shared" si="20"/>
        <v>30</v>
      </c>
      <c r="Q36" s="117">
        <f t="shared" si="20"/>
        <v>30</v>
      </c>
      <c r="R36" s="117">
        <f t="shared" si="20"/>
        <v>30</v>
      </c>
      <c r="S36" s="117">
        <f t="shared" si="20"/>
        <v>30</v>
      </c>
      <c r="T36" s="117">
        <f t="shared" si="20"/>
        <v>30</v>
      </c>
      <c r="U36" s="117">
        <f t="shared" si="20"/>
        <v>30</v>
      </c>
      <c r="V36" s="117">
        <f t="shared" si="20"/>
        <v>30</v>
      </c>
      <c r="W36" s="88"/>
      <c r="X36" s="261"/>
      <c r="Y36" s="258" t="s">
        <v>111</v>
      </c>
      <c r="Z36" s="273">
        <v>80</v>
      </c>
      <c r="AA36" s="117">
        <f>Z36</f>
        <v>80</v>
      </c>
      <c r="AB36" s="117">
        <f t="shared" ref="AB36:AR36" si="21">AA36</f>
        <v>80</v>
      </c>
      <c r="AC36" s="117">
        <f t="shared" si="21"/>
        <v>80</v>
      </c>
      <c r="AD36" s="117">
        <f t="shared" si="21"/>
        <v>80</v>
      </c>
      <c r="AE36" s="117">
        <f t="shared" si="21"/>
        <v>80</v>
      </c>
      <c r="AF36" s="117">
        <f t="shared" si="21"/>
        <v>80</v>
      </c>
      <c r="AG36" s="117">
        <f t="shared" si="21"/>
        <v>80</v>
      </c>
      <c r="AH36" s="117">
        <f t="shared" si="21"/>
        <v>80</v>
      </c>
      <c r="AI36" s="117">
        <f t="shared" si="21"/>
        <v>80</v>
      </c>
      <c r="AJ36" s="117">
        <f t="shared" si="21"/>
        <v>80</v>
      </c>
      <c r="AK36" s="117">
        <f t="shared" si="21"/>
        <v>80</v>
      </c>
      <c r="AL36" s="117">
        <f t="shared" si="21"/>
        <v>80</v>
      </c>
      <c r="AM36" s="117">
        <f t="shared" si="21"/>
        <v>80</v>
      </c>
      <c r="AN36" s="117">
        <f t="shared" si="21"/>
        <v>80</v>
      </c>
      <c r="AO36" s="117">
        <f t="shared" si="21"/>
        <v>80</v>
      </c>
      <c r="AP36" s="117">
        <f t="shared" si="21"/>
        <v>80</v>
      </c>
      <c r="AQ36" s="117">
        <f t="shared" si="21"/>
        <v>80</v>
      </c>
      <c r="AR36" s="117">
        <f t="shared" si="2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194</v>
      </c>
      <c r="D37" s="274">
        <v>65.674711434414149</v>
      </c>
      <c r="E37" s="275">
        <f>D37</f>
        <v>65.674711434414149</v>
      </c>
      <c r="F37" s="275">
        <f t="shared" ref="F37:V37" si="22">E37</f>
        <v>65.674711434414149</v>
      </c>
      <c r="G37" s="275">
        <f t="shared" si="22"/>
        <v>65.674711434414149</v>
      </c>
      <c r="H37" s="275">
        <f t="shared" si="22"/>
        <v>65.674711434414149</v>
      </c>
      <c r="I37" s="275">
        <f t="shared" si="22"/>
        <v>65.674711434414149</v>
      </c>
      <c r="J37" s="275">
        <f t="shared" si="22"/>
        <v>65.674711434414149</v>
      </c>
      <c r="K37" s="275">
        <f t="shared" si="22"/>
        <v>65.674711434414149</v>
      </c>
      <c r="L37" s="275">
        <f t="shared" si="22"/>
        <v>65.674711434414149</v>
      </c>
      <c r="M37" s="275">
        <f t="shared" si="22"/>
        <v>65.674711434414149</v>
      </c>
      <c r="N37" s="275">
        <f t="shared" si="22"/>
        <v>65.674711434414149</v>
      </c>
      <c r="O37" s="275">
        <f t="shared" si="22"/>
        <v>65.674711434414149</v>
      </c>
      <c r="P37" s="275">
        <f t="shared" si="22"/>
        <v>65.674711434414149</v>
      </c>
      <c r="Q37" s="275">
        <f t="shared" si="22"/>
        <v>65.674711434414149</v>
      </c>
      <c r="R37" s="275">
        <f t="shared" si="22"/>
        <v>65.674711434414149</v>
      </c>
      <c r="S37" s="275">
        <f t="shared" si="22"/>
        <v>65.674711434414149</v>
      </c>
      <c r="T37" s="275">
        <f t="shared" si="22"/>
        <v>65.674711434414149</v>
      </c>
      <c r="U37" s="275">
        <f t="shared" si="22"/>
        <v>65.674711434414149</v>
      </c>
      <c r="V37" s="275">
        <f t="shared" si="22"/>
        <v>65.674711434414149</v>
      </c>
      <c r="W37" s="88"/>
      <c r="X37" s="129"/>
      <c r="Y37" s="262" t="s">
        <v>194</v>
      </c>
      <c r="Z37" s="274">
        <v>8.1329999999999991</v>
      </c>
      <c r="AA37" s="275">
        <f>Z37</f>
        <v>8.1329999999999991</v>
      </c>
      <c r="AB37" s="275">
        <f t="shared" ref="AB37:AR37" si="23">AA37</f>
        <v>8.1329999999999991</v>
      </c>
      <c r="AC37" s="275">
        <f t="shared" si="23"/>
        <v>8.1329999999999991</v>
      </c>
      <c r="AD37" s="275">
        <f t="shared" si="23"/>
        <v>8.1329999999999991</v>
      </c>
      <c r="AE37" s="275">
        <f t="shared" si="23"/>
        <v>8.1329999999999991</v>
      </c>
      <c r="AF37" s="275">
        <f t="shared" si="23"/>
        <v>8.1329999999999991</v>
      </c>
      <c r="AG37" s="275">
        <f t="shared" si="23"/>
        <v>8.1329999999999991</v>
      </c>
      <c r="AH37" s="275">
        <f t="shared" si="23"/>
        <v>8.1329999999999991</v>
      </c>
      <c r="AI37" s="275">
        <f t="shared" si="23"/>
        <v>8.1329999999999991</v>
      </c>
      <c r="AJ37" s="275">
        <f t="shared" si="23"/>
        <v>8.1329999999999991</v>
      </c>
      <c r="AK37" s="275">
        <f t="shared" si="23"/>
        <v>8.1329999999999991</v>
      </c>
      <c r="AL37" s="275">
        <f t="shared" si="23"/>
        <v>8.1329999999999991</v>
      </c>
      <c r="AM37" s="275">
        <f t="shared" si="23"/>
        <v>8.1329999999999991</v>
      </c>
      <c r="AN37" s="275">
        <f t="shared" si="23"/>
        <v>8.1329999999999991</v>
      </c>
      <c r="AO37" s="275">
        <f t="shared" si="23"/>
        <v>8.1329999999999991</v>
      </c>
      <c r="AP37" s="275">
        <f t="shared" si="23"/>
        <v>8.1329999999999991</v>
      </c>
      <c r="AQ37" s="275">
        <f t="shared" si="23"/>
        <v>8.1329999999999991</v>
      </c>
      <c r="AR37" s="275">
        <f t="shared" si="2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c r="A39" s="88"/>
      <c r="B39" s="254"/>
      <c r="C39" s="88"/>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88"/>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110</v>
      </c>
      <c r="D40" s="268">
        <v>5592.9397814192344</v>
      </c>
      <c r="E40" s="257">
        <f>D40*(1-$D$5)^2</f>
        <v>5262.3970403373578</v>
      </c>
      <c r="F40" s="257">
        <f t="shared" ref="F40:V40" si="24">E40*(1-$D$5)^2</f>
        <v>4951.3893752534195</v>
      </c>
      <c r="G40" s="257">
        <f t="shared" si="24"/>
        <v>4658.7622631759423</v>
      </c>
      <c r="H40" s="257">
        <f t="shared" si="24"/>
        <v>4383.4294134222437</v>
      </c>
      <c r="I40" s="257">
        <f t="shared" si="24"/>
        <v>4124.3687350889886</v>
      </c>
      <c r="J40" s="257">
        <f t="shared" si="24"/>
        <v>3880.6185428452291</v>
      </c>
      <c r="K40" s="257">
        <f t="shared" si="24"/>
        <v>3651.2739869630759</v>
      </c>
      <c r="L40" s="257">
        <f t="shared" si="24"/>
        <v>3435.4836943335581</v>
      </c>
      <c r="M40" s="257">
        <f t="shared" si="24"/>
        <v>3232.4466079984445</v>
      </c>
      <c r="N40" s="257">
        <f t="shared" si="24"/>
        <v>3041.4090134657363</v>
      </c>
      <c r="O40" s="257">
        <f t="shared" si="24"/>
        <v>2861.6617407699109</v>
      </c>
      <c r="P40" s="257">
        <f t="shared" si="24"/>
        <v>2692.5375318904089</v>
      </c>
      <c r="Q40" s="257">
        <f t="shared" si="24"/>
        <v>2533.4085637556855</v>
      </c>
      <c r="R40" s="257">
        <f t="shared" si="24"/>
        <v>2383.6841176377243</v>
      </c>
      <c r="S40" s="257">
        <f t="shared" si="24"/>
        <v>2242.8083862853346</v>
      </c>
      <c r="T40" s="257">
        <f t="shared" si="24"/>
        <v>2110.2584106558711</v>
      </c>
      <c r="U40" s="257">
        <f t="shared" si="24"/>
        <v>1985.5421385861091</v>
      </c>
      <c r="V40" s="257">
        <f t="shared" si="24"/>
        <v>1868.19659819567</v>
      </c>
      <c r="W40" s="88"/>
      <c r="X40" s="255"/>
      <c r="Y40" s="256" t="s">
        <v>110</v>
      </c>
      <c r="Z40" s="268">
        <v>2450.9233429740461</v>
      </c>
      <c r="AA40" s="257">
        <f>Z40*(1-$D$7)^2</f>
        <v>2407.0052475912939</v>
      </c>
      <c r="AB40" s="257">
        <f t="shared" ref="AB40:AR40" si="25">AA40*(1-$D$7)^2</f>
        <v>2363.8741205597057</v>
      </c>
      <c r="AC40" s="257">
        <f t="shared" si="25"/>
        <v>2321.5158601933963</v>
      </c>
      <c r="AD40" s="257">
        <f t="shared" si="25"/>
        <v>2279.9166174945908</v>
      </c>
      <c r="AE40" s="257">
        <f t="shared" si="25"/>
        <v>2239.0627916257054</v>
      </c>
      <c r="AF40" s="257">
        <f t="shared" si="25"/>
        <v>2198.9410254625641</v>
      </c>
      <c r="AG40" s="257">
        <f t="shared" si="25"/>
        <v>2159.5382012273003</v>
      </c>
      <c r="AH40" s="257">
        <f>AG40*(1-$D$7)^2</f>
        <v>2120.8414361995083</v>
      </c>
      <c r="AI40" s="257">
        <f t="shared" si="25"/>
        <v>2082.8380785042491</v>
      </c>
      <c r="AJ40" s="257">
        <f t="shared" si="25"/>
        <v>2045.5157029755314</v>
      </c>
      <c r="AK40" s="257">
        <f t="shared" si="25"/>
        <v>2008.8621070939128</v>
      </c>
      <c r="AL40" s="257">
        <f t="shared" si="25"/>
        <v>1972.8653069968968</v>
      </c>
      <c r="AM40" s="257">
        <f t="shared" si="25"/>
        <v>1937.5135335608195</v>
      </c>
      <c r="AN40" s="257">
        <f t="shared" si="25"/>
        <v>1902.7952285529432</v>
      </c>
      <c r="AO40" s="257">
        <f t="shared" si="25"/>
        <v>1868.699040852503</v>
      </c>
      <c r="AP40" s="257">
        <f t="shared" si="25"/>
        <v>1835.2138227394669</v>
      </c>
      <c r="AQ40" s="257">
        <f t="shared" si="25"/>
        <v>1802.3286262497984</v>
      </c>
      <c r="AR40" s="257">
        <f t="shared" si="25"/>
        <v>1770.0326995960281</v>
      </c>
      <c r="AS40" s="89"/>
      <c r="AT40" s="93"/>
      <c r="AU40" s="94"/>
      <c r="AV40" s="95"/>
      <c r="AW40" s="94"/>
      <c r="AX40" s="96"/>
      <c r="AY40" s="94"/>
      <c r="AZ40" s="95"/>
      <c r="BA40" s="96"/>
      <c r="BB40" s="93"/>
      <c r="BC40" s="89"/>
      <c r="BD40" s="89"/>
      <c r="BE40" s="89"/>
      <c r="BF40" s="89"/>
      <c r="BG40" s="89"/>
      <c r="BH40" s="89"/>
      <c r="BI40" s="89"/>
      <c r="BJ40" s="89"/>
    </row>
    <row r="41" spans="1:62" ht="18">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157</v>
      </c>
      <c r="C42" s="258" t="s">
        <v>162</v>
      </c>
      <c r="D42" s="271">
        <v>0.02</v>
      </c>
      <c r="E42" s="260">
        <v>0.02</v>
      </c>
      <c r="F42" s="260">
        <v>0.02</v>
      </c>
      <c r="G42" s="260">
        <v>0.02</v>
      </c>
      <c r="H42" s="260">
        <v>0.02</v>
      </c>
      <c r="I42" s="260">
        <v>0.02</v>
      </c>
      <c r="J42" s="260">
        <v>0.02</v>
      </c>
      <c r="K42" s="260">
        <v>0.02</v>
      </c>
      <c r="L42" s="260">
        <v>0.02</v>
      </c>
      <c r="M42" s="260">
        <v>0.02</v>
      </c>
      <c r="N42" s="260">
        <v>0.02</v>
      </c>
      <c r="O42" s="260">
        <v>0.02</v>
      </c>
      <c r="P42" s="260">
        <v>0.02</v>
      </c>
      <c r="Q42" s="260">
        <v>0.02</v>
      </c>
      <c r="R42" s="260">
        <v>0.02</v>
      </c>
      <c r="S42" s="260">
        <v>0.02</v>
      </c>
      <c r="T42" s="260">
        <v>0.02</v>
      </c>
      <c r="U42" s="260">
        <v>0.02</v>
      </c>
      <c r="V42" s="260">
        <v>0.02</v>
      </c>
      <c r="W42" s="88"/>
      <c r="X42" s="259" t="s">
        <v>157</v>
      </c>
      <c r="Y42" s="258" t="s">
        <v>162</v>
      </c>
      <c r="Z42" s="271">
        <v>0.02</v>
      </c>
      <c r="AA42" s="260">
        <v>0.02</v>
      </c>
      <c r="AB42" s="260">
        <v>0.02</v>
      </c>
      <c r="AC42" s="260">
        <v>0.02</v>
      </c>
      <c r="AD42" s="260">
        <v>0.02</v>
      </c>
      <c r="AE42" s="260">
        <v>0.02</v>
      </c>
      <c r="AF42" s="260">
        <v>0.02</v>
      </c>
      <c r="AG42" s="260">
        <v>0.02</v>
      </c>
      <c r="AH42" s="260">
        <v>0.02</v>
      </c>
      <c r="AI42" s="260">
        <v>0.02</v>
      </c>
      <c r="AJ42" s="260">
        <v>0.02</v>
      </c>
      <c r="AK42" s="260">
        <v>0.02</v>
      </c>
      <c r="AL42" s="260">
        <v>0.02</v>
      </c>
      <c r="AM42" s="260">
        <v>0.02</v>
      </c>
      <c r="AN42" s="260">
        <v>0.02</v>
      </c>
      <c r="AO42" s="260">
        <v>0.02</v>
      </c>
      <c r="AP42" s="260">
        <v>0.02</v>
      </c>
      <c r="AQ42" s="260">
        <v>0.02</v>
      </c>
      <c r="AR42" s="260">
        <v>0.02</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111</v>
      </c>
      <c r="D43" s="273">
        <v>30</v>
      </c>
      <c r="E43" s="117">
        <f>D43</f>
        <v>30</v>
      </c>
      <c r="F43" s="117">
        <f t="shared" ref="F43:V43" si="26">E43</f>
        <v>30</v>
      </c>
      <c r="G43" s="117">
        <f t="shared" si="26"/>
        <v>30</v>
      </c>
      <c r="H43" s="117">
        <f t="shared" si="26"/>
        <v>30</v>
      </c>
      <c r="I43" s="117">
        <f t="shared" si="26"/>
        <v>30</v>
      </c>
      <c r="J43" s="117">
        <f t="shared" si="26"/>
        <v>30</v>
      </c>
      <c r="K43" s="117">
        <f t="shared" si="26"/>
        <v>30</v>
      </c>
      <c r="L43" s="117">
        <f t="shared" si="26"/>
        <v>30</v>
      </c>
      <c r="M43" s="117">
        <f t="shared" si="26"/>
        <v>30</v>
      </c>
      <c r="N43" s="117">
        <f t="shared" si="26"/>
        <v>30</v>
      </c>
      <c r="O43" s="117">
        <f t="shared" si="26"/>
        <v>30</v>
      </c>
      <c r="P43" s="117">
        <f t="shared" si="26"/>
        <v>30</v>
      </c>
      <c r="Q43" s="117">
        <f t="shared" si="26"/>
        <v>30</v>
      </c>
      <c r="R43" s="117">
        <f t="shared" si="26"/>
        <v>30</v>
      </c>
      <c r="S43" s="117">
        <f t="shared" si="26"/>
        <v>30</v>
      </c>
      <c r="T43" s="117">
        <f t="shared" si="26"/>
        <v>30</v>
      </c>
      <c r="U43" s="117">
        <f t="shared" si="26"/>
        <v>30</v>
      </c>
      <c r="V43" s="117">
        <f t="shared" si="26"/>
        <v>30</v>
      </c>
      <c r="W43" s="88"/>
      <c r="X43" s="261"/>
      <c r="Y43" s="258" t="s">
        <v>111</v>
      </c>
      <c r="Z43" s="273">
        <v>80</v>
      </c>
      <c r="AA43" s="117">
        <f>Z43</f>
        <v>80</v>
      </c>
      <c r="AB43" s="117">
        <f t="shared" ref="AB43:AR43" si="27">AA43</f>
        <v>80</v>
      </c>
      <c r="AC43" s="117">
        <f t="shared" si="27"/>
        <v>80</v>
      </c>
      <c r="AD43" s="117">
        <f t="shared" si="27"/>
        <v>80</v>
      </c>
      <c r="AE43" s="117">
        <f t="shared" si="27"/>
        <v>80</v>
      </c>
      <c r="AF43" s="117">
        <f t="shared" si="27"/>
        <v>80</v>
      </c>
      <c r="AG43" s="117">
        <f t="shared" si="27"/>
        <v>80</v>
      </c>
      <c r="AH43" s="117">
        <f t="shared" si="27"/>
        <v>80</v>
      </c>
      <c r="AI43" s="117">
        <f t="shared" si="27"/>
        <v>80</v>
      </c>
      <c r="AJ43" s="117">
        <f t="shared" si="27"/>
        <v>80</v>
      </c>
      <c r="AK43" s="117">
        <f t="shared" si="27"/>
        <v>80</v>
      </c>
      <c r="AL43" s="117">
        <f t="shared" si="27"/>
        <v>80</v>
      </c>
      <c r="AM43" s="117">
        <f t="shared" si="27"/>
        <v>80</v>
      </c>
      <c r="AN43" s="117">
        <f t="shared" si="27"/>
        <v>80</v>
      </c>
      <c r="AO43" s="117">
        <f t="shared" si="27"/>
        <v>80</v>
      </c>
      <c r="AP43" s="117">
        <f t="shared" si="27"/>
        <v>80</v>
      </c>
      <c r="AQ43" s="117">
        <f t="shared" si="27"/>
        <v>80</v>
      </c>
      <c r="AR43" s="117">
        <f t="shared" si="2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194</v>
      </c>
      <c r="D44" s="274">
        <v>13.134600868750084</v>
      </c>
      <c r="E44" s="275">
        <f>D44</f>
        <v>13.134600868750084</v>
      </c>
      <c r="F44" s="275">
        <f t="shared" ref="F44:V44" si="28">E44</f>
        <v>13.134600868750084</v>
      </c>
      <c r="G44" s="275">
        <f t="shared" si="28"/>
        <v>13.134600868750084</v>
      </c>
      <c r="H44" s="275">
        <f t="shared" si="28"/>
        <v>13.134600868750084</v>
      </c>
      <c r="I44" s="275">
        <f t="shared" si="28"/>
        <v>13.134600868750084</v>
      </c>
      <c r="J44" s="275">
        <f t="shared" si="28"/>
        <v>13.134600868750084</v>
      </c>
      <c r="K44" s="275">
        <f t="shared" si="28"/>
        <v>13.134600868750084</v>
      </c>
      <c r="L44" s="275">
        <f t="shared" si="28"/>
        <v>13.134600868750084</v>
      </c>
      <c r="M44" s="275">
        <f t="shared" si="28"/>
        <v>13.134600868750084</v>
      </c>
      <c r="N44" s="275">
        <f t="shared" si="28"/>
        <v>13.134600868750084</v>
      </c>
      <c r="O44" s="275">
        <f t="shared" si="28"/>
        <v>13.134600868750084</v>
      </c>
      <c r="P44" s="275">
        <f t="shared" si="28"/>
        <v>13.134600868750084</v>
      </c>
      <c r="Q44" s="275">
        <f t="shared" si="28"/>
        <v>13.134600868750084</v>
      </c>
      <c r="R44" s="275">
        <f t="shared" si="28"/>
        <v>13.134600868750084</v>
      </c>
      <c r="S44" s="275">
        <f t="shared" si="28"/>
        <v>13.134600868750084</v>
      </c>
      <c r="T44" s="275">
        <f t="shared" si="28"/>
        <v>13.134600868750084</v>
      </c>
      <c r="U44" s="275">
        <f t="shared" si="28"/>
        <v>13.134600868750084</v>
      </c>
      <c r="V44" s="275">
        <f t="shared" si="28"/>
        <v>13.134600868750084</v>
      </c>
      <c r="W44" s="88"/>
      <c r="X44" s="129"/>
      <c r="Y44" s="262" t="s">
        <v>194</v>
      </c>
      <c r="Z44" s="274">
        <v>6.3829999999999991</v>
      </c>
      <c r="AA44" s="275">
        <f>Z44</f>
        <v>6.3829999999999991</v>
      </c>
      <c r="AB44" s="275">
        <f t="shared" ref="AB44:AR44" si="29">AA44</f>
        <v>6.3829999999999991</v>
      </c>
      <c r="AC44" s="275">
        <f t="shared" si="29"/>
        <v>6.3829999999999991</v>
      </c>
      <c r="AD44" s="275">
        <f t="shared" si="29"/>
        <v>6.3829999999999991</v>
      </c>
      <c r="AE44" s="275">
        <f t="shared" si="29"/>
        <v>6.3829999999999991</v>
      </c>
      <c r="AF44" s="275">
        <f t="shared" si="29"/>
        <v>6.3829999999999991</v>
      </c>
      <c r="AG44" s="275">
        <f t="shared" si="29"/>
        <v>6.3829999999999991</v>
      </c>
      <c r="AH44" s="275">
        <f t="shared" si="29"/>
        <v>6.3829999999999991</v>
      </c>
      <c r="AI44" s="275">
        <f t="shared" si="29"/>
        <v>6.3829999999999991</v>
      </c>
      <c r="AJ44" s="275">
        <f t="shared" si="29"/>
        <v>6.3829999999999991</v>
      </c>
      <c r="AK44" s="275">
        <f t="shared" si="29"/>
        <v>6.3829999999999991</v>
      </c>
      <c r="AL44" s="275">
        <f t="shared" si="29"/>
        <v>6.3829999999999991</v>
      </c>
      <c r="AM44" s="275">
        <f t="shared" si="29"/>
        <v>6.3829999999999991</v>
      </c>
      <c r="AN44" s="275">
        <f t="shared" si="29"/>
        <v>6.3829999999999991</v>
      </c>
      <c r="AO44" s="275">
        <f t="shared" si="29"/>
        <v>6.3829999999999991</v>
      </c>
      <c r="AP44" s="275">
        <f t="shared" si="29"/>
        <v>6.3829999999999991</v>
      </c>
      <c r="AQ44" s="275">
        <f t="shared" si="29"/>
        <v>6.3829999999999991</v>
      </c>
      <c r="AR44" s="275">
        <f t="shared" si="2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88"/>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32" t="s">
        <v>285</v>
      </c>
      <c r="Y46" s="532"/>
      <c r="Z46" s="532"/>
      <c r="AA46" s="532"/>
      <c r="AB46" s="532"/>
      <c r="AC46" s="532"/>
      <c r="AD46" s="532"/>
      <c r="AE46" s="532"/>
      <c r="AF46" s="532"/>
      <c r="AG46" s="532"/>
      <c r="AH46" s="532"/>
      <c r="AI46" s="532"/>
      <c r="AJ46" s="532"/>
      <c r="AK46" s="532"/>
      <c r="AL46" s="532"/>
      <c r="AM46" s="532"/>
      <c r="AN46" s="532"/>
      <c r="AO46" s="532"/>
      <c r="AP46" s="532"/>
      <c r="AQ46" s="532"/>
      <c r="AR46" s="532"/>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110</v>
      </c>
      <c r="D47" s="268">
        <v>5123.0532899424888</v>
      </c>
      <c r="E47" s="257">
        <f>D47*(1-$D$6)^2</f>
        <v>4970.5143782344512</v>
      </c>
      <c r="F47" s="257">
        <f t="shared" ref="F47:V47" si="30">E47*(1-$D$6)^2</f>
        <v>4822.5173126225209</v>
      </c>
      <c r="G47" s="257">
        <f t="shared" si="30"/>
        <v>4678.9268596391857</v>
      </c>
      <c r="H47" s="257">
        <f t="shared" si="30"/>
        <v>4539.6118123934293</v>
      </c>
      <c r="I47" s="257">
        <f t="shared" si="30"/>
        <v>4404.4448706794146</v>
      </c>
      <c r="J47" s="257">
        <f t="shared" si="30"/>
        <v>4273.302524654935</v>
      </c>
      <c r="K47" s="257">
        <f t="shared" si="30"/>
        <v>4146.0649419833344</v>
      </c>
      <c r="L47" s="257">
        <f t="shared" si="30"/>
        <v>4022.6158583357806</v>
      </c>
      <c r="M47" s="257">
        <f t="shared" si="30"/>
        <v>3902.8424711538328</v>
      </c>
      <c r="N47" s="257">
        <f t="shared" si="30"/>
        <v>3786.6353365752275</v>
      </c>
      <c r="O47" s="257">
        <f t="shared" si="30"/>
        <v>3673.8882694286999</v>
      </c>
      <c r="P47" s="257">
        <f t="shared" si="30"/>
        <v>3564.4982462064604</v>
      </c>
      <c r="Q47" s="257">
        <f t="shared" si="30"/>
        <v>3458.3653109256629</v>
      </c>
      <c r="R47" s="257">
        <f t="shared" si="30"/>
        <v>3355.3924837928512</v>
      </c>
      <c r="S47" s="257">
        <f t="shared" si="30"/>
        <v>3255.485672587919</v>
      </c>
      <c r="T47" s="257">
        <f t="shared" si="30"/>
        <v>3158.5535866866139</v>
      </c>
      <c r="U47" s="257">
        <f t="shared" si="30"/>
        <v>3064.5076536430201</v>
      </c>
      <c r="V47" s="257">
        <f t="shared" si="30"/>
        <v>2973.2619382557991</v>
      </c>
      <c r="W47" s="88"/>
      <c r="X47" s="532"/>
      <c r="Y47" s="532"/>
      <c r="Z47" s="532"/>
      <c r="AA47" s="532"/>
      <c r="AB47" s="532"/>
      <c r="AC47" s="532"/>
      <c r="AD47" s="532"/>
      <c r="AE47" s="532"/>
      <c r="AF47" s="532"/>
      <c r="AG47" s="532"/>
      <c r="AH47" s="532"/>
      <c r="AI47" s="532"/>
      <c r="AJ47" s="532"/>
      <c r="AK47" s="532"/>
      <c r="AL47" s="532"/>
      <c r="AM47" s="532"/>
      <c r="AN47" s="532"/>
      <c r="AO47" s="532"/>
      <c r="AP47" s="532"/>
      <c r="AQ47" s="532"/>
      <c r="AR47" s="532"/>
      <c r="AS47" s="89"/>
      <c r="AT47" s="93"/>
      <c r="AU47" s="94"/>
      <c r="AV47" s="95"/>
      <c r="AW47" s="94"/>
      <c r="AX47" s="96"/>
      <c r="AY47" s="94"/>
      <c r="AZ47" s="95"/>
      <c r="BA47" s="96"/>
      <c r="BB47" s="93"/>
      <c r="BC47" s="89"/>
      <c r="BD47" s="89"/>
      <c r="BE47" s="89"/>
      <c r="BF47" s="89"/>
      <c r="BG47" s="89"/>
      <c r="BH47" s="89"/>
      <c r="BI47" s="89"/>
      <c r="BJ47" s="89"/>
    </row>
    <row r="48" spans="1:62" ht="18">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32"/>
      <c r="Y48" s="532"/>
      <c r="Z48" s="532"/>
      <c r="AA48" s="532"/>
      <c r="AB48" s="532"/>
      <c r="AC48" s="532"/>
      <c r="AD48" s="532"/>
      <c r="AE48" s="532"/>
      <c r="AF48" s="532"/>
      <c r="AG48" s="532"/>
      <c r="AH48" s="532"/>
      <c r="AI48" s="532"/>
      <c r="AJ48" s="532"/>
      <c r="AK48" s="532"/>
      <c r="AL48" s="532"/>
      <c r="AM48" s="532"/>
      <c r="AN48" s="532"/>
      <c r="AO48" s="532"/>
      <c r="AP48" s="532"/>
      <c r="AQ48" s="532"/>
      <c r="AR48" s="532"/>
      <c r="AS48" s="89"/>
      <c r="AT48" s="93"/>
      <c r="AU48" s="94"/>
      <c r="AV48" s="95"/>
      <c r="AW48" s="94"/>
      <c r="AX48" s="96"/>
      <c r="AY48" s="94"/>
      <c r="AZ48" s="97"/>
      <c r="BA48" s="96"/>
      <c r="BB48" s="93"/>
      <c r="BC48" s="89"/>
      <c r="BD48" s="89"/>
      <c r="BE48" s="89"/>
      <c r="BF48" s="89"/>
      <c r="BG48" s="89"/>
      <c r="BH48" s="89"/>
      <c r="BI48" s="89"/>
      <c r="BJ48" s="89"/>
    </row>
    <row r="49" spans="1:62" ht="18">
      <c r="A49" s="88"/>
      <c r="B49" s="259" t="s">
        <v>157</v>
      </c>
      <c r="C49" s="258" t="s">
        <v>162</v>
      </c>
      <c r="D49" s="271">
        <v>0.02</v>
      </c>
      <c r="E49" s="260">
        <v>0.02</v>
      </c>
      <c r="F49" s="260">
        <v>0.02</v>
      </c>
      <c r="G49" s="260">
        <v>0.02</v>
      </c>
      <c r="H49" s="260">
        <v>0.02</v>
      </c>
      <c r="I49" s="260">
        <v>0.02</v>
      </c>
      <c r="J49" s="260">
        <v>0.02</v>
      </c>
      <c r="K49" s="260">
        <v>0.02</v>
      </c>
      <c r="L49" s="260">
        <v>0.02</v>
      </c>
      <c r="M49" s="260">
        <v>0.02</v>
      </c>
      <c r="N49" s="260">
        <v>0.02</v>
      </c>
      <c r="O49" s="260">
        <v>0.02</v>
      </c>
      <c r="P49" s="260">
        <v>0.02</v>
      </c>
      <c r="Q49" s="260">
        <v>0.02</v>
      </c>
      <c r="R49" s="260">
        <v>0.02</v>
      </c>
      <c r="S49" s="260">
        <v>0.02</v>
      </c>
      <c r="T49" s="260">
        <v>0.02</v>
      </c>
      <c r="U49" s="260">
        <v>0.02</v>
      </c>
      <c r="V49" s="260">
        <v>0.02</v>
      </c>
      <c r="W49" s="88"/>
      <c r="X49" s="532"/>
      <c r="Y49" s="532"/>
      <c r="Z49" s="532"/>
      <c r="AA49" s="532"/>
      <c r="AB49" s="532"/>
      <c r="AC49" s="532"/>
      <c r="AD49" s="532"/>
      <c r="AE49" s="532"/>
      <c r="AF49" s="532"/>
      <c r="AG49" s="532"/>
      <c r="AH49" s="532"/>
      <c r="AI49" s="532"/>
      <c r="AJ49" s="532"/>
      <c r="AK49" s="532"/>
      <c r="AL49" s="532"/>
      <c r="AM49" s="532"/>
      <c r="AN49" s="532"/>
      <c r="AO49" s="532"/>
      <c r="AP49" s="532"/>
      <c r="AQ49" s="532"/>
      <c r="AR49" s="532"/>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111</v>
      </c>
      <c r="D50" s="273">
        <v>40</v>
      </c>
      <c r="E50" s="117">
        <f>D50</f>
        <v>40</v>
      </c>
      <c r="F50" s="117">
        <f t="shared" ref="F50:V50" si="31">E50</f>
        <v>40</v>
      </c>
      <c r="G50" s="117">
        <f t="shared" si="31"/>
        <v>40</v>
      </c>
      <c r="H50" s="117">
        <f t="shared" si="31"/>
        <v>40</v>
      </c>
      <c r="I50" s="117">
        <f t="shared" si="31"/>
        <v>40</v>
      </c>
      <c r="J50" s="117">
        <f t="shared" si="31"/>
        <v>40</v>
      </c>
      <c r="K50" s="117">
        <f t="shared" si="31"/>
        <v>40</v>
      </c>
      <c r="L50" s="117">
        <f t="shared" si="31"/>
        <v>40</v>
      </c>
      <c r="M50" s="117">
        <f t="shared" si="31"/>
        <v>40</v>
      </c>
      <c r="N50" s="117">
        <f t="shared" si="31"/>
        <v>40</v>
      </c>
      <c r="O50" s="117">
        <f t="shared" si="31"/>
        <v>40</v>
      </c>
      <c r="P50" s="117">
        <f t="shared" si="31"/>
        <v>40</v>
      </c>
      <c r="Q50" s="117">
        <f t="shared" si="31"/>
        <v>40</v>
      </c>
      <c r="R50" s="117">
        <f t="shared" si="31"/>
        <v>40</v>
      </c>
      <c r="S50" s="117">
        <f t="shared" si="31"/>
        <v>40</v>
      </c>
      <c r="T50" s="117">
        <f t="shared" si="31"/>
        <v>40</v>
      </c>
      <c r="U50" s="117">
        <f t="shared" si="31"/>
        <v>40</v>
      </c>
      <c r="V50" s="117">
        <f t="shared" si="31"/>
        <v>40</v>
      </c>
      <c r="W50" s="88"/>
      <c r="X50" s="532"/>
      <c r="Y50" s="532"/>
      <c r="Z50" s="532"/>
      <c r="AA50" s="532"/>
      <c r="AB50" s="532"/>
      <c r="AC50" s="532"/>
      <c r="AD50" s="532"/>
      <c r="AE50" s="532"/>
      <c r="AF50" s="532"/>
      <c r="AG50" s="532"/>
      <c r="AH50" s="532"/>
      <c r="AI50" s="532"/>
      <c r="AJ50" s="532"/>
      <c r="AK50" s="532"/>
      <c r="AL50" s="532"/>
      <c r="AM50" s="532"/>
      <c r="AN50" s="532"/>
      <c r="AO50" s="532"/>
      <c r="AP50" s="532"/>
      <c r="AQ50" s="532"/>
      <c r="AR50" s="532"/>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194</v>
      </c>
      <c r="D51" s="274">
        <v>11.496350364963501</v>
      </c>
      <c r="E51" s="275">
        <f>D51</f>
        <v>11.496350364963501</v>
      </c>
      <c r="F51" s="275">
        <f t="shared" ref="F51:V51" si="32">E51</f>
        <v>11.496350364963501</v>
      </c>
      <c r="G51" s="275">
        <f t="shared" si="32"/>
        <v>11.496350364963501</v>
      </c>
      <c r="H51" s="275">
        <f t="shared" si="32"/>
        <v>11.496350364963501</v>
      </c>
      <c r="I51" s="275">
        <f t="shared" si="32"/>
        <v>11.496350364963501</v>
      </c>
      <c r="J51" s="275">
        <f t="shared" si="32"/>
        <v>11.496350364963501</v>
      </c>
      <c r="K51" s="275">
        <f t="shared" si="32"/>
        <v>11.496350364963501</v>
      </c>
      <c r="L51" s="275">
        <f t="shared" si="32"/>
        <v>11.496350364963501</v>
      </c>
      <c r="M51" s="275">
        <f t="shared" si="32"/>
        <v>11.496350364963501</v>
      </c>
      <c r="N51" s="275">
        <f t="shared" si="32"/>
        <v>11.496350364963501</v>
      </c>
      <c r="O51" s="275">
        <f t="shared" si="32"/>
        <v>11.496350364963501</v>
      </c>
      <c r="P51" s="275">
        <f t="shared" si="32"/>
        <v>11.496350364963501</v>
      </c>
      <c r="Q51" s="275">
        <f t="shared" si="32"/>
        <v>11.496350364963501</v>
      </c>
      <c r="R51" s="275">
        <f t="shared" si="32"/>
        <v>11.496350364963501</v>
      </c>
      <c r="S51" s="275">
        <f t="shared" si="32"/>
        <v>11.496350364963501</v>
      </c>
      <c r="T51" s="275">
        <f t="shared" si="32"/>
        <v>11.496350364963501</v>
      </c>
      <c r="U51" s="275">
        <f t="shared" si="32"/>
        <v>11.496350364963501</v>
      </c>
      <c r="V51" s="275">
        <f t="shared" si="32"/>
        <v>11.496350364963501</v>
      </c>
      <c r="W51" s="88"/>
      <c r="X51" s="532"/>
      <c r="Y51" s="532"/>
      <c r="Z51" s="532"/>
      <c r="AA51" s="532"/>
      <c r="AB51" s="532"/>
      <c r="AC51" s="532"/>
      <c r="AD51" s="532"/>
      <c r="AE51" s="532"/>
      <c r="AF51" s="532"/>
      <c r="AG51" s="532"/>
      <c r="AH51" s="532"/>
      <c r="AI51" s="532"/>
      <c r="AJ51" s="532"/>
      <c r="AK51" s="532"/>
      <c r="AL51" s="532"/>
      <c r="AM51" s="532"/>
      <c r="AN51" s="532"/>
      <c r="AO51" s="532"/>
      <c r="AP51" s="532"/>
      <c r="AQ51" s="532"/>
      <c r="AR51" s="532"/>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13" zoomScale="70" zoomScaleNormal="70" zoomScalePageLayoutView="70" workbookViewId="0">
      <selection activeCell="O23" sqref="O23"/>
    </sheetView>
  </sheetViews>
  <sheetFormatPr baseColWidth="10" defaultColWidth="9.1640625" defaultRowHeight="14" x14ac:dyDescent="0"/>
  <cols>
    <col min="1" max="1" width="4.83203125" style="91" customWidth="1"/>
    <col min="2" max="2" width="17.83203125" style="91" customWidth="1"/>
    <col min="3" max="3" width="11.5" style="91" customWidth="1"/>
    <col min="4" max="6" width="7.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6.3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138</v>
      </c>
      <c r="E6" s="88"/>
      <c r="F6" s="88"/>
      <c r="G6" s="88"/>
      <c r="H6" s="88"/>
      <c r="I6" s="88"/>
      <c r="J6" s="88"/>
      <c r="K6" s="88"/>
      <c r="L6" s="88"/>
      <c r="M6" s="88"/>
      <c r="N6" s="88"/>
      <c r="O6" s="88"/>
      <c r="P6" s="88"/>
      <c r="Q6" s="88"/>
      <c r="R6" s="88"/>
      <c r="S6" s="88"/>
      <c r="T6" s="88"/>
      <c r="U6" s="88"/>
      <c r="V6" s="88"/>
      <c r="W6" s="88"/>
      <c r="X6" s="164" t="s">
        <v>206</v>
      </c>
      <c r="Y6" s="452"/>
      <c r="Z6" s="452"/>
      <c r="AA6" s="452"/>
      <c r="AB6" s="452"/>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7"/>
      <c r="C7" s="358"/>
      <c r="D7" s="285">
        <v>2014</v>
      </c>
      <c r="E7" s="286">
        <v>2016</v>
      </c>
      <c r="F7" s="286">
        <v>2018</v>
      </c>
      <c r="G7" s="286">
        <v>2020</v>
      </c>
      <c r="H7" s="286">
        <v>2022</v>
      </c>
      <c r="I7" s="286">
        <v>2024</v>
      </c>
      <c r="J7" s="286">
        <v>2026</v>
      </c>
      <c r="K7" s="286">
        <v>2028</v>
      </c>
      <c r="L7" s="286">
        <v>2030</v>
      </c>
      <c r="M7" s="286">
        <v>2032</v>
      </c>
      <c r="N7" s="286">
        <v>2034</v>
      </c>
      <c r="O7" s="286">
        <v>2036</v>
      </c>
      <c r="P7" s="286">
        <v>2038</v>
      </c>
      <c r="Q7" s="286">
        <v>2040</v>
      </c>
      <c r="R7" s="286">
        <v>2042</v>
      </c>
      <c r="S7" s="286">
        <v>2044</v>
      </c>
      <c r="T7" s="286">
        <v>2046</v>
      </c>
      <c r="U7" s="286">
        <v>2048</v>
      </c>
      <c r="V7" s="287">
        <v>2050</v>
      </c>
      <c r="W7" s="88"/>
      <c r="X7" s="336" t="s">
        <v>207</v>
      </c>
      <c r="Y7" s="337" t="s">
        <v>208</v>
      </c>
      <c r="Z7" s="337"/>
      <c r="AA7" s="338"/>
      <c r="AB7" s="338"/>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6" t="s">
        <v>173</v>
      </c>
      <c r="C8" s="282"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7">
        <v>6</v>
      </c>
      <c r="W8" s="88"/>
      <c r="X8" s="339">
        <v>1</v>
      </c>
      <c r="Y8" s="340" t="s">
        <v>303</v>
      </c>
      <c r="Z8" s="341"/>
      <c r="AA8" s="341"/>
      <c r="AB8" s="342"/>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6" t="s">
        <v>114</v>
      </c>
      <c r="C9" s="282"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7">
        <v>6</v>
      </c>
      <c r="W9" s="88"/>
      <c r="X9" s="343">
        <v>2</v>
      </c>
      <c r="Y9" s="344" t="s">
        <v>304</v>
      </c>
      <c r="Z9" s="345"/>
      <c r="AA9" s="345"/>
      <c r="AB9" s="346"/>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8" t="s">
        <v>133</v>
      </c>
      <c r="C10" s="283"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7">
        <v>6</v>
      </c>
      <c r="W10" s="88"/>
      <c r="X10" s="347">
        <v>3</v>
      </c>
      <c r="Y10" s="348" t="s">
        <v>305</v>
      </c>
      <c r="Z10" s="349"/>
      <c r="AA10" s="349"/>
      <c r="AB10" s="350"/>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8" t="s">
        <v>132</v>
      </c>
      <c r="C11" s="283"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7">
        <v>6</v>
      </c>
      <c r="W11" s="88"/>
      <c r="X11" s="347">
        <v>4</v>
      </c>
      <c r="Y11" s="348" t="s">
        <v>306</v>
      </c>
      <c r="Z11" s="349"/>
      <c r="AA11" s="349"/>
      <c r="AB11" s="350"/>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8" t="s">
        <v>134</v>
      </c>
      <c r="C12" s="283"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7">
        <v>6</v>
      </c>
      <c r="W12" s="88"/>
      <c r="X12" s="347">
        <v>5</v>
      </c>
      <c r="Y12" s="348" t="s">
        <v>307</v>
      </c>
      <c r="Z12" s="349"/>
      <c r="AA12" s="349"/>
      <c r="AB12" s="350"/>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8" t="s">
        <v>135</v>
      </c>
      <c r="C13" s="283"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7">
        <v>7</v>
      </c>
      <c r="W13" s="88"/>
      <c r="X13" s="347">
        <v>6</v>
      </c>
      <c r="Y13" s="348" t="s">
        <v>308</v>
      </c>
      <c r="Z13" s="349"/>
      <c r="AA13" s="349"/>
      <c r="AB13" s="350"/>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8" t="s">
        <v>174</v>
      </c>
      <c r="C14" s="283"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7">
        <v>7</v>
      </c>
      <c r="W14" s="88"/>
      <c r="X14" s="347">
        <v>7</v>
      </c>
      <c r="Y14" s="348" t="s">
        <v>309</v>
      </c>
      <c r="Z14" s="349"/>
      <c r="AA14" s="349"/>
      <c r="AB14" s="350"/>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8" t="s">
        <v>136</v>
      </c>
      <c r="C15" s="283"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7">
        <v>7</v>
      </c>
      <c r="W15" s="88"/>
      <c r="X15" s="351">
        <v>8</v>
      </c>
      <c r="Y15" s="352" t="s">
        <v>310</v>
      </c>
      <c r="Z15" s="353"/>
      <c r="AA15" s="353"/>
      <c r="AB15" s="354"/>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8" t="s">
        <v>175</v>
      </c>
      <c r="C16" s="283"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7">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8" t="s">
        <v>176</v>
      </c>
      <c r="C17" s="283"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7">
        <v>7</v>
      </c>
      <c r="W17" s="88"/>
      <c r="X17" s="398" t="s">
        <v>286</v>
      </c>
      <c r="Y17" s="399"/>
      <c r="Z17" s="399"/>
      <c r="AA17" s="399"/>
      <c r="AB17" s="400"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9" t="s">
        <v>177</v>
      </c>
      <c r="C18" s="284" t="s">
        <v>139</v>
      </c>
      <c r="D18" s="280">
        <v>3</v>
      </c>
      <c r="E18" s="280">
        <v>5</v>
      </c>
      <c r="F18" s="280">
        <v>5</v>
      </c>
      <c r="G18" s="280">
        <v>7</v>
      </c>
      <c r="H18" s="280">
        <v>7</v>
      </c>
      <c r="I18" s="280">
        <v>7</v>
      </c>
      <c r="J18" s="280">
        <v>7</v>
      </c>
      <c r="K18" s="280">
        <v>7</v>
      </c>
      <c r="L18" s="280">
        <v>7</v>
      </c>
      <c r="M18" s="280">
        <v>7</v>
      </c>
      <c r="N18" s="280">
        <v>7</v>
      </c>
      <c r="O18" s="280">
        <v>7</v>
      </c>
      <c r="P18" s="280">
        <v>7</v>
      </c>
      <c r="Q18" s="280">
        <v>7</v>
      </c>
      <c r="R18" s="280">
        <v>7</v>
      </c>
      <c r="S18" s="280">
        <v>7</v>
      </c>
      <c r="T18" s="280">
        <v>7</v>
      </c>
      <c r="U18" s="280">
        <v>7</v>
      </c>
      <c r="V18" s="281">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79"/>
      <c r="C19" s="379"/>
      <c r="D19" s="379"/>
      <c r="E19" s="379"/>
      <c r="F19" s="379"/>
      <c r="G19" s="379"/>
      <c r="H19" s="379"/>
      <c r="I19" s="379"/>
      <c r="J19" s="379"/>
      <c r="K19" s="379"/>
      <c r="L19" s="379"/>
      <c r="M19" s="379"/>
      <c r="N19" s="379"/>
      <c r="O19" s="379"/>
      <c r="P19" s="379"/>
      <c r="Q19" s="379"/>
      <c r="R19" s="379"/>
      <c r="S19" s="379"/>
      <c r="T19" s="379"/>
      <c r="U19" s="379"/>
      <c r="V19" s="379"/>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6"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7"/>
      <c r="D23" s="298" t="s">
        <v>164</v>
      </c>
      <c r="E23" s="299"/>
      <c r="F23" s="299"/>
      <c r="G23" s="299"/>
      <c r="H23" s="299"/>
      <c r="I23" s="299"/>
      <c r="J23" s="300"/>
      <c r="K23" s="453"/>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1" t="s">
        <v>137</v>
      </c>
      <c r="C24" s="302">
        <v>1</v>
      </c>
      <c r="D24" s="303">
        <v>2</v>
      </c>
      <c r="E24" s="303">
        <v>3</v>
      </c>
      <c r="F24" s="303">
        <v>4</v>
      </c>
      <c r="G24" s="303">
        <v>5</v>
      </c>
      <c r="H24" s="303">
        <v>6</v>
      </c>
      <c r="I24" s="303">
        <v>7</v>
      </c>
      <c r="J24" s="304">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5">
        <v>1</v>
      </c>
      <c r="C25" s="203">
        <v>0</v>
      </c>
      <c r="D25" s="204">
        <v>0</v>
      </c>
      <c r="E25" s="204">
        <v>0</v>
      </c>
      <c r="F25" s="204">
        <v>0</v>
      </c>
      <c r="G25" s="204">
        <v>0</v>
      </c>
      <c r="H25" s="204">
        <v>0</v>
      </c>
      <c r="I25" s="204">
        <v>0</v>
      </c>
      <c r="J25" s="306">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5">
        <v>2</v>
      </c>
      <c r="C26" s="203">
        <v>0</v>
      </c>
      <c r="D26" s="204">
        <v>0</v>
      </c>
      <c r="E26" s="204">
        <v>0</v>
      </c>
      <c r="F26" s="204">
        <v>0</v>
      </c>
      <c r="G26" s="204">
        <v>0</v>
      </c>
      <c r="H26" s="204">
        <v>0</v>
      </c>
      <c r="I26" s="204">
        <v>0</v>
      </c>
      <c r="J26" s="306">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5">
        <v>3</v>
      </c>
      <c r="C27" s="203">
        <v>1.4723336E-2</v>
      </c>
      <c r="D27" s="204">
        <v>2.5476018999999999E-2</v>
      </c>
      <c r="E27" s="204">
        <v>2.1531825000000001E-2</v>
      </c>
      <c r="F27" s="204">
        <v>3.1197994E-2</v>
      </c>
      <c r="G27" s="204">
        <v>2.149875E-2</v>
      </c>
      <c r="H27" s="204">
        <v>3.3075E-2</v>
      </c>
      <c r="I27" s="204">
        <v>2.9866725E-2</v>
      </c>
      <c r="J27" s="306">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5">
        <v>4</v>
      </c>
      <c r="C28" s="203">
        <v>3.4899760000000002E-2</v>
      </c>
      <c r="D28" s="204">
        <v>6.03876E-2</v>
      </c>
      <c r="E28" s="204">
        <v>5.1038399999999998E-2</v>
      </c>
      <c r="F28" s="204">
        <v>7.3950799999999997E-2</v>
      </c>
      <c r="G28" s="204">
        <v>5.0959999999999998E-2</v>
      </c>
      <c r="H28" s="204">
        <v>7.8399999999999997E-2</v>
      </c>
      <c r="I28" s="204">
        <v>7.0795200000000003E-2</v>
      </c>
      <c r="J28" s="306">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5">
        <v>5</v>
      </c>
      <c r="C29" s="203">
        <v>6.8163593999999994E-2</v>
      </c>
      <c r="D29" s="204">
        <v>0.11794453100000001</v>
      </c>
      <c r="E29" s="204">
        <v>9.9684375000000006E-2</v>
      </c>
      <c r="F29" s="204">
        <v>0.14443515600000001</v>
      </c>
      <c r="G29" s="204">
        <v>9.9531250000000002E-2</v>
      </c>
      <c r="H29" s="204">
        <v>0.15312500000000001</v>
      </c>
      <c r="I29" s="204">
        <v>0.13827187499999999</v>
      </c>
      <c r="J29" s="306">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5">
        <v>6</v>
      </c>
      <c r="C30" s="203">
        <v>0.11778669</v>
      </c>
      <c r="D30" s="204">
        <v>0.20380814999999999</v>
      </c>
      <c r="E30" s="204">
        <v>0.17225460000000001</v>
      </c>
      <c r="F30" s="204">
        <v>0.24958395</v>
      </c>
      <c r="G30" s="204">
        <v>0.17199</v>
      </c>
      <c r="H30" s="204">
        <v>0.2646</v>
      </c>
      <c r="I30" s="204">
        <v>0.2389338</v>
      </c>
      <c r="J30" s="306">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5">
        <v>7</v>
      </c>
      <c r="C31" s="203">
        <v>0.18704090100000001</v>
      </c>
      <c r="D31" s="204">
        <v>0.32363979399999998</v>
      </c>
      <c r="E31" s="204">
        <v>0.27353392500000001</v>
      </c>
      <c r="F31" s="204">
        <v>0.39633006900000001</v>
      </c>
      <c r="G31" s="204">
        <v>0.27311374999999999</v>
      </c>
      <c r="H31" s="204">
        <v>0.42017500000000002</v>
      </c>
      <c r="I31" s="204">
        <v>0.37941802499999999</v>
      </c>
      <c r="J31" s="306">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5">
        <v>8</v>
      </c>
      <c r="C32" s="203">
        <v>0.27919808000000002</v>
      </c>
      <c r="D32" s="204">
        <v>0.4831008</v>
      </c>
      <c r="E32" s="204">
        <v>0.40830719999999998</v>
      </c>
      <c r="F32" s="204">
        <v>0.59160639999999998</v>
      </c>
      <c r="G32" s="204">
        <v>0.40767999999999999</v>
      </c>
      <c r="H32" s="204">
        <v>0.62719999999999998</v>
      </c>
      <c r="I32" s="204">
        <v>0.56636160000000002</v>
      </c>
      <c r="J32" s="306">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5">
        <v>9</v>
      </c>
      <c r="C33" s="203">
        <v>0.39753007899999998</v>
      </c>
      <c r="D33" s="204">
        <v>0.68785250600000003</v>
      </c>
      <c r="E33" s="204">
        <v>0.58135927499999995</v>
      </c>
      <c r="F33" s="204">
        <v>0.84234583100000004</v>
      </c>
      <c r="G33" s="204">
        <v>0.58046624999999996</v>
      </c>
      <c r="H33" s="204">
        <v>0.89302499999999996</v>
      </c>
      <c r="I33" s="204">
        <v>0.80640157499999998</v>
      </c>
      <c r="J33" s="306">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5">
        <v>10</v>
      </c>
      <c r="C34" s="203">
        <v>0.54530875000000001</v>
      </c>
      <c r="D34" s="204">
        <v>0.94355624999999999</v>
      </c>
      <c r="E34" s="204">
        <v>0.79747500000000004</v>
      </c>
      <c r="F34" s="204">
        <v>1</v>
      </c>
      <c r="G34" s="204">
        <v>0.79625000000000001</v>
      </c>
      <c r="H34" s="204">
        <v>1</v>
      </c>
      <c r="I34" s="204">
        <v>1</v>
      </c>
      <c r="J34" s="306">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5">
        <v>11</v>
      </c>
      <c r="C35" s="203">
        <v>0.72580594600000004</v>
      </c>
      <c r="D35" s="204">
        <v>1</v>
      </c>
      <c r="E35" s="204">
        <v>1</v>
      </c>
      <c r="F35" s="204">
        <v>1</v>
      </c>
      <c r="G35" s="204">
        <v>1</v>
      </c>
      <c r="H35" s="204">
        <v>1</v>
      </c>
      <c r="I35" s="204">
        <v>1</v>
      </c>
      <c r="J35" s="306">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5">
        <v>12</v>
      </c>
      <c r="C36" s="203">
        <v>0.94229352</v>
      </c>
      <c r="D36" s="204">
        <v>1</v>
      </c>
      <c r="E36" s="204">
        <v>1</v>
      </c>
      <c r="F36" s="204">
        <v>1</v>
      </c>
      <c r="G36" s="204">
        <v>1</v>
      </c>
      <c r="H36" s="204">
        <v>1</v>
      </c>
      <c r="I36" s="204">
        <v>1</v>
      </c>
      <c r="J36" s="306">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5">
        <v>13</v>
      </c>
      <c r="C37" s="203">
        <v>1</v>
      </c>
      <c r="D37" s="204">
        <v>1</v>
      </c>
      <c r="E37" s="204">
        <v>1</v>
      </c>
      <c r="F37" s="204">
        <v>1</v>
      </c>
      <c r="G37" s="204">
        <v>1</v>
      </c>
      <c r="H37" s="204">
        <v>1</v>
      </c>
      <c r="I37" s="204">
        <v>1</v>
      </c>
      <c r="J37" s="306">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5">
        <v>14</v>
      </c>
      <c r="C38" s="203">
        <v>1</v>
      </c>
      <c r="D38" s="204">
        <v>1</v>
      </c>
      <c r="E38" s="204">
        <v>1</v>
      </c>
      <c r="F38" s="204">
        <v>1</v>
      </c>
      <c r="G38" s="204">
        <v>1</v>
      </c>
      <c r="H38" s="204">
        <v>1</v>
      </c>
      <c r="I38" s="204">
        <v>1</v>
      </c>
      <c r="J38" s="306">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5">
        <v>15</v>
      </c>
      <c r="C39" s="203">
        <v>1</v>
      </c>
      <c r="D39" s="204">
        <v>1</v>
      </c>
      <c r="E39" s="204">
        <v>1</v>
      </c>
      <c r="F39" s="204">
        <v>1</v>
      </c>
      <c r="G39" s="204">
        <v>1</v>
      </c>
      <c r="H39" s="204">
        <v>1</v>
      </c>
      <c r="I39" s="204">
        <v>1</v>
      </c>
      <c r="J39" s="306">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5">
        <v>16</v>
      </c>
      <c r="C40" s="203">
        <v>1</v>
      </c>
      <c r="D40" s="204">
        <v>1</v>
      </c>
      <c r="E40" s="204">
        <v>1</v>
      </c>
      <c r="F40" s="204">
        <v>1</v>
      </c>
      <c r="G40" s="204">
        <v>1</v>
      </c>
      <c r="H40" s="204">
        <v>1</v>
      </c>
      <c r="I40" s="204">
        <v>1</v>
      </c>
      <c r="J40" s="306">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5">
        <v>17</v>
      </c>
      <c r="C41" s="203">
        <v>1</v>
      </c>
      <c r="D41" s="204">
        <v>1</v>
      </c>
      <c r="E41" s="204">
        <v>1</v>
      </c>
      <c r="F41" s="204">
        <v>1</v>
      </c>
      <c r="G41" s="204">
        <v>1</v>
      </c>
      <c r="H41" s="204">
        <v>1</v>
      </c>
      <c r="I41" s="204">
        <v>1</v>
      </c>
      <c r="J41" s="306">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7">
        <v>18</v>
      </c>
      <c r="C42" s="308">
        <v>1</v>
      </c>
      <c r="D42" s="309">
        <v>1</v>
      </c>
      <c r="E42" s="309">
        <v>1</v>
      </c>
      <c r="F42" s="309">
        <v>1</v>
      </c>
      <c r="G42" s="309">
        <v>1</v>
      </c>
      <c r="H42" s="309">
        <v>1</v>
      </c>
      <c r="I42" s="309">
        <v>1</v>
      </c>
      <c r="J42" s="310">
        <v>1</v>
      </c>
      <c r="K42" s="355">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88"/>
      <c r="AA44" s="88"/>
      <c r="AB44" s="88"/>
      <c r="AC44" s="88"/>
      <c r="AD44" s="88"/>
      <c r="AE44" s="88"/>
      <c r="AF44" s="88"/>
      <c r="AG44" s="88"/>
      <c r="AH44" s="88"/>
      <c r="AI44" s="88"/>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88"/>
      <c r="AA45" s="88"/>
      <c r="AB45" s="88"/>
      <c r="AC45" s="88"/>
      <c r="AD45" s="88"/>
      <c r="AE45" s="88"/>
      <c r="AF45" s="88"/>
      <c r="AG45" s="88"/>
      <c r="AH45" s="88"/>
      <c r="AI45" s="88"/>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85"/>
      <c r="D46" s="394">
        <v>2014</v>
      </c>
      <c r="E46" s="395">
        <v>2016</v>
      </c>
      <c r="F46" s="395">
        <v>2018</v>
      </c>
      <c r="G46" s="395">
        <v>2020</v>
      </c>
      <c r="H46" s="395">
        <v>2022</v>
      </c>
      <c r="I46" s="395">
        <v>2024</v>
      </c>
      <c r="J46" s="395">
        <v>2026</v>
      </c>
      <c r="K46" s="395">
        <v>2028</v>
      </c>
      <c r="L46" s="395">
        <v>2030</v>
      </c>
      <c r="M46" s="395">
        <v>2032</v>
      </c>
      <c r="N46" s="395">
        <v>2034</v>
      </c>
      <c r="O46" s="395">
        <v>2036</v>
      </c>
      <c r="P46" s="395">
        <v>2038</v>
      </c>
      <c r="Q46" s="395">
        <v>2040</v>
      </c>
      <c r="R46" s="395">
        <v>2042</v>
      </c>
      <c r="S46" s="395">
        <v>2044</v>
      </c>
      <c r="T46" s="395">
        <v>2046</v>
      </c>
      <c r="U46" s="395">
        <v>2048</v>
      </c>
      <c r="V46" s="396">
        <v>2050</v>
      </c>
      <c r="W46" s="88"/>
      <c r="X46" s="88"/>
      <c r="Y46" s="88"/>
      <c r="Z46" s="88"/>
      <c r="AA46" s="88"/>
      <c r="AB46" s="88"/>
      <c r="AC46" s="88"/>
      <c r="AD46" s="88"/>
      <c r="AE46" s="88"/>
      <c r="AF46" s="88"/>
      <c r="AG46" s="88"/>
      <c r="AH46" s="88"/>
      <c r="AI46" s="88"/>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86" t="s">
        <v>173</v>
      </c>
      <c r="D47" s="387">
        <v>0.85</v>
      </c>
      <c r="E47" s="387">
        <v>0.85</v>
      </c>
      <c r="F47" s="387">
        <v>0.85</v>
      </c>
      <c r="G47" s="387">
        <v>0.85</v>
      </c>
      <c r="H47" s="387">
        <v>0.85</v>
      </c>
      <c r="I47" s="387">
        <v>0.85</v>
      </c>
      <c r="J47" s="387">
        <v>0.85</v>
      </c>
      <c r="K47" s="387">
        <v>0.85</v>
      </c>
      <c r="L47" s="387">
        <v>0.85</v>
      </c>
      <c r="M47" s="387">
        <v>0.85</v>
      </c>
      <c r="N47" s="387">
        <v>0.85</v>
      </c>
      <c r="O47" s="387">
        <v>0.85</v>
      </c>
      <c r="P47" s="387">
        <v>0.85</v>
      </c>
      <c r="Q47" s="387">
        <v>0.85</v>
      </c>
      <c r="R47" s="387">
        <v>0.85</v>
      </c>
      <c r="S47" s="387">
        <v>0.85</v>
      </c>
      <c r="T47" s="387">
        <v>0.85</v>
      </c>
      <c r="U47" s="387">
        <v>0.85</v>
      </c>
      <c r="V47" s="388">
        <v>0.85</v>
      </c>
      <c r="W47" s="88"/>
      <c r="X47" s="88"/>
      <c r="Y47" s="88"/>
      <c r="Z47" s="88"/>
      <c r="AA47" s="88"/>
      <c r="AB47" s="88"/>
      <c r="AC47" s="88"/>
      <c r="AD47" s="88"/>
      <c r="AE47" s="88"/>
      <c r="AF47" s="88"/>
      <c r="AG47" s="88"/>
      <c r="AH47" s="88"/>
      <c r="AI47" s="88"/>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86" t="s">
        <v>114</v>
      </c>
      <c r="D48" s="387">
        <v>0.85</v>
      </c>
      <c r="E48" s="387">
        <v>0.85</v>
      </c>
      <c r="F48" s="387">
        <v>0.85</v>
      </c>
      <c r="G48" s="387">
        <v>0.85</v>
      </c>
      <c r="H48" s="387">
        <v>0.85</v>
      </c>
      <c r="I48" s="387">
        <v>0.85</v>
      </c>
      <c r="J48" s="387">
        <v>0.85</v>
      </c>
      <c r="K48" s="387">
        <v>0.85</v>
      </c>
      <c r="L48" s="387">
        <v>0.85</v>
      </c>
      <c r="M48" s="387">
        <v>0.85</v>
      </c>
      <c r="N48" s="387">
        <v>0.85</v>
      </c>
      <c r="O48" s="387">
        <v>0.85</v>
      </c>
      <c r="P48" s="387">
        <v>0.85</v>
      </c>
      <c r="Q48" s="387">
        <v>0.85</v>
      </c>
      <c r="R48" s="387">
        <v>0.85</v>
      </c>
      <c r="S48" s="387">
        <v>0.85</v>
      </c>
      <c r="T48" s="387">
        <v>0.85</v>
      </c>
      <c r="U48" s="387">
        <v>0.85</v>
      </c>
      <c r="V48" s="388">
        <v>0.85</v>
      </c>
      <c r="W48" s="88"/>
      <c r="X48" s="88"/>
      <c r="Y48" s="88"/>
      <c r="Z48" s="88"/>
      <c r="AA48" s="88"/>
      <c r="AB48" s="88"/>
      <c r="AC48" s="88"/>
      <c r="AD48" s="88"/>
      <c r="AE48" s="88"/>
      <c r="AF48" s="88"/>
      <c r="AG48" s="88"/>
      <c r="AH48" s="88"/>
      <c r="AI48" s="89"/>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389" t="s">
        <v>133</v>
      </c>
      <c r="D49" s="387">
        <v>0.85</v>
      </c>
      <c r="E49" s="387">
        <v>0.85</v>
      </c>
      <c r="F49" s="387">
        <v>0.85</v>
      </c>
      <c r="G49" s="387">
        <v>0.85</v>
      </c>
      <c r="H49" s="387">
        <v>0.85</v>
      </c>
      <c r="I49" s="387">
        <v>0.85</v>
      </c>
      <c r="J49" s="387">
        <v>0.85</v>
      </c>
      <c r="K49" s="387">
        <v>0.85</v>
      </c>
      <c r="L49" s="387">
        <v>0.85</v>
      </c>
      <c r="M49" s="387">
        <v>0.85</v>
      </c>
      <c r="N49" s="387">
        <v>0.85</v>
      </c>
      <c r="O49" s="387">
        <v>0.85</v>
      </c>
      <c r="P49" s="387">
        <v>0.85</v>
      </c>
      <c r="Q49" s="387">
        <v>0.85</v>
      </c>
      <c r="R49" s="387">
        <v>0.85</v>
      </c>
      <c r="S49" s="387">
        <v>0.85</v>
      </c>
      <c r="T49" s="387">
        <v>0.85</v>
      </c>
      <c r="U49" s="387">
        <v>0.85</v>
      </c>
      <c r="V49" s="388">
        <v>0.85</v>
      </c>
      <c r="W49" s="88"/>
      <c r="X49" s="88"/>
      <c r="Y49" s="88"/>
      <c r="Z49" s="88"/>
      <c r="AA49" s="88"/>
      <c r="AB49" s="88"/>
      <c r="AC49" s="88"/>
      <c r="AD49" s="88"/>
      <c r="AE49" s="88"/>
      <c r="AF49" s="88"/>
      <c r="AG49" s="88"/>
      <c r="AH49" s="88"/>
      <c r="AI49" s="89"/>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389" t="s">
        <v>132</v>
      </c>
      <c r="D50" s="387">
        <v>0.85</v>
      </c>
      <c r="E50" s="387">
        <v>0.85</v>
      </c>
      <c r="F50" s="387">
        <v>0.85</v>
      </c>
      <c r="G50" s="387">
        <v>0.85</v>
      </c>
      <c r="H50" s="387">
        <v>0.85</v>
      </c>
      <c r="I50" s="387">
        <v>0.85</v>
      </c>
      <c r="J50" s="387">
        <v>0.85</v>
      </c>
      <c r="K50" s="387">
        <v>0.85</v>
      </c>
      <c r="L50" s="387">
        <v>0.85</v>
      </c>
      <c r="M50" s="387">
        <v>0.85</v>
      </c>
      <c r="N50" s="387">
        <v>0.85</v>
      </c>
      <c r="O50" s="387">
        <v>0.85</v>
      </c>
      <c r="P50" s="387">
        <v>0.85</v>
      </c>
      <c r="Q50" s="387">
        <v>0.85</v>
      </c>
      <c r="R50" s="390">
        <v>0.85</v>
      </c>
      <c r="S50" s="387">
        <v>0.85</v>
      </c>
      <c r="T50" s="387">
        <v>0.85</v>
      </c>
      <c r="U50" s="387">
        <v>0.85</v>
      </c>
      <c r="V50" s="388">
        <v>0.85</v>
      </c>
      <c r="W50" s="88"/>
      <c r="X50" s="88"/>
      <c r="Y50" s="88"/>
      <c r="Z50" s="88"/>
      <c r="AA50" s="88"/>
      <c r="AB50" s="88"/>
      <c r="AC50" s="88"/>
      <c r="AD50" s="88"/>
      <c r="AE50" s="88"/>
      <c r="AF50" s="88"/>
      <c r="AG50" s="88"/>
      <c r="AH50" s="88"/>
      <c r="AI50" s="89"/>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389" t="s">
        <v>134</v>
      </c>
      <c r="D51" s="387">
        <v>0.85</v>
      </c>
      <c r="E51" s="387">
        <v>0.85</v>
      </c>
      <c r="F51" s="387">
        <v>0.85</v>
      </c>
      <c r="G51" s="387">
        <v>0.85</v>
      </c>
      <c r="H51" s="387">
        <v>0.85</v>
      </c>
      <c r="I51" s="387">
        <v>0.85</v>
      </c>
      <c r="J51" s="387">
        <v>0.85</v>
      </c>
      <c r="K51" s="387">
        <v>0.85</v>
      </c>
      <c r="L51" s="387">
        <v>0.85</v>
      </c>
      <c r="M51" s="387">
        <v>0.85</v>
      </c>
      <c r="N51" s="387">
        <v>0.85</v>
      </c>
      <c r="O51" s="387">
        <v>0.85</v>
      </c>
      <c r="P51" s="387">
        <v>0.85</v>
      </c>
      <c r="Q51" s="387">
        <v>0.85</v>
      </c>
      <c r="R51" s="387">
        <v>0.85</v>
      </c>
      <c r="S51" s="387">
        <v>0.85</v>
      </c>
      <c r="T51" s="387">
        <v>0.85</v>
      </c>
      <c r="U51" s="387">
        <v>0.85</v>
      </c>
      <c r="V51" s="388">
        <v>0.85</v>
      </c>
      <c r="W51" s="88"/>
      <c r="X51" s="88"/>
      <c r="Y51" s="88"/>
      <c r="Z51" s="88"/>
      <c r="AA51" s="88"/>
      <c r="AB51" s="88"/>
      <c r="AC51" s="88"/>
      <c r="AD51" s="88"/>
      <c r="AE51" s="88"/>
      <c r="AF51" s="88"/>
      <c r="AG51" s="88"/>
      <c r="AH51" s="88"/>
      <c r="AI51" s="89"/>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389" t="s">
        <v>135</v>
      </c>
      <c r="D52" s="387">
        <v>0.85</v>
      </c>
      <c r="E52" s="387">
        <v>0.85</v>
      </c>
      <c r="F52" s="387">
        <v>0.85</v>
      </c>
      <c r="G52" s="387">
        <v>0.85</v>
      </c>
      <c r="H52" s="387">
        <v>0.85</v>
      </c>
      <c r="I52" s="387">
        <v>0.85</v>
      </c>
      <c r="J52" s="387">
        <v>0.85</v>
      </c>
      <c r="K52" s="387">
        <v>0.85</v>
      </c>
      <c r="L52" s="387">
        <v>0.85</v>
      </c>
      <c r="M52" s="387">
        <v>0.85</v>
      </c>
      <c r="N52" s="387">
        <v>0.85</v>
      </c>
      <c r="O52" s="387">
        <v>0.85</v>
      </c>
      <c r="P52" s="387">
        <v>0.85</v>
      </c>
      <c r="Q52" s="387">
        <v>0.85</v>
      </c>
      <c r="R52" s="387">
        <v>0.85</v>
      </c>
      <c r="S52" s="387">
        <v>0.85</v>
      </c>
      <c r="T52" s="387">
        <v>0.85</v>
      </c>
      <c r="U52" s="387">
        <v>0.85</v>
      </c>
      <c r="V52" s="388">
        <v>0.85</v>
      </c>
      <c r="W52" s="88"/>
      <c r="X52" s="88"/>
      <c r="Y52" s="88"/>
      <c r="Z52" s="88"/>
      <c r="AA52" s="88"/>
      <c r="AB52" s="88"/>
      <c r="AC52" s="88"/>
      <c r="AD52" s="88"/>
      <c r="AE52" s="88"/>
      <c r="AF52" s="88"/>
      <c r="AG52" s="88"/>
      <c r="AH52" s="88"/>
      <c r="AI52" s="89"/>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389" t="s">
        <v>174</v>
      </c>
      <c r="D53" s="387">
        <v>0.85</v>
      </c>
      <c r="E53" s="387">
        <v>0.85</v>
      </c>
      <c r="F53" s="387">
        <v>0.85</v>
      </c>
      <c r="G53" s="387">
        <v>0.85</v>
      </c>
      <c r="H53" s="387">
        <v>0.85</v>
      </c>
      <c r="I53" s="387">
        <v>0.85</v>
      </c>
      <c r="J53" s="387">
        <v>0.85</v>
      </c>
      <c r="K53" s="387">
        <v>0.85</v>
      </c>
      <c r="L53" s="387">
        <v>0.85</v>
      </c>
      <c r="M53" s="387">
        <v>0.85</v>
      </c>
      <c r="N53" s="387">
        <v>0.85</v>
      </c>
      <c r="O53" s="387">
        <v>0.85</v>
      </c>
      <c r="P53" s="387">
        <v>0.85</v>
      </c>
      <c r="Q53" s="387">
        <v>0.85</v>
      </c>
      <c r="R53" s="387">
        <v>0.85</v>
      </c>
      <c r="S53" s="387">
        <v>0.85</v>
      </c>
      <c r="T53" s="387">
        <v>0.85</v>
      </c>
      <c r="U53" s="387">
        <v>0.85</v>
      </c>
      <c r="V53" s="388">
        <v>0.85</v>
      </c>
      <c r="W53" s="88"/>
      <c r="X53" s="88"/>
      <c r="Y53" s="88"/>
      <c r="Z53" s="88"/>
      <c r="AA53" s="88"/>
      <c r="AB53" s="88"/>
      <c r="AC53" s="88"/>
      <c r="AD53" s="88"/>
      <c r="AE53" s="88"/>
      <c r="AF53" s="88"/>
      <c r="AG53" s="88"/>
      <c r="AH53" s="88"/>
      <c r="AI53" s="89"/>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389" t="s">
        <v>136</v>
      </c>
      <c r="D54" s="387">
        <v>0.85</v>
      </c>
      <c r="E54" s="387">
        <v>0.85</v>
      </c>
      <c r="F54" s="387">
        <v>0.85</v>
      </c>
      <c r="G54" s="387">
        <v>0.85</v>
      </c>
      <c r="H54" s="387">
        <v>0.85</v>
      </c>
      <c r="I54" s="387">
        <v>0.85</v>
      </c>
      <c r="J54" s="387">
        <v>0.85</v>
      </c>
      <c r="K54" s="387">
        <v>0.85</v>
      </c>
      <c r="L54" s="387">
        <v>0.85</v>
      </c>
      <c r="M54" s="387">
        <v>0.85</v>
      </c>
      <c r="N54" s="387">
        <v>0.85</v>
      </c>
      <c r="O54" s="387">
        <v>0.85</v>
      </c>
      <c r="P54" s="387">
        <v>0.85</v>
      </c>
      <c r="Q54" s="387">
        <v>0.85</v>
      </c>
      <c r="R54" s="387">
        <v>0.85</v>
      </c>
      <c r="S54" s="387">
        <v>0.85</v>
      </c>
      <c r="T54" s="387">
        <v>0.85</v>
      </c>
      <c r="U54" s="387">
        <v>0.85</v>
      </c>
      <c r="V54" s="388">
        <v>0.85</v>
      </c>
      <c r="W54" s="88"/>
      <c r="X54" s="88"/>
      <c r="Y54" s="88"/>
      <c r="Z54" s="88"/>
      <c r="AA54" s="88"/>
      <c r="AB54" s="88"/>
      <c r="AC54" s="88"/>
      <c r="AD54" s="88"/>
      <c r="AE54" s="88"/>
      <c r="AF54" s="88"/>
      <c r="AG54" s="88"/>
      <c r="AH54" s="88"/>
      <c r="AI54" s="89"/>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389" t="s">
        <v>175</v>
      </c>
      <c r="D55" s="387">
        <v>0.85</v>
      </c>
      <c r="E55" s="387">
        <v>0.85</v>
      </c>
      <c r="F55" s="387">
        <v>0.85</v>
      </c>
      <c r="G55" s="387">
        <v>0.85</v>
      </c>
      <c r="H55" s="387">
        <v>0.85</v>
      </c>
      <c r="I55" s="387">
        <v>0.85</v>
      </c>
      <c r="J55" s="387">
        <v>0.85</v>
      </c>
      <c r="K55" s="387">
        <v>0.85</v>
      </c>
      <c r="L55" s="387">
        <v>0.85</v>
      </c>
      <c r="M55" s="387">
        <v>0.85</v>
      </c>
      <c r="N55" s="387">
        <v>0.85</v>
      </c>
      <c r="O55" s="387">
        <v>0.85</v>
      </c>
      <c r="P55" s="387">
        <v>0.85</v>
      </c>
      <c r="Q55" s="387">
        <v>0.85</v>
      </c>
      <c r="R55" s="387">
        <v>0.85</v>
      </c>
      <c r="S55" s="387">
        <v>0.85</v>
      </c>
      <c r="T55" s="387">
        <v>0.85</v>
      </c>
      <c r="U55" s="387">
        <v>0.85</v>
      </c>
      <c r="V55" s="388">
        <v>0.85</v>
      </c>
      <c r="W55" s="88"/>
      <c r="X55" s="88"/>
      <c r="Y55" s="88"/>
      <c r="Z55" s="88"/>
      <c r="AA55" s="88"/>
      <c r="AB55" s="88"/>
      <c r="AC55" s="88"/>
      <c r="AD55" s="88"/>
      <c r="AE55" s="88"/>
      <c r="AF55" s="88"/>
      <c r="AG55" s="88"/>
      <c r="AH55" s="88"/>
      <c r="AI55" s="89"/>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389" t="s">
        <v>176</v>
      </c>
      <c r="D56" s="387">
        <v>0.85</v>
      </c>
      <c r="E56" s="387">
        <v>0.85</v>
      </c>
      <c r="F56" s="387">
        <v>0.85</v>
      </c>
      <c r="G56" s="387">
        <v>0.85</v>
      </c>
      <c r="H56" s="387">
        <v>0.85</v>
      </c>
      <c r="I56" s="387">
        <v>0.85</v>
      </c>
      <c r="J56" s="387">
        <v>0.85</v>
      </c>
      <c r="K56" s="387">
        <v>0.85</v>
      </c>
      <c r="L56" s="387">
        <v>0.85</v>
      </c>
      <c r="M56" s="387">
        <v>0.85</v>
      </c>
      <c r="N56" s="387">
        <v>0.85</v>
      </c>
      <c r="O56" s="387">
        <v>0.85</v>
      </c>
      <c r="P56" s="387">
        <v>0.85</v>
      </c>
      <c r="Q56" s="387">
        <v>0.85</v>
      </c>
      <c r="R56" s="387">
        <v>0.85</v>
      </c>
      <c r="S56" s="387">
        <v>0.85</v>
      </c>
      <c r="T56" s="387">
        <v>0.85</v>
      </c>
      <c r="U56" s="387">
        <v>0.85</v>
      </c>
      <c r="V56" s="388">
        <v>0.85</v>
      </c>
      <c r="W56" s="88"/>
      <c r="X56" s="88"/>
      <c r="Y56" s="88"/>
      <c r="Z56" s="88"/>
      <c r="AA56" s="88"/>
      <c r="AB56" s="88"/>
      <c r="AC56" s="88"/>
      <c r="AD56" s="88"/>
      <c r="AE56" s="88"/>
      <c r="AF56" s="88"/>
      <c r="AG56" s="88"/>
      <c r="AH56" s="88"/>
      <c r="AI56" s="89"/>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391" t="s">
        <v>177</v>
      </c>
      <c r="D57" s="392">
        <v>0.85</v>
      </c>
      <c r="E57" s="392">
        <v>0.85</v>
      </c>
      <c r="F57" s="392">
        <v>0.85</v>
      </c>
      <c r="G57" s="392">
        <v>0.85</v>
      </c>
      <c r="H57" s="392">
        <v>0.85</v>
      </c>
      <c r="I57" s="392">
        <v>0.85</v>
      </c>
      <c r="J57" s="392">
        <v>0.85</v>
      </c>
      <c r="K57" s="392">
        <v>0.85</v>
      </c>
      <c r="L57" s="392">
        <v>0.85</v>
      </c>
      <c r="M57" s="392">
        <v>0.85</v>
      </c>
      <c r="N57" s="392">
        <v>0.85</v>
      </c>
      <c r="O57" s="392">
        <v>0.85</v>
      </c>
      <c r="P57" s="392">
        <v>0.85</v>
      </c>
      <c r="Q57" s="392">
        <v>0.85</v>
      </c>
      <c r="R57" s="392">
        <v>0.85</v>
      </c>
      <c r="S57" s="392">
        <v>0.85</v>
      </c>
      <c r="T57" s="392">
        <v>0.85</v>
      </c>
      <c r="U57" s="392">
        <v>0.85</v>
      </c>
      <c r="V57" s="393">
        <v>0.85</v>
      </c>
      <c r="W57" s="88"/>
      <c r="X57" s="88"/>
      <c r="Y57" s="88"/>
      <c r="Z57" s="88"/>
      <c r="AA57" s="88"/>
      <c r="AB57" s="88"/>
      <c r="AC57" s="88"/>
      <c r="AD57" s="88"/>
      <c r="AE57" s="88"/>
      <c r="AF57" s="88"/>
      <c r="AG57" s="88"/>
      <c r="AH57" s="88"/>
      <c r="AI57" s="89"/>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9"/>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9"/>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9"/>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42" t="s">
        <v>53</v>
      </c>
      <c r="D9" s="543"/>
      <c r="E9" s="381" t="s">
        <v>168</v>
      </c>
      <c r="F9" s="228" t="s">
        <v>169</v>
      </c>
      <c r="G9" s="158"/>
      <c r="H9" s="333"/>
      <c r="I9" s="333"/>
      <c r="J9" s="533" t="s">
        <v>148</v>
      </c>
      <c r="K9" s="534"/>
      <c r="L9" s="535"/>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143</v>
      </c>
      <c r="D10" s="224"/>
      <c r="E10" s="382">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144</v>
      </c>
      <c r="D11" s="224"/>
      <c r="E11" s="383">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145</v>
      </c>
      <c r="D12" s="224"/>
      <c r="E12" s="383">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146</v>
      </c>
      <c r="D13" s="224"/>
      <c r="E13" s="383">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84">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544" t="s">
        <v>54</v>
      </c>
      <c r="D17" s="545"/>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546" t="s">
        <v>149</v>
      </c>
      <c r="D26" s="547"/>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3"/>
      <c r="D35" s="536" t="s">
        <v>125</v>
      </c>
      <c r="E35" s="537"/>
      <c r="F35" s="538" t="s">
        <v>126</v>
      </c>
      <c r="G35" s="539"/>
      <c r="H35" s="540" t="s">
        <v>127</v>
      </c>
      <c r="I35" s="541"/>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4" t="s">
        <v>2</v>
      </c>
      <c r="D36" s="325" t="s">
        <v>192</v>
      </c>
      <c r="E36" s="325" t="s">
        <v>193</v>
      </c>
      <c r="F36" s="325" t="s">
        <v>192</v>
      </c>
      <c r="G36" s="325" t="s">
        <v>193</v>
      </c>
      <c r="H36" s="325" t="s">
        <v>192</v>
      </c>
      <c r="I36" s="326"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7">
        <v>0</v>
      </c>
      <c r="D37" s="328">
        <v>0.9</v>
      </c>
      <c r="E37" s="328">
        <v>0.9</v>
      </c>
      <c r="F37" s="328">
        <v>0.9</v>
      </c>
      <c r="G37" s="328">
        <v>0.9</v>
      </c>
      <c r="H37" s="328">
        <v>0.9</v>
      </c>
      <c r="I37" s="3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7">
        <v>1</v>
      </c>
      <c r="D38" s="328">
        <v>0.62</v>
      </c>
      <c r="E38" s="328">
        <v>0.62</v>
      </c>
      <c r="F38" s="328">
        <v>0.62</v>
      </c>
      <c r="G38" s="328">
        <v>0.62</v>
      </c>
      <c r="H38" s="328">
        <v>0.62</v>
      </c>
      <c r="I38" s="3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7">
        <v>2</v>
      </c>
      <c r="D39" s="328">
        <v>0.3</v>
      </c>
      <c r="E39" s="328">
        <v>0.3</v>
      </c>
      <c r="F39" s="328">
        <v>0.3</v>
      </c>
      <c r="G39" s="328">
        <v>0.3</v>
      </c>
      <c r="H39" s="328">
        <v>0.3</v>
      </c>
      <c r="I39" s="3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7">
        <v>3</v>
      </c>
      <c r="D40" s="328">
        <v>0.18</v>
      </c>
      <c r="E40" s="328">
        <v>0.18</v>
      </c>
      <c r="F40" s="328">
        <v>0.18</v>
      </c>
      <c r="G40" s="328">
        <v>0.18</v>
      </c>
      <c r="H40" s="328">
        <v>0.18</v>
      </c>
      <c r="I40" s="3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7">
        <v>4</v>
      </c>
      <c r="D41" s="328">
        <v>0.13999999999999999</v>
      </c>
      <c r="E41" s="328">
        <v>0.13999999999999999</v>
      </c>
      <c r="F41" s="328">
        <v>0.13999999999999999</v>
      </c>
      <c r="G41" s="328">
        <v>0.13999999999999999</v>
      </c>
      <c r="H41" s="328">
        <v>0.13999999999999999</v>
      </c>
      <c r="I41" s="3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7">
        <v>5</v>
      </c>
      <c r="D42" s="328">
        <v>0.1</v>
      </c>
      <c r="E42" s="328">
        <v>0.1</v>
      </c>
      <c r="F42" s="328">
        <v>0.1</v>
      </c>
      <c r="G42" s="328">
        <v>0.1</v>
      </c>
      <c r="H42" s="328">
        <v>0.1</v>
      </c>
      <c r="I42" s="3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7">
        <v>6</v>
      </c>
      <c r="D43" s="328">
        <v>0.08</v>
      </c>
      <c r="E43" s="328">
        <v>0.08</v>
      </c>
      <c r="F43" s="328">
        <v>0.08</v>
      </c>
      <c r="G43" s="328">
        <v>0.08</v>
      </c>
      <c r="H43" s="328">
        <v>0.08</v>
      </c>
      <c r="I43" s="3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7">
        <v>7</v>
      </c>
      <c r="D44" s="328">
        <v>6.5000000000000002E-2</v>
      </c>
      <c r="E44" s="328">
        <v>6.5000000000000002E-2</v>
      </c>
      <c r="F44" s="328">
        <v>6.5000000000000002E-2</v>
      </c>
      <c r="G44" s="328">
        <v>6.5000000000000002E-2</v>
      </c>
      <c r="H44" s="328">
        <v>6.5000000000000002E-2</v>
      </c>
      <c r="I44" s="3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7">
        <v>8</v>
      </c>
      <c r="D45" s="328">
        <v>0.05</v>
      </c>
      <c r="E45" s="328">
        <v>0.05</v>
      </c>
      <c r="F45" s="328">
        <v>0.05</v>
      </c>
      <c r="G45" s="328">
        <v>0.05</v>
      </c>
      <c r="H45" s="328">
        <v>0.05</v>
      </c>
      <c r="I45" s="3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7">
        <v>9</v>
      </c>
      <c r="D46" s="328">
        <v>0.05</v>
      </c>
      <c r="E46" s="328">
        <v>0.05</v>
      </c>
      <c r="F46" s="328">
        <v>0.05</v>
      </c>
      <c r="G46" s="328">
        <v>0.05</v>
      </c>
      <c r="H46" s="328">
        <v>0.05</v>
      </c>
      <c r="I46" s="3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7">
        <v>10</v>
      </c>
      <c r="D47" s="328">
        <v>0.04</v>
      </c>
      <c r="E47" s="328">
        <v>0.04</v>
      </c>
      <c r="F47" s="328">
        <v>0.04</v>
      </c>
      <c r="G47" s="328">
        <v>0.04</v>
      </c>
      <c r="H47" s="328">
        <v>0.04</v>
      </c>
      <c r="I47" s="3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7">
        <v>11</v>
      </c>
      <c r="D48" s="328">
        <v>3.7999999999999999E-2</v>
      </c>
      <c r="E48" s="328">
        <v>3.7999999999999999E-2</v>
      </c>
      <c r="F48" s="328">
        <v>3.7999999999999999E-2</v>
      </c>
      <c r="G48" s="328">
        <v>3.7999999999999999E-2</v>
      </c>
      <c r="H48" s="328">
        <v>3.7999999999999999E-2</v>
      </c>
      <c r="I48" s="3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7">
        <v>12</v>
      </c>
      <c r="D49" s="328">
        <v>3.5999999999999997E-2</v>
      </c>
      <c r="E49" s="328">
        <v>3.5999999999999997E-2</v>
      </c>
      <c r="F49" s="328">
        <v>3.5999999999999997E-2</v>
      </c>
      <c r="G49" s="328">
        <v>3.5999999999999997E-2</v>
      </c>
      <c r="H49" s="328">
        <v>3.5999999999999997E-2</v>
      </c>
      <c r="I49" s="3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7">
        <v>13</v>
      </c>
      <c r="D50" s="328">
        <v>3.3999999999999996E-2</v>
      </c>
      <c r="E50" s="328">
        <v>3.3999999999999996E-2</v>
      </c>
      <c r="F50" s="328">
        <v>3.3999999999999996E-2</v>
      </c>
      <c r="G50" s="328">
        <v>3.3999999999999996E-2</v>
      </c>
      <c r="H50" s="328">
        <v>3.3999999999999996E-2</v>
      </c>
      <c r="I50" s="3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7">
        <v>14</v>
      </c>
      <c r="D51" s="328">
        <v>3.2000000000000001E-2</v>
      </c>
      <c r="E51" s="328">
        <v>3.2000000000000001E-2</v>
      </c>
      <c r="F51" s="328">
        <v>3.2000000000000001E-2</v>
      </c>
      <c r="G51" s="328">
        <v>3.2000000000000001E-2</v>
      </c>
      <c r="H51" s="328">
        <v>3.2000000000000001E-2</v>
      </c>
      <c r="I51" s="3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7">
        <v>15</v>
      </c>
      <c r="D52" s="328">
        <v>0.03</v>
      </c>
      <c r="E52" s="328">
        <v>0.03</v>
      </c>
      <c r="F52" s="328">
        <v>0.03</v>
      </c>
      <c r="G52" s="328">
        <v>0.03</v>
      </c>
      <c r="H52" s="328">
        <v>0.03</v>
      </c>
      <c r="I52" s="3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7">
        <v>16</v>
      </c>
      <c r="D53" s="328">
        <v>2.7999999999999997E-2</v>
      </c>
      <c r="E53" s="328">
        <v>2.7999999999999997E-2</v>
      </c>
      <c r="F53" s="328">
        <v>2.7999999999999997E-2</v>
      </c>
      <c r="G53" s="328">
        <v>2.7999999999999997E-2</v>
      </c>
      <c r="H53" s="328">
        <v>2.7999999999999997E-2</v>
      </c>
      <c r="I53" s="3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7">
        <v>17</v>
      </c>
      <c r="D54" s="328">
        <v>2.6000000000000002E-2</v>
      </c>
      <c r="E54" s="328">
        <v>2.6000000000000002E-2</v>
      </c>
      <c r="F54" s="328">
        <v>2.6000000000000002E-2</v>
      </c>
      <c r="G54" s="328">
        <v>2.6000000000000002E-2</v>
      </c>
      <c r="H54" s="328">
        <v>2.6000000000000002E-2</v>
      </c>
      <c r="I54" s="3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7">
        <v>18</v>
      </c>
      <c r="D55" s="328">
        <v>2.4E-2</v>
      </c>
      <c r="E55" s="328">
        <v>2.4E-2</v>
      </c>
      <c r="F55" s="328">
        <v>2.4E-2</v>
      </c>
      <c r="G55" s="328">
        <v>2.4E-2</v>
      </c>
      <c r="H55" s="328">
        <v>2.4E-2</v>
      </c>
      <c r="I55" s="3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7">
        <v>19</v>
      </c>
      <c r="D56" s="328">
        <v>2.2000000000000002E-2</v>
      </c>
      <c r="E56" s="328">
        <v>2.2000000000000002E-2</v>
      </c>
      <c r="F56" s="328">
        <v>2.2000000000000002E-2</v>
      </c>
      <c r="G56" s="328">
        <v>2.2000000000000002E-2</v>
      </c>
      <c r="H56" s="328">
        <v>2.2000000000000002E-2</v>
      </c>
      <c r="I56" s="3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7">
        <v>20</v>
      </c>
      <c r="D57" s="328">
        <v>0.02</v>
      </c>
      <c r="E57" s="328">
        <v>0.02</v>
      </c>
      <c r="F57" s="328">
        <v>0.02</v>
      </c>
      <c r="G57" s="328">
        <v>0.02</v>
      </c>
      <c r="H57" s="328">
        <v>0.02</v>
      </c>
      <c r="I57" s="3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7">
        <v>21</v>
      </c>
      <c r="D58" s="328">
        <v>1.7999999999999999E-2</v>
      </c>
      <c r="E58" s="328">
        <v>1.7999999999999999E-2</v>
      </c>
      <c r="F58" s="328">
        <v>1.7999999999999999E-2</v>
      </c>
      <c r="G58" s="328">
        <v>1.7999999999999999E-2</v>
      </c>
      <c r="H58" s="328">
        <v>1.7999999999999999E-2</v>
      </c>
      <c r="I58" s="3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7">
        <v>22</v>
      </c>
      <c r="D59" s="328">
        <v>1.6E-2</v>
      </c>
      <c r="E59" s="328">
        <v>1.6E-2</v>
      </c>
      <c r="F59" s="328">
        <v>1.6E-2</v>
      </c>
      <c r="G59" s="328">
        <v>1.6E-2</v>
      </c>
      <c r="H59" s="328">
        <v>1.6E-2</v>
      </c>
      <c r="I59" s="3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7">
        <v>23</v>
      </c>
      <c r="D60" s="328">
        <v>1.3999999999999999E-2</v>
      </c>
      <c r="E60" s="328">
        <v>1.3999999999999999E-2</v>
      </c>
      <c r="F60" s="328">
        <v>1.3999999999999999E-2</v>
      </c>
      <c r="G60" s="328">
        <v>1.3999999999999999E-2</v>
      </c>
      <c r="H60" s="328">
        <v>1.3999999999999999E-2</v>
      </c>
      <c r="I60" s="3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7">
        <v>24</v>
      </c>
      <c r="D61" s="328">
        <v>1.2E-2</v>
      </c>
      <c r="E61" s="328">
        <v>1.2E-2</v>
      </c>
      <c r="F61" s="328">
        <v>1.2E-2</v>
      </c>
      <c r="G61" s="328">
        <v>1.2E-2</v>
      </c>
      <c r="H61" s="328">
        <v>1.2E-2</v>
      </c>
      <c r="I61" s="3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7">
        <v>25</v>
      </c>
      <c r="D62" s="328">
        <v>0.01</v>
      </c>
      <c r="E62" s="328">
        <v>0.01</v>
      </c>
      <c r="F62" s="328">
        <v>0.01</v>
      </c>
      <c r="G62" s="328">
        <v>0.01</v>
      </c>
      <c r="H62" s="328">
        <v>0.01</v>
      </c>
      <c r="I62" s="3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7">
        <v>26</v>
      </c>
      <c r="D63" s="328">
        <v>8.0000000000000002E-3</v>
      </c>
      <c r="E63" s="328">
        <v>8.0000000000000002E-3</v>
      </c>
      <c r="F63" s="328">
        <v>8.0000000000000002E-3</v>
      </c>
      <c r="G63" s="328">
        <v>8.0000000000000002E-3</v>
      </c>
      <c r="H63" s="328">
        <v>8.0000000000000002E-3</v>
      </c>
      <c r="I63" s="3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7">
        <v>27</v>
      </c>
      <c r="D64" s="328">
        <v>6.0000000000000001E-3</v>
      </c>
      <c r="E64" s="328">
        <v>6.0000000000000001E-3</v>
      </c>
      <c r="F64" s="328">
        <v>6.0000000000000001E-3</v>
      </c>
      <c r="G64" s="328">
        <v>6.0000000000000001E-3</v>
      </c>
      <c r="H64" s="328">
        <v>6.0000000000000001E-3</v>
      </c>
      <c r="I64" s="3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7">
        <v>28</v>
      </c>
      <c r="D65" s="328">
        <v>4.0000000000000001E-3</v>
      </c>
      <c r="E65" s="328">
        <v>4.0000000000000001E-3</v>
      </c>
      <c r="F65" s="328">
        <v>4.0000000000000001E-3</v>
      </c>
      <c r="G65" s="328">
        <v>4.0000000000000001E-3</v>
      </c>
      <c r="H65" s="328">
        <v>4.0000000000000001E-3</v>
      </c>
      <c r="I65" s="3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7">
        <v>29</v>
      </c>
      <c r="D66" s="328">
        <v>2E-3</v>
      </c>
      <c r="E66" s="328">
        <v>2E-3</v>
      </c>
      <c r="F66" s="328">
        <v>2E-3</v>
      </c>
      <c r="G66" s="328">
        <v>2E-3</v>
      </c>
      <c r="H66" s="328">
        <v>2E-3</v>
      </c>
      <c r="I66" s="3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0">
        <v>30</v>
      </c>
      <c r="D67" s="331">
        <v>0</v>
      </c>
      <c r="E67" s="331">
        <v>0</v>
      </c>
      <c r="F67" s="331">
        <v>0</v>
      </c>
      <c r="G67" s="331">
        <v>0</v>
      </c>
      <c r="H67" s="331">
        <v>0</v>
      </c>
      <c r="I67" s="3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49" zoomScale="90" zoomScaleNormal="90" zoomScalePageLayoutView="90"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0">
        <v>2014</v>
      </c>
      <c r="D7" s="291">
        <v>2016</v>
      </c>
      <c r="E7" s="291">
        <v>2018</v>
      </c>
      <c r="F7" s="291">
        <v>2020</v>
      </c>
      <c r="G7" s="291">
        <v>2022</v>
      </c>
      <c r="H7" s="291">
        <v>2024</v>
      </c>
      <c r="I7" s="291">
        <v>2026</v>
      </c>
      <c r="J7" s="291">
        <v>2028</v>
      </c>
      <c r="K7" s="291">
        <v>2030</v>
      </c>
      <c r="L7" s="291">
        <v>2032</v>
      </c>
      <c r="M7" s="291">
        <v>2034</v>
      </c>
      <c r="N7" s="291">
        <v>2036</v>
      </c>
      <c r="O7" s="291">
        <v>2038</v>
      </c>
      <c r="P7" s="291">
        <v>2040</v>
      </c>
      <c r="Q7" s="291">
        <v>2042</v>
      </c>
      <c r="R7" s="291">
        <v>2044</v>
      </c>
      <c r="S7" s="291">
        <v>2046</v>
      </c>
      <c r="T7" s="291">
        <v>2048</v>
      </c>
      <c r="U7" s="29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140</v>
      </c>
      <c r="C8" s="293">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4">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165</v>
      </c>
      <c r="C9" s="293">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4">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5">
        <v>0</v>
      </c>
      <c r="D10" s="289">
        <v>0</v>
      </c>
      <c r="E10" s="289">
        <v>0</v>
      </c>
      <c r="F10" s="289">
        <v>0</v>
      </c>
      <c r="G10" s="289">
        <v>20</v>
      </c>
      <c r="H10" s="289">
        <v>20</v>
      </c>
      <c r="I10" s="289">
        <v>20</v>
      </c>
      <c r="J10" s="289">
        <v>20</v>
      </c>
      <c r="K10" s="289">
        <v>30</v>
      </c>
      <c r="L10" s="289">
        <v>30</v>
      </c>
      <c r="M10" s="289">
        <v>30</v>
      </c>
      <c r="N10" s="289">
        <v>30</v>
      </c>
      <c r="O10" s="289">
        <v>40</v>
      </c>
      <c r="P10" s="289">
        <v>40</v>
      </c>
      <c r="Q10" s="289">
        <v>40</v>
      </c>
      <c r="R10" s="289">
        <v>40</v>
      </c>
      <c r="S10" s="289">
        <v>50</v>
      </c>
      <c r="T10" s="289">
        <v>50</v>
      </c>
      <c r="U10" s="296">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184</v>
      </c>
      <c r="C11" s="401">
        <v>1</v>
      </c>
      <c r="D11" s="402">
        <v>1.0249999999999999</v>
      </c>
      <c r="E11" s="402">
        <v>1.0506249999999999</v>
      </c>
      <c r="F11" s="402">
        <v>1.0768906249999999</v>
      </c>
      <c r="G11" s="402">
        <v>1.1038128906249998</v>
      </c>
      <c r="H11" s="402">
        <v>1.1314082128906247</v>
      </c>
      <c r="I11" s="402">
        <v>1.1596934182128902</v>
      </c>
      <c r="J11" s="402">
        <v>1.1886857536682123</v>
      </c>
      <c r="K11" s="402">
        <v>1.2184028975099175</v>
      </c>
      <c r="L11" s="402">
        <v>1.2488629699476652</v>
      </c>
      <c r="M11" s="402">
        <v>1.2800845441963566</v>
      </c>
      <c r="N11" s="402">
        <v>1.3120866578012655</v>
      </c>
      <c r="O11" s="402">
        <v>1.3448888242462971</v>
      </c>
      <c r="P11" s="402">
        <v>1.3785110448524545</v>
      </c>
      <c r="Q11" s="402">
        <v>1.4129738209737657</v>
      </c>
      <c r="R11" s="402">
        <v>1.4482981664981096</v>
      </c>
      <c r="S11" s="402">
        <v>1.4845056206605622</v>
      </c>
      <c r="T11" s="402">
        <v>1.5216182611770761</v>
      </c>
      <c r="U11" s="403">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185</v>
      </c>
      <c r="C12" s="401">
        <v>1</v>
      </c>
      <c r="D12" s="402">
        <v>1.0249999999999999</v>
      </c>
      <c r="E12" s="402">
        <v>1.0506249999999999</v>
      </c>
      <c r="F12" s="402">
        <v>1.0768906249999999</v>
      </c>
      <c r="G12" s="402">
        <v>1.1038128906249998</v>
      </c>
      <c r="H12" s="402">
        <v>1.1314082128906247</v>
      </c>
      <c r="I12" s="402">
        <v>1.1596934182128902</v>
      </c>
      <c r="J12" s="402">
        <v>1.1886857536682123</v>
      </c>
      <c r="K12" s="402">
        <v>1.2184028975099175</v>
      </c>
      <c r="L12" s="402">
        <v>1.2488629699476652</v>
      </c>
      <c r="M12" s="402">
        <v>1.2800845441963566</v>
      </c>
      <c r="N12" s="402">
        <v>1.3120866578012655</v>
      </c>
      <c r="O12" s="402">
        <v>1.3448888242462971</v>
      </c>
      <c r="P12" s="402">
        <v>1.3785110448524545</v>
      </c>
      <c r="Q12" s="402">
        <v>1.4129738209737657</v>
      </c>
      <c r="R12" s="402">
        <v>1.4482981664981096</v>
      </c>
      <c r="S12" s="402">
        <v>1.4845056206605622</v>
      </c>
      <c r="T12" s="402">
        <v>1.5216182611770761</v>
      </c>
      <c r="U12" s="403">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186</v>
      </c>
      <c r="C13" s="404">
        <v>1</v>
      </c>
      <c r="D13" s="402">
        <v>1.0249999999999999</v>
      </c>
      <c r="E13" s="402">
        <v>1.0506249999999999</v>
      </c>
      <c r="F13" s="402">
        <v>1.0768906249999999</v>
      </c>
      <c r="G13" s="402">
        <v>1.1038128906249998</v>
      </c>
      <c r="H13" s="402">
        <v>1.1314082128906247</v>
      </c>
      <c r="I13" s="402">
        <v>1.1596934182128902</v>
      </c>
      <c r="J13" s="402">
        <v>1.1886857536682123</v>
      </c>
      <c r="K13" s="402">
        <v>1.2184028975099175</v>
      </c>
      <c r="L13" s="402">
        <v>1.2488629699476652</v>
      </c>
      <c r="M13" s="402">
        <v>1.2800845441963566</v>
      </c>
      <c r="N13" s="402">
        <v>1.3120866578012655</v>
      </c>
      <c r="O13" s="402">
        <v>1.3448888242462971</v>
      </c>
      <c r="P13" s="402">
        <v>1.3785110448524545</v>
      </c>
      <c r="Q13" s="402">
        <v>1.4129738209737657</v>
      </c>
      <c r="R13" s="402">
        <v>1.4482981664981096</v>
      </c>
      <c r="S13" s="402">
        <v>1.4845056206605622</v>
      </c>
      <c r="T13" s="402">
        <v>1.5216182611770761</v>
      </c>
      <c r="U13" s="403">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290</v>
      </c>
      <c r="C14" s="405">
        <v>1.0249999999999999</v>
      </c>
      <c r="D14" s="406">
        <v>1.0249999999999999</v>
      </c>
      <c r="E14" s="406">
        <v>1.0249999999999999</v>
      </c>
      <c r="F14" s="406">
        <v>1.0249999999999999</v>
      </c>
      <c r="G14" s="406">
        <v>1.0249999999999999</v>
      </c>
      <c r="H14" s="406">
        <v>1.0249999999999999</v>
      </c>
      <c r="I14" s="406">
        <v>1.0249999999999999</v>
      </c>
      <c r="J14" s="406">
        <v>1.0249999999999999</v>
      </c>
      <c r="K14" s="406">
        <v>1.0249999999999999</v>
      </c>
      <c r="L14" s="406">
        <v>1.0249999999999999</v>
      </c>
      <c r="M14" s="406">
        <v>1.0249999999999999</v>
      </c>
      <c r="N14" s="406">
        <v>1.0249999999999999</v>
      </c>
      <c r="O14" s="406">
        <v>1.0249999999999999</v>
      </c>
      <c r="P14" s="406">
        <v>1.0249999999999999</v>
      </c>
      <c r="Q14" s="406">
        <v>1.0249999999999999</v>
      </c>
      <c r="R14" s="406">
        <v>1.0249999999999999</v>
      </c>
      <c r="S14" s="406">
        <v>1.0249999999999999</v>
      </c>
      <c r="T14" s="406">
        <v>1.0249999999999999</v>
      </c>
      <c r="U14" s="406">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9"/>
      <c r="Y16" s="361" t="s">
        <v>260</v>
      </c>
      <c r="Z16" s="361"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60">
        <v>2.744201934324435E-4</v>
      </c>
      <c r="Z17" s="360">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60">
        <v>2.8579410620991442E-4</v>
      </c>
      <c r="Z18" s="360">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60">
        <v>4.7716993008320446E-4</v>
      </c>
      <c r="Z19" s="360">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60">
        <v>2.0499097618064069E-4</v>
      </c>
      <c r="Z20" s="360">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60">
        <v>7.3634398159432295E-4</v>
      </c>
      <c r="Z21" s="360">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60">
        <v>1.5933500996702843E-4</v>
      </c>
      <c r="Z22" s="360">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60">
        <v>5.0685048336163163E-4</v>
      </c>
      <c r="Z23" s="360">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60">
        <v>8.3442486284763834E-4</v>
      </c>
      <c r="Z24" s="360">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60">
        <v>4.5283915436484851E-4</v>
      </c>
      <c r="Z25" s="360">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60">
        <v>3.486895207898603E-4</v>
      </c>
      <c r="Z26" s="360">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60">
        <v>6.1012381532656111E-4</v>
      </c>
      <c r="Z27" s="360">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60">
        <v>3.9139311155092061E-5</v>
      </c>
      <c r="Z28" s="360">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60">
        <v>3.2453938138303045E-4</v>
      </c>
      <c r="Z29" s="360">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60">
        <v>7.9415196034054991E-4</v>
      </c>
      <c r="Z30" s="360">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300</v>
      </c>
      <c r="D31" s="131"/>
      <c r="E31" s="131"/>
      <c r="F31" s="131"/>
      <c r="G31" s="430"/>
      <c r="H31" s="430"/>
      <c r="I31" s="431"/>
      <c r="J31" s="431"/>
      <c r="K31" s="359"/>
      <c r="L31" s="359"/>
      <c r="M31" s="359"/>
      <c r="N31" s="432"/>
      <c r="O31" s="158" t="s">
        <v>301</v>
      </c>
      <c r="P31" s="359"/>
      <c r="Q31" s="359"/>
      <c r="R31" s="359"/>
      <c r="S31" s="359"/>
      <c r="T31" s="359"/>
      <c r="U31" s="359"/>
      <c r="V31" s="359"/>
      <c r="W31" s="28"/>
      <c r="X31" s="180" t="s">
        <v>225</v>
      </c>
      <c r="Y31" s="360">
        <v>3.2602707909398565E-4</v>
      </c>
      <c r="Z31" s="360">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548" t="s">
        <v>302</v>
      </c>
      <c r="D32" s="548"/>
      <c r="E32" s="548"/>
      <c r="F32" s="549"/>
      <c r="G32" s="252">
        <v>2020</v>
      </c>
      <c r="H32" s="430"/>
      <c r="I32" s="431"/>
      <c r="J32" s="431"/>
      <c r="K32" s="359"/>
      <c r="L32" s="359"/>
      <c r="M32" s="359"/>
      <c r="N32" s="359"/>
      <c r="O32" s="359"/>
      <c r="P32" s="359"/>
      <c r="Q32" s="359"/>
      <c r="R32" s="359"/>
      <c r="S32" s="359"/>
      <c r="T32" s="359"/>
      <c r="U32" s="359"/>
      <c r="V32" s="359"/>
      <c r="W32" s="80"/>
      <c r="X32" s="180" t="s">
        <v>226</v>
      </c>
      <c r="Y32" s="360">
        <v>8.465955465067626E-4</v>
      </c>
      <c r="Z32" s="360">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33"/>
      <c r="D33" s="434"/>
      <c r="E33" s="433"/>
      <c r="F33" s="86"/>
      <c r="G33" s="86"/>
      <c r="H33" s="86"/>
      <c r="I33" s="82"/>
      <c r="J33" s="82"/>
      <c r="K33" s="28"/>
      <c r="L33" s="28"/>
      <c r="M33" s="28"/>
      <c r="N33" s="28"/>
      <c r="O33" s="28"/>
      <c r="P33" s="28"/>
      <c r="Q33" s="28"/>
      <c r="R33" s="28"/>
      <c r="S33" s="28"/>
      <c r="T33" s="28"/>
      <c r="U33" s="28"/>
      <c r="V33" s="28"/>
      <c r="W33" s="37"/>
      <c r="X33" s="180" t="s">
        <v>227</v>
      </c>
      <c r="Y33" s="360">
        <v>3.0858219124592655E-4</v>
      </c>
      <c r="Z33" s="360">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35"/>
      <c r="D34" s="291">
        <v>2014</v>
      </c>
      <c r="E34" s="291">
        <v>2016</v>
      </c>
      <c r="F34" s="291">
        <v>2018</v>
      </c>
      <c r="G34" s="291">
        <v>2020</v>
      </c>
      <c r="H34" s="291">
        <v>2022</v>
      </c>
      <c r="I34" s="291">
        <v>2024</v>
      </c>
      <c r="J34" s="291">
        <v>2026</v>
      </c>
      <c r="K34" s="291">
        <v>2028</v>
      </c>
      <c r="L34" s="291">
        <v>2030</v>
      </c>
      <c r="M34" s="291">
        <v>2032</v>
      </c>
      <c r="N34" s="291">
        <v>2034</v>
      </c>
      <c r="O34" s="291">
        <v>2036</v>
      </c>
      <c r="P34" s="291">
        <v>2038</v>
      </c>
      <c r="Q34" s="291">
        <v>2040</v>
      </c>
      <c r="R34" s="291">
        <v>2042</v>
      </c>
      <c r="S34" s="291">
        <v>2044</v>
      </c>
      <c r="T34" s="291">
        <v>2046</v>
      </c>
      <c r="U34" s="291">
        <v>2048</v>
      </c>
      <c r="V34" s="292">
        <v>2050</v>
      </c>
      <c r="W34" s="37"/>
      <c r="X34" s="180" t="s">
        <v>230</v>
      </c>
      <c r="Y34" s="360">
        <v>2.7443623595127412E-4</v>
      </c>
      <c r="Z34" s="360">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36" t="s">
        <v>210</v>
      </c>
      <c r="D35" s="437" t="b">
        <v>0</v>
      </c>
      <c r="E35" s="438" t="b">
        <v>0</v>
      </c>
      <c r="F35" s="437" t="b">
        <v>0</v>
      </c>
      <c r="G35" s="439" t="b">
        <v>1</v>
      </c>
      <c r="H35" s="439" t="b">
        <v>1</v>
      </c>
      <c r="I35" s="439" t="b">
        <v>1</v>
      </c>
      <c r="J35" s="439" t="b">
        <v>1</v>
      </c>
      <c r="K35" s="439" t="b">
        <v>1</v>
      </c>
      <c r="L35" s="440" t="b">
        <v>1</v>
      </c>
      <c r="M35" s="440" t="b">
        <v>1</v>
      </c>
      <c r="N35" s="440" t="b">
        <v>1</v>
      </c>
      <c r="O35" s="440" t="b">
        <v>1</v>
      </c>
      <c r="P35" s="440" t="b">
        <v>1</v>
      </c>
      <c r="Q35" s="440" t="b">
        <v>1</v>
      </c>
      <c r="R35" s="440" t="b">
        <v>1</v>
      </c>
      <c r="S35" s="440" t="b">
        <v>1</v>
      </c>
      <c r="T35" s="440" t="b">
        <v>1</v>
      </c>
      <c r="U35" s="440" t="b">
        <v>1</v>
      </c>
      <c r="V35" s="441" t="b">
        <v>1</v>
      </c>
      <c r="W35" s="37"/>
      <c r="X35" s="180" t="s">
        <v>229</v>
      </c>
      <c r="Y35" s="360">
        <v>5.3598020242062749E-4</v>
      </c>
      <c r="Z35" s="360">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36" t="s">
        <v>212</v>
      </c>
      <c r="D36" s="437" t="b">
        <v>0</v>
      </c>
      <c r="E36" s="438" t="b">
        <v>0</v>
      </c>
      <c r="F36" s="437" t="b">
        <v>0</v>
      </c>
      <c r="G36" s="439" t="b">
        <v>1</v>
      </c>
      <c r="H36" s="439" t="b">
        <v>1</v>
      </c>
      <c r="I36" s="439" t="b">
        <v>1</v>
      </c>
      <c r="J36" s="439" t="b">
        <v>1</v>
      </c>
      <c r="K36" s="439" t="b">
        <v>1</v>
      </c>
      <c r="L36" s="440" t="b">
        <v>1</v>
      </c>
      <c r="M36" s="440" t="b">
        <v>1</v>
      </c>
      <c r="N36" s="440" t="b">
        <v>1</v>
      </c>
      <c r="O36" s="440" t="b">
        <v>1</v>
      </c>
      <c r="P36" s="440" t="b">
        <v>1</v>
      </c>
      <c r="Q36" s="440" t="b">
        <v>1</v>
      </c>
      <c r="R36" s="440" t="b">
        <v>1</v>
      </c>
      <c r="S36" s="440" t="b">
        <v>1</v>
      </c>
      <c r="T36" s="440" t="b">
        <v>1</v>
      </c>
      <c r="U36" s="440" t="b">
        <v>1</v>
      </c>
      <c r="V36" s="441" t="b">
        <v>1</v>
      </c>
      <c r="W36" s="37"/>
      <c r="X36" s="180" t="s">
        <v>228</v>
      </c>
      <c r="Y36" s="360">
        <v>2.0322708687071074E-4</v>
      </c>
      <c r="Z36" s="360">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42" t="s">
        <v>213</v>
      </c>
      <c r="D37" s="437" t="b">
        <v>1</v>
      </c>
      <c r="E37" s="438" t="b">
        <v>1</v>
      </c>
      <c r="F37" s="437" t="b">
        <v>1</v>
      </c>
      <c r="G37" s="439" t="b">
        <v>1</v>
      </c>
      <c r="H37" s="439" t="b">
        <v>1</v>
      </c>
      <c r="I37" s="439" t="b">
        <v>1</v>
      </c>
      <c r="J37" s="439" t="b">
        <v>1</v>
      </c>
      <c r="K37" s="439" t="b">
        <v>1</v>
      </c>
      <c r="L37" s="440" t="b">
        <v>1</v>
      </c>
      <c r="M37" s="440" t="b">
        <v>1</v>
      </c>
      <c r="N37" s="443" t="b">
        <v>1</v>
      </c>
      <c r="O37" s="440" t="b">
        <v>1</v>
      </c>
      <c r="P37" s="440" t="b">
        <v>1</v>
      </c>
      <c r="Q37" s="440" t="b">
        <v>1</v>
      </c>
      <c r="R37" s="440" t="b">
        <v>1</v>
      </c>
      <c r="S37" s="440" t="b">
        <v>1</v>
      </c>
      <c r="T37" s="440" t="b">
        <v>1</v>
      </c>
      <c r="U37" s="440" t="b">
        <v>1</v>
      </c>
      <c r="V37" s="441" t="b">
        <v>1</v>
      </c>
      <c r="W37" s="37"/>
      <c r="X37" s="180" t="s">
        <v>231</v>
      </c>
      <c r="Y37" s="360">
        <v>5.0054878730029545E-4</v>
      </c>
      <c r="Z37" s="360">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42" t="s">
        <v>214</v>
      </c>
      <c r="D38" s="437" t="b">
        <v>1</v>
      </c>
      <c r="E38" s="438" t="b">
        <v>1</v>
      </c>
      <c r="F38" s="437" t="b">
        <v>1</v>
      </c>
      <c r="G38" s="439" t="b">
        <v>1</v>
      </c>
      <c r="H38" s="439" t="b">
        <v>1</v>
      </c>
      <c r="I38" s="439" t="b">
        <v>1</v>
      </c>
      <c r="J38" s="439" t="b">
        <v>1</v>
      </c>
      <c r="K38" s="439" t="b">
        <v>1</v>
      </c>
      <c r="L38" s="440" t="b">
        <v>1</v>
      </c>
      <c r="M38" s="440" t="b">
        <v>1</v>
      </c>
      <c r="N38" s="440" t="b">
        <v>1</v>
      </c>
      <c r="O38" s="440" t="b">
        <v>1</v>
      </c>
      <c r="P38" s="440" t="b">
        <v>1</v>
      </c>
      <c r="Q38" s="440" t="b">
        <v>1</v>
      </c>
      <c r="R38" s="440" t="b">
        <v>1</v>
      </c>
      <c r="S38" s="440" t="b">
        <v>1</v>
      </c>
      <c r="T38" s="440" t="b">
        <v>1</v>
      </c>
      <c r="U38" s="440" t="b">
        <v>1</v>
      </c>
      <c r="V38" s="441" t="b">
        <v>1</v>
      </c>
      <c r="W38" s="37"/>
      <c r="X38" s="180" t="s">
        <v>232</v>
      </c>
      <c r="Y38" s="360">
        <v>5.4427544121789305E-4</v>
      </c>
      <c r="Z38" s="360">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42" t="s">
        <v>215</v>
      </c>
      <c r="D39" s="437" t="b">
        <v>1</v>
      </c>
      <c r="E39" s="438" t="b">
        <v>1</v>
      </c>
      <c r="F39" s="437" t="b">
        <v>1</v>
      </c>
      <c r="G39" s="439" t="b">
        <v>1</v>
      </c>
      <c r="H39" s="439" t="b">
        <v>1</v>
      </c>
      <c r="I39" s="439" t="b">
        <v>1</v>
      </c>
      <c r="J39" s="439" t="b">
        <v>1</v>
      </c>
      <c r="K39" s="439" t="b">
        <v>1</v>
      </c>
      <c r="L39" s="440" t="b">
        <v>1</v>
      </c>
      <c r="M39" s="440" t="b">
        <v>1</v>
      </c>
      <c r="N39" s="440" t="b">
        <v>1</v>
      </c>
      <c r="O39" s="440" t="b">
        <v>1</v>
      </c>
      <c r="P39" s="440" t="b">
        <v>1</v>
      </c>
      <c r="Q39" s="440" t="b">
        <v>1</v>
      </c>
      <c r="R39" s="440" t="b">
        <v>1</v>
      </c>
      <c r="S39" s="440" t="b">
        <v>1</v>
      </c>
      <c r="T39" s="440" t="b">
        <v>1</v>
      </c>
      <c r="U39" s="440" t="b">
        <v>1</v>
      </c>
      <c r="V39" s="441" t="b">
        <v>1</v>
      </c>
      <c r="W39" s="37"/>
      <c r="X39" s="180" t="s">
        <v>234</v>
      </c>
      <c r="Y39" s="360">
        <v>6.8060201713878701E-4</v>
      </c>
      <c r="Z39" s="360">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42" t="s">
        <v>216</v>
      </c>
      <c r="D40" s="437" t="b">
        <v>1</v>
      </c>
      <c r="E40" s="438" t="b">
        <v>1</v>
      </c>
      <c r="F40" s="437" t="b">
        <v>1</v>
      </c>
      <c r="G40" s="439" t="b">
        <v>1</v>
      </c>
      <c r="H40" s="439" t="b">
        <v>1</v>
      </c>
      <c r="I40" s="439" t="b">
        <v>1</v>
      </c>
      <c r="J40" s="439" t="b">
        <v>1</v>
      </c>
      <c r="K40" s="439" t="b">
        <v>1</v>
      </c>
      <c r="L40" s="440" t="b">
        <v>1</v>
      </c>
      <c r="M40" s="440" t="b">
        <v>1</v>
      </c>
      <c r="N40" s="440" t="b">
        <v>1</v>
      </c>
      <c r="O40" s="440" t="b">
        <v>1</v>
      </c>
      <c r="P40" s="440" t="b">
        <v>1</v>
      </c>
      <c r="Q40" s="440" t="b">
        <v>1</v>
      </c>
      <c r="R40" s="440" t="b">
        <v>1</v>
      </c>
      <c r="S40" s="440" t="b">
        <v>1</v>
      </c>
      <c r="T40" s="440" t="b">
        <v>1</v>
      </c>
      <c r="U40" s="440" t="b">
        <v>1</v>
      </c>
      <c r="V40" s="441" t="b">
        <v>1</v>
      </c>
      <c r="W40" s="37"/>
      <c r="X40" s="180" t="s">
        <v>233</v>
      </c>
      <c r="Y40" s="360">
        <v>3.457177533004125E-4</v>
      </c>
      <c r="Z40" s="360">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42" t="s">
        <v>217</v>
      </c>
      <c r="D41" s="437" t="b">
        <v>1</v>
      </c>
      <c r="E41" s="438" t="b">
        <v>1</v>
      </c>
      <c r="F41" s="437" t="b">
        <v>1</v>
      </c>
      <c r="G41" s="439" t="b">
        <v>1</v>
      </c>
      <c r="H41" s="439" t="b">
        <v>1</v>
      </c>
      <c r="I41" s="439" t="b">
        <v>1</v>
      </c>
      <c r="J41" s="439" t="b">
        <v>1</v>
      </c>
      <c r="K41" s="439" t="b">
        <v>1</v>
      </c>
      <c r="L41" s="440" t="b">
        <v>1</v>
      </c>
      <c r="M41" s="440" t="b">
        <v>1</v>
      </c>
      <c r="N41" s="440" t="b">
        <v>1</v>
      </c>
      <c r="O41" s="440" t="b">
        <v>1</v>
      </c>
      <c r="P41" s="440" t="b">
        <v>1</v>
      </c>
      <c r="Q41" s="440" t="b">
        <v>1</v>
      </c>
      <c r="R41" s="440" t="b">
        <v>1</v>
      </c>
      <c r="S41" s="440" t="b">
        <v>1</v>
      </c>
      <c r="T41" s="440" t="b">
        <v>1</v>
      </c>
      <c r="U41" s="440" t="b">
        <v>1</v>
      </c>
      <c r="V41" s="441" t="b">
        <v>1</v>
      </c>
      <c r="W41" s="35"/>
      <c r="X41" s="180" t="s">
        <v>235</v>
      </c>
      <c r="Y41" s="360">
        <v>2.7139739187690266E-4</v>
      </c>
      <c r="Z41" s="360">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42" t="s">
        <v>11</v>
      </c>
      <c r="D42" s="437" t="b">
        <v>1</v>
      </c>
      <c r="E42" s="438" t="b">
        <v>1</v>
      </c>
      <c r="F42" s="437" t="b">
        <v>1</v>
      </c>
      <c r="G42" s="439" t="b">
        <v>1</v>
      </c>
      <c r="H42" s="439" t="b">
        <v>1</v>
      </c>
      <c r="I42" s="439" t="b">
        <v>1</v>
      </c>
      <c r="J42" s="439" t="b">
        <v>1</v>
      </c>
      <c r="K42" s="439" t="b">
        <v>1</v>
      </c>
      <c r="L42" s="440" t="b">
        <v>1</v>
      </c>
      <c r="M42" s="440" t="b">
        <v>1</v>
      </c>
      <c r="N42" s="440" t="b">
        <v>1</v>
      </c>
      <c r="O42" s="440" t="b">
        <v>1</v>
      </c>
      <c r="P42" s="440" t="b">
        <v>1</v>
      </c>
      <c r="Q42" s="440" t="b">
        <v>1</v>
      </c>
      <c r="R42" s="440" t="b">
        <v>1</v>
      </c>
      <c r="S42" s="440" t="b">
        <v>1</v>
      </c>
      <c r="T42" s="440" t="b">
        <v>1</v>
      </c>
      <c r="U42" s="440" t="b">
        <v>1</v>
      </c>
      <c r="V42" s="441" t="b">
        <v>1</v>
      </c>
      <c r="W42" s="35"/>
      <c r="X42" s="180" t="s">
        <v>242</v>
      </c>
      <c r="Y42" s="360">
        <v>4.6005555553392324E-4</v>
      </c>
      <c r="Z42" s="360">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36" t="s">
        <v>218</v>
      </c>
      <c r="D43" s="437" t="b">
        <v>0</v>
      </c>
      <c r="E43" s="438" t="b">
        <v>0</v>
      </c>
      <c r="F43" s="437" t="b">
        <v>0</v>
      </c>
      <c r="G43" s="444" t="b">
        <v>1</v>
      </c>
      <c r="H43" s="444" t="b">
        <v>1</v>
      </c>
      <c r="I43" s="444" t="b">
        <v>1</v>
      </c>
      <c r="J43" s="444" t="b">
        <v>1</v>
      </c>
      <c r="K43" s="444" t="b">
        <v>1</v>
      </c>
      <c r="L43" s="445" t="b">
        <v>1</v>
      </c>
      <c r="M43" s="445" t="b">
        <v>1</v>
      </c>
      <c r="N43" s="445" t="b">
        <v>1</v>
      </c>
      <c r="O43" s="445" t="b">
        <v>1</v>
      </c>
      <c r="P43" s="445" t="b">
        <v>1</v>
      </c>
      <c r="Q43" s="445" t="b">
        <v>1</v>
      </c>
      <c r="R43" s="445" t="b">
        <v>1</v>
      </c>
      <c r="S43" s="445" t="b">
        <v>1</v>
      </c>
      <c r="T43" s="445" t="b">
        <v>1</v>
      </c>
      <c r="U43" s="445" t="b">
        <v>1</v>
      </c>
      <c r="V43" s="446" t="b">
        <v>1</v>
      </c>
      <c r="W43" s="35"/>
      <c r="X43" s="180" t="s">
        <v>243</v>
      </c>
      <c r="Y43" s="360">
        <v>7.7706033252806421E-4</v>
      </c>
      <c r="Z43" s="360">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36" t="s">
        <v>219</v>
      </c>
      <c r="D44" s="437" t="b">
        <v>0</v>
      </c>
      <c r="E44" s="438" t="b">
        <v>0</v>
      </c>
      <c r="F44" s="437" t="b">
        <v>0</v>
      </c>
      <c r="G44" s="444" t="b">
        <v>1</v>
      </c>
      <c r="H44" s="444" t="b">
        <v>1</v>
      </c>
      <c r="I44" s="444" t="b">
        <v>1</v>
      </c>
      <c r="J44" s="444" t="b">
        <v>1</v>
      </c>
      <c r="K44" s="444" t="b">
        <v>1</v>
      </c>
      <c r="L44" s="445" t="b">
        <v>1</v>
      </c>
      <c r="M44" s="445" t="b">
        <v>1</v>
      </c>
      <c r="N44" s="445" t="b">
        <v>1</v>
      </c>
      <c r="O44" s="445" t="b">
        <v>1</v>
      </c>
      <c r="P44" s="445" t="b">
        <v>1</v>
      </c>
      <c r="Q44" s="445" t="b">
        <v>1</v>
      </c>
      <c r="R44" s="445" t="b">
        <v>1</v>
      </c>
      <c r="S44" s="445" t="b">
        <v>1</v>
      </c>
      <c r="T44" s="445" t="b">
        <v>1</v>
      </c>
      <c r="U44" s="445" t="b">
        <v>1</v>
      </c>
      <c r="V44" s="446" t="b">
        <v>1</v>
      </c>
      <c r="W44" s="35"/>
      <c r="X44" s="180" t="s">
        <v>236</v>
      </c>
      <c r="Y44" s="360">
        <v>6.5903358116509451E-4</v>
      </c>
      <c r="Z44" s="360">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36" t="s">
        <v>221</v>
      </c>
      <c r="D45" s="437" t="b">
        <v>0</v>
      </c>
      <c r="E45" s="438" t="b">
        <v>0</v>
      </c>
      <c r="F45" s="437" t="b">
        <v>0</v>
      </c>
      <c r="G45" s="444" t="b">
        <v>1</v>
      </c>
      <c r="H45" s="444" t="b">
        <v>1</v>
      </c>
      <c r="I45" s="444" t="b">
        <v>1</v>
      </c>
      <c r="J45" s="444" t="b">
        <v>1</v>
      </c>
      <c r="K45" s="444" t="b">
        <v>1</v>
      </c>
      <c r="L45" s="445" t="b">
        <v>1</v>
      </c>
      <c r="M45" s="445" t="b">
        <v>1</v>
      </c>
      <c r="N45" s="445" t="b">
        <v>1</v>
      </c>
      <c r="O45" s="445" t="b">
        <v>1</v>
      </c>
      <c r="P45" s="445" t="b">
        <v>1</v>
      </c>
      <c r="Q45" s="445" t="b">
        <v>1</v>
      </c>
      <c r="R45" s="445" t="b">
        <v>1</v>
      </c>
      <c r="S45" s="445" t="b">
        <v>1</v>
      </c>
      <c r="T45" s="445" t="b">
        <v>1</v>
      </c>
      <c r="U45" s="445" t="b">
        <v>1</v>
      </c>
      <c r="V45" s="446" t="b">
        <v>1</v>
      </c>
      <c r="W45" s="35"/>
      <c r="X45" s="180" t="s">
        <v>238</v>
      </c>
      <c r="Y45" s="360">
        <v>1.3708824581532242E-4</v>
      </c>
      <c r="Z45" s="360">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36" t="s">
        <v>222</v>
      </c>
      <c r="D46" s="437" t="b">
        <v>0</v>
      </c>
      <c r="E46" s="438" t="b">
        <v>0</v>
      </c>
      <c r="F46" s="437" t="b">
        <v>0</v>
      </c>
      <c r="G46" s="445" t="b">
        <v>1</v>
      </c>
      <c r="H46" s="445" t="b">
        <v>1</v>
      </c>
      <c r="I46" s="445" t="b">
        <v>1</v>
      </c>
      <c r="J46" s="445" t="b">
        <v>1</v>
      </c>
      <c r="K46" s="445" t="b">
        <v>1</v>
      </c>
      <c r="L46" s="445" t="b">
        <v>1</v>
      </c>
      <c r="M46" s="445" t="b">
        <v>1</v>
      </c>
      <c r="N46" s="445" t="b">
        <v>1</v>
      </c>
      <c r="O46" s="445" t="b">
        <v>1</v>
      </c>
      <c r="P46" s="445" t="b">
        <v>1</v>
      </c>
      <c r="Q46" s="445" t="b">
        <v>1</v>
      </c>
      <c r="R46" s="445" t="b">
        <v>1</v>
      </c>
      <c r="S46" s="445" t="b">
        <v>1</v>
      </c>
      <c r="T46" s="445" t="b">
        <v>1</v>
      </c>
      <c r="U46" s="445" t="b">
        <v>1</v>
      </c>
      <c r="V46" s="446" t="b">
        <v>1</v>
      </c>
      <c r="W46" s="35"/>
      <c r="X46" s="180" t="s">
        <v>239</v>
      </c>
      <c r="Y46" s="360">
        <v>2.4826092420676649E-4</v>
      </c>
      <c r="Z46" s="360">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42" t="s">
        <v>223</v>
      </c>
      <c r="D47" s="437" t="b">
        <v>1</v>
      </c>
      <c r="E47" s="438" t="b">
        <v>1</v>
      </c>
      <c r="F47" s="437" t="b">
        <v>1</v>
      </c>
      <c r="G47" s="445" t="b">
        <v>1</v>
      </c>
      <c r="H47" s="445" t="b">
        <v>1</v>
      </c>
      <c r="I47" s="445" t="b">
        <v>1</v>
      </c>
      <c r="J47" s="445" t="b">
        <v>1</v>
      </c>
      <c r="K47" s="445" t="b">
        <v>1</v>
      </c>
      <c r="L47" s="445" t="b">
        <v>1</v>
      </c>
      <c r="M47" s="445" t="b">
        <v>1</v>
      </c>
      <c r="N47" s="445" t="b">
        <v>1</v>
      </c>
      <c r="O47" s="445" t="b">
        <v>1</v>
      </c>
      <c r="P47" s="445" t="b">
        <v>1</v>
      </c>
      <c r="Q47" s="445" t="b">
        <v>1</v>
      </c>
      <c r="R47" s="445" t="b">
        <v>1</v>
      </c>
      <c r="S47" s="445" t="b">
        <v>1</v>
      </c>
      <c r="T47" s="445" t="b">
        <v>1</v>
      </c>
      <c r="U47" s="445" t="b">
        <v>1</v>
      </c>
      <c r="V47" s="446" t="b">
        <v>1</v>
      </c>
      <c r="W47" s="35"/>
      <c r="X47" s="180" t="s">
        <v>240</v>
      </c>
      <c r="Y47" s="360">
        <v>6.5123632733018436E-4</v>
      </c>
      <c r="Z47" s="360">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36" t="s">
        <v>224</v>
      </c>
      <c r="D48" s="437" t="b">
        <v>0</v>
      </c>
      <c r="E48" s="438" t="b">
        <v>0</v>
      </c>
      <c r="F48" s="437" t="b">
        <v>0</v>
      </c>
      <c r="G48" s="445" t="b">
        <v>1</v>
      </c>
      <c r="H48" s="445" t="b">
        <v>1</v>
      </c>
      <c r="I48" s="445" t="b">
        <v>1</v>
      </c>
      <c r="J48" s="445" t="b">
        <v>1</v>
      </c>
      <c r="K48" s="445" t="b">
        <v>1</v>
      </c>
      <c r="L48" s="445" t="b">
        <v>1</v>
      </c>
      <c r="M48" s="445" t="b">
        <v>1</v>
      </c>
      <c r="N48" s="445" t="b">
        <v>1</v>
      </c>
      <c r="O48" s="445" t="b">
        <v>1</v>
      </c>
      <c r="P48" s="445" t="b">
        <v>1</v>
      </c>
      <c r="Q48" s="445" t="b">
        <v>1</v>
      </c>
      <c r="R48" s="445" t="b">
        <v>1</v>
      </c>
      <c r="S48" s="445" t="b">
        <v>1</v>
      </c>
      <c r="T48" s="445" t="b">
        <v>1</v>
      </c>
      <c r="U48" s="445" t="b">
        <v>1</v>
      </c>
      <c r="V48" s="446" t="b">
        <v>1</v>
      </c>
      <c r="W48" s="35"/>
      <c r="X48" s="180" t="s">
        <v>237</v>
      </c>
      <c r="Y48" s="360">
        <v>4.4027318096914698E-4</v>
      </c>
      <c r="Z48" s="360">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36" t="s">
        <v>225</v>
      </c>
      <c r="D49" s="437" t="b">
        <v>0</v>
      </c>
      <c r="E49" s="438" t="b">
        <v>0</v>
      </c>
      <c r="F49" s="437" t="b">
        <v>0</v>
      </c>
      <c r="G49" s="445" t="b">
        <v>1</v>
      </c>
      <c r="H49" s="445" t="b">
        <v>1</v>
      </c>
      <c r="I49" s="445" t="b">
        <v>1</v>
      </c>
      <c r="J49" s="445" t="b">
        <v>1</v>
      </c>
      <c r="K49" s="445" t="b">
        <v>1</v>
      </c>
      <c r="L49" s="445" t="b">
        <v>1</v>
      </c>
      <c r="M49" s="445" t="b">
        <v>1</v>
      </c>
      <c r="N49" s="445" t="b">
        <v>1</v>
      </c>
      <c r="O49" s="445" t="b">
        <v>1</v>
      </c>
      <c r="P49" s="445" t="b">
        <v>1</v>
      </c>
      <c r="Q49" s="445" t="b">
        <v>1</v>
      </c>
      <c r="R49" s="445" t="b">
        <v>1</v>
      </c>
      <c r="S49" s="445" t="b">
        <v>1</v>
      </c>
      <c r="T49" s="445" t="b">
        <v>1</v>
      </c>
      <c r="U49" s="445" t="b">
        <v>1</v>
      </c>
      <c r="V49" s="446" t="b">
        <v>1</v>
      </c>
      <c r="W49" s="35"/>
      <c r="X49" s="180" t="s">
        <v>241</v>
      </c>
      <c r="Y49" s="360">
        <v>1.931816909789435E-4</v>
      </c>
      <c r="Z49" s="360">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36" t="s">
        <v>226</v>
      </c>
      <c r="D50" s="437" t="b">
        <v>0</v>
      </c>
      <c r="E50" s="438" t="b">
        <v>0</v>
      </c>
      <c r="F50" s="437" t="b">
        <v>0</v>
      </c>
      <c r="G50" s="445" t="b">
        <v>1</v>
      </c>
      <c r="H50" s="445" t="b">
        <v>1</v>
      </c>
      <c r="I50" s="445" t="b">
        <v>1</v>
      </c>
      <c r="J50" s="445" t="b">
        <v>1</v>
      </c>
      <c r="K50" s="445" t="b">
        <v>1</v>
      </c>
      <c r="L50" s="445" t="b">
        <v>1</v>
      </c>
      <c r="M50" s="445" t="b">
        <v>1</v>
      </c>
      <c r="N50" s="445" t="b">
        <v>1</v>
      </c>
      <c r="O50" s="445" t="b">
        <v>1</v>
      </c>
      <c r="P50" s="445" t="b">
        <v>1</v>
      </c>
      <c r="Q50" s="445" t="b">
        <v>1</v>
      </c>
      <c r="R50" s="445" t="b">
        <v>1</v>
      </c>
      <c r="S50" s="445" t="b">
        <v>1</v>
      </c>
      <c r="T50" s="445" t="b">
        <v>1</v>
      </c>
      <c r="U50" s="445" t="b">
        <v>1</v>
      </c>
      <c r="V50" s="446" t="b">
        <v>1</v>
      </c>
      <c r="W50" s="35"/>
      <c r="X50" s="180" t="s">
        <v>244</v>
      </c>
      <c r="Y50" s="360">
        <v>7.0176185178426537E-4</v>
      </c>
      <c r="Z50" s="360">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36" t="s">
        <v>227</v>
      </c>
      <c r="D51" s="437" t="b">
        <v>0</v>
      </c>
      <c r="E51" s="438" t="b">
        <v>0</v>
      </c>
      <c r="F51" s="437" t="b">
        <v>0</v>
      </c>
      <c r="G51" s="445" t="b">
        <v>1</v>
      </c>
      <c r="H51" s="445" t="b">
        <v>1</v>
      </c>
      <c r="I51" s="445" t="b">
        <v>1</v>
      </c>
      <c r="J51" s="445" t="b">
        <v>1</v>
      </c>
      <c r="K51" s="445" t="b">
        <v>1</v>
      </c>
      <c r="L51" s="445" t="b">
        <v>1</v>
      </c>
      <c r="M51" s="445" t="b">
        <v>1</v>
      </c>
      <c r="N51" s="445" t="b">
        <v>1</v>
      </c>
      <c r="O51" s="445" t="b">
        <v>1</v>
      </c>
      <c r="P51" s="445" t="b">
        <v>1</v>
      </c>
      <c r="Q51" s="445" t="b">
        <v>1</v>
      </c>
      <c r="R51" s="445" t="b">
        <v>1</v>
      </c>
      <c r="S51" s="445" t="b">
        <v>1</v>
      </c>
      <c r="T51" s="445" t="b">
        <v>1</v>
      </c>
      <c r="U51" s="445" t="b">
        <v>1</v>
      </c>
      <c r="V51" s="446" t="b">
        <v>1</v>
      </c>
      <c r="W51" s="35"/>
      <c r="X51" s="180" t="s">
        <v>245</v>
      </c>
      <c r="Y51" s="360">
        <v>3.7480116346849359E-4</v>
      </c>
      <c r="Z51" s="360">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42" t="s">
        <v>228</v>
      </c>
      <c r="D52" s="437" t="b">
        <v>1</v>
      </c>
      <c r="E52" s="438" t="b">
        <v>1</v>
      </c>
      <c r="F52" s="437" t="b">
        <v>1</v>
      </c>
      <c r="G52" s="445" t="b">
        <v>1</v>
      </c>
      <c r="H52" s="445" t="b">
        <v>1</v>
      </c>
      <c r="I52" s="445" t="b">
        <v>1</v>
      </c>
      <c r="J52" s="445" t="b">
        <v>1</v>
      </c>
      <c r="K52" s="445" t="b">
        <v>1</v>
      </c>
      <c r="L52" s="445" t="b">
        <v>1</v>
      </c>
      <c r="M52" s="445" t="b">
        <v>1</v>
      </c>
      <c r="N52" s="445" t="b">
        <v>1</v>
      </c>
      <c r="O52" s="445" t="b">
        <v>1</v>
      </c>
      <c r="P52" s="445" t="b">
        <v>1</v>
      </c>
      <c r="Q52" s="445" t="b">
        <v>1</v>
      </c>
      <c r="R52" s="445" t="b">
        <v>1</v>
      </c>
      <c r="S52" s="445" t="b">
        <v>1</v>
      </c>
      <c r="T52" s="445" t="b">
        <v>1</v>
      </c>
      <c r="U52" s="445" t="b">
        <v>1</v>
      </c>
      <c r="V52" s="446" t="b">
        <v>1</v>
      </c>
      <c r="W52" s="35"/>
      <c r="X52" s="180" t="s">
        <v>246</v>
      </c>
      <c r="Y52" s="360">
        <v>1.2706954449993432E-4</v>
      </c>
      <c r="Z52" s="360">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42" t="s">
        <v>229</v>
      </c>
      <c r="D53" s="437" t="b">
        <v>1</v>
      </c>
      <c r="E53" s="438" t="b">
        <v>1</v>
      </c>
      <c r="F53" s="437" t="b">
        <v>1</v>
      </c>
      <c r="G53" s="445" t="b">
        <v>1</v>
      </c>
      <c r="H53" s="445" t="b">
        <v>1</v>
      </c>
      <c r="I53" s="445" t="b">
        <v>1</v>
      </c>
      <c r="J53" s="445" t="b">
        <v>1</v>
      </c>
      <c r="K53" s="445" t="b">
        <v>1</v>
      </c>
      <c r="L53" s="445" t="b">
        <v>1</v>
      </c>
      <c r="M53" s="445" t="b">
        <v>1</v>
      </c>
      <c r="N53" s="445" t="b">
        <v>1</v>
      </c>
      <c r="O53" s="445" t="b">
        <v>1</v>
      </c>
      <c r="P53" s="445" t="b">
        <v>1</v>
      </c>
      <c r="Q53" s="445" t="b">
        <v>1</v>
      </c>
      <c r="R53" s="445" t="b">
        <v>1</v>
      </c>
      <c r="S53" s="445" t="b">
        <v>1</v>
      </c>
      <c r="T53" s="445" t="b">
        <v>1</v>
      </c>
      <c r="U53" s="445" t="b">
        <v>1</v>
      </c>
      <c r="V53" s="446" t="b">
        <v>1</v>
      </c>
      <c r="W53" s="35"/>
      <c r="X53" s="180" t="s">
        <v>247</v>
      </c>
      <c r="Y53" s="360">
        <v>4.3552522745260029E-4</v>
      </c>
      <c r="Z53" s="360">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36" t="s">
        <v>230</v>
      </c>
      <c r="D54" s="437" t="b">
        <v>0</v>
      </c>
      <c r="E54" s="438" t="b">
        <v>0</v>
      </c>
      <c r="F54" s="437" t="b">
        <v>0</v>
      </c>
      <c r="G54" s="445" t="b">
        <v>1</v>
      </c>
      <c r="H54" s="445" t="b">
        <v>1</v>
      </c>
      <c r="I54" s="445" t="b">
        <v>1</v>
      </c>
      <c r="J54" s="445" t="b">
        <v>1</v>
      </c>
      <c r="K54" s="445" t="b">
        <v>1</v>
      </c>
      <c r="L54" s="445" t="b">
        <v>1</v>
      </c>
      <c r="M54" s="445" t="b">
        <v>1</v>
      </c>
      <c r="N54" s="445" t="b">
        <v>1</v>
      </c>
      <c r="O54" s="445" t="b">
        <v>1</v>
      </c>
      <c r="P54" s="445" t="b">
        <v>1</v>
      </c>
      <c r="Q54" s="445" t="b">
        <v>1</v>
      </c>
      <c r="R54" s="445" t="b">
        <v>1</v>
      </c>
      <c r="S54" s="445" t="b">
        <v>1</v>
      </c>
      <c r="T54" s="445" t="b">
        <v>1</v>
      </c>
      <c r="U54" s="445" t="b">
        <v>1</v>
      </c>
      <c r="V54" s="446" t="b">
        <v>1</v>
      </c>
      <c r="W54" s="35"/>
      <c r="X54" s="180" t="s">
        <v>248</v>
      </c>
      <c r="Y54" s="360">
        <v>3.7217229024403897E-4</v>
      </c>
      <c r="Z54" s="360">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42" t="s">
        <v>231</v>
      </c>
      <c r="D55" s="437" t="b">
        <v>1</v>
      </c>
      <c r="E55" s="438" t="b">
        <v>1</v>
      </c>
      <c r="F55" s="437" t="b">
        <v>1</v>
      </c>
      <c r="G55" s="445" t="b">
        <v>1</v>
      </c>
      <c r="H55" s="445" t="b">
        <v>1</v>
      </c>
      <c r="I55" s="445" t="b">
        <v>1</v>
      </c>
      <c r="J55" s="445" t="b">
        <v>1</v>
      </c>
      <c r="K55" s="445" t="b">
        <v>1</v>
      </c>
      <c r="L55" s="445" t="b">
        <v>1</v>
      </c>
      <c r="M55" s="445" t="b">
        <v>1</v>
      </c>
      <c r="N55" s="445" t="b">
        <v>1</v>
      </c>
      <c r="O55" s="445" t="b">
        <v>1</v>
      </c>
      <c r="P55" s="445" t="b">
        <v>1</v>
      </c>
      <c r="Q55" s="445" t="b">
        <v>1</v>
      </c>
      <c r="R55" s="445" t="b">
        <v>1</v>
      </c>
      <c r="S55" s="445" t="b">
        <v>1</v>
      </c>
      <c r="T55" s="445" t="b">
        <v>1</v>
      </c>
      <c r="U55" s="445" t="b">
        <v>1</v>
      </c>
      <c r="V55" s="446" t="b">
        <v>1</v>
      </c>
      <c r="W55" s="35"/>
      <c r="X55" s="180" t="s">
        <v>249</v>
      </c>
      <c r="Y55" s="360">
        <v>2.3421760822486782E-4</v>
      </c>
      <c r="Z55" s="360">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36" t="s">
        <v>232</v>
      </c>
      <c r="D56" s="437" t="b">
        <v>0</v>
      </c>
      <c r="E56" s="438" t="b">
        <v>0</v>
      </c>
      <c r="F56" s="437" t="b">
        <v>0</v>
      </c>
      <c r="G56" s="445" t="b">
        <v>1</v>
      </c>
      <c r="H56" s="445" t="b">
        <v>1</v>
      </c>
      <c r="I56" s="445" t="b">
        <v>1</v>
      </c>
      <c r="J56" s="445" t="b">
        <v>1</v>
      </c>
      <c r="K56" s="445" t="b">
        <v>1</v>
      </c>
      <c r="L56" s="445" t="b">
        <v>1</v>
      </c>
      <c r="M56" s="445" t="b">
        <v>1</v>
      </c>
      <c r="N56" s="445" t="b">
        <v>1</v>
      </c>
      <c r="O56" s="445" t="b">
        <v>1</v>
      </c>
      <c r="P56" s="445" t="b">
        <v>1</v>
      </c>
      <c r="Q56" s="445" t="b">
        <v>1</v>
      </c>
      <c r="R56" s="445" t="b">
        <v>1</v>
      </c>
      <c r="S56" s="445" t="b">
        <v>1</v>
      </c>
      <c r="T56" s="445" t="b">
        <v>1</v>
      </c>
      <c r="U56" s="445" t="b">
        <v>1</v>
      </c>
      <c r="V56" s="446" t="b">
        <v>1</v>
      </c>
      <c r="W56" s="35"/>
      <c r="X56" s="180" t="s">
        <v>250</v>
      </c>
      <c r="Y56" s="360">
        <v>3.9218138779391148E-4</v>
      </c>
      <c r="Z56" s="360">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36" t="s">
        <v>233</v>
      </c>
      <c r="D57" s="437" t="b">
        <v>0</v>
      </c>
      <c r="E57" s="438" t="b">
        <v>0</v>
      </c>
      <c r="F57" s="437" t="b">
        <v>0</v>
      </c>
      <c r="G57" s="445" t="b">
        <v>1</v>
      </c>
      <c r="H57" s="445" t="b">
        <v>1</v>
      </c>
      <c r="I57" s="445" t="b">
        <v>1</v>
      </c>
      <c r="J57" s="445" t="b">
        <v>1</v>
      </c>
      <c r="K57" s="445" t="b">
        <v>1</v>
      </c>
      <c r="L57" s="445" t="b">
        <v>1</v>
      </c>
      <c r="M57" s="445" t="b">
        <v>1</v>
      </c>
      <c r="N57" s="445" t="b">
        <v>1</v>
      </c>
      <c r="O57" s="445" t="b">
        <v>1</v>
      </c>
      <c r="P57" s="445" t="b">
        <v>1</v>
      </c>
      <c r="Q57" s="445" t="b">
        <v>1</v>
      </c>
      <c r="R57" s="445" t="b">
        <v>1</v>
      </c>
      <c r="S57" s="445" t="b">
        <v>1</v>
      </c>
      <c r="T57" s="445" t="b">
        <v>1</v>
      </c>
      <c r="U57" s="445" t="b">
        <v>1</v>
      </c>
      <c r="V57" s="446" t="b">
        <v>1</v>
      </c>
      <c r="W57" s="35"/>
      <c r="X57" s="180" t="s">
        <v>251</v>
      </c>
      <c r="Y57" s="360">
        <v>2.51710742463223E-4</v>
      </c>
      <c r="Z57" s="360">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36" t="s">
        <v>234</v>
      </c>
      <c r="D58" s="437" t="b">
        <v>0</v>
      </c>
      <c r="E58" s="438" t="b">
        <v>0</v>
      </c>
      <c r="F58" s="437" t="b">
        <v>0</v>
      </c>
      <c r="G58" s="445" t="b">
        <v>1</v>
      </c>
      <c r="H58" s="445" t="b">
        <v>1</v>
      </c>
      <c r="I58" s="445" t="b">
        <v>1</v>
      </c>
      <c r="J58" s="445" t="b">
        <v>1</v>
      </c>
      <c r="K58" s="445" t="b">
        <v>1</v>
      </c>
      <c r="L58" s="445" t="b">
        <v>1</v>
      </c>
      <c r="M58" s="445" t="b">
        <v>1</v>
      </c>
      <c r="N58" s="445" t="b">
        <v>1</v>
      </c>
      <c r="O58" s="445" t="b">
        <v>1</v>
      </c>
      <c r="P58" s="445" t="b">
        <v>1</v>
      </c>
      <c r="Q58" s="445" t="b">
        <v>1</v>
      </c>
      <c r="R58" s="445" t="b">
        <v>1</v>
      </c>
      <c r="S58" s="445" t="b">
        <v>1</v>
      </c>
      <c r="T58" s="445" t="b">
        <v>1</v>
      </c>
      <c r="U58" s="445" t="b">
        <v>1</v>
      </c>
      <c r="V58" s="446" t="b">
        <v>1</v>
      </c>
      <c r="W58" s="35"/>
      <c r="X58" s="180" t="s">
        <v>252</v>
      </c>
      <c r="Y58" s="360">
        <v>4.9438144200333368E-4</v>
      </c>
      <c r="Z58" s="360">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36" t="s">
        <v>235</v>
      </c>
      <c r="D59" s="437" t="b">
        <v>0</v>
      </c>
      <c r="E59" s="438" t="b">
        <v>0</v>
      </c>
      <c r="F59" s="437" t="b">
        <v>0</v>
      </c>
      <c r="G59" s="445" t="b">
        <v>1</v>
      </c>
      <c r="H59" s="445" t="b">
        <v>1</v>
      </c>
      <c r="I59" s="445" t="b">
        <v>1</v>
      </c>
      <c r="J59" s="445" t="b">
        <v>1</v>
      </c>
      <c r="K59" s="445" t="b">
        <v>1</v>
      </c>
      <c r="L59" s="445" t="b">
        <v>1</v>
      </c>
      <c r="M59" s="445" t="b">
        <v>1</v>
      </c>
      <c r="N59" s="445" t="b">
        <v>1</v>
      </c>
      <c r="O59" s="445" t="b">
        <v>1</v>
      </c>
      <c r="P59" s="445" t="b">
        <v>1</v>
      </c>
      <c r="Q59" s="445" t="b">
        <v>1</v>
      </c>
      <c r="R59" s="445" t="b">
        <v>1</v>
      </c>
      <c r="S59" s="445" t="b">
        <v>1</v>
      </c>
      <c r="T59" s="445" t="b">
        <v>1</v>
      </c>
      <c r="U59" s="445" t="b">
        <v>1</v>
      </c>
      <c r="V59" s="446" t="b">
        <v>1</v>
      </c>
      <c r="W59" s="35"/>
      <c r="X59" s="180" t="s">
        <v>253</v>
      </c>
      <c r="Y59" s="360">
        <v>7.6676322767228755E-4</v>
      </c>
      <c r="Z59" s="360">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36" t="s">
        <v>236</v>
      </c>
      <c r="D60" s="437" t="b">
        <v>0</v>
      </c>
      <c r="E60" s="438" t="b">
        <v>0</v>
      </c>
      <c r="F60" s="437" t="b">
        <v>0</v>
      </c>
      <c r="G60" s="445" t="b">
        <v>1</v>
      </c>
      <c r="H60" s="445" t="b">
        <v>1</v>
      </c>
      <c r="I60" s="445" t="b">
        <v>1</v>
      </c>
      <c r="J60" s="445" t="b">
        <v>1</v>
      </c>
      <c r="K60" s="445" t="b">
        <v>1</v>
      </c>
      <c r="L60" s="445" t="b">
        <v>1</v>
      </c>
      <c r="M60" s="445" t="b">
        <v>1</v>
      </c>
      <c r="N60" s="445" t="b">
        <v>1</v>
      </c>
      <c r="O60" s="445" t="b">
        <v>1</v>
      </c>
      <c r="P60" s="445" t="b">
        <v>1</v>
      </c>
      <c r="Q60" s="445" t="b">
        <v>1</v>
      </c>
      <c r="R60" s="445" t="b">
        <v>1</v>
      </c>
      <c r="S60" s="445" t="b">
        <v>1</v>
      </c>
      <c r="T60" s="445" t="b">
        <v>1</v>
      </c>
      <c r="U60" s="445" t="b">
        <v>1</v>
      </c>
      <c r="V60" s="446" t="b">
        <v>1</v>
      </c>
      <c r="W60" s="35"/>
      <c r="X60" s="180" t="s">
        <v>255</v>
      </c>
      <c r="Y60" s="360">
        <v>3.3864707385370345E-4</v>
      </c>
      <c r="Z60" s="360">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36" t="s">
        <v>237</v>
      </c>
      <c r="D61" s="437" t="b">
        <v>0</v>
      </c>
      <c r="E61" s="438" t="b">
        <v>0</v>
      </c>
      <c r="F61" s="437" t="b">
        <v>0</v>
      </c>
      <c r="G61" s="445" t="b">
        <v>1</v>
      </c>
      <c r="H61" s="445" t="b">
        <v>1</v>
      </c>
      <c r="I61" s="445" t="b">
        <v>1</v>
      </c>
      <c r="J61" s="445" t="b">
        <v>1</v>
      </c>
      <c r="K61" s="445" t="b">
        <v>1</v>
      </c>
      <c r="L61" s="445" t="b">
        <v>1</v>
      </c>
      <c r="M61" s="445" t="b">
        <v>1</v>
      </c>
      <c r="N61" s="445" t="b">
        <v>1</v>
      </c>
      <c r="O61" s="445" t="b">
        <v>1</v>
      </c>
      <c r="P61" s="445" t="b">
        <v>1</v>
      </c>
      <c r="Q61" s="445" t="b">
        <v>1</v>
      </c>
      <c r="R61" s="445" t="b">
        <v>1</v>
      </c>
      <c r="S61" s="445" t="b">
        <v>1</v>
      </c>
      <c r="T61" s="445" t="b">
        <v>1</v>
      </c>
      <c r="U61" s="445" t="b">
        <v>1</v>
      </c>
      <c r="V61" s="446" t="b">
        <v>1</v>
      </c>
      <c r="W61" s="35"/>
      <c r="X61" s="180" t="s">
        <v>254</v>
      </c>
      <c r="Y61" s="360">
        <v>0</v>
      </c>
      <c r="Z61" s="360">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36" t="s">
        <v>238</v>
      </c>
      <c r="D62" s="437" t="b">
        <v>0</v>
      </c>
      <c r="E62" s="438" t="b">
        <v>0</v>
      </c>
      <c r="F62" s="437" t="b">
        <v>0</v>
      </c>
      <c r="G62" s="445" t="b">
        <v>1</v>
      </c>
      <c r="H62" s="445" t="b">
        <v>1</v>
      </c>
      <c r="I62" s="445" t="b">
        <v>1</v>
      </c>
      <c r="J62" s="445" t="b">
        <v>1</v>
      </c>
      <c r="K62" s="445" t="b">
        <v>1</v>
      </c>
      <c r="L62" s="445" t="b">
        <v>1</v>
      </c>
      <c r="M62" s="445" t="b">
        <v>1</v>
      </c>
      <c r="N62" s="445" t="b">
        <v>1</v>
      </c>
      <c r="O62" s="445" t="b">
        <v>1</v>
      </c>
      <c r="P62" s="445" t="b">
        <v>1</v>
      </c>
      <c r="Q62" s="445" t="b">
        <v>1</v>
      </c>
      <c r="R62" s="445" t="b">
        <v>1</v>
      </c>
      <c r="S62" s="445" t="b">
        <v>1</v>
      </c>
      <c r="T62" s="445" t="b">
        <v>1</v>
      </c>
      <c r="U62" s="445" t="b">
        <v>1</v>
      </c>
      <c r="V62" s="446" t="b">
        <v>1</v>
      </c>
      <c r="W62" s="35"/>
      <c r="X62" s="180" t="s">
        <v>256</v>
      </c>
      <c r="Y62" s="360">
        <v>2.2923348213669437E-5</v>
      </c>
      <c r="Z62" s="360">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42" t="s">
        <v>239</v>
      </c>
      <c r="D63" s="437" t="b">
        <v>1</v>
      </c>
      <c r="E63" s="438" t="b">
        <v>1</v>
      </c>
      <c r="F63" s="437" t="b">
        <v>1</v>
      </c>
      <c r="G63" s="445" t="b">
        <v>1</v>
      </c>
      <c r="H63" s="445" t="b">
        <v>1</v>
      </c>
      <c r="I63" s="445" t="b">
        <v>1</v>
      </c>
      <c r="J63" s="445" t="b">
        <v>1</v>
      </c>
      <c r="K63" s="445" t="b">
        <v>1</v>
      </c>
      <c r="L63" s="445" t="b">
        <v>1</v>
      </c>
      <c r="M63" s="445" t="b">
        <v>1</v>
      </c>
      <c r="N63" s="445" t="b">
        <v>1</v>
      </c>
      <c r="O63" s="445" t="b">
        <v>1</v>
      </c>
      <c r="P63" s="445" t="b">
        <v>1</v>
      </c>
      <c r="Q63" s="445" t="b">
        <v>1</v>
      </c>
      <c r="R63" s="445" t="b">
        <v>1</v>
      </c>
      <c r="S63" s="445" t="b">
        <v>1</v>
      </c>
      <c r="T63" s="445" t="b">
        <v>1</v>
      </c>
      <c r="U63" s="445" t="b">
        <v>1</v>
      </c>
      <c r="V63" s="446" t="b">
        <v>1</v>
      </c>
      <c r="W63" s="35"/>
      <c r="X63" s="180" t="s">
        <v>258</v>
      </c>
      <c r="Y63" s="360">
        <v>5.8465338475716154E-4</v>
      </c>
      <c r="Z63" s="360">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42" t="s">
        <v>240</v>
      </c>
      <c r="D64" s="437" t="b">
        <v>1</v>
      </c>
      <c r="E64" s="438" t="b">
        <v>1</v>
      </c>
      <c r="F64" s="437" t="b">
        <v>1</v>
      </c>
      <c r="G64" s="445" t="b">
        <v>1</v>
      </c>
      <c r="H64" s="445" t="b">
        <v>1</v>
      </c>
      <c r="I64" s="445" t="b">
        <v>1</v>
      </c>
      <c r="J64" s="445" t="b">
        <v>1</v>
      </c>
      <c r="K64" s="445" t="b">
        <v>1</v>
      </c>
      <c r="L64" s="445" t="b">
        <v>1</v>
      </c>
      <c r="M64" s="445" t="b">
        <v>1</v>
      </c>
      <c r="N64" s="445" t="b">
        <v>1</v>
      </c>
      <c r="O64" s="445" t="b">
        <v>1</v>
      </c>
      <c r="P64" s="445" t="b">
        <v>1</v>
      </c>
      <c r="Q64" s="445" t="b">
        <v>1</v>
      </c>
      <c r="R64" s="445" t="b">
        <v>1</v>
      </c>
      <c r="S64" s="445" t="b">
        <v>1</v>
      </c>
      <c r="T64" s="445" t="b">
        <v>1</v>
      </c>
      <c r="U64" s="445" t="b">
        <v>1</v>
      </c>
      <c r="V64" s="446" t="b">
        <v>1</v>
      </c>
      <c r="W64" s="35"/>
      <c r="X64" s="180" t="s">
        <v>257</v>
      </c>
      <c r="Y64" s="360">
        <v>8.3039048317398809E-4</v>
      </c>
      <c r="Z64" s="360">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42" t="s">
        <v>241</v>
      </c>
      <c r="D65" s="437" t="b">
        <v>1</v>
      </c>
      <c r="E65" s="438" t="b">
        <v>1</v>
      </c>
      <c r="F65" s="437" t="b">
        <v>1</v>
      </c>
      <c r="G65" s="445" t="b">
        <v>1</v>
      </c>
      <c r="H65" s="445" t="b">
        <v>1</v>
      </c>
      <c r="I65" s="445" t="b">
        <v>1</v>
      </c>
      <c r="J65" s="445" t="b">
        <v>1</v>
      </c>
      <c r="K65" s="445" t="b">
        <v>1</v>
      </c>
      <c r="L65" s="445" t="b">
        <v>1</v>
      </c>
      <c r="M65" s="445" t="b">
        <v>1</v>
      </c>
      <c r="N65" s="445" t="b">
        <v>1</v>
      </c>
      <c r="O65" s="445" t="b">
        <v>1</v>
      </c>
      <c r="P65" s="445" t="b">
        <v>1</v>
      </c>
      <c r="Q65" s="445" t="b">
        <v>1</v>
      </c>
      <c r="R65" s="445" t="b">
        <v>1</v>
      </c>
      <c r="S65" s="445" t="b">
        <v>1</v>
      </c>
      <c r="T65" s="445" t="b">
        <v>1</v>
      </c>
      <c r="U65" s="445" t="b">
        <v>1</v>
      </c>
      <c r="V65" s="446" t="b">
        <v>1</v>
      </c>
      <c r="W65" s="35"/>
      <c r="X65" s="180" t="s">
        <v>259</v>
      </c>
      <c r="Y65" s="360">
        <v>7.5840059121394163E-4</v>
      </c>
      <c r="Z65" s="360">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42" t="s">
        <v>242</v>
      </c>
      <c r="D66" s="437" t="b">
        <v>1</v>
      </c>
      <c r="E66" s="438" t="b">
        <v>1</v>
      </c>
      <c r="F66" s="437" t="b">
        <v>1</v>
      </c>
      <c r="G66" s="445" t="b">
        <v>1</v>
      </c>
      <c r="H66" s="445" t="b">
        <v>1</v>
      </c>
      <c r="I66" s="445" t="b">
        <v>1</v>
      </c>
      <c r="J66" s="445" t="b">
        <v>1</v>
      </c>
      <c r="K66" s="445" t="b">
        <v>1</v>
      </c>
      <c r="L66" s="445" t="b">
        <v>1</v>
      </c>
      <c r="M66" s="445" t="b">
        <v>1</v>
      </c>
      <c r="N66" s="445" t="b">
        <v>1</v>
      </c>
      <c r="O66" s="445" t="b">
        <v>1</v>
      </c>
      <c r="P66" s="445" t="b">
        <v>1</v>
      </c>
      <c r="Q66" s="445" t="b">
        <v>1</v>
      </c>
      <c r="R66" s="445" t="b">
        <v>1</v>
      </c>
      <c r="S66" s="445" t="b">
        <v>1</v>
      </c>
      <c r="T66" s="445" t="b">
        <v>1</v>
      </c>
      <c r="U66" s="445" t="b">
        <v>1</v>
      </c>
      <c r="V66" s="446"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42" t="s">
        <v>243</v>
      </c>
      <c r="D67" s="437" t="b">
        <v>1</v>
      </c>
      <c r="E67" s="438" t="b">
        <v>1</v>
      </c>
      <c r="F67" s="437" t="b">
        <v>1</v>
      </c>
      <c r="G67" s="445" t="b">
        <v>1</v>
      </c>
      <c r="H67" s="445" t="b">
        <v>1</v>
      </c>
      <c r="I67" s="445" t="b">
        <v>1</v>
      </c>
      <c r="J67" s="445" t="b">
        <v>1</v>
      </c>
      <c r="K67" s="445" t="b">
        <v>1</v>
      </c>
      <c r="L67" s="445" t="b">
        <v>1</v>
      </c>
      <c r="M67" s="445" t="b">
        <v>1</v>
      </c>
      <c r="N67" s="445" t="b">
        <v>1</v>
      </c>
      <c r="O67" s="445" t="b">
        <v>1</v>
      </c>
      <c r="P67" s="445" t="b">
        <v>1</v>
      </c>
      <c r="Q67" s="445" t="b">
        <v>1</v>
      </c>
      <c r="R67" s="445" t="b">
        <v>1</v>
      </c>
      <c r="S67" s="445" t="b">
        <v>1</v>
      </c>
      <c r="T67" s="445" t="b">
        <v>1</v>
      </c>
      <c r="U67" s="445" t="b">
        <v>1</v>
      </c>
      <c r="V67" s="44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42" t="s">
        <v>244</v>
      </c>
      <c r="D68" s="437" t="b">
        <v>1</v>
      </c>
      <c r="E68" s="438" t="b">
        <v>1</v>
      </c>
      <c r="F68" s="437" t="b">
        <v>1</v>
      </c>
      <c r="G68" s="445" t="b">
        <v>1</v>
      </c>
      <c r="H68" s="445" t="b">
        <v>1</v>
      </c>
      <c r="I68" s="445" t="b">
        <v>1</v>
      </c>
      <c r="J68" s="445" t="b">
        <v>1</v>
      </c>
      <c r="K68" s="445" t="b">
        <v>1</v>
      </c>
      <c r="L68" s="445" t="b">
        <v>1</v>
      </c>
      <c r="M68" s="445" t="b">
        <v>1</v>
      </c>
      <c r="N68" s="445" t="b">
        <v>1</v>
      </c>
      <c r="O68" s="445" t="b">
        <v>1</v>
      </c>
      <c r="P68" s="445" t="b">
        <v>1</v>
      </c>
      <c r="Q68" s="445" t="b">
        <v>1</v>
      </c>
      <c r="R68" s="445" t="b">
        <v>1</v>
      </c>
      <c r="S68" s="445" t="b">
        <v>1</v>
      </c>
      <c r="T68" s="445" t="b">
        <v>1</v>
      </c>
      <c r="U68" s="445" t="b">
        <v>1</v>
      </c>
      <c r="V68" s="446"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36" t="s">
        <v>245</v>
      </c>
      <c r="D69" s="437" t="b">
        <v>0</v>
      </c>
      <c r="E69" s="438" t="b">
        <v>0</v>
      </c>
      <c r="F69" s="437" t="b">
        <v>0</v>
      </c>
      <c r="G69" s="445" t="b">
        <v>1</v>
      </c>
      <c r="H69" s="445" t="b">
        <v>1</v>
      </c>
      <c r="I69" s="445" t="b">
        <v>1</v>
      </c>
      <c r="J69" s="445" t="b">
        <v>1</v>
      </c>
      <c r="K69" s="445" t="b">
        <v>1</v>
      </c>
      <c r="L69" s="445" t="b">
        <v>1</v>
      </c>
      <c r="M69" s="445" t="b">
        <v>1</v>
      </c>
      <c r="N69" s="445" t="b">
        <v>1</v>
      </c>
      <c r="O69" s="445" t="b">
        <v>1</v>
      </c>
      <c r="P69" s="445" t="b">
        <v>1</v>
      </c>
      <c r="Q69" s="445" t="b">
        <v>1</v>
      </c>
      <c r="R69" s="445" t="b">
        <v>1</v>
      </c>
      <c r="S69" s="445" t="b">
        <v>1</v>
      </c>
      <c r="T69" s="445" t="b">
        <v>1</v>
      </c>
      <c r="U69" s="445" t="b">
        <v>1</v>
      </c>
      <c r="V69" s="446"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42" t="s">
        <v>246</v>
      </c>
      <c r="D70" s="447" t="b">
        <v>1</v>
      </c>
      <c r="E70" s="445" t="b">
        <v>1</v>
      </c>
      <c r="F70" s="448" t="b">
        <v>1</v>
      </c>
      <c r="G70" s="445" t="b">
        <v>1</v>
      </c>
      <c r="H70" s="445" t="b">
        <v>1</v>
      </c>
      <c r="I70" s="445" t="b">
        <v>1</v>
      </c>
      <c r="J70" s="445" t="b">
        <v>1</v>
      </c>
      <c r="K70" s="445" t="b">
        <v>1</v>
      </c>
      <c r="L70" s="445" t="b">
        <v>1</v>
      </c>
      <c r="M70" s="445" t="b">
        <v>1</v>
      </c>
      <c r="N70" s="445" t="b">
        <v>1</v>
      </c>
      <c r="O70" s="445" t="b">
        <v>1</v>
      </c>
      <c r="P70" s="445" t="b">
        <v>1</v>
      </c>
      <c r="Q70" s="445" t="b">
        <v>1</v>
      </c>
      <c r="R70" s="445" t="b">
        <v>1</v>
      </c>
      <c r="S70" s="445" t="b">
        <v>1</v>
      </c>
      <c r="T70" s="445" t="b">
        <v>1</v>
      </c>
      <c r="U70" s="445" t="b">
        <v>1</v>
      </c>
      <c r="V70" s="446"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42" t="s">
        <v>247</v>
      </c>
      <c r="D71" s="445" t="b">
        <v>1</v>
      </c>
      <c r="E71" s="445" t="b">
        <v>1</v>
      </c>
      <c r="F71" s="445" t="b">
        <v>1</v>
      </c>
      <c r="G71" s="445" t="b">
        <v>1</v>
      </c>
      <c r="H71" s="445" t="b">
        <v>1</v>
      </c>
      <c r="I71" s="445" t="b">
        <v>1</v>
      </c>
      <c r="J71" s="445" t="b">
        <v>1</v>
      </c>
      <c r="K71" s="445" t="b">
        <v>1</v>
      </c>
      <c r="L71" s="445" t="b">
        <v>1</v>
      </c>
      <c r="M71" s="445" t="b">
        <v>1</v>
      </c>
      <c r="N71" s="445" t="b">
        <v>1</v>
      </c>
      <c r="O71" s="445" t="b">
        <v>1</v>
      </c>
      <c r="P71" s="445" t="b">
        <v>1</v>
      </c>
      <c r="Q71" s="445" t="b">
        <v>1</v>
      </c>
      <c r="R71" s="445" t="b">
        <v>1</v>
      </c>
      <c r="S71" s="445" t="b">
        <v>1</v>
      </c>
      <c r="T71" s="445" t="b">
        <v>1</v>
      </c>
      <c r="U71" s="445" t="b">
        <v>1</v>
      </c>
      <c r="V71" s="446"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42" t="s">
        <v>248</v>
      </c>
      <c r="D72" s="445" t="b">
        <v>1</v>
      </c>
      <c r="E72" s="445" t="b">
        <v>1</v>
      </c>
      <c r="F72" s="445" t="b">
        <v>1</v>
      </c>
      <c r="G72" s="445" t="b">
        <v>1</v>
      </c>
      <c r="H72" s="445" t="b">
        <v>1</v>
      </c>
      <c r="I72" s="445" t="b">
        <v>1</v>
      </c>
      <c r="J72" s="445" t="b">
        <v>1</v>
      </c>
      <c r="K72" s="445" t="b">
        <v>1</v>
      </c>
      <c r="L72" s="445" t="b">
        <v>1</v>
      </c>
      <c r="M72" s="445" t="b">
        <v>1</v>
      </c>
      <c r="N72" s="445" t="b">
        <v>1</v>
      </c>
      <c r="O72" s="445" t="b">
        <v>1</v>
      </c>
      <c r="P72" s="445" t="b">
        <v>1</v>
      </c>
      <c r="Q72" s="445" t="b">
        <v>1</v>
      </c>
      <c r="R72" s="445" t="b">
        <v>1</v>
      </c>
      <c r="S72" s="445" t="b">
        <v>1</v>
      </c>
      <c r="T72" s="445" t="b">
        <v>1</v>
      </c>
      <c r="U72" s="445" t="b">
        <v>1</v>
      </c>
      <c r="V72" s="446"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36" t="s">
        <v>249</v>
      </c>
      <c r="D73" s="445" t="b">
        <v>0</v>
      </c>
      <c r="E73" s="445" t="b">
        <v>0</v>
      </c>
      <c r="F73" s="445" t="b">
        <v>0</v>
      </c>
      <c r="G73" s="445" t="b">
        <v>1</v>
      </c>
      <c r="H73" s="445" t="b">
        <v>1</v>
      </c>
      <c r="I73" s="445" t="b">
        <v>1</v>
      </c>
      <c r="J73" s="445" t="b">
        <v>1</v>
      </c>
      <c r="K73" s="445" t="b">
        <v>1</v>
      </c>
      <c r="L73" s="445" t="b">
        <v>1</v>
      </c>
      <c r="M73" s="445" t="b">
        <v>1</v>
      </c>
      <c r="N73" s="445" t="b">
        <v>1</v>
      </c>
      <c r="O73" s="445" t="b">
        <v>1</v>
      </c>
      <c r="P73" s="445" t="b">
        <v>1</v>
      </c>
      <c r="Q73" s="445" t="b">
        <v>1</v>
      </c>
      <c r="R73" s="445" t="b">
        <v>1</v>
      </c>
      <c r="S73" s="445" t="b">
        <v>1</v>
      </c>
      <c r="T73" s="445" t="b">
        <v>1</v>
      </c>
      <c r="U73" s="445" t="b">
        <v>1</v>
      </c>
      <c r="V73" s="446"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36" t="s">
        <v>250</v>
      </c>
      <c r="D74" s="445" t="b">
        <v>0</v>
      </c>
      <c r="E74" s="445" t="b">
        <v>0</v>
      </c>
      <c r="F74" s="445" t="b">
        <v>0</v>
      </c>
      <c r="G74" s="445" t="b">
        <v>1</v>
      </c>
      <c r="H74" s="445" t="b">
        <v>1</v>
      </c>
      <c r="I74" s="445" t="b">
        <v>1</v>
      </c>
      <c r="J74" s="445" t="b">
        <v>1</v>
      </c>
      <c r="K74" s="445" t="b">
        <v>1</v>
      </c>
      <c r="L74" s="445" t="b">
        <v>1</v>
      </c>
      <c r="M74" s="445" t="b">
        <v>1</v>
      </c>
      <c r="N74" s="445" t="b">
        <v>1</v>
      </c>
      <c r="O74" s="445" t="b">
        <v>1</v>
      </c>
      <c r="P74" s="445" t="b">
        <v>1</v>
      </c>
      <c r="Q74" s="445" t="b">
        <v>1</v>
      </c>
      <c r="R74" s="445" t="b">
        <v>1</v>
      </c>
      <c r="S74" s="445" t="b">
        <v>1</v>
      </c>
      <c r="T74" s="445" t="b">
        <v>1</v>
      </c>
      <c r="U74" s="445" t="b">
        <v>1</v>
      </c>
      <c r="V74" s="446"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36" t="s">
        <v>251</v>
      </c>
      <c r="D75" s="445" t="b">
        <v>0</v>
      </c>
      <c r="E75" s="445" t="b">
        <v>0</v>
      </c>
      <c r="F75" s="445" t="b">
        <v>0</v>
      </c>
      <c r="G75" s="445" t="b">
        <v>1</v>
      </c>
      <c r="H75" s="445" t="b">
        <v>1</v>
      </c>
      <c r="I75" s="445" t="b">
        <v>1</v>
      </c>
      <c r="J75" s="445" t="b">
        <v>1</v>
      </c>
      <c r="K75" s="445" t="b">
        <v>1</v>
      </c>
      <c r="L75" s="445" t="b">
        <v>1</v>
      </c>
      <c r="M75" s="445" t="b">
        <v>1</v>
      </c>
      <c r="N75" s="445" t="b">
        <v>1</v>
      </c>
      <c r="O75" s="445" t="b">
        <v>1</v>
      </c>
      <c r="P75" s="445" t="b">
        <v>1</v>
      </c>
      <c r="Q75" s="445" t="b">
        <v>1</v>
      </c>
      <c r="R75" s="445" t="b">
        <v>1</v>
      </c>
      <c r="S75" s="445" t="b">
        <v>1</v>
      </c>
      <c r="T75" s="445" t="b">
        <v>1</v>
      </c>
      <c r="U75" s="445" t="b">
        <v>1</v>
      </c>
      <c r="V75" s="446"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42" t="s">
        <v>252</v>
      </c>
      <c r="D76" s="445" t="b">
        <v>1</v>
      </c>
      <c r="E76" s="445" t="b">
        <v>1</v>
      </c>
      <c r="F76" s="445" t="b">
        <v>1</v>
      </c>
      <c r="G76" s="445" t="b">
        <v>1</v>
      </c>
      <c r="H76" s="445" t="b">
        <v>1</v>
      </c>
      <c r="I76" s="445" t="b">
        <v>1</v>
      </c>
      <c r="J76" s="445" t="b">
        <v>1</v>
      </c>
      <c r="K76" s="445" t="b">
        <v>1</v>
      </c>
      <c r="L76" s="445" t="b">
        <v>1</v>
      </c>
      <c r="M76" s="445" t="b">
        <v>1</v>
      </c>
      <c r="N76" s="445" t="b">
        <v>1</v>
      </c>
      <c r="O76" s="445" t="b">
        <v>1</v>
      </c>
      <c r="P76" s="445" t="b">
        <v>1</v>
      </c>
      <c r="Q76" s="445" t="b">
        <v>1</v>
      </c>
      <c r="R76" s="445" t="b">
        <v>1</v>
      </c>
      <c r="S76" s="445" t="b">
        <v>1</v>
      </c>
      <c r="T76" s="445" t="b">
        <v>1</v>
      </c>
      <c r="U76" s="445" t="b">
        <v>1</v>
      </c>
      <c r="V76" s="446"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42" t="s">
        <v>253</v>
      </c>
      <c r="D77" s="445" t="b">
        <v>1</v>
      </c>
      <c r="E77" s="445" t="b">
        <v>1</v>
      </c>
      <c r="F77" s="445" t="b">
        <v>1</v>
      </c>
      <c r="G77" s="445" t="b">
        <v>1</v>
      </c>
      <c r="H77" s="445" t="b">
        <v>1</v>
      </c>
      <c r="I77" s="445" t="b">
        <v>1</v>
      </c>
      <c r="J77" s="445" t="b">
        <v>1</v>
      </c>
      <c r="K77" s="445" t="b">
        <v>1</v>
      </c>
      <c r="L77" s="445" t="b">
        <v>1</v>
      </c>
      <c r="M77" s="445" t="b">
        <v>1</v>
      </c>
      <c r="N77" s="445" t="b">
        <v>1</v>
      </c>
      <c r="O77" s="445" t="b">
        <v>1</v>
      </c>
      <c r="P77" s="445" t="b">
        <v>1</v>
      </c>
      <c r="Q77" s="445" t="b">
        <v>1</v>
      </c>
      <c r="R77" s="445" t="b">
        <v>1</v>
      </c>
      <c r="S77" s="445" t="b">
        <v>1</v>
      </c>
      <c r="T77" s="445" t="b">
        <v>1</v>
      </c>
      <c r="U77" s="445" t="b">
        <v>1</v>
      </c>
      <c r="V77" s="446"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36" t="s">
        <v>254</v>
      </c>
      <c r="D78" s="445" t="b">
        <v>0</v>
      </c>
      <c r="E78" s="445" t="b">
        <v>0</v>
      </c>
      <c r="F78" s="445" t="b">
        <v>0</v>
      </c>
      <c r="G78" s="445" t="b">
        <v>1</v>
      </c>
      <c r="H78" s="445" t="b">
        <v>1</v>
      </c>
      <c r="I78" s="445" t="b">
        <v>1</v>
      </c>
      <c r="J78" s="445" t="b">
        <v>1</v>
      </c>
      <c r="K78" s="445" t="b">
        <v>1</v>
      </c>
      <c r="L78" s="445" t="b">
        <v>1</v>
      </c>
      <c r="M78" s="445" t="b">
        <v>1</v>
      </c>
      <c r="N78" s="445" t="b">
        <v>1</v>
      </c>
      <c r="O78" s="445" t="b">
        <v>1</v>
      </c>
      <c r="P78" s="445" t="b">
        <v>1</v>
      </c>
      <c r="Q78" s="445" t="b">
        <v>1</v>
      </c>
      <c r="R78" s="445" t="b">
        <v>1</v>
      </c>
      <c r="S78" s="445" t="b">
        <v>1</v>
      </c>
      <c r="T78" s="445" t="b">
        <v>1</v>
      </c>
      <c r="U78" s="445" t="b">
        <v>1</v>
      </c>
      <c r="V78" s="446"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42" t="s">
        <v>255</v>
      </c>
      <c r="D79" s="445" t="b">
        <v>1</v>
      </c>
      <c r="E79" s="445" t="b">
        <v>1</v>
      </c>
      <c r="F79" s="445" t="b">
        <v>1</v>
      </c>
      <c r="G79" s="445" t="b">
        <v>1</v>
      </c>
      <c r="H79" s="445" t="b">
        <v>1</v>
      </c>
      <c r="I79" s="445" t="b">
        <v>1</v>
      </c>
      <c r="J79" s="445" t="b">
        <v>1</v>
      </c>
      <c r="K79" s="445" t="b">
        <v>1</v>
      </c>
      <c r="L79" s="445" t="b">
        <v>1</v>
      </c>
      <c r="M79" s="445" t="b">
        <v>1</v>
      </c>
      <c r="N79" s="445" t="b">
        <v>1</v>
      </c>
      <c r="O79" s="445" t="b">
        <v>1</v>
      </c>
      <c r="P79" s="445" t="b">
        <v>1</v>
      </c>
      <c r="Q79" s="445" t="b">
        <v>1</v>
      </c>
      <c r="R79" s="445" t="b">
        <v>1</v>
      </c>
      <c r="S79" s="445" t="b">
        <v>1</v>
      </c>
      <c r="T79" s="445" t="b">
        <v>1</v>
      </c>
      <c r="U79" s="445" t="b">
        <v>1</v>
      </c>
      <c r="V79" s="446"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36" t="s">
        <v>256</v>
      </c>
      <c r="D80" s="445" t="b">
        <v>0</v>
      </c>
      <c r="E80" s="445" t="b">
        <v>0</v>
      </c>
      <c r="F80" s="445" t="b">
        <v>0</v>
      </c>
      <c r="G80" s="445" t="b">
        <v>1</v>
      </c>
      <c r="H80" s="445" t="b">
        <v>1</v>
      </c>
      <c r="I80" s="445" t="b">
        <v>1</v>
      </c>
      <c r="J80" s="445" t="b">
        <v>1</v>
      </c>
      <c r="K80" s="445" t="b">
        <v>1</v>
      </c>
      <c r="L80" s="445" t="b">
        <v>1</v>
      </c>
      <c r="M80" s="445" t="b">
        <v>1</v>
      </c>
      <c r="N80" s="445" t="b">
        <v>1</v>
      </c>
      <c r="O80" s="445" t="b">
        <v>1</v>
      </c>
      <c r="P80" s="445" t="b">
        <v>1</v>
      </c>
      <c r="Q80" s="445" t="b">
        <v>1</v>
      </c>
      <c r="R80" s="445" t="b">
        <v>1</v>
      </c>
      <c r="S80" s="445" t="b">
        <v>1</v>
      </c>
      <c r="T80" s="445" t="b">
        <v>1</v>
      </c>
      <c r="U80" s="445" t="b">
        <v>1</v>
      </c>
      <c r="V80" s="446"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36" t="s">
        <v>257</v>
      </c>
      <c r="D81" s="445" t="b">
        <v>0</v>
      </c>
      <c r="E81" s="445" t="b">
        <v>0</v>
      </c>
      <c r="F81" s="445" t="b">
        <v>0</v>
      </c>
      <c r="G81" s="445" t="b">
        <v>1</v>
      </c>
      <c r="H81" s="445" t="b">
        <v>1</v>
      </c>
      <c r="I81" s="445" t="b">
        <v>1</v>
      </c>
      <c r="J81" s="445" t="b">
        <v>1</v>
      </c>
      <c r="K81" s="445" t="b">
        <v>1</v>
      </c>
      <c r="L81" s="445" t="b">
        <v>1</v>
      </c>
      <c r="M81" s="445" t="b">
        <v>1</v>
      </c>
      <c r="N81" s="445" t="b">
        <v>1</v>
      </c>
      <c r="O81" s="445" t="b">
        <v>1</v>
      </c>
      <c r="P81" s="445" t="b">
        <v>1</v>
      </c>
      <c r="Q81" s="445" t="b">
        <v>1</v>
      </c>
      <c r="R81" s="445" t="b">
        <v>1</v>
      </c>
      <c r="S81" s="445" t="b">
        <v>1</v>
      </c>
      <c r="T81" s="445" t="b">
        <v>1</v>
      </c>
      <c r="U81" s="445" t="b">
        <v>1</v>
      </c>
      <c r="V81" s="446"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36" t="s">
        <v>258</v>
      </c>
      <c r="D82" s="445" t="b">
        <v>0</v>
      </c>
      <c r="E82" s="445" t="b">
        <v>0</v>
      </c>
      <c r="F82" s="445" t="b">
        <v>0</v>
      </c>
      <c r="G82" s="445" t="b">
        <v>1</v>
      </c>
      <c r="H82" s="445" t="b">
        <v>1</v>
      </c>
      <c r="I82" s="445" t="b">
        <v>1</v>
      </c>
      <c r="J82" s="445" t="b">
        <v>1</v>
      </c>
      <c r="K82" s="445" t="b">
        <v>1</v>
      </c>
      <c r="L82" s="445" t="b">
        <v>1</v>
      </c>
      <c r="M82" s="445" t="b">
        <v>1</v>
      </c>
      <c r="N82" s="445" t="b">
        <v>1</v>
      </c>
      <c r="O82" s="445" t="b">
        <v>1</v>
      </c>
      <c r="P82" s="445" t="b">
        <v>1</v>
      </c>
      <c r="Q82" s="445" t="b">
        <v>1</v>
      </c>
      <c r="R82" s="445" t="b">
        <v>1</v>
      </c>
      <c r="S82" s="445" t="b">
        <v>1</v>
      </c>
      <c r="T82" s="445" t="b">
        <v>1</v>
      </c>
      <c r="U82" s="445" t="b">
        <v>1</v>
      </c>
      <c r="V82" s="446"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49" t="s">
        <v>259</v>
      </c>
      <c r="D83" s="450" t="b">
        <v>0</v>
      </c>
      <c r="E83" s="450" t="b">
        <v>0</v>
      </c>
      <c r="F83" s="450" t="b">
        <v>0</v>
      </c>
      <c r="G83" s="450" t="b">
        <v>1</v>
      </c>
      <c r="H83" s="450" t="b">
        <v>1</v>
      </c>
      <c r="I83" s="450" t="b">
        <v>1</v>
      </c>
      <c r="J83" s="450" t="b">
        <v>1</v>
      </c>
      <c r="K83" s="450" t="b">
        <v>1</v>
      </c>
      <c r="L83" s="450" t="b">
        <v>1</v>
      </c>
      <c r="M83" s="450" t="b">
        <v>1</v>
      </c>
      <c r="N83" s="450" t="b">
        <v>1</v>
      </c>
      <c r="O83" s="450" t="b">
        <v>1</v>
      </c>
      <c r="P83" s="450" t="b">
        <v>1</v>
      </c>
      <c r="Q83" s="450" t="b">
        <v>1</v>
      </c>
      <c r="R83" s="450" t="b">
        <v>1</v>
      </c>
      <c r="S83" s="450" t="b">
        <v>1</v>
      </c>
      <c r="T83" s="450" t="b">
        <v>1</v>
      </c>
      <c r="U83" s="450" t="b">
        <v>1</v>
      </c>
      <c r="V83" s="451"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314</v>
      </c>
      <c r="D86" s="454"/>
      <c r="E86" s="454"/>
      <c r="F86" s="454"/>
      <c r="G86" s="35"/>
      <c r="H86" s="35"/>
      <c r="I86" s="35"/>
      <c r="J86" s="31" t="s">
        <v>319</v>
      </c>
      <c r="K86" s="359"/>
      <c r="L86" s="359"/>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55" t="s">
        <v>315</v>
      </c>
      <c r="D87" s="456" t="s">
        <v>316</v>
      </c>
      <c r="E87" s="456" t="s">
        <v>317</v>
      </c>
      <c r="F87" s="456" t="s">
        <v>318</v>
      </c>
      <c r="G87" s="35"/>
      <c r="H87" s="35"/>
      <c r="I87" s="35"/>
      <c r="J87" s="466"/>
      <c r="K87" s="467" t="s">
        <v>125</v>
      </c>
      <c r="L87" s="468" t="s">
        <v>320</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57" t="s">
        <v>211</v>
      </c>
      <c r="D88" s="458">
        <v>0.18</v>
      </c>
      <c r="E88" s="458">
        <v>0.15</v>
      </c>
      <c r="F88" s="459">
        <v>0.17</v>
      </c>
      <c r="G88" s="35"/>
      <c r="H88" s="35"/>
      <c r="I88" s="35"/>
      <c r="J88" s="469" t="s">
        <v>321</v>
      </c>
      <c r="K88" s="470">
        <v>0.2</v>
      </c>
      <c r="L88" s="471">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60" t="s">
        <v>210</v>
      </c>
      <c r="D89" s="461">
        <v>0.11</v>
      </c>
      <c r="E89" s="461">
        <v>0.11</v>
      </c>
      <c r="F89" s="462">
        <v>0.06</v>
      </c>
      <c r="G89" s="35"/>
      <c r="H89" s="35"/>
      <c r="I89" s="35"/>
      <c r="J89" s="469" t="s">
        <v>322</v>
      </c>
      <c r="K89" s="470">
        <v>0</v>
      </c>
      <c r="L89" s="471">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60" t="s">
        <v>213</v>
      </c>
      <c r="D90" s="461">
        <v>0.09</v>
      </c>
      <c r="E90" s="461">
        <v>0.08</v>
      </c>
      <c r="F90" s="462">
        <v>0.06</v>
      </c>
      <c r="G90" s="35"/>
      <c r="H90" s="35"/>
      <c r="I90" s="35"/>
      <c r="J90" s="469" t="s">
        <v>323</v>
      </c>
      <c r="K90" s="470">
        <v>0.2</v>
      </c>
      <c r="L90" s="471">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60" t="s">
        <v>212</v>
      </c>
      <c r="D91" s="461">
        <v>0.11</v>
      </c>
      <c r="E91" s="461">
        <v>0.1</v>
      </c>
      <c r="F91" s="462">
        <v>7.0000000000000007E-2</v>
      </c>
      <c r="G91" s="35"/>
      <c r="H91" s="35"/>
      <c r="I91" s="35"/>
      <c r="J91" s="469" t="s">
        <v>324</v>
      </c>
      <c r="K91" s="470">
        <v>0.2</v>
      </c>
      <c r="L91" s="471">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60" t="s">
        <v>214</v>
      </c>
      <c r="D92" s="461">
        <v>0.15</v>
      </c>
      <c r="E92" s="461">
        <v>0.13</v>
      </c>
      <c r="F92" s="462">
        <v>0.1</v>
      </c>
      <c r="G92" s="35"/>
      <c r="H92" s="35"/>
      <c r="I92" s="35"/>
      <c r="J92" s="469" t="s">
        <v>325</v>
      </c>
      <c r="K92" s="470">
        <v>0.15</v>
      </c>
      <c r="L92" s="471">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60" t="s">
        <v>215</v>
      </c>
      <c r="D93" s="461">
        <v>0.11</v>
      </c>
      <c r="E93" s="461">
        <v>0.09</v>
      </c>
      <c r="F93" s="462">
        <v>7.0000000000000007E-2</v>
      </c>
      <c r="G93" s="35"/>
      <c r="H93" s="35"/>
      <c r="I93" s="35"/>
      <c r="J93" s="469" t="s">
        <v>326</v>
      </c>
      <c r="K93" s="470">
        <v>0</v>
      </c>
      <c r="L93" s="471">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60" t="s">
        <v>216</v>
      </c>
      <c r="D94" s="461">
        <v>0.17</v>
      </c>
      <c r="E94" s="461">
        <v>0.15</v>
      </c>
      <c r="F94" s="462">
        <v>0.13</v>
      </c>
      <c r="G94" s="35"/>
      <c r="H94" s="35"/>
      <c r="I94" s="35"/>
      <c r="J94" s="469" t="s">
        <v>327</v>
      </c>
      <c r="K94" s="470">
        <v>0.2</v>
      </c>
      <c r="L94" s="471">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60" t="s">
        <v>11</v>
      </c>
      <c r="D95" s="461">
        <v>0.12</v>
      </c>
      <c r="E95" s="461">
        <v>0.12</v>
      </c>
      <c r="F95" s="462">
        <v>0.05</v>
      </c>
      <c r="G95" s="35"/>
      <c r="H95" s="35"/>
      <c r="I95" s="35"/>
      <c r="J95" s="469" t="s">
        <v>328</v>
      </c>
      <c r="K95" s="470">
        <v>0</v>
      </c>
      <c r="L95" s="471">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60" t="s">
        <v>217</v>
      </c>
      <c r="D96" s="461">
        <v>0.14000000000000001</v>
      </c>
      <c r="E96" s="461">
        <v>0.1</v>
      </c>
      <c r="F96" s="462">
        <v>0.08</v>
      </c>
      <c r="G96" s="35"/>
      <c r="H96" s="35"/>
      <c r="I96" s="35"/>
      <c r="J96" s="472" t="s">
        <v>330</v>
      </c>
      <c r="K96" s="473">
        <v>0.05</v>
      </c>
      <c r="L96" s="474">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60" t="s">
        <v>218</v>
      </c>
      <c r="D97" s="461">
        <v>0.11</v>
      </c>
      <c r="E97" s="461">
        <v>0.1</v>
      </c>
      <c r="F97" s="462">
        <v>0.08</v>
      </c>
      <c r="G97" s="35"/>
      <c r="H97" s="35"/>
      <c r="I97" s="35"/>
      <c r="J97" s="475" t="s">
        <v>329</v>
      </c>
      <c r="K97" s="476">
        <v>1</v>
      </c>
      <c r="L97" s="476">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60" t="s">
        <v>219</v>
      </c>
      <c r="D98" s="461">
        <v>0.11</v>
      </c>
      <c r="E98" s="461">
        <v>0.1</v>
      </c>
      <c r="F98" s="462">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60" t="s">
        <v>220</v>
      </c>
      <c r="D99" s="461">
        <v>0.37</v>
      </c>
      <c r="E99" s="461">
        <v>0.35</v>
      </c>
      <c r="F99" s="462">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60" t="s">
        <v>224</v>
      </c>
      <c r="D100" s="461">
        <v>0.11</v>
      </c>
      <c r="E100" s="461">
        <v>0.08</v>
      </c>
      <c r="F100" s="462">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60" t="s">
        <v>221</v>
      </c>
      <c r="D101" s="461">
        <v>0.09</v>
      </c>
      <c r="E101" s="461">
        <v>7.0000000000000007E-2</v>
      </c>
      <c r="F101" s="462">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60" t="s">
        <v>222</v>
      </c>
      <c r="D102" s="461">
        <v>0.11</v>
      </c>
      <c r="E102" s="461">
        <v>0.08</v>
      </c>
      <c r="F102" s="462">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60" t="s">
        <v>223</v>
      </c>
      <c r="D103" s="461">
        <v>0.11</v>
      </c>
      <c r="E103" s="461">
        <v>0.09</v>
      </c>
      <c r="F103" s="462">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60" t="s">
        <v>225</v>
      </c>
      <c r="D104" s="461">
        <v>0.11</v>
      </c>
      <c r="E104" s="461">
        <v>0.09</v>
      </c>
      <c r="F104" s="462">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60" t="s">
        <v>226</v>
      </c>
      <c r="D105" s="461">
        <v>0.09</v>
      </c>
      <c r="E105" s="461">
        <v>0.09</v>
      </c>
      <c r="F105" s="462">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60" t="s">
        <v>227</v>
      </c>
      <c r="D106" s="461">
        <v>0.08</v>
      </c>
      <c r="E106" s="461">
        <v>0.08</v>
      </c>
      <c r="F106" s="462">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60" t="s">
        <v>230</v>
      </c>
      <c r="D107" s="461">
        <v>0.15</v>
      </c>
      <c r="E107" s="461">
        <v>0.14000000000000001</v>
      </c>
      <c r="F107" s="462">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60" t="s">
        <v>229</v>
      </c>
      <c r="D108" s="461">
        <v>0.13</v>
      </c>
      <c r="E108" s="461">
        <v>0.1</v>
      </c>
      <c r="F108" s="462">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60" t="s">
        <v>228</v>
      </c>
      <c r="D109" s="461">
        <v>0.15</v>
      </c>
      <c r="E109" s="461">
        <v>0.12</v>
      </c>
      <c r="F109" s="462">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60" t="s">
        <v>231</v>
      </c>
      <c r="D110" s="461">
        <v>0.14000000000000001</v>
      </c>
      <c r="E110" s="461">
        <v>0.11</v>
      </c>
      <c r="F110" s="462">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60" t="s">
        <v>232</v>
      </c>
      <c r="D111" s="461">
        <v>0.11</v>
      </c>
      <c r="E111" s="461">
        <v>0.09</v>
      </c>
      <c r="F111" s="462">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60" t="s">
        <v>234</v>
      </c>
      <c r="D112" s="461">
        <v>0.1</v>
      </c>
      <c r="E112" s="461">
        <v>0.08</v>
      </c>
      <c r="F112" s="462">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60" t="s">
        <v>233</v>
      </c>
      <c r="D113" s="461">
        <v>0.1</v>
      </c>
      <c r="E113" s="461">
        <v>0.09</v>
      </c>
      <c r="F113" s="462">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60" t="s">
        <v>235</v>
      </c>
      <c r="D114" s="461">
        <v>0.1</v>
      </c>
      <c r="E114" s="461">
        <v>0.09</v>
      </c>
      <c r="F114" s="462">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60" t="s">
        <v>242</v>
      </c>
      <c r="D115" s="461">
        <v>0.11</v>
      </c>
      <c r="E115" s="461">
        <v>0.09</v>
      </c>
      <c r="F115" s="462">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60" t="s">
        <v>243</v>
      </c>
      <c r="D116" s="461">
        <v>0.09</v>
      </c>
      <c r="E116" s="461">
        <v>0.08</v>
      </c>
      <c r="F116" s="462">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60" t="s">
        <v>236</v>
      </c>
      <c r="D117" s="461">
        <v>0.1</v>
      </c>
      <c r="E117" s="461">
        <v>0.08</v>
      </c>
      <c r="F117" s="462">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60" t="s">
        <v>238</v>
      </c>
      <c r="D118" s="461">
        <v>0.16</v>
      </c>
      <c r="E118" s="461">
        <v>0.13</v>
      </c>
      <c r="F118" s="462">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60" t="s">
        <v>239</v>
      </c>
      <c r="D119" s="461">
        <v>0.16</v>
      </c>
      <c r="E119" s="461">
        <v>0.13</v>
      </c>
      <c r="F119" s="462">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60" t="s">
        <v>240</v>
      </c>
      <c r="D120" s="461">
        <v>0.11</v>
      </c>
      <c r="E120" s="461">
        <v>0.09</v>
      </c>
      <c r="F120" s="462">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60" t="s">
        <v>237</v>
      </c>
      <c r="D121" s="461">
        <v>0.12</v>
      </c>
      <c r="E121" s="461">
        <v>0.09</v>
      </c>
      <c r="F121" s="462">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60" t="s">
        <v>241</v>
      </c>
      <c r="D122" s="461">
        <v>0.18</v>
      </c>
      <c r="E122" s="461">
        <v>0.15</v>
      </c>
      <c r="F122" s="462">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60" t="s">
        <v>244</v>
      </c>
      <c r="D123" s="461">
        <v>0.12</v>
      </c>
      <c r="E123" s="461">
        <v>0.09</v>
      </c>
      <c r="F123" s="462">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60" t="s">
        <v>245</v>
      </c>
      <c r="D124" s="461">
        <v>0.1</v>
      </c>
      <c r="E124" s="461">
        <v>7.0000000000000007E-2</v>
      </c>
      <c r="F124" s="462">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60" t="s">
        <v>246</v>
      </c>
      <c r="D125" s="461">
        <v>0.1</v>
      </c>
      <c r="E125" s="461">
        <v>0.08</v>
      </c>
      <c r="F125" s="462">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60" t="s">
        <v>247</v>
      </c>
      <c r="D126" s="461">
        <v>0.13</v>
      </c>
      <c r="E126" s="461">
        <v>0.09</v>
      </c>
      <c r="F126" s="462">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60" t="s">
        <v>248</v>
      </c>
      <c r="D127" s="461">
        <v>0.14000000000000001</v>
      </c>
      <c r="E127" s="461">
        <v>0.12</v>
      </c>
      <c r="F127" s="462">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60" t="s">
        <v>249</v>
      </c>
      <c r="D128" s="461">
        <v>0.12</v>
      </c>
      <c r="E128" s="461">
        <v>0.1</v>
      </c>
      <c r="F128" s="462">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60" t="s">
        <v>250</v>
      </c>
      <c r="D129" s="461">
        <v>0.1</v>
      </c>
      <c r="E129" s="461">
        <v>0.08</v>
      </c>
      <c r="F129" s="462">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60" t="s">
        <v>251</v>
      </c>
      <c r="D130" s="461">
        <v>0.1</v>
      </c>
      <c r="E130" s="461">
        <v>0.1</v>
      </c>
      <c r="F130" s="462">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60" t="s">
        <v>252</v>
      </c>
      <c r="D131" s="461">
        <v>0.11</v>
      </c>
      <c r="E131" s="461">
        <v>0.08</v>
      </c>
      <c r="F131" s="462">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60" t="s">
        <v>253</v>
      </c>
      <c r="D132" s="461">
        <v>0.1</v>
      </c>
      <c r="E132" s="461">
        <v>0.08</v>
      </c>
      <c r="F132" s="462">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60" t="s">
        <v>255</v>
      </c>
      <c r="D133" s="461">
        <v>0.11</v>
      </c>
      <c r="E133" s="461">
        <v>0.08</v>
      </c>
      <c r="F133" s="462">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60" t="s">
        <v>254</v>
      </c>
      <c r="D134" s="461">
        <v>0.17</v>
      </c>
      <c r="E134" s="461">
        <v>0.14000000000000001</v>
      </c>
      <c r="F134" s="462">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60" t="s">
        <v>256</v>
      </c>
      <c r="D135" s="461">
        <v>0.09</v>
      </c>
      <c r="E135" s="461">
        <v>0.08</v>
      </c>
      <c r="F135" s="462">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60" t="s">
        <v>258</v>
      </c>
      <c r="D136" s="461">
        <v>0.13</v>
      </c>
      <c r="E136" s="461">
        <v>0.11</v>
      </c>
      <c r="F136" s="462">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60" t="s">
        <v>257</v>
      </c>
      <c r="D137" s="461">
        <v>0.1</v>
      </c>
      <c r="E137" s="461">
        <v>0.08</v>
      </c>
      <c r="F137" s="462">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63" t="s">
        <v>259</v>
      </c>
      <c r="D138" s="464">
        <v>0.1</v>
      </c>
      <c r="E138" s="464">
        <v>0.08</v>
      </c>
      <c r="F138" s="465">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16" zoomScale="70" zoomScaleNormal="70" zoomScalePageLayoutView="70" workbookViewId="0">
      <selection activeCell="C67" sqref="C67:AC6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31"/>
      <c r="B2" s="33"/>
      <c r="C2" s="33"/>
      <c r="D2" s="375" t="s">
        <v>122</v>
      </c>
      <c r="E2" s="131"/>
      <c r="F2" s="131"/>
      <c r="G2" s="131"/>
      <c r="H2" s="131"/>
      <c r="I2" s="33"/>
      <c r="J2" s="33"/>
      <c r="K2" s="30"/>
      <c r="L2" s="33"/>
      <c r="M2" s="375" t="s">
        <v>170</v>
      </c>
      <c r="N2" s="131"/>
      <c r="O2" s="131"/>
      <c r="P2" s="131"/>
      <c r="Q2" s="131"/>
      <c r="R2" s="33"/>
      <c r="S2" s="33"/>
      <c r="T2" s="33"/>
      <c r="U2" s="33"/>
      <c r="V2" s="131"/>
      <c r="W2" s="131"/>
      <c r="X2" s="131"/>
      <c r="Y2" s="131"/>
      <c r="Z2" s="131"/>
      <c r="AA2" s="379"/>
      <c r="AB2" s="379"/>
      <c r="AC2" s="379"/>
      <c r="AD2" s="158"/>
      <c r="AE2" s="377"/>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31"/>
      <c r="B3" s="33"/>
      <c r="C3" s="33"/>
      <c r="D3" s="33"/>
      <c r="E3" s="131"/>
      <c r="F3" s="33"/>
      <c r="G3" s="131"/>
      <c r="H3" s="131"/>
      <c r="I3" s="30"/>
      <c r="J3" s="33"/>
      <c r="K3" s="131"/>
      <c r="L3" s="33"/>
      <c r="M3" s="128" t="s">
        <v>171</v>
      </c>
      <c r="N3" s="128"/>
      <c r="O3" s="128"/>
      <c r="P3" s="252" t="b">
        <v>0</v>
      </c>
      <c r="Q3" s="380" t="s">
        <v>279</v>
      </c>
      <c r="R3" s="33"/>
      <c r="S3" s="33"/>
      <c r="T3" s="33"/>
      <c r="U3" s="33"/>
      <c r="V3" s="131"/>
      <c r="W3" s="131"/>
      <c r="X3" s="131"/>
      <c r="Y3" s="131"/>
      <c r="Z3" s="131"/>
      <c r="AA3" s="379"/>
      <c r="AB3" s="379"/>
      <c r="AC3" s="379"/>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31"/>
      <c r="B4" s="33"/>
      <c r="C4" s="189" t="s">
        <v>287</v>
      </c>
      <c r="D4" s="33"/>
      <c r="E4" s="131"/>
      <c r="F4" s="33"/>
      <c r="G4" s="131"/>
      <c r="H4" s="131"/>
      <c r="I4" s="30"/>
      <c r="J4" s="33"/>
      <c r="K4" s="131"/>
      <c r="L4" s="33"/>
      <c r="M4" s="244" t="s">
        <v>276</v>
      </c>
      <c r="N4" s="128"/>
      <c r="O4" s="128"/>
      <c r="P4" s="245">
        <v>2014</v>
      </c>
      <c r="Q4" s="374" t="s">
        <v>172</v>
      </c>
      <c r="R4" s="33"/>
      <c r="S4" s="33"/>
      <c r="T4" s="33"/>
      <c r="U4" s="33"/>
      <c r="V4" s="131"/>
      <c r="W4" s="131"/>
      <c r="X4" s="131"/>
      <c r="Y4" s="131"/>
      <c r="Z4" s="131"/>
      <c r="AA4" s="379"/>
      <c r="AB4" s="379"/>
      <c r="AC4" s="379"/>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31"/>
      <c r="B5" s="33"/>
      <c r="C5" s="189" t="s">
        <v>288</v>
      </c>
      <c r="D5" s="33"/>
      <c r="E5" s="131"/>
      <c r="F5" s="33"/>
      <c r="G5" s="131"/>
      <c r="H5" s="131"/>
      <c r="I5" s="30"/>
      <c r="J5" s="33"/>
      <c r="K5" s="131"/>
      <c r="L5" s="33"/>
      <c r="M5" s="244" t="s">
        <v>277</v>
      </c>
      <c r="N5" s="128"/>
      <c r="O5" s="376"/>
      <c r="P5" s="252" t="s">
        <v>262</v>
      </c>
      <c r="Q5" s="378" t="s">
        <v>278</v>
      </c>
      <c r="R5" s="134"/>
      <c r="S5" s="33"/>
      <c r="T5" s="33"/>
      <c r="U5" s="33"/>
      <c r="V5" s="131"/>
      <c r="W5" s="131"/>
      <c r="X5" s="131"/>
      <c r="Y5" s="131"/>
      <c r="Z5" s="131"/>
      <c r="AA5" s="379"/>
      <c r="AB5" s="379"/>
      <c r="AC5" s="379"/>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31"/>
      <c r="B6" s="33"/>
      <c r="C6" s="189" t="s">
        <v>289</v>
      </c>
      <c r="D6" s="33"/>
      <c r="E6" s="131"/>
      <c r="F6" s="33"/>
      <c r="G6" s="131"/>
      <c r="H6" s="131"/>
      <c r="I6" s="131"/>
      <c r="J6" s="131"/>
      <c r="K6" s="33"/>
      <c r="L6" s="158"/>
      <c r="M6" s="158"/>
      <c r="N6" s="530"/>
      <c r="O6" s="530"/>
      <c r="P6" s="158"/>
      <c r="Q6" s="158"/>
      <c r="R6" s="134"/>
      <c r="S6" s="131"/>
      <c r="T6" s="131"/>
      <c r="U6" s="131"/>
      <c r="V6" s="131"/>
      <c r="W6" s="131"/>
      <c r="X6" s="131"/>
      <c r="Y6" s="131"/>
      <c r="Z6" s="131"/>
      <c r="AA6" s="379"/>
      <c r="AB6" s="379"/>
      <c r="AC6" s="379"/>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 customHeight="1" thickBot="1">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c r="A14" s="131"/>
      <c r="B14" s="362"/>
      <c r="C14" s="363" t="s">
        <v>123</v>
      </c>
      <c r="D14" s="364"/>
      <c r="E14" s="364"/>
      <c r="F14" s="364"/>
      <c r="G14" s="364"/>
      <c r="H14" s="364"/>
      <c r="I14" s="364"/>
      <c r="J14" s="364"/>
      <c r="K14" s="364"/>
      <c r="L14" s="363" t="s">
        <v>128</v>
      </c>
      <c r="M14" s="364"/>
      <c r="N14" s="364"/>
      <c r="O14" s="364"/>
      <c r="P14" s="364"/>
      <c r="Q14" s="364"/>
      <c r="R14" s="364"/>
      <c r="S14" s="364"/>
      <c r="T14" s="364"/>
      <c r="U14" s="363" t="s">
        <v>124</v>
      </c>
      <c r="V14" s="364"/>
      <c r="W14" s="364"/>
      <c r="X14" s="364"/>
      <c r="Y14" s="364"/>
      <c r="Z14" s="364"/>
      <c r="AA14" s="364"/>
      <c r="AB14" s="364"/>
      <c r="AC14" s="529"/>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31"/>
      <c r="B15" s="365"/>
      <c r="C15" s="552" t="s">
        <v>125</v>
      </c>
      <c r="D15" s="550"/>
      <c r="E15" s="550"/>
      <c r="F15" s="550" t="s">
        <v>126</v>
      </c>
      <c r="G15" s="550"/>
      <c r="H15" s="550"/>
      <c r="I15" s="550" t="s">
        <v>127</v>
      </c>
      <c r="J15" s="553"/>
      <c r="K15" s="553"/>
      <c r="L15" s="552" t="s">
        <v>125</v>
      </c>
      <c r="M15" s="550"/>
      <c r="N15" s="550"/>
      <c r="O15" s="550" t="s">
        <v>126</v>
      </c>
      <c r="P15" s="550"/>
      <c r="Q15" s="550"/>
      <c r="R15" s="550" t="s">
        <v>127</v>
      </c>
      <c r="S15" s="553"/>
      <c r="T15" s="553"/>
      <c r="U15" s="552" t="s">
        <v>125</v>
      </c>
      <c r="V15" s="550"/>
      <c r="W15" s="550"/>
      <c r="X15" s="550" t="s">
        <v>126</v>
      </c>
      <c r="Y15" s="550"/>
      <c r="Z15" s="550"/>
      <c r="AA15" s="550" t="s">
        <v>127</v>
      </c>
      <c r="AB15" s="550"/>
      <c r="AC15" s="551"/>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31"/>
      <c r="B16" s="366" t="s">
        <v>115</v>
      </c>
      <c r="C16" s="317" t="s">
        <v>116</v>
      </c>
      <c r="D16" s="318" t="s">
        <v>117</v>
      </c>
      <c r="E16" s="318" t="s">
        <v>118</v>
      </c>
      <c r="F16" s="319" t="s">
        <v>116</v>
      </c>
      <c r="G16" s="318" t="s">
        <v>117</v>
      </c>
      <c r="H16" s="318" t="s">
        <v>118</v>
      </c>
      <c r="I16" s="319" t="s">
        <v>116</v>
      </c>
      <c r="J16" s="318" t="s">
        <v>117</v>
      </c>
      <c r="K16" s="318" t="s">
        <v>118</v>
      </c>
      <c r="L16" s="320" t="s">
        <v>119</v>
      </c>
      <c r="M16" s="318" t="s">
        <v>120</v>
      </c>
      <c r="N16" s="321" t="s">
        <v>118</v>
      </c>
      <c r="O16" s="322" t="s">
        <v>119</v>
      </c>
      <c r="P16" s="318" t="s">
        <v>120</v>
      </c>
      <c r="Q16" s="318" t="s">
        <v>118</v>
      </c>
      <c r="R16" s="319" t="s">
        <v>119</v>
      </c>
      <c r="S16" s="318" t="s">
        <v>120</v>
      </c>
      <c r="T16" s="321" t="s">
        <v>118</v>
      </c>
      <c r="U16" s="320" t="s">
        <v>121</v>
      </c>
      <c r="V16" s="318" t="s">
        <v>117</v>
      </c>
      <c r="W16" s="321" t="s">
        <v>118</v>
      </c>
      <c r="X16" s="322" t="s">
        <v>121</v>
      </c>
      <c r="Y16" s="318" t="s">
        <v>117</v>
      </c>
      <c r="Z16" s="318" t="s">
        <v>118</v>
      </c>
      <c r="AA16" s="319" t="s">
        <v>121</v>
      </c>
      <c r="AB16" s="318" t="s">
        <v>117</v>
      </c>
      <c r="AC16" s="524"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31"/>
      <c r="B17" s="367"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5"/>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31"/>
      <c r="B18" s="367"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8"/>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31"/>
      <c r="B19" s="367"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8"/>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31"/>
      <c r="B20" s="367"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8"/>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31"/>
      <c r="B21" s="367"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8"/>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31"/>
      <c r="B22" s="367"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8"/>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31"/>
      <c r="B23" s="367"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8"/>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31"/>
      <c r="B24" s="367"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8"/>
      <c r="AD24" s="161" t="s">
        <v>10</v>
      </c>
      <c r="AE24" s="139"/>
      <c r="AF24" s="139"/>
      <c r="AG24" s="528"/>
      <c r="AH24" s="528"/>
      <c r="AI24" s="528"/>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31"/>
      <c r="B25" s="367"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8"/>
      <c r="AD25" s="161" t="s">
        <v>11</v>
      </c>
      <c r="AE25" s="139"/>
      <c r="AF25" s="139"/>
      <c r="AG25" s="528"/>
      <c r="AH25" s="528"/>
      <c r="AI25" s="528"/>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31"/>
      <c r="B26" s="367"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8"/>
      <c r="AD26" s="161" t="s">
        <v>12</v>
      </c>
      <c r="AE26" s="139"/>
      <c r="AF26" s="139"/>
      <c r="AG26" s="528"/>
      <c r="AH26" s="528"/>
      <c r="AI26" s="528"/>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31"/>
      <c r="B27" s="367"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8"/>
      <c r="AD27" s="161" t="s">
        <v>13</v>
      </c>
      <c r="AE27" s="139"/>
      <c r="AF27" s="139"/>
      <c r="AG27" s="528"/>
      <c r="AH27" s="528"/>
      <c r="AI27" s="528"/>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31"/>
      <c r="B28" s="367"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8"/>
      <c r="AD28" s="161" t="s">
        <v>159</v>
      </c>
      <c r="AE28" s="139"/>
      <c r="AF28" s="139"/>
      <c r="AG28" s="528"/>
      <c r="AH28" s="528"/>
      <c r="AI28" s="528"/>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31"/>
      <c r="B29" s="367"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8"/>
      <c r="AD29" s="161" t="s">
        <v>14</v>
      </c>
      <c r="AE29" s="139"/>
      <c r="AF29" s="139"/>
      <c r="AG29" s="528"/>
      <c r="AH29" s="528"/>
      <c r="AI29" s="528"/>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31"/>
      <c r="B30" s="367"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8"/>
      <c r="AD30" s="161" t="s">
        <v>15</v>
      </c>
      <c r="AE30" s="139"/>
      <c r="AF30" s="139"/>
      <c r="AG30" s="528"/>
      <c r="AH30" s="528"/>
      <c r="AI30" s="528"/>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31"/>
      <c r="B31" s="367"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8"/>
      <c r="AD31" s="161" t="s">
        <v>16</v>
      </c>
      <c r="AE31" s="139"/>
      <c r="AF31" s="139"/>
      <c r="AG31" s="531"/>
      <c r="AH31" s="528"/>
      <c r="AI31" s="528"/>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31"/>
      <c r="B32" s="367"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8"/>
      <c r="AD32" s="161" t="s">
        <v>17</v>
      </c>
      <c r="AE32" s="139"/>
      <c r="AF32" s="139"/>
      <c r="AG32" s="528"/>
      <c r="AH32" s="528"/>
      <c r="AI32" s="528"/>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31"/>
      <c r="B33" s="367"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8"/>
      <c r="AD33" s="161" t="s">
        <v>18</v>
      </c>
      <c r="AE33" s="139"/>
      <c r="AF33" s="139"/>
      <c r="AG33" s="528"/>
      <c r="AH33" s="528"/>
      <c r="AI33" s="528"/>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31"/>
      <c r="B34" s="367"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8"/>
      <c r="AD34" s="161" t="s">
        <v>19</v>
      </c>
      <c r="AE34" s="139"/>
      <c r="AF34" s="139"/>
      <c r="AG34" s="528"/>
      <c r="AH34" s="528"/>
      <c r="AI34" s="528"/>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31"/>
      <c r="B35" s="367"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8"/>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31"/>
      <c r="B36" s="367"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8"/>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31"/>
      <c r="B37" s="367"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8"/>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31"/>
      <c r="B38" s="367"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8"/>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31"/>
      <c r="B39" s="367"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8"/>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31"/>
      <c r="B40" s="367"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8"/>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31"/>
      <c r="B41" s="367"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8"/>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31"/>
      <c r="B42" s="367"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8"/>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31"/>
      <c r="B43" s="367"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8"/>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31"/>
      <c r="B44" s="367"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8"/>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31"/>
      <c r="B45" s="367"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8"/>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31"/>
      <c r="B46" s="367"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8"/>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31"/>
      <c r="B47" s="367"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8"/>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31"/>
      <c r="B48" s="367"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8"/>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31"/>
      <c r="B49" s="367"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8"/>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31"/>
      <c r="B50" s="367"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8"/>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31"/>
      <c r="B51" s="367"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8"/>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31"/>
      <c r="B52" s="367"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8"/>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31"/>
      <c r="B53" s="367"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8"/>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31"/>
      <c r="B54" s="367"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8"/>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31"/>
      <c r="B55" s="367"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8"/>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31"/>
      <c r="B56" s="367"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8"/>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31"/>
      <c r="B57" s="367"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8"/>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31"/>
      <c r="B58" s="367"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8"/>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31"/>
      <c r="B59" s="367"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8"/>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31"/>
      <c r="B60" s="367"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8"/>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31"/>
      <c r="B61" s="367"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8"/>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31"/>
      <c r="B62" s="367"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8"/>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31"/>
      <c r="B63" s="367"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8"/>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31"/>
      <c r="B64" s="367"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8"/>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31"/>
      <c r="B65" s="367"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8"/>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4"/>
      <c r="B66" s="367"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8"/>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4"/>
      <c r="B67" s="369" t="s">
        <v>259</v>
      </c>
      <c r="C67" s="521"/>
      <c r="D67" s="370"/>
      <c r="E67" s="522"/>
      <c r="F67" s="523"/>
      <c r="G67" s="370"/>
      <c r="H67" s="522"/>
      <c r="I67" s="523"/>
      <c r="J67" s="370"/>
      <c r="K67" s="370"/>
      <c r="L67" s="370"/>
      <c r="M67" s="370"/>
      <c r="N67" s="370"/>
      <c r="O67" s="370"/>
      <c r="P67" s="370"/>
      <c r="Q67" s="370"/>
      <c r="R67" s="370"/>
      <c r="S67" s="370"/>
      <c r="T67" s="370"/>
      <c r="U67" s="370"/>
      <c r="V67" s="370"/>
      <c r="W67" s="370"/>
      <c r="X67" s="370"/>
      <c r="Y67" s="370"/>
      <c r="Z67" s="370"/>
      <c r="AA67" s="370"/>
      <c r="AB67" s="370"/>
      <c r="AC67" s="371"/>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31"/>
      <c r="B172" s="141"/>
      <c r="C172" s="141"/>
      <c r="D172" s="141"/>
      <c r="E172" s="141"/>
      <c r="F172" s="526"/>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31"/>
      <c r="B173" s="141"/>
      <c r="C173" s="141"/>
      <c r="D173" s="141"/>
      <c r="E173" s="527" t="b">
        <v>1</v>
      </c>
      <c r="F173" s="526"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4"/>
      <c r="B174" s="141"/>
      <c r="C174" s="141"/>
      <c r="D174" s="141"/>
      <c r="E174" s="527" t="b">
        <v>0</v>
      </c>
      <c r="F174" s="526"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31"/>
      <c r="B175" s="141"/>
      <c r="C175" s="141"/>
      <c r="D175" s="141"/>
      <c r="E175" s="527"/>
      <c r="F175" s="526"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31"/>
      <c r="B176" s="141"/>
      <c r="C176" s="141"/>
      <c r="D176" s="141"/>
      <c r="E176" s="141"/>
      <c r="F176" s="526"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31"/>
      <c r="B177" s="141"/>
      <c r="C177" s="141"/>
      <c r="D177" s="141"/>
      <c r="E177" s="141"/>
      <c r="F177" s="526"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31"/>
      <c r="B178" s="141"/>
      <c r="C178" s="141"/>
      <c r="D178" s="141"/>
      <c r="E178" s="141"/>
      <c r="F178" s="526"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31"/>
      <c r="B179" s="141"/>
      <c r="C179" s="141"/>
      <c r="D179" s="141"/>
      <c r="E179" s="141"/>
      <c r="F179" s="526"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4"/>
      <c r="B180" s="141"/>
      <c r="C180" s="141"/>
      <c r="D180" s="141"/>
      <c r="E180" s="141"/>
      <c r="F180" s="526"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31"/>
      <c r="B181" s="141"/>
      <c r="C181" s="141"/>
      <c r="D181" s="141"/>
      <c r="E181" s="141"/>
      <c r="F181" s="526"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31"/>
      <c r="B182" s="141"/>
      <c r="C182" s="141"/>
      <c r="D182" s="141"/>
      <c r="E182" s="141"/>
      <c r="F182" s="526"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31"/>
      <c r="B183" s="141"/>
      <c r="C183" s="141"/>
      <c r="D183" s="141"/>
      <c r="E183" s="141"/>
      <c r="F183" s="526"/>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31"/>
      <c r="B184" s="141"/>
      <c r="C184" s="141"/>
      <c r="D184" s="141"/>
      <c r="E184" s="141"/>
      <c r="F184" s="526"/>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31"/>
      <c r="B185" s="141"/>
      <c r="C185" s="141"/>
      <c r="D185" s="141"/>
      <c r="E185" s="141"/>
      <c r="F185" s="526"/>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4"/>
      <c r="B186" s="141"/>
      <c r="C186" s="141"/>
      <c r="D186" s="141"/>
      <c r="E186" s="141"/>
      <c r="F186" s="526"/>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31"/>
      <c r="B187" s="141"/>
      <c r="C187" s="141"/>
      <c r="D187" s="141"/>
      <c r="E187" s="141"/>
      <c r="F187" s="526"/>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31"/>
      <c r="B188" s="141"/>
      <c r="C188" s="141"/>
      <c r="D188" s="141"/>
      <c r="E188" s="141"/>
      <c r="F188" s="526"/>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31"/>
      <c r="B189" s="141"/>
      <c r="C189" s="141"/>
      <c r="D189" s="141"/>
      <c r="E189" s="141"/>
      <c r="F189" s="526"/>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31"/>
      <c r="B190" s="141"/>
      <c r="C190" s="141"/>
      <c r="D190" s="141"/>
      <c r="E190" s="141"/>
      <c r="F190" s="526"/>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31"/>
      <c r="B191" s="141"/>
      <c r="C191" s="141"/>
      <c r="D191" s="141"/>
      <c r="E191" s="141"/>
      <c r="F191" s="526"/>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9" sqref="B9:C12"/>
    </sheetView>
  </sheetViews>
  <sheetFormatPr baseColWidth="10" defaultRowHeight="12" x14ac:dyDescent="0"/>
  <cols>
    <col min="1" max="1" width="10.83203125" style="397"/>
    <col min="2" max="2" width="15.1640625" style="397" customWidth="1"/>
    <col min="3" max="3" width="32.5" style="397" customWidth="1"/>
    <col min="4" max="4" width="10.83203125" style="397"/>
    <col min="5" max="5" width="6.1640625" style="397" bestFit="1" customWidth="1"/>
    <col min="6" max="9" width="15.5" style="397" customWidth="1"/>
    <col min="10" max="10" width="14.6640625" style="397" customWidth="1"/>
    <col min="11" max="17" width="15.5" style="397" customWidth="1"/>
    <col min="18" max="18" width="15" style="397" customWidth="1"/>
    <col min="19" max="19" width="15.33203125" style="397" customWidth="1"/>
    <col min="20" max="20" width="7.1640625" style="397" customWidth="1"/>
    <col min="21" max="21" width="47.33203125" style="397" customWidth="1"/>
    <col min="22" max="23" width="20.33203125" style="397" customWidth="1"/>
    <col min="24" max="16384" width="10.83203125" style="397"/>
  </cols>
  <sheetData>
    <row r="2" spans="2:19" ht="32">
      <c r="B2" s="477" t="s">
        <v>331</v>
      </c>
    </row>
    <row r="5" spans="2:19" ht="18" customHeight="1">
      <c r="B5" s="478" t="s">
        <v>332</v>
      </c>
      <c r="C5" s="479" t="s">
        <v>333</v>
      </c>
      <c r="H5" s="480"/>
    </row>
    <row r="6" spans="2:19" ht="18">
      <c r="E6" s="478" t="str">
        <f>C5 &amp; " Scenario"</f>
        <v>Full Everywhere Scenario</v>
      </c>
    </row>
    <row r="7" spans="2:19" ht="27" thickBot="1">
      <c r="B7" s="478" t="s">
        <v>334</v>
      </c>
      <c r="C7" s="481"/>
      <c r="F7" s="555" t="s">
        <v>125</v>
      </c>
      <c r="G7" s="556"/>
      <c r="H7" s="556"/>
      <c r="I7" s="557"/>
      <c r="J7" s="555" t="s">
        <v>126</v>
      </c>
      <c r="K7" s="556"/>
      <c r="L7" s="556"/>
      <c r="M7" s="557"/>
      <c r="N7" s="555" t="s">
        <v>127</v>
      </c>
      <c r="O7" s="556"/>
      <c r="P7" s="556"/>
      <c r="Q7" s="557"/>
    </row>
    <row r="8" spans="2:19" ht="50" customHeight="1" thickTop="1" thickBot="1">
      <c r="B8" s="482" t="s">
        <v>129</v>
      </c>
      <c r="C8" s="483" t="s">
        <v>335</v>
      </c>
      <c r="E8" s="484" t="s">
        <v>315</v>
      </c>
      <c r="F8" s="484" t="s">
        <v>336</v>
      </c>
      <c r="G8" s="485" t="s">
        <v>337</v>
      </c>
      <c r="H8" s="485" t="s">
        <v>338</v>
      </c>
      <c r="I8" s="486" t="s">
        <v>339</v>
      </c>
      <c r="J8" s="484" t="s">
        <v>336</v>
      </c>
      <c r="K8" s="485" t="s">
        <v>337</v>
      </c>
      <c r="L8" s="485" t="s">
        <v>338</v>
      </c>
      <c r="M8" s="486" t="s">
        <v>339</v>
      </c>
      <c r="N8" s="484" t="s">
        <v>336</v>
      </c>
      <c r="O8" s="485" t="s">
        <v>337</v>
      </c>
      <c r="P8" s="485" t="s">
        <v>338</v>
      </c>
      <c r="Q8" s="486" t="s">
        <v>339</v>
      </c>
      <c r="R8" s="484" t="s">
        <v>340</v>
      </c>
      <c r="S8" s="486" t="s">
        <v>341</v>
      </c>
    </row>
    <row r="9" spans="2:19" ht="18">
      <c r="B9" s="487" t="s">
        <v>130</v>
      </c>
      <c r="C9" s="488" t="b">
        <v>1</v>
      </c>
      <c r="E9" s="489" t="s">
        <v>211</v>
      </c>
      <c r="F9" s="490" t="s">
        <v>342</v>
      </c>
      <c r="G9" s="491" t="s">
        <v>342</v>
      </c>
      <c r="H9" s="491">
        <v>0</v>
      </c>
      <c r="I9" s="492">
        <v>0</v>
      </c>
      <c r="J9" s="490" t="s">
        <v>342</v>
      </c>
      <c r="K9" s="491" t="s">
        <v>342</v>
      </c>
      <c r="L9" s="491">
        <v>0</v>
      </c>
      <c r="M9" s="493">
        <v>0</v>
      </c>
      <c r="N9" s="494" t="s">
        <v>342</v>
      </c>
      <c r="O9" s="491" t="s">
        <v>342</v>
      </c>
      <c r="P9" s="491">
        <v>0</v>
      </c>
      <c r="Q9" s="493">
        <v>0</v>
      </c>
      <c r="R9" s="495">
        <v>2014</v>
      </c>
      <c r="S9" s="496">
        <v>2050</v>
      </c>
    </row>
    <row r="10" spans="2:19" ht="18">
      <c r="B10" s="497" t="s">
        <v>131</v>
      </c>
      <c r="C10" s="498" t="b">
        <v>1</v>
      </c>
      <c r="E10" s="499" t="s">
        <v>210</v>
      </c>
      <c r="F10" s="500" t="s">
        <v>342</v>
      </c>
      <c r="G10" s="501" t="s">
        <v>342</v>
      </c>
      <c r="H10" s="501">
        <v>0</v>
      </c>
      <c r="I10" s="502">
        <v>0</v>
      </c>
      <c r="J10" s="500" t="s">
        <v>342</v>
      </c>
      <c r="K10" s="501" t="s">
        <v>342</v>
      </c>
      <c r="L10" s="501">
        <v>0</v>
      </c>
      <c r="M10" s="503">
        <v>0</v>
      </c>
      <c r="N10" s="504" t="s">
        <v>342</v>
      </c>
      <c r="O10" s="501" t="s">
        <v>342</v>
      </c>
      <c r="P10" s="501">
        <v>0</v>
      </c>
      <c r="Q10" s="503">
        <v>0</v>
      </c>
      <c r="R10" s="505">
        <v>2014</v>
      </c>
      <c r="S10" s="506">
        <v>2050</v>
      </c>
    </row>
    <row r="11" spans="2:19" ht="18">
      <c r="B11" s="497" t="s">
        <v>151</v>
      </c>
      <c r="C11" s="498" t="b">
        <v>1</v>
      </c>
      <c r="E11" s="499" t="s">
        <v>213</v>
      </c>
      <c r="F11" s="500" t="s">
        <v>342</v>
      </c>
      <c r="G11" s="501" t="s">
        <v>342</v>
      </c>
      <c r="H11" s="501">
        <v>0</v>
      </c>
      <c r="I11" s="502">
        <v>0</v>
      </c>
      <c r="J11" s="500" t="s">
        <v>342</v>
      </c>
      <c r="K11" s="501" t="s">
        <v>342</v>
      </c>
      <c r="L11" s="501">
        <v>0</v>
      </c>
      <c r="M11" s="503">
        <v>0</v>
      </c>
      <c r="N11" s="504" t="s">
        <v>342</v>
      </c>
      <c r="O11" s="501" t="s">
        <v>342</v>
      </c>
      <c r="P11" s="501">
        <v>0</v>
      </c>
      <c r="Q11" s="503">
        <v>0</v>
      </c>
      <c r="R11" s="505">
        <v>2014</v>
      </c>
      <c r="S11" s="506">
        <v>2050</v>
      </c>
    </row>
    <row r="12" spans="2:19" ht="19" thickBot="1">
      <c r="B12" s="507" t="s">
        <v>152</v>
      </c>
      <c r="C12" s="508" t="b">
        <v>1</v>
      </c>
      <c r="E12" s="499" t="s">
        <v>212</v>
      </c>
      <c r="F12" s="500" t="s">
        <v>342</v>
      </c>
      <c r="G12" s="501" t="s">
        <v>342</v>
      </c>
      <c r="H12" s="501">
        <v>0</v>
      </c>
      <c r="I12" s="502">
        <v>0</v>
      </c>
      <c r="J12" s="500" t="s">
        <v>342</v>
      </c>
      <c r="K12" s="501" t="s">
        <v>342</v>
      </c>
      <c r="L12" s="501">
        <v>0</v>
      </c>
      <c r="M12" s="503">
        <v>0</v>
      </c>
      <c r="N12" s="504" t="s">
        <v>342</v>
      </c>
      <c r="O12" s="501" t="s">
        <v>342</v>
      </c>
      <c r="P12" s="501">
        <v>0</v>
      </c>
      <c r="Q12" s="503">
        <v>0</v>
      </c>
      <c r="R12" s="505">
        <v>2014</v>
      </c>
      <c r="S12" s="506">
        <v>2050</v>
      </c>
    </row>
    <row r="13" spans="2:19" ht="13" thickTop="1">
      <c r="E13" s="499" t="s">
        <v>214</v>
      </c>
      <c r="F13" s="500" t="s">
        <v>342</v>
      </c>
      <c r="G13" s="501" t="s">
        <v>342</v>
      </c>
      <c r="H13" s="501">
        <v>0</v>
      </c>
      <c r="I13" s="502">
        <v>0</v>
      </c>
      <c r="J13" s="500" t="s">
        <v>342</v>
      </c>
      <c r="K13" s="501" t="s">
        <v>342</v>
      </c>
      <c r="L13" s="501">
        <v>0</v>
      </c>
      <c r="M13" s="503">
        <v>0</v>
      </c>
      <c r="N13" s="504" t="s">
        <v>342</v>
      </c>
      <c r="O13" s="501" t="s">
        <v>342</v>
      </c>
      <c r="P13" s="501">
        <v>0</v>
      </c>
      <c r="Q13" s="503">
        <v>0</v>
      </c>
      <c r="R13" s="505">
        <v>2014</v>
      </c>
      <c r="S13" s="506">
        <v>2050</v>
      </c>
    </row>
    <row r="14" spans="2:19" ht="12" customHeight="1">
      <c r="B14" s="558" t="s">
        <v>343</v>
      </c>
      <c r="C14" s="558"/>
      <c r="E14" s="499" t="s">
        <v>215</v>
      </c>
      <c r="F14" s="500" t="s">
        <v>342</v>
      </c>
      <c r="G14" s="501" t="s">
        <v>342</v>
      </c>
      <c r="H14" s="501">
        <v>0</v>
      </c>
      <c r="I14" s="502">
        <v>0</v>
      </c>
      <c r="J14" s="500" t="s">
        <v>342</v>
      </c>
      <c r="K14" s="501" t="s">
        <v>342</v>
      </c>
      <c r="L14" s="501">
        <v>0</v>
      </c>
      <c r="M14" s="503">
        <v>0</v>
      </c>
      <c r="N14" s="504" t="s">
        <v>342</v>
      </c>
      <c r="O14" s="501" t="s">
        <v>342</v>
      </c>
      <c r="P14" s="501">
        <v>0</v>
      </c>
      <c r="Q14" s="503">
        <v>0</v>
      </c>
      <c r="R14" s="505">
        <v>2014</v>
      </c>
      <c r="S14" s="506">
        <v>2050</v>
      </c>
    </row>
    <row r="15" spans="2:19" ht="12" customHeight="1">
      <c r="B15" s="558"/>
      <c r="C15" s="558"/>
      <c r="E15" s="499" t="s">
        <v>216</v>
      </c>
      <c r="F15" s="500" t="s">
        <v>342</v>
      </c>
      <c r="G15" s="501" t="s">
        <v>342</v>
      </c>
      <c r="H15" s="501">
        <v>0</v>
      </c>
      <c r="I15" s="502">
        <v>0</v>
      </c>
      <c r="J15" s="500" t="s">
        <v>342</v>
      </c>
      <c r="K15" s="501" t="s">
        <v>342</v>
      </c>
      <c r="L15" s="501">
        <v>0</v>
      </c>
      <c r="M15" s="503">
        <v>0</v>
      </c>
      <c r="N15" s="504" t="s">
        <v>342</v>
      </c>
      <c r="O15" s="501" t="s">
        <v>342</v>
      </c>
      <c r="P15" s="501">
        <v>0</v>
      </c>
      <c r="Q15" s="503">
        <v>0</v>
      </c>
      <c r="R15" s="505">
        <v>2014</v>
      </c>
      <c r="S15" s="506">
        <v>2050</v>
      </c>
    </row>
    <row r="16" spans="2:19" ht="12" customHeight="1">
      <c r="B16" s="558"/>
      <c r="C16" s="558"/>
      <c r="E16" s="499" t="s">
        <v>11</v>
      </c>
      <c r="F16" s="500" t="s">
        <v>342</v>
      </c>
      <c r="G16" s="501" t="s">
        <v>342</v>
      </c>
      <c r="H16" s="501">
        <v>0</v>
      </c>
      <c r="I16" s="502">
        <v>0</v>
      </c>
      <c r="J16" s="500" t="s">
        <v>342</v>
      </c>
      <c r="K16" s="501" t="s">
        <v>342</v>
      </c>
      <c r="L16" s="501">
        <v>0</v>
      </c>
      <c r="M16" s="503">
        <v>0</v>
      </c>
      <c r="N16" s="504" t="s">
        <v>342</v>
      </c>
      <c r="O16" s="501" t="s">
        <v>342</v>
      </c>
      <c r="P16" s="501">
        <v>0</v>
      </c>
      <c r="Q16" s="503">
        <v>0</v>
      </c>
      <c r="R16" s="505">
        <v>2014</v>
      </c>
      <c r="S16" s="506">
        <v>2050</v>
      </c>
    </row>
    <row r="17" spans="2:19" ht="12" customHeight="1">
      <c r="B17" s="558"/>
      <c r="C17" s="558"/>
      <c r="E17" s="499" t="s">
        <v>217</v>
      </c>
      <c r="F17" s="500" t="s">
        <v>342</v>
      </c>
      <c r="G17" s="501" t="s">
        <v>342</v>
      </c>
      <c r="H17" s="501">
        <v>0</v>
      </c>
      <c r="I17" s="502">
        <v>0</v>
      </c>
      <c r="J17" s="500" t="s">
        <v>342</v>
      </c>
      <c r="K17" s="501" t="s">
        <v>342</v>
      </c>
      <c r="L17" s="501">
        <v>0</v>
      </c>
      <c r="M17" s="503">
        <v>0</v>
      </c>
      <c r="N17" s="504" t="s">
        <v>342</v>
      </c>
      <c r="O17" s="501" t="s">
        <v>342</v>
      </c>
      <c r="P17" s="501">
        <v>0</v>
      </c>
      <c r="Q17" s="503">
        <v>0</v>
      </c>
      <c r="R17" s="505">
        <v>2014</v>
      </c>
      <c r="S17" s="506">
        <v>2050</v>
      </c>
    </row>
    <row r="18" spans="2:19" ht="13" customHeight="1">
      <c r="B18" s="558"/>
      <c r="C18" s="558"/>
      <c r="E18" s="499" t="s">
        <v>218</v>
      </c>
      <c r="F18" s="500" t="s">
        <v>342</v>
      </c>
      <c r="G18" s="501" t="s">
        <v>342</v>
      </c>
      <c r="H18" s="501">
        <v>0</v>
      </c>
      <c r="I18" s="502">
        <v>0</v>
      </c>
      <c r="J18" s="500" t="s">
        <v>342</v>
      </c>
      <c r="K18" s="501" t="s">
        <v>342</v>
      </c>
      <c r="L18" s="501">
        <v>0</v>
      </c>
      <c r="M18" s="503">
        <v>0</v>
      </c>
      <c r="N18" s="504" t="s">
        <v>342</v>
      </c>
      <c r="O18" s="501" t="s">
        <v>342</v>
      </c>
      <c r="P18" s="501">
        <v>0</v>
      </c>
      <c r="Q18" s="503">
        <v>0</v>
      </c>
      <c r="R18" s="505">
        <v>2014</v>
      </c>
      <c r="S18" s="506">
        <v>2050</v>
      </c>
    </row>
    <row r="19" spans="2:19" ht="12" customHeight="1">
      <c r="B19" s="558"/>
      <c r="C19" s="558"/>
      <c r="E19" s="499" t="s">
        <v>219</v>
      </c>
      <c r="F19" s="500" t="s">
        <v>342</v>
      </c>
      <c r="G19" s="501" t="s">
        <v>342</v>
      </c>
      <c r="H19" s="501">
        <v>0</v>
      </c>
      <c r="I19" s="502">
        <v>0</v>
      </c>
      <c r="J19" s="500" t="s">
        <v>342</v>
      </c>
      <c r="K19" s="501" t="s">
        <v>342</v>
      </c>
      <c r="L19" s="501">
        <v>0</v>
      </c>
      <c r="M19" s="503">
        <v>0</v>
      </c>
      <c r="N19" s="504" t="s">
        <v>342</v>
      </c>
      <c r="O19" s="501" t="s">
        <v>342</v>
      </c>
      <c r="P19" s="501">
        <v>0</v>
      </c>
      <c r="Q19" s="503">
        <v>0</v>
      </c>
      <c r="R19" s="505">
        <v>2014</v>
      </c>
      <c r="S19" s="506">
        <v>2050</v>
      </c>
    </row>
    <row r="20" spans="2:19" ht="12" customHeight="1">
      <c r="B20" s="558"/>
      <c r="C20" s="558"/>
      <c r="E20" s="499" t="s">
        <v>220</v>
      </c>
      <c r="F20" s="500" t="s">
        <v>342</v>
      </c>
      <c r="G20" s="501" t="s">
        <v>342</v>
      </c>
      <c r="H20" s="501">
        <v>0</v>
      </c>
      <c r="I20" s="502">
        <v>0</v>
      </c>
      <c r="J20" s="500" t="s">
        <v>342</v>
      </c>
      <c r="K20" s="501" t="s">
        <v>342</v>
      </c>
      <c r="L20" s="501">
        <v>0</v>
      </c>
      <c r="M20" s="503">
        <v>0</v>
      </c>
      <c r="N20" s="504" t="s">
        <v>342</v>
      </c>
      <c r="O20" s="501" t="s">
        <v>342</v>
      </c>
      <c r="P20" s="501">
        <v>0</v>
      </c>
      <c r="Q20" s="503">
        <v>0</v>
      </c>
      <c r="R20" s="505">
        <v>2014</v>
      </c>
      <c r="S20" s="506">
        <v>2050</v>
      </c>
    </row>
    <row r="21" spans="2:19" ht="12" customHeight="1">
      <c r="B21" s="558"/>
      <c r="C21" s="558"/>
      <c r="E21" s="499" t="s">
        <v>224</v>
      </c>
      <c r="F21" s="500" t="s">
        <v>342</v>
      </c>
      <c r="G21" s="501" t="s">
        <v>342</v>
      </c>
      <c r="H21" s="501">
        <v>0</v>
      </c>
      <c r="I21" s="502">
        <v>0</v>
      </c>
      <c r="J21" s="500" t="s">
        <v>342</v>
      </c>
      <c r="K21" s="501" t="s">
        <v>342</v>
      </c>
      <c r="L21" s="501">
        <v>0</v>
      </c>
      <c r="M21" s="503">
        <v>0</v>
      </c>
      <c r="N21" s="504" t="s">
        <v>342</v>
      </c>
      <c r="O21" s="501" t="s">
        <v>342</v>
      </c>
      <c r="P21" s="501">
        <v>0</v>
      </c>
      <c r="Q21" s="503">
        <v>0</v>
      </c>
      <c r="R21" s="505">
        <v>2014</v>
      </c>
      <c r="S21" s="506">
        <v>2050</v>
      </c>
    </row>
    <row r="22" spans="2:19" ht="12" customHeight="1">
      <c r="B22" s="558"/>
      <c r="C22" s="558"/>
      <c r="E22" s="499" t="s">
        <v>221</v>
      </c>
      <c r="F22" s="500" t="s">
        <v>342</v>
      </c>
      <c r="G22" s="501" t="s">
        <v>342</v>
      </c>
      <c r="H22" s="501">
        <v>0</v>
      </c>
      <c r="I22" s="502">
        <v>0</v>
      </c>
      <c r="J22" s="500" t="s">
        <v>342</v>
      </c>
      <c r="K22" s="501" t="s">
        <v>342</v>
      </c>
      <c r="L22" s="501">
        <v>0</v>
      </c>
      <c r="M22" s="503">
        <v>0</v>
      </c>
      <c r="N22" s="504" t="s">
        <v>342</v>
      </c>
      <c r="O22" s="501" t="s">
        <v>342</v>
      </c>
      <c r="P22" s="501">
        <v>0</v>
      </c>
      <c r="Q22" s="503">
        <v>0</v>
      </c>
      <c r="R22" s="505">
        <v>2014</v>
      </c>
      <c r="S22" s="506">
        <v>2050</v>
      </c>
    </row>
    <row r="23" spans="2:19" ht="12" customHeight="1">
      <c r="B23" s="558"/>
      <c r="C23" s="558"/>
      <c r="E23" s="499" t="s">
        <v>222</v>
      </c>
      <c r="F23" s="500" t="s">
        <v>342</v>
      </c>
      <c r="G23" s="501" t="s">
        <v>342</v>
      </c>
      <c r="H23" s="501">
        <v>0</v>
      </c>
      <c r="I23" s="502">
        <v>0</v>
      </c>
      <c r="J23" s="500" t="s">
        <v>342</v>
      </c>
      <c r="K23" s="501" t="s">
        <v>342</v>
      </c>
      <c r="L23" s="501">
        <v>0</v>
      </c>
      <c r="M23" s="503">
        <v>0</v>
      </c>
      <c r="N23" s="504" t="s">
        <v>342</v>
      </c>
      <c r="O23" s="501" t="s">
        <v>342</v>
      </c>
      <c r="P23" s="501">
        <v>0</v>
      </c>
      <c r="Q23" s="503">
        <v>0</v>
      </c>
      <c r="R23" s="505">
        <v>2014</v>
      </c>
      <c r="S23" s="506">
        <v>2050</v>
      </c>
    </row>
    <row r="24" spans="2:19" ht="12" customHeight="1">
      <c r="B24" s="558"/>
      <c r="C24" s="558"/>
      <c r="E24" s="499" t="s">
        <v>223</v>
      </c>
      <c r="F24" s="500" t="s">
        <v>342</v>
      </c>
      <c r="G24" s="501" t="s">
        <v>342</v>
      </c>
      <c r="H24" s="501">
        <v>0</v>
      </c>
      <c r="I24" s="502">
        <v>0</v>
      </c>
      <c r="J24" s="500" t="s">
        <v>342</v>
      </c>
      <c r="K24" s="501" t="s">
        <v>342</v>
      </c>
      <c r="L24" s="501">
        <v>0</v>
      </c>
      <c r="M24" s="503">
        <v>0</v>
      </c>
      <c r="N24" s="504" t="s">
        <v>342</v>
      </c>
      <c r="O24" s="501" t="s">
        <v>342</v>
      </c>
      <c r="P24" s="501">
        <v>0</v>
      </c>
      <c r="Q24" s="503">
        <v>0</v>
      </c>
      <c r="R24" s="505">
        <v>2014</v>
      </c>
      <c r="S24" s="506">
        <v>2050</v>
      </c>
    </row>
    <row r="25" spans="2:19" ht="12" customHeight="1">
      <c r="B25" s="558"/>
      <c r="C25" s="558"/>
      <c r="E25" s="499" t="s">
        <v>225</v>
      </c>
      <c r="F25" s="500" t="s">
        <v>342</v>
      </c>
      <c r="G25" s="501" t="s">
        <v>342</v>
      </c>
      <c r="H25" s="501">
        <v>0</v>
      </c>
      <c r="I25" s="502">
        <v>0</v>
      </c>
      <c r="J25" s="500" t="s">
        <v>342</v>
      </c>
      <c r="K25" s="501" t="s">
        <v>342</v>
      </c>
      <c r="L25" s="501">
        <v>0</v>
      </c>
      <c r="M25" s="503">
        <v>0</v>
      </c>
      <c r="N25" s="504" t="s">
        <v>342</v>
      </c>
      <c r="O25" s="501" t="s">
        <v>342</v>
      </c>
      <c r="P25" s="501">
        <v>0</v>
      </c>
      <c r="Q25" s="503">
        <v>0</v>
      </c>
      <c r="R25" s="505">
        <v>2014</v>
      </c>
      <c r="S25" s="506">
        <v>2050</v>
      </c>
    </row>
    <row r="26" spans="2:19" ht="12" customHeight="1">
      <c r="B26" s="558"/>
      <c r="C26" s="558"/>
      <c r="E26" s="499" t="s">
        <v>226</v>
      </c>
      <c r="F26" s="500" t="s">
        <v>342</v>
      </c>
      <c r="G26" s="501" t="s">
        <v>342</v>
      </c>
      <c r="H26" s="501">
        <v>0</v>
      </c>
      <c r="I26" s="502">
        <v>0</v>
      </c>
      <c r="J26" s="500" t="s">
        <v>342</v>
      </c>
      <c r="K26" s="501" t="s">
        <v>342</v>
      </c>
      <c r="L26" s="501">
        <v>0</v>
      </c>
      <c r="M26" s="503">
        <v>0</v>
      </c>
      <c r="N26" s="504" t="s">
        <v>342</v>
      </c>
      <c r="O26" s="501" t="s">
        <v>342</v>
      </c>
      <c r="P26" s="501">
        <v>0</v>
      </c>
      <c r="Q26" s="503">
        <v>0</v>
      </c>
      <c r="R26" s="505">
        <v>2014</v>
      </c>
      <c r="S26" s="506">
        <v>2050</v>
      </c>
    </row>
    <row r="27" spans="2:19" ht="12" customHeight="1">
      <c r="B27" s="558"/>
      <c r="C27" s="558"/>
      <c r="E27" s="499" t="s">
        <v>227</v>
      </c>
      <c r="F27" s="500" t="s">
        <v>342</v>
      </c>
      <c r="G27" s="501" t="s">
        <v>342</v>
      </c>
      <c r="H27" s="501">
        <v>0</v>
      </c>
      <c r="I27" s="502">
        <v>0</v>
      </c>
      <c r="J27" s="500" t="s">
        <v>342</v>
      </c>
      <c r="K27" s="501" t="s">
        <v>342</v>
      </c>
      <c r="L27" s="501">
        <v>0</v>
      </c>
      <c r="M27" s="503">
        <v>0</v>
      </c>
      <c r="N27" s="504" t="s">
        <v>342</v>
      </c>
      <c r="O27" s="501" t="s">
        <v>342</v>
      </c>
      <c r="P27" s="501">
        <v>0</v>
      </c>
      <c r="Q27" s="503">
        <v>0</v>
      </c>
      <c r="R27" s="505">
        <v>2014</v>
      </c>
      <c r="S27" s="506">
        <v>2050</v>
      </c>
    </row>
    <row r="28" spans="2:19" ht="12" customHeight="1">
      <c r="B28" s="558"/>
      <c r="C28" s="558"/>
      <c r="E28" s="499" t="s">
        <v>230</v>
      </c>
      <c r="F28" s="500" t="s">
        <v>342</v>
      </c>
      <c r="G28" s="501" t="s">
        <v>342</v>
      </c>
      <c r="H28" s="501">
        <v>0</v>
      </c>
      <c r="I28" s="502">
        <v>0</v>
      </c>
      <c r="J28" s="500" t="s">
        <v>342</v>
      </c>
      <c r="K28" s="501" t="s">
        <v>342</v>
      </c>
      <c r="L28" s="501">
        <v>0</v>
      </c>
      <c r="M28" s="503">
        <v>0</v>
      </c>
      <c r="N28" s="504" t="s">
        <v>342</v>
      </c>
      <c r="O28" s="501" t="s">
        <v>342</v>
      </c>
      <c r="P28" s="501">
        <v>0</v>
      </c>
      <c r="Q28" s="503">
        <v>0</v>
      </c>
      <c r="R28" s="505">
        <v>2014</v>
      </c>
      <c r="S28" s="506">
        <v>2050</v>
      </c>
    </row>
    <row r="29" spans="2:19" ht="12" customHeight="1">
      <c r="B29" s="558"/>
      <c r="C29" s="558"/>
      <c r="E29" s="499" t="s">
        <v>229</v>
      </c>
      <c r="F29" s="500" t="s">
        <v>342</v>
      </c>
      <c r="G29" s="501" t="s">
        <v>342</v>
      </c>
      <c r="H29" s="501">
        <v>0</v>
      </c>
      <c r="I29" s="502">
        <v>0</v>
      </c>
      <c r="J29" s="500" t="s">
        <v>342</v>
      </c>
      <c r="K29" s="501" t="s">
        <v>342</v>
      </c>
      <c r="L29" s="501">
        <v>0</v>
      </c>
      <c r="M29" s="503">
        <v>0</v>
      </c>
      <c r="N29" s="504" t="s">
        <v>342</v>
      </c>
      <c r="O29" s="501" t="s">
        <v>342</v>
      </c>
      <c r="P29" s="501">
        <v>0</v>
      </c>
      <c r="Q29" s="503">
        <v>0</v>
      </c>
      <c r="R29" s="505">
        <v>2014</v>
      </c>
      <c r="S29" s="506">
        <v>2050</v>
      </c>
    </row>
    <row r="30" spans="2:19" ht="12" customHeight="1">
      <c r="B30" s="558"/>
      <c r="C30" s="558"/>
      <c r="E30" s="499" t="s">
        <v>228</v>
      </c>
      <c r="F30" s="500" t="s">
        <v>342</v>
      </c>
      <c r="G30" s="501" t="s">
        <v>342</v>
      </c>
      <c r="H30" s="501">
        <v>0</v>
      </c>
      <c r="I30" s="502">
        <v>0</v>
      </c>
      <c r="J30" s="500" t="s">
        <v>342</v>
      </c>
      <c r="K30" s="501" t="s">
        <v>342</v>
      </c>
      <c r="L30" s="501">
        <v>0</v>
      </c>
      <c r="M30" s="503">
        <v>0</v>
      </c>
      <c r="N30" s="504" t="s">
        <v>342</v>
      </c>
      <c r="O30" s="501" t="s">
        <v>342</v>
      </c>
      <c r="P30" s="501">
        <v>0</v>
      </c>
      <c r="Q30" s="503">
        <v>0</v>
      </c>
      <c r="R30" s="505">
        <v>2014</v>
      </c>
      <c r="S30" s="506">
        <v>2050</v>
      </c>
    </row>
    <row r="31" spans="2:19" ht="12" customHeight="1">
      <c r="B31" s="558"/>
      <c r="C31" s="558"/>
      <c r="E31" s="499" t="s">
        <v>231</v>
      </c>
      <c r="F31" s="500" t="s">
        <v>342</v>
      </c>
      <c r="G31" s="501" t="s">
        <v>342</v>
      </c>
      <c r="H31" s="501">
        <v>0</v>
      </c>
      <c r="I31" s="502">
        <v>0</v>
      </c>
      <c r="J31" s="500" t="s">
        <v>342</v>
      </c>
      <c r="K31" s="501" t="s">
        <v>342</v>
      </c>
      <c r="L31" s="501">
        <v>0</v>
      </c>
      <c r="M31" s="503">
        <v>0</v>
      </c>
      <c r="N31" s="504" t="s">
        <v>342</v>
      </c>
      <c r="O31" s="501" t="s">
        <v>342</v>
      </c>
      <c r="P31" s="501">
        <v>0</v>
      </c>
      <c r="Q31" s="503">
        <v>0</v>
      </c>
      <c r="R31" s="505">
        <v>2014</v>
      </c>
      <c r="S31" s="506">
        <v>2050</v>
      </c>
    </row>
    <row r="32" spans="2:19" ht="12" customHeight="1">
      <c r="B32" s="558"/>
      <c r="C32" s="558"/>
      <c r="E32" s="499" t="s">
        <v>232</v>
      </c>
      <c r="F32" s="500" t="s">
        <v>342</v>
      </c>
      <c r="G32" s="501" t="s">
        <v>342</v>
      </c>
      <c r="H32" s="501">
        <v>0</v>
      </c>
      <c r="I32" s="502">
        <v>0</v>
      </c>
      <c r="J32" s="500" t="s">
        <v>342</v>
      </c>
      <c r="K32" s="501" t="s">
        <v>342</v>
      </c>
      <c r="L32" s="501">
        <v>0</v>
      </c>
      <c r="M32" s="503">
        <v>0</v>
      </c>
      <c r="N32" s="504" t="s">
        <v>342</v>
      </c>
      <c r="O32" s="501" t="s">
        <v>342</v>
      </c>
      <c r="P32" s="501">
        <v>0</v>
      </c>
      <c r="Q32" s="503">
        <v>0</v>
      </c>
      <c r="R32" s="505">
        <v>2014</v>
      </c>
      <c r="S32" s="506">
        <v>2050</v>
      </c>
    </row>
    <row r="33" spans="2:19" ht="12" customHeight="1">
      <c r="B33" s="558"/>
      <c r="C33" s="558"/>
      <c r="E33" s="499" t="s">
        <v>234</v>
      </c>
      <c r="F33" s="500" t="s">
        <v>342</v>
      </c>
      <c r="G33" s="501" t="s">
        <v>342</v>
      </c>
      <c r="H33" s="501">
        <v>0</v>
      </c>
      <c r="I33" s="502">
        <v>0</v>
      </c>
      <c r="J33" s="500" t="s">
        <v>342</v>
      </c>
      <c r="K33" s="501" t="s">
        <v>342</v>
      </c>
      <c r="L33" s="501">
        <v>0</v>
      </c>
      <c r="M33" s="503">
        <v>0</v>
      </c>
      <c r="N33" s="504" t="s">
        <v>342</v>
      </c>
      <c r="O33" s="501" t="s">
        <v>342</v>
      </c>
      <c r="P33" s="501">
        <v>0</v>
      </c>
      <c r="Q33" s="503">
        <v>0</v>
      </c>
      <c r="R33" s="505">
        <v>2014</v>
      </c>
      <c r="S33" s="506">
        <v>2050</v>
      </c>
    </row>
    <row r="34" spans="2:19" ht="12" customHeight="1">
      <c r="B34" s="558"/>
      <c r="C34" s="558"/>
      <c r="E34" s="499" t="s">
        <v>233</v>
      </c>
      <c r="F34" s="500" t="s">
        <v>342</v>
      </c>
      <c r="G34" s="501" t="s">
        <v>342</v>
      </c>
      <c r="H34" s="501">
        <v>0</v>
      </c>
      <c r="I34" s="502">
        <v>0</v>
      </c>
      <c r="J34" s="500" t="s">
        <v>342</v>
      </c>
      <c r="K34" s="501" t="s">
        <v>342</v>
      </c>
      <c r="L34" s="501">
        <v>0</v>
      </c>
      <c r="M34" s="503">
        <v>0</v>
      </c>
      <c r="N34" s="504" t="s">
        <v>342</v>
      </c>
      <c r="O34" s="501" t="s">
        <v>342</v>
      </c>
      <c r="P34" s="501">
        <v>0</v>
      </c>
      <c r="Q34" s="503">
        <v>0</v>
      </c>
      <c r="R34" s="505">
        <v>2014</v>
      </c>
      <c r="S34" s="506">
        <v>2050</v>
      </c>
    </row>
    <row r="35" spans="2:19" ht="12" customHeight="1">
      <c r="B35" s="558"/>
      <c r="C35" s="558"/>
      <c r="E35" s="499" t="s">
        <v>235</v>
      </c>
      <c r="F35" s="500" t="s">
        <v>342</v>
      </c>
      <c r="G35" s="501" t="s">
        <v>342</v>
      </c>
      <c r="H35" s="501">
        <v>0</v>
      </c>
      <c r="I35" s="502">
        <v>0</v>
      </c>
      <c r="J35" s="500" t="s">
        <v>342</v>
      </c>
      <c r="K35" s="501" t="s">
        <v>342</v>
      </c>
      <c r="L35" s="501">
        <v>0</v>
      </c>
      <c r="M35" s="503">
        <v>0</v>
      </c>
      <c r="N35" s="504" t="s">
        <v>342</v>
      </c>
      <c r="O35" s="501" t="s">
        <v>342</v>
      </c>
      <c r="P35" s="501">
        <v>0</v>
      </c>
      <c r="Q35" s="503">
        <v>0</v>
      </c>
      <c r="R35" s="505">
        <v>2014</v>
      </c>
      <c r="S35" s="506">
        <v>2050</v>
      </c>
    </row>
    <row r="36" spans="2:19" ht="12" customHeight="1">
      <c r="B36" s="558"/>
      <c r="C36" s="558"/>
      <c r="E36" s="499" t="s">
        <v>242</v>
      </c>
      <c r="F36" s="500" t="s">
        <v>342</v>
      </c>
      <c r="G36" s="501" t="s">
        <v>342</v>
      </c>
      <c r="H36" s="501">
        <v>0</v>
      </c>
      <c r="I36" s="502">
        <v>0</v>
      </c>
      <c r="J36" s="500" t="s">
        <v>342</v>
      </c>
      <c r="K36" s="501" t="s">
        <v>342</v>
      </c>
      <c r="L36" s="501">
        <v>0</v>
      </c>
      <c r="M36" s="503">
        <v>0</v>
      </c>
      <c r="N36" s="504" t="s">
        <v>342</v>
      </c>
      <c r="O36" s="501" t="s">
        <v>342</v>
      </c>
      <c r="P36" s="501">
        <v>0</v>
      </c>
      <c r="Q36" s="503">
        <v>0</v>
      </c>
      <c r="R36" s="505">
        <v>2014</v>
      </c>
      <c r="S36" s="506">
        <v>2050</v>
      </c>
    </row>
    <row r="37" spans="2:19" ht="12" customHeight="1">
      <c r="B37" s="558"/>
      <c r="C37" s="558"/>
      <c r="E37" s="499" t="s">
        <v>243</v>
      </c>
      <c r="F37" s="500" t="s">
        <v>342</v>
      </c>
      <c r="G37" s="501" t="s">
        <v>342</v>
      </c>
      <c r="H37" s="501">
        <v>0</v>
      </c>
      <c r="I37" s="502">
        <v>0</v>
      </c>
      <c r="J37" s="500" t="s">
        <v>342</v>
      </c>
      <c r="K37" s="501" t="s">
        <v>342</v>
      </c>
      <c r="L37" s="501">
        <v>0</v>
      </c>
      <c r="M37" s="503">
        <v>0</v>
      </c>
      <c r="N37" s="504" t="s">
        <v>342</v>
      </c>
      <c r="O37" s="501" t="s">
        <v>342</v>
      </c>
      <c r="P37" s="501">
        <v>0</v>
      </c>
      <c r="Q37" s="503">
        <v>0</v>
      </c>
      <c r="R37" s="505">
        <v>2014</v>
      </c>
      <c r="S37" s="506">
        <v>2050</v>
      </c>
    </row>
    <row r="38" spans="2:19" ht="12" customHeight="1">
      <c r="B38" s="558"/>
      <c r="C38" s="558"/>
      <c r="E38" s="499" t="s">
        <v>236</v>
      </c>
      <c r="F38" s="500" t="s">
        <v>342</v>
      </c>
      <c r="G38" s="501" t="s">
        <v>342</v>
      </c>
      <c r="H38" s="501">
        <v>0</v>
      </c>
      <c r="I38" s="502">
        <v>0</v>
      </c>
      <c r="J38" s="500" t="s">
        <v>342</v>
      </c>
      <c r="K38" s="501" t="s">
        <v>342</v>
      </c>
      <c r="L38" s="501">
        <v>0</v>
      </c>
      <c r="M38" s="503">
        <v>0</v>
      </c>
      <c r="N38" s="504" t="s">
        <v>342</v>
      </c>
      <c r="O38" s="501" t="s">
        <v>342</v>
      </c>
      <c r="P38" s="501">
        <v>0</v>
      </c>
      <c r="Q38" s="503">
        <v>0</v>
      </c>
      <c r="R38" s="505">
        <v>2014</v>
      </c>
      <c r="S38" s="506">
        <v>2050</v>
      </c>
    </row>
    <row r="39" spans="2:19">
      <c r="B39" s="558"/>
      <c r="C39" s="558"/>
      <c r="E39" s="499" t="s">
        <v>238</v>
      </c>
      <c r="F39" s="500" t="s">
        <v>342</v>
      </c>
      <c r="G39" s="501" t="s">
        <v>342</v>
      </c>
      <c r="H39" s="501">
        <v>0</v>
      </c>
      <c r="I39" s="502">
        <v>0</v>
      </c>
      <c r="J39" s="500" t="s">
        <v>342</v>
      </c>
      <c r="K39" s="501" t="s">
        <v>342</v>
      </c>
      <c r="L39" s="501">
        <v>0</v>
      </c>
      <c r="M39" s="503">
        <v>0</v>
      </c>
      <c r="N39" s="504" t="s">
        <v>342</v>
      </c>
      <c r="O39" s="501" t="s">
        <v>342</v>
      </c>
      <c r="P39" s="501">
        <v>0</v>
      </c>
      <c r="Q39" s="503">
        <v>0</v>
      </c>
      <c r="R39" s="505">
        <v>2014</v>
      </c>
      <c r="S39" s="506">
        <v>2050</v>
      </c>
    </row>
    <row r="40" spans="2:19">
      <c r="B40" s="558"/>
      <c r="C40" s="558"/>
      <c r="E40" s="499" t="s">
        <v>239</v>
      </c>
      <c r="F40" s="500" t="s">
        <v>342</v>
      </c>
      <c r="G40" s="501" t="s">
        <v>342</v>
      </c>
      <c r="H40" s="501">
        <v>0</v>
      </c>
      <c r="I40" s="502">
        <v>0</v>
      </c>
      <c r="J40" s="500" t="s">
        <v>342</v>
      </c>
      <c r="K40" s="501" t="s">
        <v>342</v>
      </c>
      <c r="L40" s="501">
        <v>0</v>
      </c>
      <c r="M40" s="503">
        <v>0</v>
      </c>
      <c r="N40" s="504" t="s">
        <v>342</v>
      </c>
      <c r="O40" s="501" t="s">
        <v>342</v>
      </c>
      <c r="P40" s="501">
        <v>0</v>
      </c>
      <c r="Q40" s="503">
        <v>0</v>
      </c>
      <c r="R40" s="505">
        <v>2014</v>
      </c>
      <c r="S40" s="506">
        <v>2050</v>
      </c>
    </row>
    <row r="41" spans="2:19">
      <c r="B41" s="558"/>
      <c r="C41" s="558"/>
      <c r="E41" s="499" t="s">
        <v>240</v>
      </c>
      <c r="F41" s="500" t="s">
        <v>342</v>
      </c>
      <c r="G41" s="501" t="s">
        <v>342</v>
      </c>
      <c r="H41" s="501">
        <v>0</v>
      </c>
      <c r="I41" s="502">
        <v>0</v>
      </c>
      <c r="J41" s="500" t="s">
        <v>342</v>
      </c>
      <c r="K41" s="501" t="s">
        <v>342</v>
      </c>
      <c r="L41" s="501">
        <v>0</v>
      </c>
      <c r="M41" s="503">
        <v>0</v>
      </c>
      <c r="N41" s="504" t="s">
        <v>342</v>
      </c>
      <c r="O41" s="501" t="s">
        <v>342</v>
      </c>
      <c r="P41" s="501">
        <v>0</v>
      </c>
      <c r="Q41" s="503">
        <v>0</v>
      </c>
      <c r="R41" s="505">
        <v>2014</v>
      </c>
      <c r="S41" s="506">
        <v>2050</v>
      </c>
    </row>
    <row r="42" spans="2:19">
      <c r="B42" s="558"/>
      <c r="C42" s="558"/>
      <c r="E42" s="499" t="s">
        <v>237</v>
      </c>
      <c r="F42" s="500" t="s">
        <v>342</v>
      </c>
      <c r="G42" s="501" t="s">
        <v>342</v>
      </c>
      <c r="H42" s="501">
        <v>0</v>
      </c>
      <c r="I42" s="502">
        <v>0</v>
      </c>
      <c r="J42" s="500" t="s">
        <v>342</v>
      </c>
      <c r="K42" s="501" t="s">
        <v>342</v>
      </c>
      <c r="L42" s="501">
        <v>0</v>
      </c>
      <c r="M42" s="503">
        <v>0</v>
      </c>
      <c r="N42" s="504" t="s">
        <v>342</v>
      </c>
      <c r="O42" s="501" t="s">
        <v>342</v>
      </c>
      <c r="P42" s="501">
        <v>0</v>
      </c>
      <c r="Q42" s="503">
        <v>0</v>
      </c>
      <c r="R42" s="505">
        <v>2014</v>
      </c>
      <c r="S42" s="506">
        <v>2050</v>
      </c>
    </row>
    <row r="43" spans="2:19">
      <c r="B43" s="558"/>
      <c r="C43" s="558"/>
      <c r="E43" s="499" t="s">
        <v>241</v>
      </c>
      <c r="F43" s="500" t="s">
        <v>342</v>
      </c>
      <c r="G43" s="501" t="s">
        <v>342</v>
      </c>
      <c r="H43" s="501">
        <v>0</v>
      </c>
      <c r="I43" s="502">
        <v>0</v>
      </c>
      <c r="J43" s="500" t="s">
        <v>342</v>
      </c>
      <c r="K43" s="501" t="s">
        <v>342</v>
      </c>
      <c r="L43" s="501">
        <v>0</v>
      </c>
      <c r="M43" s="503">
        <v>0</v>
      </c>
      <c r="N43" s="504" t="s">
        <v>342</v>
      </c>
      <c r="O43" s="501" t="s">
        <v>342</v>
      </c>
      <c r="P43" s="501">
        <v>0</v>
      </c>
      <c r="Q43" s="503">
        <v>0</v>
      </c>
      <c r="R43" s="505">
        <v>2014</v>
      </c>
      <c r="S43" s="506">
        <v>2050</v>
      </c>
    </row>
    <row r="44" spans="2:19">
      <c r="B44" s="558"/>
      <c r="C44" s="558"/>
      <c r="E44" s="499" t="s">
        <v>244</v>
      </c>
      <c r="F44" s="500" t="s">
        <v>342</v>
      </c>
      <c r="G44" s="501" t="s">
        <v>342</v>
      </c>
      <c r="H44" s="501">
        <v>0</v>
      </c>
      <c r="I44" s="502">
        <v>0</v>
      </c>
      <c r="J44" s="500" t="s">
        <v>342</v>
      </c>
      <c r="K44" s="501" t="s">
        <v>342</v>
      </c>
      <c r="L44" s="501">
        <v>0</v>
      </c>
      <c r="M44" s="503">
        <v>0</v>
      </c>
      <c r="N44" s="504" t="s">
        <v>342</v>
      </c>
      <c r="O44" s="501" t="s">
        <v>342</v>
      </c>
      <c r="P44" s="501">
        <v>0</v>
      </c>
      <c r="Q44" s="503">
        <v>0</v>
      </c>
      <c r="R44" s="505">
        <v>2014</v>
      </c>
      <c r="S44" s="506">
        <v>2050</v>
      </c>
    </row>
    <row r="45" spans="2:19">
      <c r="B45" s="558"/>
      <c r="C45" s="558"/>
      <c r="E45" s="499" t="s">
        <v>245</v>
      </c>
      <c r="F45" s="500" t="s">
        <v>342</v>
      </c>
      <c r="G45" s="501" t="s">
        <v>342</v>
      </c>
      <c r="H45" s="501">
        <v>0</v>
      </c>
      <c r="I45" s="502">
        <v>0</v>
      </c>
      <c r="J45" s="500" t="s">
        <v>342</v>
      </c>
      <c r="K45" s="501" t="s">
        <v>342</v>
      </c>
      <c r="L45" s="501">
        <v>0</v>
      </c>
      <c r="M45" s="503">
        <v>0</v>
      </c>
      <c r="N45" s="504" t="s">
        <v>342</v>
      </c>
      <c r="O45" s="501" t="s">
        <v>342</v>
      </c>
      <c r="P45" s="501">
        <v>0</v>
      </c>
      <c r="Q45" s="503">
        <v>0</v>
      </c>
      <c r="R45" s="505">
        <v>2014</v>
      </c>
      <c r="S45" s="506">
        <v>2050</v>
      </c>
    </row>
    <row r="46" spans="2:19">
      <c r="B46" s="558"/>
      <c r="C46" s="558"/>
      <c r="E46" s="499" t="s">
        <v>246</v>
      </c>
      <c r="F46" s="500" t="s">
        <v>342</v>
      </c>
      <c r="G46" s="501" t="s">
        <v>342</v>
      </c>
      <c r="H46" s="501">
        <v>0</v>
      </c>
      <c r="I46" s="502">
        <v>0</v>
      </c>
      <c r="J46" s="500" t="s">
        <v>342</v>
      </c>
      <c r="K46" s="501" t="s">
        <v>342</v>
      </c>
      <c r="L46" s="501">
        <v>0</v>
      </c>
      <c r="M46" s="503">
        <v>0</v>
      </c>
      <c r="N46" s="504" t="s">
        <v>342</v>
      </c>
      <c r="O46" s="501" t="s">
        <v>342</v>
      </c>
      <c r="P46" s="501">
        <v>0</v>
      </c>
      <c r="Q46" s="503">
        <v>0</v>
      </c>
      <c r="R46" s="505">
        <v>2014</v>
      </c>
      <c r="S46" s="506">
        <v>2050</v>
      </c>
    </row>
    <row r="47" spans="2:19">
      <c r="B47" s="558"/>
      <c r="C47" s="558"/>
      <c r="E47" s="499" t="s">
        <v>247</v>
      </c>
      <c r="F47" s="500" t="s">
        <v>342</v>
      </c>
      <c r="G47" s="501" t="s">
        <v>342</v>
      </c>
      <c r="H47" s="501">
        <v>0</v>
      </c>
      <c r="I47" s="502">
        <v>0</v>
      </c>
      <c r="J47" s="500" t="s">
        <v>342</v>
      </c>
      <c r="K47" s="501" t="s">
        <v>342</v>
      </c>
      <c r="L47" s="501">
        <v>0</v>
      </c>
      <c r="M47" s="503">
        <v>0</v>
      </c>
      <c r="N47" s="504" t="s">
        <v>342</v>
      </c>
      <c r="O47" s="501" t="s">
        <v>342</v>
      </c>
      <c r="P47" s="501">
        <v>0</v>
      </c>
      <c r="Q47" s="503">
        <v>0</v>
      </c>
      <c r="R47" s="505">
        <v>2014</v>
      </c>
      <c r="S47" s="506">
        <v>2050</v>
      </c>
    </row>
    <row r="48" spans="2:19">
      <c r="B48" s="558"/>
      <c r="C48" s="558"/>
      <c r="E48" s="499" t="s">
        <v>248</v>
      </c>
      <c r="F48" s="500" t="s">
        <v>342</v>
      </c>
      <c r="G48" s="501" t="s">
        <v>342</v>
      </c>
      <c r="H48" s="501">
        <v>0</v>
      </c>
      <c r="I48" s="502">
        <v>0</v>
      </c>
      <c r="J48" s="500" t="s">
        <v>342</v>
      </c>
      <c r="K48" s="501" t="s">
        <v>342</v>
      </c>
      <c r="L48" s="501">
        <v>0</v>
      </c>
      <c r="M48" s="503">
        <v>0</v>
      </c>
      <c r="N48" s="504" t="s">
        <v>342</v>
      </c>
      <c r="O48" s="501" t="s">
        <v>342</v>
      </c>
      <c r="P48" s="501">
        <v>0</v>
      </c>
      <c r="Q48" s="503">
        <v>0</v>
      </c>
      <c r="R48" s="505">
        <v>2014</v>
      </c>
      <c r="S48" s="506">
        <v>2050</v>
      </c>
    </row>
    <row r="49" spans="2:19">
      <c r="B49" s="558"/>
      <c r="C49" s="558"/>
      <c r="E49" s="499" t="s">
        <v>249</v>
      </c>
      <c r="F49" s="500" t="s">
        <v>342</v>
      </c>
      <c r="G49" s="501" t="s">
        <v>342</v>
      </c>
      <c r="H49" s="501">
        <v>0</v>
      </c>
      <c r="I49" s="502">
        <v>0</v>
      </c>
      <c r="J49" s="500" t="s">
        <v>342</v>
      </c>
      <c r="K49" s="501" t="s">
        <v>342</v>
      </c>
      <c r="L49" s="501">
        <v>0</v>
      </c>
      <c r="M49" s="503">
        <v>0</v>
      </c>
      <c r="N49" s="504" t="s">
        <v>342</v>
      </c>
      <c r="O49" s="501" t="s">
        <v>342</v>
      </c>
      <c r="P49" s="501">
        <v>0</v>
      </c>
      <c r="Q49" s="503">
        <v>0</v>
      </c>
      <c r="R49" s="505">
        <v>2014</v>
      </c>
      <c r="S49" s="506">
        <v>2050</v>
      </c>
    </row>
    <row r="50" spans="2:19">
      <c r="B50" s="558"/>
      <c r="C50" s="558"/>
      <c r="E50" s="499" t="s">
        <v>250</v>
      </c>
      <c r="F50" s="500" t="s">
        <v>342</v>
      </c>
      <c r="G50" s="501" t="s">
        <v>342</v>
      </c>
      <c r="H50" s="501">
        <v>0</v>
      </c>
      <c r="I50" s="502">
        <v>0</v>
      </c>
      <c r="J50" s="500" t="s">
        <v>342</v>
      </c>
      <c r="K50" s="501" t="s">
        <v>342</v>
      </c>
      <c r="L50" s="501">
        <v>0</v>
      </c>
      <c r="M50" s="503">
        <v>0</v>
      </c>
      <c r="N50" s="504" t="s">
        <v>342</v>
      </c>
      <c r="O50" s="501" t="s">
        <v>342</v>
      </c>
      <c r="P50" s="501">
        <v>0</v>
      </c>
      <c r="Q50" s="503">
        <v>0</v>
      </c>
      <c r="R50" s="505">
        <v>2014</v>
      </c>
      <c r="S50" s="506">
        <v>2050</v>
      </c>
    </row>
    <row r="51" spans="2:19">
      <c r="B51" s="558"/>
      <c r="C51" s="558"/>
      <c r="E51" s="499" t="s">
        <v>251</v>
      </c>
      <c r="F51" s="500" t="s">
        <v>342</v>
      </c>
      <c r="G51" s="501" t="s">
        <v>342</v>
      </c>
      <c r="H51" s="501">
        <v>0</v>
      </c>
      <c r="I51" s="502">
        <v>0</v>
      </c>
      <c r="J51" s="500" t="s">
        <v>342</v>
      </c>
      <c r="K51" s="501" t="s">
        <v>342</v>
      </c>
      <c r="L51" s="501">
        <v>0</v>
      </c>
      <c r="M51" s="503">
        <v>0</v>
      </c>
      <c r="N51" s="504" t="s">
        <v>342</v>
      </c>
      <c r="O51" s="501" t="s">
        <v>342</v>
      </c>
      <c r="P51" s="501">
        <v>0</v>
      </c>
      <c r="Q51" s="503">
        <v>0</v>
      </c>
      <c r="R51" s="505">
        <v>2014</v>
      </c>
      <c r="S51" s="506">
        <v>2050</v>
      </c>
    </row>
    <row r="52" spans="2:19">
      <c r="E52" s="499" t="s">
        <v>252</v>
      </c>
      <c r="F52" s="500" t="s">
        <v>342</v>
      </c>
      <c r="G52" s="501" t="s">
        <v>342</v>
      </c>
      <c r="H52" s="501">
        <v>0</v>
      </c>
      <c r="I52" s="502">
        <v>0</v>
      </c>
      <c r="J52" s="500" t="s">
        <v>342</v>
      </c>
      <c r="K52" s="501" t="s">
        <v>342</v>
      </c>
      <c r="L52" s="501">
        <v>0</v>
      </c>
      <c r="M52" s="503">
        <v>0</v>
      </c>
      <c r="N52" s="504" t="s">
        <v>342</v>
      </c>
      <c r="O52" s="501" t="s">
        <v>342</v>
      </c>
      <c r="P52" s="501">
        <v>0</v>
      </c>
      <c r="Q52" s="503">
        <v>0</v>
      </c>
      <c r="R52" s="505">
        <v>2014</v>
      </c>
      <c r="S52" s="506">
        <v>2050</v>
      </c>
    </row>
    <row r="53" spans="2:19">
      <c r="B53" s="559" t="s">
        <v>344</v>
      </c>
      <c r="C53" s="559"/>
      <c r="E53" s="499" t="s">
        <v>253</v>
      </c>
      <c r="F53" s="500" t="s">
        <v>342</v>
      </c>
      <c r="G53" s="501" t="s">
        <v>342</v>
      </c>
      <c r="H53" s="501">
        <v>0</v>
      </c>
      <c r="I53" s="502">
        <v>0</v>
      </c>
      <c r="J53" s="500" t="s">
        <v>342</v>
      </c>
      <c r="K53" s="501" t="s">
        <v>342</v>
      </c>
      <c r="L53" s="501">
        <v>0</v>
      </c>
      <c r="M53" s="503">
        <v>0</v>
      </c>
      <c r="N53" s="504" t="s">
        <v>342</v>
      </c>
      <c r="O53" s="501" t="s">
        <v>342</v>
      </c>
      <c r="P53" s="501">
        <v>0</v>
      </c>
      <c r="Q53" s="503">
        <v>0</v>
      </c>
      <c r="R53" s="505">
        <v>2014</v>
      </c>
      <c r="S53" s="506">
        <v>2050</v>
      </c>
    </row>
    <row r="54" spans="2:19">
      <c r="B54" s="559"/>
      <c r="C54" s="559"/>
      <c r="E54" s="499" t="s">
        <v>255</v>
      </c>
      <c r="F54" s="500" t="s">
        <v>342</v>
      </c>
      <c r="G54" s="501" t="s">
        <v>342</v>
      </c>
      <c r="H54" s="501">
        <v>0</v>
      </c>
      <c r="I54" s="502">
        <v>0</v>
      </c>
      <c r="J54" s="500" t="s">
        <v>342</v>
      </c>
      <c r="K54" s="501" t="s">
        <v>342</v>
      </c>
      <c r="L54" s="501">
        <v>0</v>
      </c>
      <c r="M54" s="503">
        <v>0</v>
      </c>
      <c r="N54" s="504" t="s">
        <v>342</v>
      </c>
      <c r="O54" s="501" t="s">
        <v>342</v>
      </c>
      <c r="P54" s="501">
        <v>0</v>
      </c>
      <c r="Q54" s="503">
        <v>0</v>
      </c>
      <c r="R54" s="505">
        <v>2014</v>
      </c>
      <c r="S54" s="506">
        <v>2050</v>
      </c>
    </row>
    <row r="55" spans="2:19">
      <c r="B55" s="559"/>
      <c r="C55" s="559"/>
      <c r="E55" s="499" t="s">
        <v>254</v>
      </c>
      <c r="F55" s="500" t="s">
        <v>342</v>
      </c>
      <c r="G55" s="501" t="s">
        <v>342</v>
      </c>
      <c r="H55" s="501">
        <v>0</v>
      </c>
      <c r="I55" s="502">
        <v>0</v>
      </c>
      <c r="J55" s="500" t="s">
        <v>342</v>
      </c>
      <c r="K55" s="501" t="s">
        <v>342</v>
      </c>
      <c r="L55" s="501">
        <v>0</v>
      </c>
      <c r="M55" s="503">
        <v>0</v>
      </c>
      <c r="N55" s="504" t="s">
        <v>342</v>
      </c>
      <c r="O55" s="501" t="s">
        <v>342</v>
      </c>
      <c r="P55" s="501">
        <v>0</v>
      </c>
      <c r="Q55" s="503">
        <v>0</v>
      </c>
      <c r="R55" s="505">
        <v>2014</v>
      </c>
      <c r="S55" s="506">
        <v>2050</v>
      </c>
    </row>
    <row r="56" spans="2:19">
      <c r="E56" s="499" t="s">
        <v>256</v>
      </c>
      <c r="F56" s="500" t="s">
        <v>342</v>
      </c>
      <c r="G56" s="501" t="s">
        <v>342</v>
      </c>
      <c r="H56" s="501">
        <v>0</v>
      </c>
      <c r="I56" s="502">
        <v>0</v>
      </c>
      <c r="J56" s="500" t="s">
        <v>342</v>
      </c>
      <c r="K56" s="501" t="s">
        <v>342</v>
      </c>
      <c r="L56" s="501">
        <v>0</v>
      </c>
      <c r="M56" s="503">
        <v>0</v>
      </c>
      <c r="N56" s="504" t="s">
        <v>342</v>
      </c>
      <c r="O56" s="501" t="s">
        <v>342</v>
      </c>
      <c r="P56" s="501">
        <v>0</v>
      </c>
      <c r="Q56" s="503">
        <v>0</v>
      </c>
      <c r="R56" s="505">
        <v>2014</v>
      </c>
      <c r="S56" s="506">
        <v>2050</v>
      </c>
    </row>
    <row r="57" spans="2:19">
      <c r="B57" s="554" t="s">
        <v>345</v>
      </c>
      <c r="C57" s="554"/>
      <c r="E57" s="499" t="s">
        <v>258</v>
      </c>
      <c r="F57" s="500" t="s">
        <v>342</v>
      </c>
      <c r="G57" s="501" t="s">
        <v>342</v>
      </c>
      <c r="H57" s="501">
        <v>0</v>
      </c>
      <c r="I57" s="502">
        <v>0</v>
      </c>
      <c r="J57" s="500" t="s">
        <v>342</v>
      </c>
      <c r="K57" s="501" t="s">
        <v>342</v>
      </c>
      <c r="L57" s="501">
        <v>0</v>
      </c>
      <c r="M57" s="503">
        <v>0</v>
      </c>
      <c r="N57" s="504" t="s">
        <v>342</v>
      </c>
      <c r="O57" s="501" t="s">
        <v>342</v>
      </c>
      <c r="P57" s="501">
        <v>0</v>
      </c>
      <c r="Q57" s="503">
        <v>0</v>
      </c>
      <c r="R57" s="505">
        <v>2014</v>
      </c>
      <c r="S57" s="506">
        <v>2050</v>
      </c>
    </row>
    <row r="58" spans="2:19">
      <c r="B58" s="554"/>
      <c r="C58" s="554"/>
      <c r="E58" s="499" t="s">
        <v>257</v>
      </c>
      <c r="F58" s="500" t="s">
        <v>342</v>
      </c>
      <c r="G58" s="501" t="s">
        <v>342</v>
      </c>
      <c r="H58" s="501">
        <v>0</v>
      </c>
      <c r="I58" s="502">
        <v>0</v>
      </c>
      <c r="J58" s="500" t="s">
        <v>342</v>
      </c>
      <c r="K58" s="501" t="s">
        <v>342</v>
      </c>
      <c r="L58" s="501">
        <v>0</v>
      </c>
      <c r="M58" s="503">
        <v>0</v>
      </c>
      <c r="N58" s="504" t="s">
        <v>342</v>
      </c>
      <c r="O58" s="501" t="s">
        <v>342</v>
      </c>
      <c r="P58" s="501">
        <v>0</v>
      </c>
      <c r="Q58" s="503">
        <v>0</v>
      </c>
      <c r="R58" s="505">
        <v>2014</v>
      </c>
      <c r="S58" s="506">
        <v>2050</v>
      </c>
    </row>
    <row r="59" spans="2:19" ht="13" thickBot="1">
      <c r="B59" s="554"/>
      <c r="C59" s="554"/>
      <c r="E59" s="509" t="s">
        <v>259</v>
      </c>
      <c r="F59" s="510" t="s">
        <v>342</v>
      </c>
      <c r="G59" s="511" t="s">
        <v>342</v>
      </c>
      <c r="H59" s="511">
        <v>0</v>
      </c>
      <c r="I59" s="512">
        <v>0</v>
      </c>
      <c r="J59" s="510" t="s">
        <v>342</v>
      </c>
      <c r="K59" s="511" t="s">
        <v>342</v>
      </c>
      <c r="L59" s="511">
        <v>0</v>
      </c>
      <c r="M59" s="513">
        <v>0</v>
      </c>
      <c r="N59" s="514" t="s">
        <v>342</v>
      </c>
      <c r="O59" s="511" t="s">
        <v>342</v>
      </c>
      <c r="P59" s="511">
        <v>0</v>
      </c>
      <c r="Q59" s="513">
        <v>0</v>
      </c>
      <c r="R59" s="515">
        <v>2014</v>
      </c>
      <c r="S59" s="516">
        <v>2050</v>
      </c>
    </row>
    <row r="60" spans="2:19">
      <c r="B60" s="554"/>
      <c r="C60" s="554"/>
      <c r="M60" s="480"/>
    </row>
    <row r="125" spans="2:2">
      <c r="B125" s="517" t="s">
        <v>346</v>
      </c>
    </row>
    <row r="126" spans="2:2">
      <c r="B126" s="517" t="s">
        <v>333</v>
      </c>
    </row>
    <row r="127" spans="2:2">
      <c r="B127" s="517" t="s">
        <v>347</v>
      </c>
    </row>
    <row r="128" spans="2:2">
      <c r="B128" s="517" t="s">
        <v>348</v>
      </c>
    </row>
    <row r="129" spans="2:2">
      <c r="B129" s="517" t="s">
        <v>349</v>
      </c>
    </row>
    <row r="132" spans="2:2">
      <c r="B132" s="518">
        <v>2014</v>
      </c>
    </row>
    <row r="133" spans="2:2">
      <c r="B133" s="518">
        <v>2016</v>
      </c>
    </row>
    <row r="134" spans="2:2">
      <c r="B134" s="518">
        <v>2018</v>
      </c>
    </row>
    <row r="135" spans="2:2">
      <c r="B135" s="518">
        <v>2020</v>
      </c>
    </row>
    <row r="136" spans="2:2">
      <c r="B136" s="518">
        <v>2022</v>
      </c>
    </row>
    <row r="137" spans="2:2">
      <c r="B137" s="518">
        <v>2024</v>
      </c>
    </row>
    <row r="138" spans="2:2">
      <c r="B138" s="518">
        <v>2026</v>
      </c>
    </row>
    <row r="139" spans="2:2">
      <c r="B139" s="518">
        <v>2028</v>
      </c>
    </row>
    <row r="140" spans="2:2">
      <c r="B140" s="518">
        <v>2030</v>
      </c>
    </row>
    <row r="141" spans="2:2">
      <c r="B141" s="518">
        <v>2032</v>
      </c>
    </row>
    <row r="142" spans="2:2">
      <c r="B142" s="518">
        <v>2034</v>
      </c>
    </row>
    <row r="143" spans="2:2">
      <c r="B143" s="518">
        <v>2036</v>
      </c>
    </row>
    <row r="144" spans="2:2">
      <c r="B144" s="518">
        <v>2038</v>
      </c>
    </row>
    <row r="145" spans="2:2">
      <c r="B145" s="518">
        <v>2040</v>
      </c>
    </row>
    <row r="146" spans="2:2">
      <c r="B146" s="518">
        <v>2042</v>
      </c>
    </row>
    <row r="147" spans="2:2">
      <c r="B147" s="518">
        <v>2044</v>
      </c>
    </row>
    <row r="148" spans="2:2">
      <c r="B148" s="518">
        <v>2046</v>
      </c>
    </row>
    <row r="149" spans="2:2">
      <c r="B149" s="518">
        <v>2048</v>
      </c>
    </row>
    <row r="150" spans="2:2">
      <c r="B150" s="518">
        <v>2050</v>
      </c>
    </row>
    <row r="153" spans="2:2">
      <c r="B153" s="519" t="b">
        <v>1</v>
      </c>
    </row>
    <row r="154" spans="2:2">
      <c r="B154" s="519" t="b">
        <v>0</v>
      </c>
    </row>
    <row r="166" spans="1:4">
      <c r="A166" s="518"/>
      <c r="B166" s="518" t="s">
        <v>350</v>
      </c>
      <c r="C166" s="518" t="s">
        <v>351</v>
      </c>
      <c r="D166" s="518" t="s">
        <v>352</v>
      </c>
    </row>
    <row r="167" spans="1:4">
      <c r="A167" s="518" t="s">
        <v>211</v>
      </c>
      <c r="B167" s="518">
        <v>25</v>
      </c>
      <c r="C167" s="518">
        <v>25</v>
      </c>
      <c r="D167" s="518">
        <v>25</v>
      </c>
    </row>
    <row r="168" spans="1:4">
      <c r="A168" s="518" t="s">
        <v>210</v>
      </c>
      <c r="B168" s="518">
        <v>0</v>
      </c>
      <c r="C168" s="518">
        <v>0</v>
      </c>
      <c r="D168" s="518">
        <v>0</v>
      </c>
    </row>
    <row r="169" spans="1:4">
      <c r="A169" s="518" t="s">
        <v>213</v>
      </c>
      <c r="B169" s="518">
        <v>25</v>
      </c>
      <c r="C169" s="518">
        <v>300</v>
      </c>
      <c r="D169" s="518">
        <v>300</v>
      </c>
    </row>
    <row r="170" spans="1:4">
      <c r="A170" s="518" t="s">
        <v>212</v>
      </c>
      <c r="B170" s="518" t="s">
        <v>342</v>
      </c>
      <c r="C170" s="518" t="s">
        <v>342</v>
      </c>
      <c r="D170" s="518" t="s">
        <v>342</v>
      </c>
    </row>
    <row r="171" spans="1:4">
      <c r="A171" s="518" t="s">
        <v>214</v>
      </c>
      <c r="B171" s="518">
        <v>1000</v>
      </c>
      <c r="C171" s="518">
        <v>1000</v>
      </c>
      <c r="D171" s="518">
        <v>1000</v>
      </c>
    </row>
    <row r="172" spans="1:4">
      <c r="A172" s="518" t="s">
        <v>215</v>
      </c>
      <c r="B172" s="518" t="s">
        <v>342</v>
      </c>
      <c r="C172" s="518" t="s">
        <v>342</v>
      </c>
      <c r="D172" s="518" t="s">
        <v>342</v>
      </c>
    </row>
    <row r="173" spans="1:4">
      <c r="A173" s="518" t="s">
        <v>216</v>
      </c>
      <c r="B173" s="518">
        <v>2000</v>
      </c>
      <c r="C173" s="518">
        <v>2000</v>
      </c>
      <c r="D173" s="518">
        <v>2000</v>
      </c>
    </row>
    <row r="174" spans="1:4">
      <c r="A174" s="518" t="s">
        <v>11</v>
      </c>
      <c r="B174" s="518">
        <v>1000</v>
      </c>
      <c r="C174" s="518">
        <v>1000</v>
      </c>
      <c r="D174" s="518">
        <v>0</v>
      </c>
    </row>
    <row r="175" spans="1:4">
      <c r="A175" s="518" t="s">
        <v>217</v>
      </c>
      <c r="B175" s="518">
        <v>25</v>
      </c>
      <c r="C175" s="518">
        <v>2000</v>
      </c>
      <c r="D175" s="518">
        <v>2000</v>
      </c>
    </row>
    <row r="176" spans="1:4">
      <c r="A176" s="518" t="s">
        <v>218</v>
      </c>
      <c r="B176" s="518">
        <v>2000</v>
      </c>
      <c r="C176" s="518">
        <v>2000</v>
      </c>
      <c r="D176" s="518">
        <v>2000</v>
      </c>
    </row>
    <row r="177" spans="1:4">
      <c r="A177" s="518" t="s">
        <v>219</v>
      </c>
      <c r="B177" s="518">
        <v>10</v>
      </c>
      <c r="C177" s="518">
        <v>100</v>
      </c>
      <c r="D177" s="518">
        <v>100</v>
      </c>
    </row>
    <row r="178" spans="1:4">
      <c r="A178" s="518" t="s">
        <v>220</v>
      </c>
      <c r="B178" s="518">
        <v>100</v>
      </c>
      <c r="C178" s="518">
        <v>100</v>
      </c>
      <c r="D178" s="518">
        <v>100</v>
      </c>
    </row>
    <row r="179" spans="1:4">
      <c r="A179" s="518" t="s">
        <v>224</v>
      </c>
      <c r="B179" s="518">
        <v>500</v>
      </c>
      <c r="C179" s="518">
        <v>500</v>
      </c>
      <c r="D179" s="518">
        <v>500</v>
      </c>
    </row>
    <row r="180" spans="1:4">
      <c r="A180" s="518" t="s">
        <v>221</v>
      </c>
      <c r="B180" s="518">
        <v>0</v>
      </c>
      <c r="C180" s="518">
        <v>0</v>
      </c>
      <c r="D180" s="518">
        <v>0</v>
      </c>
    </row>
    <row r="181" spans="1:4">
      <c r="A181" s="518" t="s">
        <v>222</v>
      </c>
      <c r="B181" s="518">
        <v>40</v>
      </c>
      <c r="C181" s="518">
        <v>40</v>
      </c>
      <c r="D181" s="518">
        <v>40</v>
      </c>
    </row>
    <row r="182" spans="1:4">
      <c r="A182" s="518" t="s">
        <v>223</v>
      </c>
      <c r="B182" s="518">
        <v>1000</v>
      </c>
      <c r="C182" s="518">
        <v>1000</v>
      </c>
      <c r="D182" s="518">
        <v>1000</v>
      </c>
    </row>
    <row r="183" spans="1:4">
      <c r="A183" s="518" t="s">
        <v>225</v>
      </c>
      <c r="B183" s="518">
        <v>25</v>
      </c>
      <c r="C183" s="518">
        <v>200</v>
      </c>
      <c r="D183" s="518">
        <v>200</v>
      </c>
    </row>
    <row r="184" spans="1:4">
      <c r="A184" s="518" t="s">
        <v>226</v>
      </c>
      <c r="B184" s="518">
        <v>30</v>
      </c>
      <c r="C184" s="518">
        <v>30</v>
      </c>
      <c r="D184" s="518">
        <v>30</v>
      </c>
    </row>
    <row r="185" spans="1:4">
      <c r="A185" s="518" t="s">
        <v>227</v>
      </c>
      <c r="B185" s="518">
        <v>25</v>
      </c>
      <c r="C185" s="518">
        <v>300</v>
      </c>
      <c r="D185" s="518">
        <v>0</v>
      </c>
    </row>
    <row r="186" spans="1:4">
      <c r="A186" s="518" t="s">
        <v>230</v>
      </c>
      <c r="B186" s="518">
        <v>2000</v>
      </c>
      <c r="C186" s="518">
        <v>2000</v>
      </c>
      <c r="D186" s="518">
        <v>2000</v>
      </c>
    </row>
    <row r="187" spans="1:4">
      <c r="A187" s="518" t="s">
        <v>229</v>
      </c>
      <c r="B187" s="518">
        <v>2000</v>
      </c>
      <c r="C187" s="518">
        <v>2000</v>
      </c>
      <c r="D187" s="518">
        <v>2000</v>
      </c>
    </row>
    <row r="188" spans="1:4">
      <c r="A188" s="518" t="s">
        <v>228</v>
      </c>
      <c r="B188" s="518">
        <v>660</v>
      </c>
      <c r="C188" s="518">
        <v>660</v>
      </c>
      <c r="D188" s="518">
        <v>660</v>
      </c>
    </row>
    <row r="189" spans="1:4">
      <c r="A189" s="518" t="s">
        <v>231</v>
      </c>
      <c r="B189" s="518">
        <v>150</v>
      </c>
      <c r="C189" s="518">
        <v>150</v>
      </c>
      <c r="D189" s="518">
        <v>150</v>
      </c>
    </row>
    <row r="190" spans="1:4">
      <c r="A190" s="518" t="s">
        <v>232</v>
      </c>
      <c r="B190" s="518">
        <v>1000</v>
      </c>
      <c r="C190" s="518">
        <v>1000</v>
      </c>
      <c r="D190" s="518">
        <v>1000</v>
      </c>
    </row>
    <row r="191" spans="1:4">
      <c r="A191" s="518" t="s">
        <v>234</v>
      </c>
      <c r="B191" s="518">
        <v>100</v>
      </c>
      <c r="C191" s="518">
        <v>100</v>
      </c>
      <c r="D191" s="518">
        <v>100</v>
      </c>
    </row>
    <row r="192" spans="1:4">
      <c r="A192" s="518" t="s">
        <v>233</v>
      </c>
      <c r="B192" s="518">
        <v>0</v>
      </c>
      <c r="C192" s="518">
        <v>0</v>
      </c>
      <c r="D192" s="518">
        <v>0</v>
      </c>
    </row>
    <row r="193" spans="1:4">
      <c r="A193" s="518" t="s">
        <v>235</v>
      </c>
      <c r="B193" s="518">
        <v>50</v>
      </c>
      <c r="C193" s="518">
        <v>50</v>
      </c>
      <c r="D193" s="518">
        <v>50</v>
      </c>
    </row>
    <row r="194" spans="1:4">
      <c r="A194" s="518" t="s">
        <v>242</v>
      </c>
      <c r="B194" s="518">
        <v>1000</v>
      </c>
      <c r="C194" s="518">
        <v>1000</v>
      </c>
      <c r="D194" s="518">
        <v>1000</v>
      </c>
    </row>
    <row r="195" spans="1:4">
      <c r="A195" s="518" t="s">
        <v>243</v>
      </c>
      <c r="B195" s="518">
        <v>100</v>
      </c>
      <c r="C195" s="518">
        <v>100</v>
      </c>
      <c r="D195" s="518">
        <v>100</v>
      </c>
    </row>
    <row r="196" spans="1:4">
      <c r="A196" s="518" t="s">
        <v>236</v>
      </c>
      <c r="B196" s="518">
        <v>25</v>
      </c>
      <c r="C196" s="518">
        <v>25</v>
      </c>
      <c r="D196" s="518">
        <v>25</v>
      </c>
    </row>
    <row r="197" spans="1:4">
      <c r="A197" s="518" t="s">
        <v>238</v>
      </c>
      <c r="B197" s="518">
        <v>100</v>
      </c>
      <c r="C197" s="518">
        <v>100</v>
      </c>
      <c r="D197" s="518">
        <v>100</v>
      </c>
    </row>
    <row r="198" spans="1:4">
      <c r="A198" s="518" t="s">
        <v>239</v>
      </c>
      <c r="B198" s="518" t="s">
        <v>342</v>
      </c>
      <c r="C198" s="518" t="s">
        <v>342</v>
      </c>
      <c r="D198" s="518" t="s">
        <v>342</v>
      </c>
    </row>
    <row r="199" spans="1:4">
      <c r="A199" s="518" t="s">
        <v>240</v>
      </c>
      <c r="B199" s="518">
        <v>80000</v>
      </c>
      <c r="C199" s="518">
        <v>80000</v>
      </c>
      <c r="D199" s="518">
        <v>80000</v>
      </c>
    </row>
    <row r="200" spans="1:4">
      <c r="A200" s="518" t="s">
        <v>237</v>
      </c>
      <c r="B200" s="518">
        <v>1000</v>
      </c>
      <c r="C200" s="518">
        <v>1000</v>
      </c>
      <c r="D200" s="518">
        <v>1000</v>
      </c>
    </row>
    <row r="201" spans="1:4">
      <c r="A201" s="518" t="s">
        <v>241</v>
      </c>
      <c r="B201" s="518">
        <v>25</v>
      </c>
      <c r="C201" s="518">
        <v>2000</v>
      </c>
      <c r="D201" s="518">
        <v>2000</v>
      </c>
    </row>
    <row r="202" spans="1:4">
      <c r="A202" s="518" t="s">
        <v>244</v>
      </c>
      <c r="B202" s="518" t="s">
        <v>342</v>
      </c>
      <c r="C202" s="518" t="s">
        <v>342</v>
      </c>
      <c r="D202" s="518" t="s">
        <v>342</v>
      </c>
    </row>
    <row r="203" spans="1:4">
      <c r="A203" s="518" t="s">
        <v>245</v>
      </c>
      <c r="B203" s="518">
        <v>15</v>
      </c>
      <c r="C203" s="518">
        <v>15</v>
      </c>
      <c r="D203" s="518">
        <v>15</v>
      </c>
    </row>
    <row r="204" spans="1:4">
      <c r="A204" s="518" t="s">
        <v>246</v>
      </c>
      <c r="B204" s="518">
        <v>25</v>
      </c>
      <c r="C204" s="518">
        <v>2000</v>
      </c>
      <c r="D204" s="518">
        <v>2000</v>
      </c>
    </row>
    <row r="205" spans="1:4">
      <c r="A205" s="518" t="s">
        <v>247</v>
      </c>
      <c r="B205" s="518">
        <v>50</v>
      </c>
      <c r="C205" s="518">
        <v>3000</v>
      </c>
      <c r="D205" s="518">
        <v>3000</v>
      </c>
    </row>
    <row r="206" spans="1:4">
      <c r="A206" s="518" t="s">
        <v>248</v>
      </c>
      <c r="B206" s="518">
        <v>5000</v>
      </c>
      <c r="C206" s="518">
        <v>5000</v>
      </c>
      <c r="D206" s="518">
        <v>5000</v>
      </c>
    </row>
    <row r="207" spans="1:4">
      <c r="A207" s="518" t="s">
        <v>249</v>
      </c>
      <c r="B207" s="518">
        <v>20</v>
      </c>
      <c r="C207" s="518">
        <v>100</v>
      </c>
      <c r="D207" s="518">
        <v>100</v>
      </c>
    </row>
    <row r="208" spans="1:4">
      <c r="A208" s="518" t="s">
        <v>250</v>
      </c>
      <c r="B208" s="518">
        <v>0</v>
      </c>
      <c r="C208" s="518">
        <v>0</v>
      </c>
      <c r="D208" s="518">
        <v>0</v>
      </c>
    </row>
    <row r="209" spans="1:4">
      <c r="A209" s="518" t="s">
        <v>251</v>
      </c>
      <c r="B209" s="518">
        <v>0</v>
      </c>
      <c r="C209" s="518">
        <v>0</v>
      </c>
      <c r="D209" s="518">
        <v>0</v>
      </c>
    </row>
    <row r="210" spans="1:4">
      <c r="A210" s="518" t="s">
        <v>252</v>
      </c>
      <c r="B210" s="518">
        <v>0</v>
      </c>
      <c r="C210" s="518">
        <v>0</v>
      </c>
      <c r="D210" s="518">
        <v>0</v>
      </c>
    </row>
    <row r="211" spans="1:4">
      <c r="A211" s="518" t="s">
        <v>253</v>
      </c>
      <c r="B211" s="518">
        <v>25</v>
      </c>
      <c r="C211" s="518">
        <v>2000</v>
      </c>
      <c r="D211" s="518">
        <v>2000</v>
      </c>
    </row>
    <row r="212" spans="1:4">
      <c r="A212" s="518" t="s">
        <v>255</v>
      </c>
      <c r="B212" s="518">
        <v>10</v>
      </c>
      <c r="C212" s="518">
        <v>500</v>
      </c>
      <c r="D212" s="518">
        <v>500</v>
      </c>
    </row>
    <row r="213" spans="1:4">
      <c r="A213" s="518" t="s">
        <v>254</v>
      </c>
      <c r="B213" s="518">
        <v>500</v>
      </c>
      <c r="C213" s="518">
        <v>500</v>
      </c>
      <c r="D213" s="518">
        <v>500</v>
      </c>
    </row>
    <row r="214" spans="1:4">
      <c r="A214" s="518" t="s">
        <v>256</v>
      </c>
      <c r="B214" s="518">
        <v>100</v>
      </c>
      <c r="C214" s="518">
        <v>100</v>
      </c>
      <c r="D214" s="518">
        <v>100</v>
      </c>
    </row>
    <row r="215" spans="1:4">
      <c r="A215" s="518" t="s">
        <v>258</v>
      </c>
      <c r="B215" s="518">
        <v>100</v>
      </c>
      <c r="C215" s="518">
        <v>100</v>
      </c>
      <c r="D215" s="518">
        <v>100</v>
      </c>
    </row>
    <row r="216" spans="1:4">
      <c r="A216" s="518" t="s">
        <v>257</v>
      </c>
      <c r="B216" s="518">
        <v>25</v>
      </c>
      <c r="C216" s="518">
        <v>500</v>
      </c>
      <c r="D216" s="518">
        <v>2000</v>
      </c>
    </row>
    <row r="217" spans="1:4">
      <c r="A217" s="518" t="s">
        <v>259</v>
      </c>
      <c r="B217" s="518">
        <v>25</v>
      </c>
      <c r="C217" s="518">
        <v>25</v>
      </c>
      <c r="D217" s="518">
        <v>25</v>
      </c>
    </row>
    <row r="218" spans="1:4">
      <c r="B218" s="520"/>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Wind Cost</vt:lpstr>
      <vt:lpstr>Wind Performance</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2015-01-09T17:07:04Z</dcterms:modified>
</cp:coreProperties>
</file>