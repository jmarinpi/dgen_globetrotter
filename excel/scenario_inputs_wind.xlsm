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8800" windowHeight="13176" tabRatio="782" activeTab="1"/>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1">'[2]Net Metering'!$I$9:$I$59,'[2]Net Metering'!$M$9:$M$59,'[2]Net Metering'!$Q$9:$Q$59</definedName>
    <definedName name="nem_hrly_exc_sell_rate">'Net Metering'!$I$9:$I$59,'Net Metering'!$M$9:$M$59,'Net Metering'!$Q$9:$Q$59</definedName>
    <definedName name="nem_inst_cap_limit" localSheetId="1">'[2]Net Metering'!$G$9:$G$59,'[2]Net Metering'!$K$9:$K$59,'[2]Net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1">'[2]Net Metering'!$F$9:$F$59,'[2]Net Metering'!$J$9:$J$59,'[2]Net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1">'[2]Net Metering'!$H$9:$H$59,'[2]Net Metering'!$L$9:$L$59,'[2]Net Metering'!$P$9:$P$59</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Projections'!$J$73:$L$81</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ys_sizing">'Wind Performance'!$B$64:$F$66</definedName>
    <definedName name="ud_rates">'Market Projections'!$C$73:$F$123</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X42" i="40" s="1"/>
  <c r="C14" i="40"/>
  <c r="Y14" i="40"/>
  <c r="AA18" i="40"/>
  <c r="AB18" i="40"/>
  <c r="AC18" i="40" s="1"/>
  <c r="AD18" i="40" s="1"/>
  <c r="AE18" i="40" s="1"/>
  <c r="AF18" i="40" s="1"/>
  <c r="AG18" i="40" s="1"/>
  <c r="AH18" i="40" s="1"/>
  <c r="AI18" i="40" s="1"/>
  <c r="AJ18" i="40" s="1"/>
  <c r="AK18" i="40" s="1"/>
  <c r="AL18" i="40"/>
  <c r="AM18" i="40" s="1"/>
  <c r="AN18" i="40" s="1"/>
  <c r="AO18" i="40" s="1"/>
  <c r="AP18" i="40" s="1"/>
  <c r="AQ18" i="40" s="1"/>
  <c r="AR18" i="40" s="1"/>
  <c r="C21" i="40"/>
  <c r="Y21" i="40"/>
  <c r="E25" i="40"/>
  <c r="F25" i="40"/>
  <c r="G25" i="40" s="1"/>
  <c r="H25" i="40" s="1"/>
  <c r="I25" i="40" s="1"/>
  <c r="J25" i="40" s="1"/>
  <c r="K25" i="40" s="1"/>
  <c r="L25" i="40" s="1"/>
  <c r="M25" i="40" s="1"/>
  <c r="N25" i="40" s="1"/>
  <c r="O25" i="40" s="1"/>
  <c r="P25" i="40" s="1"/>
  <c r="Q25" i="40" s="1"/>
  <c r="R25" i="40" s="1"/>
  <c r="S25" i="40" s="1"/>
  <c r="T25" i="40" s="1"/>
  <c r="U25" i="40" s="1"/>
  <c r="V25" i="40" s="1"/>
  <c r="AA25" i="40"/>
  <c r="AB25" i="40"/>
  <c r="AC25" i="40" s="1"/>
  <c r="AD25" i="40" s="1"/>
  <c r="AE25" i="40" s="1"/>
  <c r="AF25" i="40" s="1"/>
  <c r="AG25" i="40" s="1"/>
  <c r="AH25" i="40" s="1"/>
  <c r="AI25" i="40" s="1"/>
  <c r="AJ25" i="40" s="1"/>
  <c r="AK25" i="40" s="1"/>
  <c r="AL25" i="40" s="1"/>
  <c r="AM25" i="40" s="1"/>
  <c r="AN25" i="40" s="1"/>
  <c r="AO25" i="40" s="1"/>
  <c r="AP25" i="40"/>
  <c r="AQ25" i="40" s="1"/>
  <c r="AR25" i="40" s="1"/>
  <c r="C28" i="40"/>
  <c r="Y28" i="40"/>
  <c r="E32" i="40"/>
  <c r="F32" i="40"/>
  <c r="G32" i="40" s="1"/>
  <c r="H32" i="40" s="1"/>
  <c r="I32" i="40" s="1"/>
  <c r="J32" i="40"/>
  <c r="K32" i="40" s="1"/>
  <c r="L32" i="40" s="1"/>
  <c r="M32" i="40" s="1"/>
  <c r="N32" i="40" s="1"/>
  <c r="O32" i="40" s="1"/>
  <c r="P32" i="40" s="1"/>
  <c r="Q32" i="40" s="1"/>
  <c r="R32" i="40" s="1"/>
  <c r="S32" i="40" s="1"/>
  <c r="T32" i="40" s="1"/>
  <c r="U32" i="40" s="1"/>
  <c r="V32" i="40" s="1"/>
  <c r="AA32" i="40"/>
  <c r="AB32" i="40"/>
  <c r="AC32" i="40" s="1"/>
  <c r="AD32" i="40" s="1"/>
  <c r="AE32" i="40" s="1"/>
  <c r="AF32" i="40" s="1"/>
  <c r="AG32" i="40" s="1"/>
  <c r="AH32" i="40" s="1"/>
  <c r="AI32" i="40" s="1"/>
  <c r="AJ32" i="40"/>
  <c r="AK32" i="40" s="1"/>
  <c r="AL32" i="40" s="1"/>
  <c r="AM32" i="40" s="1"/>
  <c r="AN32" i="40" s="1"/>
  <c r="AO32" i="40" s="1"/>
  <c r="AP32" i="40" s="1"/>
  <c r="AQ32" i="40" s="1"/>
  <c r="AR32" i="40" s="1"/>
  <c r="C35" i="40"/>
  <c r="Y35" i="40"/>
  <c r="E39" i="40"/>
  <c r="F39" i="40"/>
  <c r="G39" i="40" s="1"/>
  <c r="H39" i="40" s="1"/>
  <c r="I39" i="40" s="1"/>
  <c r="J39" i="40" s="1"/>
  <c r="K39" i="40"/>
  <c r="L39" i="40" s="1"/>
  <c r="M39" i="40" s="1"/>
  <c r="N39" i="40" s="1"/>
  <c r="O39" i="40"/>
  <c r="P39" i="40" s="1"/>
  <c r="Q39" i="40" s="1"/>
  <c r="R39" i="40" s="1"/>
  <c r="S39" i="40" s="1"/>
  <c r="T39" i="40" s="1"/>
  <c r="U39" i="40" s="1"/>
  <c r="V39" i="40" s="1"/>
  <c r="AA39" i="40"/>
  <c r="AB39" i="40" s="1"/>
  <c r="AC39" i="40" s="1"/>
  <c r="AD39" i="40" s="1"/>
  <c r="AE39" i="40"/>
  <c r="AF39" i="40" s="1"/>
  <c r="AG39" i="40" s="1"/>
  <c r="AH39" i="40" s="1"/>
  <c r="AI39" i="40"/>
  <c r="AJ39" i="40" s="1"/>
  <c r="AK39" i="40" s="1"/>
  <c r="AL39" i="40" s="1"/>
  <c r="AM39" i="40" s="1"/>
  <c r="AN39" i="40" s="1"/>
  <c r="AO39" i="40" s="1"/>
  <c r="AP39" i="40" s="1"/>
  <c r="AQ39" i="40" s="1"/>
  <c r="AR39" i="40" s="1"/>
  <c r="C42" i="40"/>
  <c r="Y42" i="40"/>
  <c r="BC43" i="40"/>
  <c r="E46" i="40"/>
  <c r="F46" i="40"/>
  <c r="G46" i="40" s="1"/>
  <c r="H46" i="40" s="1"/>
  <c r="I46" i="40" s="1"/>
  <c r="J46" i="40" s="1"/>
  <c r="K46" i="40" s="1"/>
  <c r="L46" i="40" s="1"/>
  <c r="M46" i="40" s="1"/>
  <c r="N46" i="40" s="1"/>
  <c r="O46" i="40" s="1"/>
  <c r="P46" i="40" s="1"/>
  <c r="Q46" i="40" s="1"/>
  <c r="R46" i="40" s="1"/>
  <c r="S46" i="40" s="1"/>
  <c r="T46" i="40" s="1"/>
  <c r="U46" i="40" s="1"/>
  <c r="V46" i="40" s="1"/>
  <c r="AA46" i="40"/>
  <c r="AB46" i="40" s="1"/>
  <c r="AC46" i="40" s="1"/>
  <c r="AD46" i="40"/>
  <c r="AE46" i="40"/>
  <c r="AF46" i="40" s="1"/>
  <c r="AG46" i="40" s="1"/>
  <c r="AH46" i="40" s="1"/>
  <c r="AI46" i="40" s="1"/>
  <c r="AJ46" i="40" s="1"/>
  <c r="AK46" i="40" s="1"/>
  <c r="AL46" i="40" s="1"/>
  <c r="AM46" i="40" s="1"/>
  <c r="AN46" i="40" s="1"/>
  <c r="AO46" i="40" s="1"/>
  <c r="AP46" i="40" s="1"/>
  <c r="AQ46" i="40" s="1"/>
  <c r="AR46" i="40" s="1"/>
  <c r="C49" i="40"/>
  <c r="E53" i="40"/>
  <c r="F53" i="40" s="1"/>
  <c r="G53" i="40" s="1"/>
  <c r="H53" i="40" s="1"/>
  <c r="I53" i="40" s="1"/>
  <c r="J53" i="40" s="1"/>
  <c r="K53" i="40" s="1"/>
  <c r="L53" i="40" s="1"/>
  <c r="M53" i="40" s="1"/>
  <c r="N53" i="40" s="1"/>
  <c r="O53" i="40" s="1"/>
  <c r="P53" i="40" s="1"/>
  <c r="Q53" i="40" s="1"/>
  <c r="R53" i="40" s="1"/>
  <c r="S53" i="40" s="1"/>
  <c r="T53" i="40" s="1"/>
  <c r="U53" i="40" s="1"/>
  <c r="V53" i="40" s="1"/>
  <c r="E6" i="38"/>
  <c r="J200" i="8"/>
  <c r="J201" i="8" s="1"/>
  <c r="J202" i="8" s="1"/>
  <c r="J203" i="8" s="1"/>
  <c r="J204" i="8" s="1"/>
  <c r="J205" i="8" s="1"/>
  <c r="J206" i="8" s="1"/>
  <c r="J207" i="8" s="1"/>
  <c r="J208" i="8" s="1"/>
  <c r="J209" i="8" s="1"/>
  <c r="J210" i="8" s="1"/>
  <c r="J211" i="8" s="1"/>
  <c r="J212" i="8" s="1"/>
  <c r="J213" i="8" s="1"/>
  <c r="J214" i="8" s="1"/>
  <c r="J215" i="8" s="1"/>
  <c r="J216" i="8" s="1"/>
  <c r="J217" i="8" s="1"/>
  <c r="J218" i="8" s="1"/>
  <c r="J219" i="8" s="1"/>
  <c r="B49" i="40" l="1"/>
  <c r="X14" i="40"/>
  <c r="B21" i="40"/>
  <c r="B28" i="40"/>
  <c r="B14" i="40"/>
  <c r="X21" i="40"/>
  <c r="X28" i="40"/>
  <c r="X35" i="40"/>
  <c r="B42" i="40"/>
  <c r="AA43" i="40" s="1"/>
  <c r="AB43" i="40" s="1"/>
  <c r="AC43" i="40" s="1"/>
  <c r="AD43" i="40" s="1"/>
  <c r="AE43" i="40" s="1"/>
  <c r="AF43" i="40" s="1"/>
  <c r="AG43" i="40" s="1"/>
  <c r="AH43" i="40" s="1"/>
  <c r="AI43" i="40" s="1"/>
  <c r="AJ43" i="40" s="1"/>
  <c r="AK43" i="40" s="1"/>
  <c r="AL43" i="40" s="1"/>
  <c r="AM43" i="40" s="1"/>
  <c r="AN43" i="40" s="1"/>
  <c r="AO43" i="40" s="1"/>
  <c r="AP43" i="40" s="1"/>
  <c r="AQ43" i="40" s="1"/>
  <c r="AR43" i="40" s="1"/>
  <c r="B35" i="40"/>
  <c r="E15" i="40" l="1"/>
  <c r="F15" i="40" s="1"/>
  <c r="G15" i="40" s="1"/>
  <c r="H15" i="40" s="1"/>
  <c r="I15" i="40" s="1"/>
  <c r="J15" i="40" s="1"/>
  <c r="K15" i="40" s="1"/>
  <c r="L15" i="40" s="1"/>
  <c r="M15" i="40" s="1"/>
  <c r="N15" i="40" s="1"/>
  <c r="O15" i="40" s="1"/>
  <c r="P15" i="40" s="1"/>
  <c r="Q15" i="40" s="1"/>
  <c r="R15" i="40" s="1"/>
  <c r="S15" i="40" s="1"/>
  <c r="T15" i="40" s="1"/>
  <c r="U15" i="40" s="1"/>
  <c r="V15" i="40" s="1"/>
  <c r="E36" i="40"/>
  <c r="F36" i="40" s="1"/>
  <c r="G36" i="40" s="1"/>
  <c r="H36" i="40" s="1"/>
  <c r="I36" i="40" s="1"/>
  <c r="J36" i="40" s="1"/>
  <c r="K36" i="40" s="1"/>
  <c r="L36" i="40" s="1"/>
  <c r="M36" i="40" s="1"/>
  <c r="N36" i="40" s="1"/>
  <c r="O36" i="40" s="1"/>
  <c r="P36" i="40" s="1"/>
  <c r="Q36" i="40" s="1"/>
  <c r="R36" i="40" s="1"/>
  <c r="S36" i="40" s="1"/>
  <c r="T36" i="40" s="1"/>
  <c r="U36" i="40" s="1"/>
  <c r="V36" i="40" s="1"/>
  <c r="AA22" i="40"/>
  <c r="AB22" i="40" s="1"/>
  <c r="AC22" i="40" s="1"/>
  <c r="AD22" i="40" s="1"/>
  <c r="AE22" i="40" s="1"/>
  <c r="AF22" i="40" s="1"/>
  <c r="AG22" i="40" s="1"/>
  <c r="AH22" i="40" s="1"/>
  <c r="AI22" i="40" s="1"/>
  <c r="AJ22" i="40" s="1"/>
  <c r="AK22" i="40" s="1"/>
  <c r="AL22" i="40" s="1"/>
  <c r="AM22" i="40" s="1"/>
  <c r="AN22" i="40" s="1"/>
  <c r="AO22" i="40" s="1"/>
  <c r="AP22" i="40" s="1"/>
  <c r="AQ22" i="40" s="1"/>
  <c r="AR22" i="40" s="1"/>
  <c r="AA15" i="40"/>
  <c r="AB15" i="40" s="1"/>
  <c r="AC15" i="40" s="1"/>
  <c r="AD15" i="40" s="1"/>
  <c r="AE15" i="40" s="1"/>
  <c r="AF15" i="40" s="1"/>
  <c r="AG15" i="40" s="1"/>
  <c r="AH15" i="40" s="1"/>
  <c r="AI15" i="40" s="1"/>
  <c r="AJ15" i="40" s="1"/>
  <c r="AK15" i="40" s="1"/>
  <c r="AL15" i="40" s="1"/>
  <c r="AM15" i="40" s="1"/>
  <c r="AN15" i="40" s="1"/>
  <c r="AO15" i="40" s="1"/>
  <c r="AP15" i="40" s="1"/>
  <c r="AQ15" i="40" s="1"/>
  <c r="AR15" i="40" s="1"/>
  <c r="E50" i="40"/>
  <c r="F50" i="40" s="1"/>
  <c r="G50" i="40" s="1"/>
  <c r="H50" i="40" s="1"/>
  <c r="I50" i="40" s="1"/>
  <c r="J50" i="40" s="1"/>
  <c r="K50" i="40" s="1"/>
  <c r="L50" i="40" s="1"/>
  <c r="M50" i="40" s="1"/>
  <c r="N50" i="40" s="1"/>
  <c r="O50" i="40" s="1"/>
  <c r="P50" i="40" s="1"/>
  <c r="Q50" i="40" s="1"/>
  <c r="R50" i="40" s="1"/>
  <c r="S50" i="40" s="1"/>
  <c r="T50" i="40" s="1"/>
  <c r="U50" i="40" s="1"/>
  <c r="V50" i="40" s="1"/>
  <c r="AA36" i="40"/>
  <c r="AB36" i="40" s="1"/>
  <c r="AC36" i="40" s="1"/>
  <c r="AD36" i="40" s="1"/>
  <c r="AE36" i="40" s="1"/>
  <c r="AF36" i="40" s="1"/>
  <c r="AG36" i="40" s="1"/>
  <c r="AH36" i="40" s="1"/>
  <c r="AI36" i="40" s="1"/>
  <c r="AJ36" i="40" s="1"/>
  <c r="AK36" i="40" s="1"/>
  <c r="AL36" i="40" s="1"/>
  <c r="AM36" i="40" s="1"/>
  <c r="AN36" i="40" s="1"/>
  <c r="AO36" i="40" s="1"/>
  <c r="AP36" i="40" s="1"/>
  <c r="AQ36" i="40" s="1"/>
  <c r="AR36" i="40" s="1"/>
  <c r="E29" i="40"/>
  <c r="F29" i="40" s="1"/>
  <c r="G29" i="40" s="1"/>
  <c r="H29" i="40" s="1"/>
  <c r="I29" i="40" s="1"/>
  <c r="J29" i="40" s="1"/>
  <c r="K29" i="40" s="1"/>
  <c r="L29" i="40" s="1"/>
  <c r="M29" i="40" s="1"/>
  <c r="N29" i="40" s="1"/>
  <c r="O29" i="40" s="1"/>
  <c r="P29" i="40" s="1"/>
  <c r="Q29" i="40" s="1"/>
  <c r="R29" i="40" s="1"/>
  <c r="S29" i="40" s="1"/>
  <c r="T29" i="40" s="1"/>
  <c r="U29" i="40" s="1"/>
  <c r="V29" i="40" s="1"/>
  <c r="E43" i="40"/>
  <c r="F43" i="40" s="1"/>
  <c r="G43" i="40" s="1"/>
  <c r="H43" i="40" s="1"/>
  <c r="I43" i="40" s="1"/>
  <c r="J43" i="40" s="1"/>
  <c r="K43" i="40" s="1"/>
  <c r="L43" i="40" s="1"/>
  <c r="M43" i="40" s="1"/>
  <c r="N43" i="40" s="1"/>
  <c r="O43" i="40" s="1"/>
  <c r="P43" i="40" s="1"/>
  <c r="Q43" i="40" s="1"/>
  <c r="R43" i="40" s="1"/>
  <c r="S43" i="40" s="1"/>
  <c r="T43" i="40" s="1"/>
  <c r="U43" i="40" s="1"/>
  <c r="V43" i="40" s="1"/>
  <c r="AA29" i="40"/>
  <c r="AB29" i="40" s="1"/>
  <c r="AC29" i="40" s="1"/>
  <c r="AD29" i="40" s="1"/>
  <c r="AE29" i="40" s="1"/>
  <c r="AF29" i="40" s="1"/>
  <c r="AG29" i="40" s="1"/>
  <c r="AH29" i="40" s="1"/>
  <c r="AI29" i="40" s="1"/>
  <c r="AJ29" i="40" s="1"/>
  <c r="AK29" i="40" s="1"/>
  <c r="AL29" i="40" s="1"/>
  <c r="AM29" i="40" s="1"/>
  <c r="AN29" i="40" s="1"/>
  <c r="AO29" i="40" s="1"/>
  <c r="AP29" i="40" s="1"/>
  <c r="AQ29" i="40" s="1"/>
  <c r="AR29" i="40" s="1"/>
  <c r="E22" i="40"/>
  <c r="F22" i="40" s="1"/>
  <c r="G22" i="40" s="1"/>
  <c r="H22" i="40" s="1"/>
  <c r="I22" i="40" s="1"/>
  <c r="J22" i="40" s="1"/>
  <c r="K22" i="40" s="1"/>
  <c r="L22" i="40" s="1"/>
  <c r="M22" i="40" s="1"/>
  <c r="N22" i="40" s="1"/>
  <c r="O22" i="40" s="1"/>
  <c r="P22" i="40" s="1"/>
  <c r="Q22" i="40" s="1"/>
  <c r="R22" i="40" s="1"/>
  <c r="S22" i="40" s="1"/>
  <c r="T22" i="40" s="1"/>
  <c r="U22" i="40" s="1"/>
  <c r="V22" i="40" s="1"/>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<sst xmlns="http://schemas.openxmlformats.org/spreadsheetml/2006/main" count="1024" uniqueCount="378">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</sst>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5"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3">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6" xfId="3" applyNumberFormat="1" applyFont="1" applyFill="1" applyBorder="1" applyProtection="1">
      <protection locked="0"/>
    </xf>
    <xf numFmtId="1" fontId="1" fillId="0" borderId="145" xfId="3" applyNumberFormat="1" applyFont="1" applyFill="1" applyBorder="1" applyProtection="1">
      <protection locked="0"/>
    </xf>
    <xf numFmtId="1" fontId="1" fillId="14" borderId="144" xfId="3" applyNumberFormat="1" applyFont="1" applyFill="1" applyBorder="1" applyProtection="1">
      <protection locked="0"/>
    </xf>
    <xf numFmtId="0" fontId="1" fillId="8" borderId="0" xfId="3" applyFont="1" applyFill="1" applyProtection="1">
      <protection locked="0"/>
    </xf>
    <xf numFmtId="1" fontId="1" fillId="0" borderId="141" xfId="3" applyNumberFormat="1" applyFont="1" applyFill="1" applyBorder="1" applyProtection="1"/>
    <xf numFmtId="1" fontId="1" fillId="0" borderId="0" xfId="3" applyNumberFormat="1" applyFont="1" applyFill="1" applyBorder="1" applyProtection="1"/>
    <xf numFmtId="1" fontId="1" fillId="14" borderId="143" xfId="3" applyNumberFormat="1" applyFont="1" applyFill="1" applyBorder="1" applyProtection="1">
      <protection locked="0"/>
    </xf>
    <xf numFmtId="0" fontId="1" fillId="3" borderId="0" xfId="3" applyFont="1" applyFill="1" applyBorder="1" applyProtection="1">
      <protection locked="0"/>
    </xf>
    <xf numFmtId="0" fontId="1" fillId="14" borderId="142"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9" fillId="10" borderId="0" xfId="3" applyFont="1" applyFill="1" applyBorder="1" applyAlignment="1"/>
    <xf numFmtId="0" fontId="22" fillId="10" borderId="0" xfId="3" applyFont="1" applyFill="1"/>
    <xf numFmtId="0" fontId="9" fillId="10" borderId="0" xfId="3" applyFont="1" applyFill="1" applyAlignment="1"/>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53" xfId="0" applyFont="1" applyFill="1" applyBorder="1" applyAlignment="1" applyProtection="1">
      <alignment horizontal="center"/>
      <protection locked="0"/>
    </xf>
    <xf numFmtId="0" fontId="0" fillId="18" borderId="104" xfId="0" applyFont="1" applyFill="1" applyBorder="1" applyAlignment="1" applyProtection="1">
      <alignment horizontal="center"/>
    </xf>
    <xf numFmtId="0" fontId="0" fillId="18" borderId="113" xfId="0" applyFont="1" applyFill="1" applyBorder="1" applyAlignment="1" applyProtection="1">
      <alignment horizontal="center"/>
    </xf>
    <xf numFmtId="0" fontId="11" fillId="10" borderId="0" xfId="0" applyFont="1" applyFill="1" applyAlignment="1">
      <alignment horizontal="center" vertical="center" wrapText="1"/>
    </xf>
    <xf numFmtId="0" fontId="88" fillId="21" borderId="125" xfId="3" applyFont="1" applyFill="1" applyBorder="1" applyAlignment="1" applyProtection="1">
      <alignment horizontal="center"/>
      <protection locked="0"/>
    </xf>
    <xf numFmtId="0" fontId="88" fillId="21" borderId="126" xfId="3" applyFont="1" applyFill="1" applyBorder="1" applyAlignment="1" applyProtection="1">
      <alignment horizontal="center"/>
      <protection locked="0"/>
    </xf>
    <xf numFmtId="0" fontId="88"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71960832"/>
        <c:axId val="71962624"/>
      </c:lineChart>
      <c:catAx>
        <c:axId val="71960832"/>
        <c:scaling>
          <c:orientation val="minMax"/>
        </c:scaling>
        <c:delete val="0"/>
        <c:axPos val="b"/>
        <c:numFmt formatCode="0" sourceLinked="1"/>
        <c:majorTickMark val="out"/>
        <c:minorTickMark val="none"/>
        <c:tickLblPos val="nextTo"/>
        <c:txPr>
          <a:bodyPr/>
          <a:lstStyle/>
          <a:p>
            <a:pPr>
              <a:defRPr sz="1000"/>
            </a:pPr>
            <a:endParaRPr lang="en-US"/>
          </a:p>
        </c:txPr>
        <c:crossAx val="71962624"/>
        <c:crosses val="autoZero"/>
        <c:auto val="1"/>
        <c:lblAlgn val="ctr"/>
        <c:lblOffset val="100"/>
        <c:noMultiLvlLbl val="0"/>
      </c:catAx>
      <c:valAx>
        <c:axId val="71962624"/>
        <c:scaling>
          <c:orientation val="minMax"/>
        </c:scaling>
        <c:delete val="0"/>
        <c:axPos val="l"/>
        <c:majorGridlines/>
        <c:numFmt formatCode="0" sourceLinked="1"/>
        <c:majorTickMark val="out"/>
        <c:minorTickMark val="none"/>
        <c:tickLblPos val="nextTo"/>
        <c:crossAx val="7196083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3.1872601457678999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76420608"/>
        <c:axId val="76422528"/>
      </c:scatterChart>
      <c:valAx>
        <c:axId val="76420608"/>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76422528"/>
        <c:crosses val="autoZero"/>
        <c:crossBetween val="midCat"/>
      </c:valAx>
      <c:valAx>
        <c:axId val="7642252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76420608"/>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14</xdr:row>
          <xdr:rowOff>60960</xdr:rowOff>
        </xdr:from>
        <xdr:to>
          <xdr:col>11</xdr:col>
          <xdr:colOff>228600</xdr:colOff>
          <xdr:row>14</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15</xdr:row>
          <xdr:rowOff>0</xdr:rowOff>
        </xdr:from>
        <xdr:to>
          <xdr:col>11</xdr:col>
          <xdr:colOff>243840</xdr:colOff>
          <xdr:row>16</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opLeftCell="A4" workbookViewId="0">
      <selection activeCell="D16" sqref="D16"/>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373" t="s">
        <v>322</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289" t="s">
        <v>147</v>
      </c>
      <c r="D13" s="264" t="s">
        <v>187</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290" t="s">
        <v>184</v>
      </c>
      <c r="D14" s="232" t="s">
        <v>372</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290" t="s">
        <v>64</v>
      </c>
      <c r="D15" s="232" t="s">
        <v>288</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290" t="s">
        <v>65</v>
      </c>
      <c r="D18" s="232" t="s">
        <v>288</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290" t="s">
        <v>173</v>
      </c>
      <c r="D21" s="232" t="s">
        <v>288</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8" thickBot="1" x14ac:dyDescent="0.4">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x14ac:dyDescent="0.35">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5">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370</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t="s">
        <v>371</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372</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373</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374</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288</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289</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290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tabSelected="1" zoomScale="60" zoomScaleNormal="60" zoomScalePageLayoutView="70" workbookViewId="0">
      <pane ySplit="12" topLeftCell="A25" activePane="bottomLeft" state="frozen"/>
      <selection pane="bottomLeft" activeCell="T7" sqref="T7"/>
    </sheetView>
  </sheetViews>
  <sheetFormatPr defaultColWidth="9.109375" defaultRowHeight="15" x14ac:dyDescent="0.35"/>
  <cols>
    <col min="1" max="1" width="4.77734375" style="88" customWidth="1"/>
    <col min="2" max="2" width="23.44140625" style="88" customWidth="1"/>
    <col min="3" max="3" width="40.44140625" style="88" customWidth="1"/>
    <col min="4" max="4" width="12.77734375" style="88" bestFit="1" customWidth="1"/>
    <col min="5" max="5" width="15.44140625" style="88" bestFit="1" customWidth="1"/>
    <col min="6" max="6" width="7.44140625" style="88" customWidth="1"/>
    <col min="7" max="7" width="6.6640625" style="88" customWidth="1"/>
    <col min="8" max="8" width="23.6640625" style="88" customWidth="1"/>
    <col min="9" max="9" width="21" style="88" customWidth="1"/>
    <col min="10" max="10" width="8.44140625" style="88" customWidth="1"/>
    <col min="11" max="11" width="6.44140625" style="88" bestFit="1" customWidth="1"/>
    <col min="12" max="12" width="6.44140625" style="88" customWidth="1"/>
    <col min="13" max="13" width="6.77734375" style="88" customWidth="1"/>
    <col min="14" max="14" width="25.77734375" style="88" bestFit="1" customWidth="1"/>
    <col min="15" max="15" width="6.44140625" style="88" customWidth="1"/>
    <col min="16" max="16" width="5.6640625" style="88" customWidth="1"/>
    <col min="17" max="18" width="6.44140625" style="88" customWidth="1"/>
    <col min="19" max="19" width="6.6640625" style="88" customWidth="1"/>
    <col min="20" max="20" width="7" style="88" customWidth="1"/>
    <col min="21" max="21" width="6.44140625" style="88" customWidth="1"/>
    <col min="22" max="23" width="6.6640625" style="88" customWidth="1"/>
    <col min="24" max="24" width="21.109375" style="88" customWidth="1"/>
    <col min="25" max="25" width="33.44140625" style="88" customWidth="1"/>
    <col min="26" max="26" width="25.77734375" style="88" bestFit="1" customWidth="1"/>
    <col min="27" max="27" width="7.33203125" style="88" bestFit="1" customWidth="1"/>
    <col min="28" max="28" width="10.77734375" style="88" bestFit="1" customWidth="1"/>
    <col min="29" max="33" width="6.6640625" style="88" customWidth="1"/>
    <col min="34" max="44" width="9.44140625" style="88" customWidth="1"/>
    <col min="45" max="45" width="9.109375" style="88"/>
    <col min="46" max="46" width="12.33203125" style="88" customWidth="1"/>
    <col min="47" max="47" width="14.44140625" style="96" customWidth="1"/>
    <col min="48" max="48" width="20.6640625" style="96" customWidth="1"/>
    <col min="49" max="49" width="14.77734375" style="96" hidden="1" customWidth="1"/>
    <col min="50" max="50" width="14.77734375" style="96" customWidth="1"/>
    <col min="51" max="51" width="14.109375" style="88" customWidth="1"/>
    <col min="52" max="52" width="18.33203125" style="88" customWidth="1"/>
    <col min="53" max="53" width="16.77734375" style="88" customWidth="1"/>
    <col min="54" max="16384" width="9.109375" style="88"/>
  </cols>
  <sheetData>
    <row r="1" spans="1:121" x14ac:dyDescent="0.35">
      <c r="A1" s="194"/>
      <c r="B1" s="194"/>
      <c r="C1" s="194"/>
      <c r="D1" s="194"/>
      <c r="E1" s="194"/>
      <c r="F1" s="194"/>
      <c r="G1" s="194"/>
      <c r="H1" s="194"/>
      <c r="I1" s="194"/>
      <c r="J1" s="194"/>
      <c r="K1" s="194"/>
      <c r="L1" s="194"/>
      <c r="M1" s="194"/>
      <c r="N1" s="194"/>
      <c r="O1" s="539"/>
      <c r="P1" s="539"/>
      <c r="Q1" s="539"/>
      <c r="R1" s="539"/>
      <c r="S1" s="539"/>
      <c r="T1" s="539"/>
      <c r="U1" s="539"/>
      <c r="V1" s="401"/>
      <c r="W1" s="539"/>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x14ac:dyDescent="0.75">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40"/>
      <c r="Z2" s="401"/>
      <c r="AA2" s="539"/>
      <c r="AB2" s="539"/>
      <c r="AC2" s="539"/>
      <c r="AD2" s="539"/>
      <c r="AE2" s="539"/>
      <c r="AF2" s="539"/>
      <c r="AG2" s="539"/>
      <c r="AH2" s="540"/>
      <c r="AI2" s="501"/>
      <c r="AJ2" s="501"/>
      <c r="AK2" s="501"/>
      <c r="AL2" s="501"/>
      <c r="AM2" s="501"/>
      <c r="AN2" s="501"/>
      <c r="AO2" s="501"/>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x14ac:dyDescent="0.4">
      <c r="A3" s="194"/>
      <c r="B3" s="194"/>
      <c r="C3" s="194"/>
      <c r="D3" s="194"/>
      <c r="E3" s="194"/>
      <c r="F3" s="194"/>
      <c r="G3" s="194"/>
      <c r="H3" s="194"/>
      <c r="I3" s="194"/>
      <c r="J3" s="194"/>
      <c r="K3" s="194"/>
      <c r="L3" s="194"/>
      <c r="M3" s="194"/>
      <c r="N3" s="194"/>
      <c r="O3" s="401"/>
      <c r="P3" s="401"/>
      <c r="Q3" s="401"/>
      <c r="R3" s="401"/>
      <c r="S3" s="401"/>
      <c r="T3" s="401"/>
      <c r="U3" s="401"/>
      <c r="V3" s="401"/>
      <c r="W3" s="401"/>
      <c r="X3" s="401"/>
      <c r="Y3" s="540"/>
      <c r="Z3" s="401"/>
      <c r="AA3" s="401"/>
      <c r="AB3" s="401"/>
      <c r="AC3" s="401"/>
      <c r="AD3" s="401"/>
      <c r="AE3" s="401"/>
      <c r="AF3" s="401"/>
      <c r="AG3" s="401"/>
      <c r="AH3" s="540"/>
      <c r="AI3" s="501"/>
      <c r="AJ3" s="501"/>
      <c r="AK3" s="501"/>
      <c r="AL3" s="501"/>
      <c r="AM3" s="501"/>
      <c r="AN3" s="501"/>
      <c r="AO3" s="501"/>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x14ac:dyDescent="0.35">
      <c r="A4" s="194"/>
      <c r="B4" s="583"/>
      <c r="C4" s="588"/>
      <c r="D4" s="566"/>
      <c r="E4" s="566"/>
      <c r="F4" s="401"/>
      <c r="G4" s="378"/>
      <c r="H4" s="401"/>
      <c r="I4" s="401"/>
      <c r="J4" s="401"/>
      <c r="K4" s="194"/>
      <c r="L4" s="194"/>
      <c r="M4" s="194"/>
      <c r="N4" s="194"/>
      <c r="O4" s="401"/>
      <c r="P4" s="401"/>
      <c r="Q4" s="401"/>
      <c r="R4" s="401"/>
      <c r="S4" s="401"/>
      <c r="T4" s="401"/>
      <c r="U4" s="401"/>
      <c r="V4" s="401"/>
      <c r="W4" s="401"/>
      <c r="X4" s="401"/>
      <c r="Y4" s="540"/>
      <c r="Z4" s="401"/>
      <c r="AA4" s="401"/>
      <c r="AB4" s="401"/>
      <c r="AC4" s="401"/>
      <c r="AD4" s="401"/>
      <c r="AE4" s="401"/>
      <c r="AF4" s="401"/>
      <c r="AG4" s="401"/>
      <c r="AH4" s="540"/>
      <c r="AI4" s="501"/>
      <c r="AJ4" s="501"/>
      <c r="AK4" s="501"/>
      <c r="AL4" s="501"/>
      <c r="AM4" s="501"/>
      <c r="AN4" s="501"/>
      <c r="AO4" s="501"/>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x14ac:dyDescent="0.35">
      <c r="A5" s="194"/>
      <c r="B5" s="583"/>
      <c r="C5" s="563" t="s">
        <v>275</v>
      </c>
      <c r="D5" s="546"/>
      <c r="E5" s="376"/>
      <c r="F5" s="375"/>
      <c r="G5" s="376"/>
      <c r="H5" s="375"/>
      <c r="I5" s="544"/>
      <c r="J5" s="401"/>
      <c r="K5" s="194"/>
      <c r="L5" s="194"/>
      <c r="M5" s="194"/>
      <c r="N5" s="194"/>
      <c r="O5" s="401"/>
      <c r="P5" s="401"/>
      <c r="Q5" s="401"/>
      <c r="R5" s="401"/>
      <c r="S5" s="401"/>
      <c r="T5" s="401"/>
      <c r="U5" s="401"/>
      <c r="V5" s="401"/>
      <c r="W5" s="401"/>
      <c r="X5" s="401"/>
      <c r="Y5" s="540"/>
      <c r="Z5" s="401"/>
      <c r="AA5" s="401"/>
      <c r="AB5" s="401"/>
      <c r="AC5" s="401"/>
      <c r="AD5" s="401"/>
      <c r="AE5" s="401"/>
      <c r="AF5" s="401"/>
      <c r="AG5" s="401"/>
      <c r="AH5" s="540"/>
      <c r="AI5" s="501"/>
      <c r="AJ5" s="501"/>
      <c r="AK5" s="501"/>
      <c r="AL5" s="501"/>
      <c r="AM5" s="501"/>
      <c r="AN5" s="501"/>
      <c r="AO5" s="501"/>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x14ac:dyDescent="0.45">
      <c r="A6" s="194"/>
      <c r="B6" s="379"/>
      <c r="C6" s="567" t="s">
        <v>336</v>
      </c>
      <c r="D6" s="546"/>
      <c r="E6" s="376"/>
      <c r="F6" s="375"/>
      <c r="G6" s="376"/>
      <c r="H6" s="377"/>
      <c r="I6" s="544"/>
      <c r="J6" s="401"/>
      <c r="K6" s="194"/>
      <c r="L6" s="194"/>
      <c r="M6" s="194"/>
      <c r="N6" s="194"/>
      <c r="O6" s="401"/>
      <c r="P6" s="401"/>
      <c r="Q6" s="401"/>
      <c r="R6" s="401"/>
      <c r="S6" s="401"/>
      <c r="T6" s="401"/>
      <c r="U6" s="401"/>
      <c r="V6" s="401"/>
      <c r="W6" s="401"/>
      <c r="X6" s="401"/>
      <c r="Y6" s="540"/>
      <c r="Z6" s="401"/>
      <c r="AA6" s="401"/>
      <c r="AB6" s="401"/>
      <c r="AC6" s="401"/>
      <c r="AD6" s="401"/>
      <c r="AE6" s="401"/>
      <c r="AF6" s="401"/>
      <c r="AG6" s="401"/>
      <c r="AH6" s="540"/>
      <c r="AI6" s="501"/>
      <c r="AJ6" s="501"/>
      <c r="AK6" s="501"/>
      <c r="AL6" s="501"/>
      <c r="AM6" s="501"/>
      <c r="AN6" s="501"/>
      <c r="AO6" s="501"/>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x14ac:dyDescent="0.45">
      <c r="A7" s="194"/>
      <c r="B7" s="379"/>
      <c r="C7" s="564"/>
      <c r="D7" s="546"/>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6" thickBot="1" x14ac:dyDescent="0.4">
      <c r="A8" s="586"/>
      <c r="B8" s="583"/>
      <c r="C8" s="565"/>
      <c r="D8" s="544"/>
      <c r="E8" s="544"/>
      <c r="F8" s="544"/>
      <c r="G8" s="544"/>
      <c r="H8" s="544"/>
      <c r="I8" s="544"/>
      <c r="J8" s="544"/>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x14ac:dyDescent="0.35">
      <c r="A9" s="586"/>
      <c r="B9" s="583"/>
      <c r="C9" s="544"/>
      <c r="D9" s="544"/>
      <c r="E9" s="544"/>
      <c r="F9" s="544"/>
      <c r="G9" s="544"/>
      <c r="H9" s="544"/>
      <c r="I9" s="544"/>
      <c r="J9" s="544"/>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x14ac:dyDescent="0.35">
      <c r="A10" s="586"/>
      <c r="B10" s="583"/>
      <c r="C10" s="544"/>
      <c r="D10" s="544"/>
      <c r="E10" s="587"/>
      <c r="F10" s="544"/>
      <c r="G10" s="544"/>
      <c r="H10" s="544"/>
      <c r="I10" s="544"/>
      <c r="J10" s="544"/>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x14ac:dyDescent="0.35">
      <c r="A11" s="586"/>
      <c r="B11" s="583"/>
      <c r="C11" s="544"/>
      <c r="D11" s="544"/>
      <c r="E11" s="544"/>
      <c r="F11" s="544"/>
      <c r="G11" s="544"/>
      <c r="H11" s="544"/>
      <c r="I11" s="544"/>
      <c r="J11" s="544"/>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x14ac:dyDescent="0.35">
      <c r="A12" s="586"/>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x14ac:dyDescent="0.4">
      <c r="A13" s="586"/>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x14ac:dyDescent="0.35">
      <c r="A14" s="586"/>
      <c r="B14" s="561">
        <f>INDEX($AZ$44:$BC$54,MATCH(B16,$AY$44:$AY$54,0),MATCH($C$6,$AZ$43:$BC$43,0))</f>
        <v>2036</v>
      </c>
      <c r="C14" s="562">
        <f>INDEX($AZ$28:$BC$38,MATCH(B16,$AY$28:$AY$38,0),MATCH($C$6,$AZ$27:$BC$27,0))</f>
        <v>0.4</v>
      </c>
      <c r="D14" s="535">
        <v>2014</v>
      </c>
      <c r="E14" s="536">
        <v>2016</v>
      </c>
      <c r="F14" s="536">
        <v>2018</v>
      </c>
      <c r="G14" s="536">
        <v>2020</v>
      </c>
      <c r="H14" s="536">
        <v>2022</v>
      </c>
      <c r="I14" s="536">
        <v>2024</v>
      </c>
      <c r="J14" s="536">
        <v>2026</v>
      </c>
      <c r="K14" s="536">
        <v>2028</v>
      </c>
      <c r="L14" s="536">
        <v>2030</v>
      </c>
      <c r="M14" s="536">
        <v>2032</v>
      </c>
      <c r="N14" s="536">
        <v>2034</v>
      </c>
      <c r="O14" s="536">
        <v>2036</v>
      </c>
      <c r="P14" s="536">
        <v>2038</v>
      </c>
      <c r="Q14" s="536">
        <v>2040</v>
      </c>
      <c r="R14" s="536">
        <v>2042</v>
      </c>
      <c r="S14" s="536">
        <v>2044</v>
      </c>
      <c r="T14" s="536">
        <v>2046</v>
      </c>
      <c r="U14" s="536">
        <v>2048</v>
      </c>
      <c r="V14" s="537">
        <v>2050</v>
      </c>
      <c r="W14" s="366"/>
      <c r="X14" s="561">
        <f>INDEX($AZ$44:$BC$54,MATCH(X16,$AY$44:$AY$54,0),MATCH($C$6,$AZ$43:$BC$43,0))</f>
        <v>2036</v>
      </c>
      <c r="Y14" s="562">
        <f>INDEX($AZ$28:$BC$38,MATCH(X16,$AY$28:$AY$38,0),MATCH($C$6,$AZ$27:$BC$27,0))</f>
        <v>0.27</v>
      </c>
      <c r="Z14" s="535">
        <v>2014</v>
      </c>
      <c r="AA14" s="536">
        <v>2016</v>
      </c>
      <c r="AB14" s="536">
        <v>2018</v>
      </c>
      <c r="AC14" s="536">
        <v>2020</v>
      </c>
      <c r="AD14" s="536">
        <v>2022</v>
      </c>
      <c r="AE14" s="536">
        <v>2024</v>
      </c>
      <c r="AF14" s="536">
        <v>2026</v>
      </c>
      <c r="AG14" s="536">
        <v>2028</v>
      </c>
      <c r="AH14" s="536">
        <v>2030</v>
      </c>
      <c r="AI14" s="536">
        <v>2032</v>
      </c>
      <c r="AJ14" s="536">
        <v>2034</v>
      </c>
      <c r="AK14" s="536">
        <v>2036</v>
      </c>
      <c r="AL14" s="536">
        <v>2038</v>
      </c>
      <c r="AM14" s="536">
        <v>2040</v>
      </c>
      <c r="AN14" s="536">
        <v>2042</v>
      </c>
      <c r="AO14" s="536">
        <v>2044</v>
      </c>
      <c r="AP14" s="536">
        <v>2046</v>
      </c>
      <c r="AQ14" s="536">
        <v>2048</v>
      </c>
      <c r="AR14" s="537">
        <v>2050</v>
      </c>
      <c r="AS14" s="86"/>
      <c r="AT14" s="91"/>
      <c r="AU14" s="91"/>
      <c r="AV14" s="91"/>
      <c r="AW14" s="91"/>
      <c r="AX14" s="91"/>
      <c r="AY14" s="91"/>
      <c r="AZ14" s="86"/>
      <c r="BA14" s="86"/>
      <c r="BB14" s="86"/>
      <c r="BC14" s="86"/>
      <c r="BD14" s="86"/>
      <c r="BE14" s="86"/>
      <c r="BF14" s="86"/>
    </row>
    <row r="15" spans="1:121" ht="19.5" customHeight="1" x14ac:dyDescent="0.35">
      <c r="A15" s="586"/>
      <c r="B15" s="244"/>
      <c r="C15" s="245" t="s">
        <v>108</v>
      </c>
      <c r="D15" s="538">
        <v>10045.208063126309</v>
      </c>
      <c r="E15" s="246">
        <f t="shared" ref="E15:V15" si="0">IF(E$14&gt;$B14,D15,D15-($D15*2*$C14/($B14-$D$14)))</f>
        <v>9679.9277699217164</v>
      </c>
      <c r="F15" s="246">
        <f t="shared" si="0"/>
        <v>9314.6474767171239</v>
      </c>
      <c r="G15" s="246">
        <f t="shared" si="0"/>
        <v>8949.3671835125315</v>
      </c>
      <c r="H15" s="246">
        <f t="shared" si="0"/>
        <v>8584.086890307939</v>
      </c>
      <c r="I15" s="246">
        <f t="shared" si="0"/>
        <v>8218.8065971033466</v>
      </c>
      <c r="J15" s="246">
        <f t="shared" si="0"/>
        <v>7853.5263038987532</v>
      </c>
      <c r="K15" s="246">
        <f t="shared" si="0"/>
        <v>7488.2460106941598</v>
      </c>
      <c r="L15" s="246">
        <f t="shared" si="0"/>
        <v>7122.9657174895665</v>
      </c>
      <c r="M15" s="246">
        <f t="shared" si="0"/>
        <v>6757.6854242849731</v>
      </c>
      <c r="N15" s="246">
        <f t="shared" si="0"/>
        <v>6392.4051310803798</v>
      </c>
      <c r="O15" s="246">
        <f t="shared" si="0"/>
        <v>6027.1248378757864</v>
      </c>
      <c r="P15" s="246">
        <f t="shared" si="0"/>
        <v>6027.1248378757864</v>
      </c>
      <c r="Q15" s="246">
        <f t="shared" si="0"/>
        <v>6027.1248378757864</v>
      </c>
      <c r="R15" s="246">
        <f t="shared" si="0"/>
        <v>6027.1248378757864</v>
      </c>
      <c r="S15" s="246">
        <f t="shared" si="0"/>
        <v>6027.1248378757864</v>
      </c>
      <c r="T15" s="246">
        <f t="shared" si="0"/>
        <v>6027.1248378757864</v>
      </c>
      <c r="U15" s="246">
        <f t="shared" si="0"/>
        <v>6027.1248378757864</v>
      </c>
      <c r="V15" s="246">
        <f t="shared" si="0"/>
        <v>6027.1248378757864</v>
      </c>
      <c r="W15" s="243"/>
      <c r="X15" s="244"/>
      <c r="Y15" s="245" t="s">
        <v>108</v>
      </c>
      <c r="Z15" s="538">
        <v>3524.9265206765594</v>
      </c>
      <c r="AA15" s="246">
        <f t="shared" ref="AA15:AR15" si="1">IF(AA14&gt;$X14,Z15,Z15-($Z15*2*$Y14/($B14-$Z14)))</f>
        <v>3438.4055969872256</v>
      </c>
      <c r="AB15" s="246">
        <f t="shared" si="1"/>
        <v>3351.8846732978918</v>
      </c>
      <c r="AC15" s="246">
        <f t="shared" si="1"/>
        <v>3265.363749608558</v>
      </c>
      <c r="AD15" s="246">
        <f t="shared" si="1"/>
        <v>3178.8428259192242</v>
      </c>
      <c r="AE15" s="246">
        <f t="shared" si="1"/>
        <v>3092.3219022298904</v>
      </c>
      <c r="AF15" s="246">
        <f t="shared" si="1"/>
        <v>3005.8009785405566</v>
      </c>
      <c r="AG15" s="246">
        <f t="shared" si="1"/>
        <v>2919.2800548512228</v>
      </c>
      <c r="AH15" s="246">
        <f t="shared" si="1"/>
        <v>2832.7591311618889</v>
      </c>
      <c r="AI15" s="246">
        <f t="shared" si="1"/>
        <v>2746.2382074725551</v>
      </c>
      <c r="AJ15" s="246">
        <f t="shared" si="1"/>
        <v>2659.7172837832213</v>
      </c>
      <c r="AK15" s="246">
        <f t="shared" si="1"/>
        <v>2573.1963600938875</v>
      </c>
      <c r="AL15" s="246">
        <f t="shared" si="1"/>
        <v>2573.1963600938875</v>
      </c>
      <c r="AM15" s="246">
        <f t="shared" si="1"/>
        <v>2573.1963600938875</v>
      </c>
      <c r="AN15" s="246">
        <f t="shared" si="1"/>
        <v>2573.1963600938875</v>
      </c>
      <c r="AO15" s="246">
        <f t="shared" si="1"/>
        <v>2573.1963600938875</v>
      </c>
      <c r="AP15" s="246">
        <f t="shared" si="1"/>
        <v>2573.1963600938875</v>
      </c>
      <c r="AQ15" s="246">
        <f t="shared" si="1"/>
        <v>2573.1963600938875</v>
      </c>
      <c r="AR15" s="246">
        <f t="shared" si="1"/>
        <v>2573.1963600938875</v>
      </c>
      <c r="AS15" s="86"/>
      <c r="AT15" s="91"/>
      <c r="AU15" s="91"/>
      <c r="AV15" s="91"/>
      <c r="AW15" s="91"/>
      <c r="AX15" s="91"/>
      <c r="AY15" s="91"/>
      <c r="AZ15" s="86"/>
      <c r="BA15" s="86"/>
      <c r="BB15" s="86"/>
      <c r="BC15" s="86"/>
      <c r="BD15" s="86"/>
      <c r="BE15" s="86"/>
      <c r="BF15" s="86"/>
    </row>
    <row r="16" spans="1:121" ht="20.25" customHeight="1" x14ac:dyDescent="0.4">
      <c r="A16" s="586"/>
      <c r="B16" s="202" t="s">
        <v>163</v>
      </c>
      <c r="C16" s="247" t="s">
        <v>110</v>
      </c>
      <c r="D16" s="539">
        <v>45.194000000000003</v>
      </c>
      <c r="E16" s="539">
        <v>45.194000000000003</v>
      </c>
      <c r="F16" s="539">
        <v>45.194000000000003</v>
      </c>
      <c r="G16" s="539">
        <v>45.194000000000003</v>
      </c>
      <c r="H16" s="539">
        <v>45.194000000000003</v>
      </c>
      <c r="I16" s="539">
        <v>45.194000000000003</v>
      </c>
      <c r="J16" s="539">
        <v>45.194000000000003</v>
      </c>
      <c r="K16" s="539">
        <v>45.194000000000003</v>
      </c>
      <c r="L16" s="539">
        <v>45.194000000000003</v>
      </c>
      <c r="M16" s="539">
        <v>45.194000000000003</v>
      </c>
      <c r="N16" s="539">
        <v>45.194000000000003</v>
      </c>
      <c r="O16" s="539">
        <v>45.194000000000003</v>
      </c>
      <c r="P16" s="539">
        <v>45.194000000000003</v>
      </c>
      <c r="Q16" s="539">
        <v>45.194000000000003</v>
      </c>
      <c r="R16" s="539">
        <v>45.194000000000003</v>
      </c>
      <c r="S16" s="539">
        <v>45.194000000000003</v>
      </c>
      <c r="T16" s="539">
        <v>45.194000000000003</v>
      </c>
      <c r="U16" s="539">
        <v>45.194000000000003</v>
      </c>
      <c r="V16" s="539">
        <v>45.194000000000003</v>
      </c>
      <c r="W16" s="194"/>
      <c r="X16" s="202" t="s">
        <v>164</v>
      </c>
      <c r="Y16" s="247" t="s">
        <v>110</v>
      </c>
      <c r="Z16" s="401">
        <v>41.728999999999999</v>
      </c>
      <c r="AA16" s="401">
        <v>41.728999999999999</v>
      </c>
      <c r="AB16" s="401">
        <v>41.728999999999999</v>
      </c>
      <c r="AC16" s="401">
        <v>41.728999999999999</v>
      </c>
      <c r="AD16" s="401">
        <v>41.728999999999999</v>
      </c>
      <c r="AE16" s="401">
        <v>41.728999999999999</v>
      </c>
      <c r="AF16" s="401">
        <v>41.728999999999999</v>
      </c>
      <c r="AG16" s="401">
        <v>41.728999999999999</v>
      </c>
      <c r="AH16" s="401">
        <v>41.728999999999999</v>
      </c>
      <c r="AI16" s="401">
        <v>41.728999999999999</v>
      </c>
      <c r="AJ16" s="401">
        <v>41.728999999999999</v>
      </c>
      <c r="AK16" s="401">
        <v>41.728999999999999</v>
      </c>
      <c r="AL16" s="401">
        <v>41.728999999999999</v>
      </c>
      <c r="AM16" s="401">
        <v>41.728999999999999</v>
      </c>
      <c r="AN16" s="401">
        <v>41.728999999999999</v>
      </c>
      <c r="AO16" s="401">
        <v>41.728999999999999</v>
      </c>
      <c r="AP16" s="401">
        <v>41.728999999999999</v>
      </c>
      <c r="AQ16" s="401">
        <v>41.728999999999999</v>
      </c>
      <c r="AR16" s="401">
        <v>41.728999999999999</v>
      </c>
      <c r="AS16" s="86"/>
      <c r="AT16" s="91"/>
      <c r="AU16" s="91"/>
      <c r="AV16" s="91"/>
      <c r="AW16" s="91"/>
      <c r="AX16" s="91"/>
      <c r="AY16" s="91"/>
      <c r="AZ16" s="86"/>
      <c r="BA16" s="86"/>
      <c r="BB16" s="86"/>
      <c r="BC16" s="86"/>
      <c r="BD16" s="86"/>
      <c r="BE16" s="86"/>
      <c r="BF16" s="86"/>
    </row>
    <row r="17" spans="1:62" ht="20.25" customHeight="1" x14ac:dyDescent="0.4">
      <c r="A17" s="586"/>
      <c r="B17" s="248" t="s">
        <v>151</v>
      </c>
      <c r="C17" s="247" t="s">
        <v>154</v>
      </c>
      <c r="D17" s="584">
        <v>0</v>
      </c>
      <c r="E17" s="583">
        <v>0</v>
      </c>
      <c r="F17" s="583">
        <v>0</v>
      </c>
      <c r="G17" s="583">
        <v>0</v>
      </c>
      <c r="H17" s="583">
        <v>0</v>
      </c>
      <c r="I17" s="583">
        <v>0</v>
      </c>
      <c r="J17" s="583">
        <v>0</v>
      </c>
      <c r="K17" s="583">
        <v>0</v>
      </c>
      <c r="L17" s="583">
        <v>0</v>
      </c>
      <c r="M17" s="583">
        <v>0</v>
      </c>
      <c r="N17" s="583">
        <v>0</v>
      </c>
      <c r="O17" s="583">
        <v>0</v>
      </c>
      <c r="P17" s="583">
        <v>0</v>
      </c>
      <c r="Q17" s="583">
        <v>0</v>
      </c>
      <c r="R17" s="583">
        <v>0</v>
      </c>
      <c r="S17" s="583">
        <v>0</v>
      </c>
      <c r="T17" s="583">
        <v>0</v>
      </c>
      <c r="U17" s="583">
        <v>0</v>
      </c>
      <c r="V17" s="583">
        <v>0</v>
      </c>
      <c r="W17" s="194"/>
      <c r="X17" s="248" t="s">
        <v>151</v>
      </c>
      <c r="Y17" s="247" t="s">
        <v>154</v>
      </c>
      <c r="Z17" s="584">
        <v>0</v>
      </c>
      <c r="AA17" s="583">
        <v>0</v>
      </c>
      <c r="AB17" s="583">
        <v>0</v>
      </c>
      <c r="AC17" s="583">
        <v>0</v>
      </c>
      <c r="AD17" s="583">
        <v>0</v>
      </c>
      <c r="AE17" s="583">
        <v>0</v>
      </c>
      <c r="AF17" s="583">
        <v>0</v>
      </c>
      <c r="AG17" s="583">
        <v>0</v>
      </c>
      <c r="AH17" s="583">
        <v>0</v>
      </c>
      <c r="AI17" s="583">
        <v>0</v>
      </c>
      <c r="AJ17" s="583">
        <v>0</v>
      </c>
      <c r="AK17" s="583">
        <v>0</v>
      </c>
      <c r="AL17" s="583">
        <v>0</v>
      </c>
      <c r="AM17" s="583">
        <v>0</v>
      </c>
      <c r="AN17" s="583">
        <v>0</v>
      </c>
      <c r="AO17" s="583">
        <v>0</v>
      </c>
      <c r="AP17" s="583">
        <v>0</v>
      </c>
      <c r="AQ17" s="583">
        <v>0</v>
      </c>
      <c r="AR17" s="583">
        <v>0</v>
      </c>
      <c r="AS17" s="86"/>
      <c r="AT17" s="91"/>
      <c r="AU17" s="91"/>
      <c r="AV17" s="91"/>
      <c r="AW17" s="91"/>
      <c r="AX17" s="91"/>
      <c r="AY17" s="91"/>
      <c r="AZ17" s="86"/>
      <c r="BA17" s="86"/>
      <c r="BB17" s="86"/>
      <c r="BC17" s="86"/>
      <c r="BD17" s="86"/>
      <c r="BE17" s="86"/>
      <c r="BF17" s="86"/>
    </row>
    <row r="18" spans="1:62" ht="14.25" customHeight="1" x14ac:dyDescent="0.35">
      <c r="A18" s="586"/>
      <c r="B18" s="249"/>
      <c r="C18" s="247" t="s">
        <v>109</v>
      </c>
      <c r="D18" s="582">
        <v>20</v>
      </c>
      <c r="E18" s="583">
        <v>20</v>
      </c>
      <c r="F18" s="583">
        <v>20</v>
      </c>
      <c r="G18" s="583">
        <v>20</v>
      </c>
      <c r="H18" s="583">
        <v>20</v>
      </c>
      <c r="I18" s="583">
        <v>20</v>
      </c>
      <c r="J18" s="583">
        <v>20</v>
      </c>
      <c r="K18" s="583">
        <v>20</v>
      </c>
      <c r="L18" s="583">
        <v>20</v>
      </c>
      <c r="M18" s="583">
        <v>20</v>
      </c>
      <c r="N18" s="583">
        <v>20</v>
      </c>
      <c r="O18" s="583">
        <v>20</v>
      </c>
      <c r="P18" s="583">
        <v>20</v>
      </c>
      <c r="Q18" s="583">
        <v>20</v>
      </c>
      <c r="R18" s="583">
        <v>20</v>
      </c>
      <c r="S18" s="583">
        <v>20</v>
      </c>
      <c r="T18" s="583">
        <v>20</v>
      </c>
      <c r="U18" s="583">
        <v>20</v>
      </c>
      <c r="V18" s="583">
        <v>20</v>
      </c>
      <c r="W18" s="194"/>
      <c r="X18" s="249"/>
      <c r="Y18" s="247" t="s">
        <v>109</v>
      </c>
      <c r="Z18" s="582">
        <v>50</v>
      </c>
      <c r="AA18" s="581">
        <f t="shared" ref="AA18:AR18" si="2">Z18</f>
        <v>50</v>
      </c>
      <c r="AB18" s="581">
        <f t="shared" si="2"/>
        <v>50</v>
      </c>
      <c r="AC18" s="581">
        <f t="shared" si="2"/>
        <v>50</v>
      </c>
      <c r="AD18" s="581">
        <f t="shared" si="2"/>
        <v>50</v>
      </c>
      <c r="AE18" s="581">
        <f t="shared" si="2"/>
        <v>50</v>
      </c>
      <c r="AF18" s="581">
        <f t="shared" si="2"/>
        <v>50</v>
      </c>
      <c r="AG18" s="581">
        <f t="shared" si="2"/>
        <v>50</v>
      </c>
      <c r="AH18" s="581">
        <f t="shared" si="2"/>
        <v>50</v>
      </c>
      <c r="AI18" s="581">
        <f t="shared" si="2"/>
        <v>50</v>
      </c>
      <c r="AJ18" s="581">
        <f t="shared" si="2"/>
        <v>50</v>
      </c>
      <c r="AK18" s="581">
        <f t="shared" si="2"/>
        <v>50</v>
      </c>
      <c r="AL18" s="581">
        <f t="shared" si="2"/>
        <v>50</v>
      </c>
      <c r="AM18" s="581">
        <f t="shared" si="2"/>
        <v>50</v>
      </c>
      <c r="AN18" s="581">
        <f t="shared" si="2"/>
        <v>50</v>
      </c>
      <c r="AO18" s="581">
        <f t="shared" si="2"/>
        <v>50</v>
      </c>
      <c r="AP18" s="581">
        <f t="shared" si="2"/>
        <v>50</v>
      </c>
      <c r="AQ18" s="581">
        <f t="shared" si="2"/>
        <v>50</v>
      </c>
      <c r="AR18" s="580">
        <f t="shared" si="2"/>
        <v>50</v>
      </c>
      <c r="AS18" s="87"/>
      <c r="AT18" s="91"/>
      <c r="AU18" s="91"/>
      <c r="AV18" s="91"/>
      <c r="AW18" s="91"/>
      <c r="AX18" s="91"/>
      <c r="AY18" s="91"/>
      <c r="AZ18" s="86"/>
      <c r="BA18" s="86"/>
      <c r="BB18" s="86"/>
      <c r="BC18" s="86"/>
      <c r="BD18" s="86"/>
      <c r="BE18" s="86"/>
      <c r="BF18" s="86"/>
    </row>
    <row r="19" spans="1:62" ht="18.75" customHeight="1" thickBot="1" x14ac:dyDescent="0.4">
      <c r="A19" s="194"/>
      <c r="B19" s="579"/>
      <c r="C19" s="250" t="s">
        <v>183</v>
      </c>
      <c r="D19" s="578">
        <v>210.79856607660673</v>
      </c>
      <c r="E19" s="577">
        <v>210.79856607660673</v>
      </c>
      <c r="F19" s="577">
        <v>210.79856607660673</v>
      </c>
      <c r="G19" s="577">
        <v>210.79856607660673</v>
      </c>
      <c r="H19" s="577">
        <v>210.79856607660673</v>
      </c>
      <c r="I19" s="577">
        <v>210.79856607660673</v>
      </c>
      <c r="J19" s="577">
        <v>210.79856607660673</v>
      </c>
      <c r="K19" s="577">
        <v>210.79856607660673</v>
      </c>
      <c r="L19" s="577">
        <v>210.79856607660673</v>
      </c>
      <c r="M19" s="577">
        <v>210.79856607660673</v>
      </c>
      <c r="N19" s="577">
        <v>210.79856607660673</v>
      </c>
      <c r="O19" s="577">
        <v>210.79856607660673</v>
      </c>
      <c r="P19" s="577">
        <v>210.79856607660673</v>
      </c>
      <c r="Q19" s="577">
        <v>210.79856607660673</v>
      </c>
      <c r="R19" s="577">
        <v>210.79856607660673</v>
      </c>
      <c r="S19" s="577">
        <v>210.79856607660673</v>
      </c>
      <c r="T19" s="577">
        <v>210.79856607660673</v>
      </c>
      <c r="U19" s="577">
        <v>210.79856607660673</v>
      </c>
      <c r="V19" s="576">
        <v>210.79856607660673</v>
      </c>
      <c r="W19" s="194"/>
      <c r="X19" s="579"/>
      <c r="Y19" s="250" t="s">
        <v>183</v>
      </c>
      <c r="Z19" s="578">
        <v>10.757999999999999</v>
      </c>
      <c r="AA19" s="577">
        <v>10.757999999999999</v>
      </c>
      <c r="AB19" s="577">
        <v>10.757999999999999</v>
      </c>
      <c r="AC19" s="577">
        <v>10.757999999999999</v>
      </c>
      <c r="AD19" s="577">
        <v>10.757999999999999</v>
      </c>
      <c r="AE19" s="577">
        <v>10.757999999999999</v>
      </c>
      <c r="AF19" s="577">
        <v>10.757999999999999</v>
      </c>
      <c r="AG19" s="577">
        <v>10.757999999999999</v>
      </c>
      <c r="AH19" s="577">
        <v>10.757999999999999</v>
      </c>
      <c r="AI19" s="577">
        <v>10.757999999999999</v>
      </c>
      <c r="AJ19" s="577">
        <v>10.757999999999999</v>
      </c>
      <c r="AK19" s="577">
        <v>10.757999999999999</v>
      </c>
      <c r="AL19" s="577">
        <v>10.757999999999999</v>
      </c>
      <c r="AM19" s="577">
        <v>10.757999999999999</v>
      </c>
      <c r="AN19" s="577">
        <v>10.757999999999999</v>
      </c>
      <c r="AO19" s="577">
        <v>10.757999999999999</v>
      </c>
      <c r="AP19" s="577">
        <v>10.757999999999999</v>
      </c>
      <c r="AQ19" s="577">
        <v>10.757999999999999</v>
      </c>
      <c r="AR19" s="576">
        <v>10.757999999999999</v>
      </c>
      <c r="AS19" s="91"/>
      <c r="AT19" s="91"/>
      <c r="AU19" s="91"/>
      <c r="AV19" s="91"/>
      <c r="AW19" s="91"/>
      <c r="AX19" s="91"/>
      <c r="AY19" s="91"/>
      <c r="AZ19" s="90"/>
      <c r="BA19" s="86"/>
      <c r="BB19" s="86"/>
      <c r="BC19" s="86"/>
      <c r="BD19" s="86"/>
      <c r="BE19" s="86"/>
      <c r="BF19" s="86"/>
      <c r="BG19" s="86"/>
      <c r="BH19" s="86"/>
    </row>
    <row r="20" spans="1:62" ht="16.2" thickTop="1" thickBot="1" x14ac:dyDescent="0.4">
      <c r="A20" s="194"/>
      <c r="B20" s="194"/>
      <c r="C20" s="251"/>
      <c r="D20" s="585"/>
      <c r="E20" s="585"/>
      <c r="F20" s="585"/>
      <c r="G20" s="585"/>
      <c r="H20" s="585"/>
      <c r="I20" s="585"/>
      <c r="J20" s="585"/>
      <c r="K20" s="585"/>
      <c r="L20" s="585"/>
      <c r="M20" s="585"/>
      <c r="N20" s="585"/>
      <c r="O20" s="585"/>
      <c r="P20" s="585"/>
      <c r="Q20" s="585"/>
      <c r="R20" s="585"/>
      <c r="S20" s="585"/>
      <c r="T20" s="585"/>
      <c r="U20" s="585"/>
      <c r="V20" s="585"/>
      <c r="W20" s="585"/>
      <c r="X20" s="585"/>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8" thickTop="1" x14ac:dyDescent="0.35">
      <c r="A21" s="194"/>
      <c r="B21" s="561">
        <f>INDEX($AZ$44:$BC$54,MATCH(B23,$AY$44:$AY$54,0),MATCH($C$6,$AZ$43:$BC$43,0))</f>
        <v>2036</v>
      </c>
      <c r="C21" s="562">
        <f>INDEX($AZ$28:$BC$38,MATCH(B23,$AY$28:$AY$38,0),MATCH($C$6,$AZ$27:$BC$27,0))</f>
        <v>0.4</v>
      </c>
      <c r="D21" s="535">
        <v>2014</v>
      </c>
      <c r="E21" s="536">
        <v>2016</v>
      </c>
      <c r="F21" s="536">
        <v>2018</v>
      </c>
      <c r="G21" s="536">
        <v>2020</v>
      </c>
      <c r="H21" s="536">
        <v>2022</v>
      </c>
      <c r="I21" s="536">
        <v>2024</v>
      </c>
      <c r="J21" s="536">
        <v>2026</v>
      </c>
      <c r="K21" s="536">
        <v>2028</v>
      </c>
      <c r="L21" s="536">
        <v>2030</v>
      </c>
      <c r="M21" s="536">
        <v>2032</v>
      </c>
      <c r="N21" s="536">
        <v>2034</v>
      </c>
      <c r="O21" s="536">
        <v>2036</v>
      </c>
      <c r="P21" s="536">
        <v>2038</v>
      </c>
      <c r="Q21" s="536">
        <v>2040</v>
      </c>
      <c r="R21" s="536">
        <v>2042</v>
      </c>
      <c r="S21" s="536">
        <v>2044</v>
      </c>
      <c r="T21" s="536">
        <v>2046</v>
      </c>
      <c r="U21" s="536">
        <v>2048</v>
      </c>
      <c r="V21" s="537">
        <v>2050</v>
      </c>
      <c r="W21" s="194"/>
      <c r="X21" s="561">
        <f>INDEX($AZ$44:$BC$54,MATCH(X23,$AY$44:$AY$54,0),MATCH($C$6,$AZ$43:$BC$43,0))</f>
        <v>2036</v>
      </c>
      <c r="Y21" s="562">
        <f>INDEX($AZ$28:$BC$38,MATCH(X23,$AY$28:$AY$38,0),MATCH($C$6,$AZ$27:$BC$27,0))</f>
        <v>0.21</v>
      </c>
      <c r="Z21" s="535">
        <v>2014</v>
      </c>
      <c r="AA21" s="536">
        <v>2016</v>
      </c>
      <c r="AB21" s="536">
        <v>2018</v>
      </c>
      <c r="AC21" s="536">
        <v>2020</v>
      </c>
      <c r="AD21" s="536">
        <v>2022</v>
      </c>
      <c r="AE21" s="536">
        <v>2024</v>
      </c>
      <c r="AF21" s="536">
        <v>2026</v>
      </c>
      <c r="AG21" s="536">
        <v>2028</v>
      </c>
      <c r="AH21" s="536">
        <v>2030</v>
      </c>
      <c r="AI21" s="536">
        <v>2032</v>
      </c>
      <c r="AJ21" s="536">
        <v>2034</v>
      </c>
      <c r="AK21" s="536">
        <v>2036</v>
      </c>
      <c r="AL21" s="536">
        <v>2038</v>
      </c>
      <c r="AM21" s="536">
        <v>2040</v>
      </c>
      <c r="AN21" s="536">
        <v>2042</v>
      </c>
      <c r="AO21" s="536">
        <v>2044</v>
      </c>
      <c r="AP21" s="536">
        <v>2046</v>
      </c>
      <c r="AQ21" s="536">
        <v>2048</v>
      </c>
      <c r="AR21" s="537">
        <v>2050</v>
      </c>
      <c r="AS21" s="86"/>
      <c r="AT21" s="91"/>
      <c r="AU21" s="91"/>
      <c r="AV21" s="91"/>
      <c r="AW21" s="91"/>
      <c r="AX21" s="91"/>
      <c r="AY21" s="91"/>
      <c r="AZ21" s="92"/>
      <c r="BA21" s="93"/>
      <c r="BB21" s="90"/>
      <c r="BC21" s="86"/>
      <c r="BD21" s="86"/>
      <c r="BE21" s="86"/>
      <c r="BF21" s="86"/>
      <c r="BG21" s="86"/>
      <c r="BH21" s="86"/>
      <c r="BI21" s="86"/>
      <c r="BJ21" s="86"/>
    </row>
    <row r="22" spans="1:62" ht="16.2" x14ac:dyDescent="0.35">
      <c r="A22" s="194"/>
      <c r="B22" s="244"/>
      <c r="C22" s="245" t="s">
        <v>108</v>
      </c>
      <c r="D22" s="538">
        <v>7785</v>
      </c>
      <c r="E22" s="246">
        <f t="shared" ref="E22:V22" si="3">IF(E$21&gt;$B21,D22,D22-($D22*2*$C21/($B21-$D21)))</f>
        <v>7501.909090909091</v>
      </c>
      <c r="F22" s="246">
        <f t="shared" si="3"/>
        <v>7218.818181818182</v>
      </c>
      <c r="G22" s="246">
        <f t="shared" si="3"/>
        <v>6935.727272727273</v>
      </c>
      <c r="H22" s="246">
        <f t="shared" si="3"/>
        <v>6652.636363636364</v>
      </c>
      <c r="I22" s="246">
        <f t="shared" si="3"/>
        <v>6369.545454545455</v>
      </c>
      <c r="J22" s="246">
        <f t="shared" si="3"/>
        <v>6086.454545454546</v>
      </c>
      <c r="K22" s="246">
        <f t="shared" si="3"/>
        <v>5803.3636363636369</v>
      </c>
      <c r="L22" s="246">
        <f t="shared" si="3"/>
        <v>5520.2727272727279</v>
      </c>
      <c r="M22" s="246">
        <f t="shared" si="3"/>
        <v>5237.1818181818189</v>
      </c>
      <c r="N22" s="246">
        <f t="shared" si="3"/>
        <v>4954.0909090909099</v>
      </c>
      <c r="O22" s="246">
        <f t="shared" si="3"/>
        <v>4671.0000000000009</v>
      </c>
      <c r="P22" s="246">
        <f t="shared" si="3"/>
        <v>4671.0000000000009</v>
      </c>
      <c r="Q22" s="246">
        <f t="shared" si="3"/>
        <v>4671.0000000000009</v>
      </c>
      <c r="R22" s="246">
        <f t="shared" si="3"/>
        <v>4671.0000000000009</v>
      </c>
      <c r="S22" s="246">
        <f t="shared" si="3"/>
        <v>4671.0000000000009</v>
      </c>
      <c r="T22" s="246">
        <f t="shared" si="3"/>
        <v>4671.0000000000009</v>
      </c>
      <c r="U22" s="246">
        <f t="shared" si="3"/>
        <v>4671.0000000000009</v>
      </c>
      <c r="V22" s="246">
        <f t="shared" si="3"/>
        <v>4671.0000000000009</v>
      </c>
      <c r="W22" s="194"/>
      <c r="X22" s="244"/>
      <c r="Y22" s="245" t="s">
        <v>108</v>
      </c>
      <c r="Z22" s="538">
        <v>2960.5660862646519</v>
      </c>
      <c r="AA22" s="246">
        <f t="shared" ref="AA22:AR22" si="4">IF(AA21&gt;$X21,Z22,Z22-($Z22*2*$Y21/($B21-$Z21)))</f>
        <v>2904.0461882541449</v>
      </c>
      <c r="AB22" s="246">
        <f t="shared" si="4"/>
        <v>2847.526290243638</v>
      </c>
      <c r="AC22" s="246">
        <f t="shared" si="4"/>
        <v>2791.006392233131</v>
      </c>
      <c r="AD22" s="246">
        <f t="shared" si="4"/>
        <v>2734.4864942226241</v>
      </c>
      <c r="AE22" s="246">
        <f t="shared" si="4"/>
        <v>2677.9665962121171</v>
      </c>
      <c r="AF22" s="246">
        <f t="shared" si="4"/>
        <v>2621.4466982016102</v>
      </c>
      <c r="AG22" s="246">
        <f t="shared" si="4"/>
        <v>2564.9268001911032</v>
      </c>
      <c r="AH22" s="246">
        <f t="shared" si="4"/>
        <v>2508.4069021805963</v>
      </c>
      <c r="AI22" s="246">
        <f t="shared" si="4"/>
        <v>2451.8870041700893</v>
      </c>
      <c r="AJ22" s="246">
        <f t="shared" si="4"/>
        <v>2395.3671061595824</v>
      </c>
      <c r="AK22" s="246">
        <f t="shared" si="4"/>
        <v>2338.8472081490754</v>
      </c>
      <c r="AL22" s="246">
        <f t="shared" si="4"/>
        <v>2338.8472081490754</v>
      </c>
      <c r="AM22" s="246">
        <f t="shared" si="4"/>
        <v>2338.8472081490754</v>
      </c>
      <c r="AN22" s="246">
        <f t="shared" si="4"/>
        <v>2338.8472081490754</v>
      </c>
      <c r="AO22" s="246">
        <f t="shared" si="4"/>
        <v>2338.8472081490754</v>
      </c>
      <c r="AP22" s="246">
        <f t="shared" si="4"/>
        <v>2338.8472081490754</v>
      </c>
      <c r="AQ22" s="246">
        <f t="shared" si="4"/>
        <v>2338.8472081490754</v>
      </c>
      <c r="AR22" s="246">
        <f t="shared" si="4"/>
        <v>2338.8472081490754</v>
      </c>
      <c r="AS22" s="86"/>
      <c r="AT22" s="91"/>
      <c r="AU22" s="91"/>
      <c r="AV22" s="91"/>
      <c r="AW22" s="91"/>
      <c r="AX22" s="91"/>
      <c r="AY22" s="550"/>
      <c r="AZ22" s="547"/>
      <c r="BA22" s="551"/>
      <c r="BB22" s="552"/>
      <c r="BC22" s="552"/>
      <c r="BD22" s="552"/>
      <c r="BE22" s="552"/>
      <c r="BF22" s="552"/>
      <c r="BG22" s="86"/>
      <c r="BH22" s="86"/>
      <c r="BI22" s="86"/>
      <c r="BJ22" s="86"/>
    </row>
    <row r="23" spans="1:62" ht="21" x14ac:dyDescent="0.4">
      <c r="A23" s="194"/>
      <c r="B23" s="202" t="s">
        <v>112</v>
      </c>
      <c r="C23" s="247" t="s">
        <v>110</v>
      </c>
      <c r="D23" s="401">
        <v>45.159000000000006</v>
      </c>
      <c r="E23" s="401">
        <v>45.159000000000006</v>
      </c>
      <c r="F23" s="401">
        <v>45.159000000000006</v>
      </c>
      <c r="G23" s="401">
        <v>45.159000000000006</v>
      </c>
      <c r="H23" s="401">
        <v>45.159000000000006</v>
      </c>
      <c r="I23" s="401">
        <v>45.159000000000006</v>
      </c>
      <c r="J23" s="401">
        <v>45.159000000000006</v>
      </c>
      <c r="K23" s="401">
        <v>45.159000000000006</v>
      </c>
      <c r="L23" s="401">
        <v>45.159000000000006</v>
      </c>
      <c r="M23" s="401">
        <v>45.159000000000006</v>
      </c>
      <c r="N23" s="401">
        <v>45.159000000000006</v>
      </c>
      <c r="O23" s="401">
        <v>45.159000000000006</v>
      </c>
      <c r="P23" s="401">
        <v>45.159000000000006</v>
      </c>
      <c r="Q23" s="401">
        <v>45.159000000000006</v>
      </c>
      <c r="R23" s="401">
        <v>45.159000000000006</v>
      </c>
      <c r="S23" s="401">
        <v>45.159000000000006</v>
      </c>
      <c r="T23" s="401">
        <v>45.159000000000006</v>
      </c>
      <c r="U23" s="401">
        <v>45.159000000000006</v>
      </c>
      <c r="V23" s="401">
        <v>45.159000000000006</v>
      </c>
      <c r="W23" s="194"/>
      <c r="X23" s="202" t="s">
        <v>134</v>
      </c>
      <c r="Y23" s="247" t="s">
        <v>110</v>
      </c>
      <c r="Z23" s="195">
        <v>38.228999999999999</v>
      </c>
      <c r="AA23" s="195">
        <v>38.228999999999999</v>
      </c>
      <c r="AB23" s="195">
        <v>38.228999999999999</v>
      </c>
      <c r="AC23" s="195">
        <v>38.228999999999999</v>
      </c>
      <c r="AD23" s="195">
        <v>38.228999999999999</v>
      </c>
      <c r="AE23" s="195">
        <v>38.228999999999999</v>
      </c>
      <c r="AF23" s="195">
        <v>38.228999999999999</v>
      </c>
      <c r="AG23" s="195">
        <v>38.228999999999999</v>
      </c>
      <c r="AH23" s="195">
        <v>38.228999999999999</v>
      </c>
      <c r="AI23" s="195">
        <v>38.228999999999999</v>
      </c>
      <c r="AJ23" s="195">
        <v>38.228999999999999</v>
      </c>
      <c r="AK23" s="195">
        <v>38.228999999999999</v>
      </c>
      <c r="AL23" s="195">
        <v>38.228999999999999</v>
      </c>
      <c r="AM23" s="195">
        <v>38.228999999999999</v>
      </c>
      <c r="AN23" s="195">
        <v>38.228999999999999</v>
      </c>
      <c r="AO23" s="195">
        <v>38.228999999999999</v>
      </c>
      <c r="AP23" s="195">
        <v>38.228999999999999</v>
      </c>
      <c r="AQ23" s="195">
        <v>38.228999999999999</v>
      </c>
      <c r="AR23" s="195">
        <v>38.228999999999999</v>
      </c>
      <c r="AS23" s="86"/>
      <c r="AT23" s="91"/>
      <c r="AU23" s="91"/>
      <c r="AV23" s="91"/>
      <c r="AW23" s="91"/>
      <c r="AX23" s="91"/>
      <c r="AY23" s="550"/>
      <c r="AZ23" s="554" t="s">
        <v>362</v>
      </c>
      <c r="BA23" s="551"/>
      <c r="BB23" s="552"/>
      <c r="BC23" s="552"/>
      <c r="BD23" s="552"/>
      <c r="BE23" s="552"/>
      <c r="BF23" s="552"/>
      <c r="BG23" s="86"/>
      <c r="BH23" s="86"/>
      <c r="BI23" s="86"/>
      <c r="BJ23" s="86"/>
    </row>
    <row r="24" spans="1:62" ht="21" x14ac:dyDescent="0.4">
      <c r="A24" s="194"/>
      <c r="B24" s="248" t="s">
        <v>151</v>
      </c>
      <c r="C24" s="247" t="s">
        <v>154</v>
      </c>
      <c r="D24" s="584">
        <v>0</v>
      </c>
      <c r="E24" s="583">
        <v>0</v>
      </c>
      <c r="F24" s="583">
        <v>0</v>
      </c>
      <c r="G24" s="583">
        <v>0</v>
      </c>
      <c r="H24" s="583">
        <v>0</v>
      </c>
      <c r="I24" s="583">
        <v>0</v>
      </c>
      <c r="J24" s="583">
        <v>0</v>
      </c>
      <c r="K24" s="583">
        <v>0</v>
      </c>
      <c r="L24" s="583">
        <v>0</v>
      </c>
      <c r="M24" s="583">
        <v>0</v>
      </c>
      <c r="N24" s="583">
        <v>0</v>
      </c>
      <c r="O24" s="583">
        <v>0</v>
      </c>
      <c r="P24" s="583">
        <v>0</v>
      </c>
      <c r="Q24" s="583">
        <v>0</v>
      </c>
      <c r="R24" s="583">
        <v>0</v>
      </c>
      <c r="S24" s="583">
        <v>0</v>
      </c>
      <c r="T24" s="583">
        <v>0</v>
      </c>
      <c r="U24" s="583">
        <v>0</v>
      </c>
      <c r="V24" s="583">
        <v>0</v>
      </c>
      <c r="W24" s="194"/>
      <c r="X24" s="248" t="s">
        <v>151</v>
      </c>
      <c r="Y24" s="247" t="s">
        <v>154</v>
      </c>
      <c r="Z24" s="584">
        <v>0</v>
      </c>
      <c r="AA24" s="583">
        <v>0</v>
      </c>
      <c r="AB24" s="583">
        <v>0</v>
      </c>
      <c r="AC24" s="583">
        <v>0</v>
      </c>
      <c r="AD24" s="583">
        <v>0</v>
      </c>
      <c r="AE24" s="583">
        <v>0</v>
      </c>
      <c r="AF24" s="583">
        <v>0</v>
      </c>
      <c r="AG24" s="583">
        <v>0</v>
      </c>
      <c r="AH24" s="583">
        <v>0</v>
      </c>
      <c r="AI24" s="583">
        <v>0</v>
      </c>
      <c r="AJ24" s="583">
        <v>0</v>
      </c>
      <c r="AK24" s="583">
        <v>0</v>
      </c>
      <c r="AL24" s="583">
        <v>0</v>
      </c>
      <c r="AM24" s="583">
        <v>0</v>
      </c>
      <c r="AN24" s="583">
        <v>0</v>
      </c>
      <c r="AO24" s="583">
        <v>0</v>
      </c>
      <c r="AP24" s="583">
        <v>0</v>
      </c>
      <c r="AQ24" s="583">
        <v>0</v>
      </c>
      <c r="AR24" s="583">
        <v>0</v>
      </c>
      <c r="AS24" s="86"/>
      <c r="AT24" s="91"/>
      <c r="AU24" s="91"/>
      <c r="AV24" s="91"/>
      <c r="AW24" s="91"/>
      <c r="AX24" s="91"/>
      <c r="AY24" s="550"/>
      <c r="AZ24" s="547"/>
      <c r="BA24" s="551"/>
      <c r="BB24" s="552"/>
      <c r="BC24" s="552"/>
      <c r="BD24" s="552"/>
      <c r="BE24" s="552"/>
      <c r="BF24" s="552"/>
      <c r="BG24" s="86"/>
      <c r="BH24" s="86"/>
      <c r="BI24" s="86"/>
      <c r="BJ24" s="86"/>
    </row>
    <row r="25" spans="1:62" ht="16.2" x14ac:dyDescent="0.35">
      <c r="A25" s="194"/>
      <c r="B25" s="249"/>
      <c r="C25" s="247" t="s">
        <v>109</v>
      </c>
      <c r="D25" s="582">
        <v>30</v>
      </c>
      <c r="E25" s="581">
        <f t="shared" ref="E25:V25" si="5">D25</f>
        <v>30</v>
      </c>
      <c r="F25" s="581">
        <f t="shared" si="5"/>
        <v>30</v>
      </c>
      <c r="G25" s="581">
        <f t="shared" si="5"/>
        <v>30</v>
      </c>
      <c r="H25" s="581">
        <f t="shared" si="5"/>
        <v>30</v>
      </c>
      <c r="I25" s="581">
        <f t="shared" si="5"/>
        <v>30</v>
      </c>
      <c r="J25" s="581">
        <f t="shared" si="5"/>
        <v>30</v>
      </c>
      <c r="K25" s="581">
        <f t="shared" si="5"/>
        <v>30</v>
      </c>
      <c r="L25" s="581">
        <f t="shared" si="5"/>
        <v>30</v>
      </c>
      <c r="M25" s="581">
        <f t="shared" si="5"/>
        <v>30</v>
      </c>
      <c r="N25" s="581">
        <f t="shared" si="5"/>
        <v>30</v>
      </c>
      <c r="O25" s="581">
        <f t="shared" si="5"/>
        <v>30</v>
      </c>
      <c r="P25" s="581">
        <f t="shared" si="5"/>
        <v>30</v>
      </c>
      <c r="Q25" s="581">
        <f t="shared" si="5"/>
        <v>30</v>
      </c>
      <c r="R25" s="581">
        <f t="shared" si="5"/>
        <v>30</v>
      </c>
      <c r="S25" s="581">
        <f t="shared" si="5"/>
        <v>30</v>
      </c>
      <c r="T25" s="581">
        <f t="shared" si="5"/>
        <v>30</v>
      </c>
      <c r="U25" s="581">
        <f t="shared" si="5"/>
        <v>30</v>
      </c>
      <c r="V25" s="580">
        <f t="shared" si="5"/>
        <v>30</v>
      </c>
      <c r="W25" s="194"/>
      <c r="X25" s="249"/>
      <c r="Y25" s="247" t="s">
        <v>109</v>
      </c>
      <c r="Z25" s="582">
        <v>50</v>
      </c>
      <c r="AA25" s="581">
        <f t="shared" ref="AA25:AR25" si="6">Z25</f>
        <v>50</v>
      </c>
      <c r="AB25" s="581">
        <f t="shared" si="6"/>
        <v>50</v>
      </c>
      <c r="AC25" s="581">
        <f t="shared" si="6"/>
        <v>50</v>
      </c>
      <c r="AD25" s="581">
        <f t="shared" si="6"/>
        <v>50</v>
      </c>
      <c r="AE25" s="581">
        <f t="shared" si="6"/>
        <v>50</v>
      </c>
      <c r="AF25" s="581">
        <f t="shared" si="6"/>
        <v>50</v>
      </c>
      <c r="AG25" s="581">
        <f t="shared" si="6"/>
        <v>50</v>
      </c>
      <c r="AH25" s="581">
        <f t="shared" si="6"/>
        <v>50</v>
      </c>
      <c r="AI25" s="581">
        <f t="shared" si="6"/>
        <v>50</v>
      </c>
      <c r="AJ25" s="581">
        <f t="shared" si="6"/>
        <v>50</v>
      </c>
      <c r="AK25" s="581">
        <f t="shared" si="6"/>
        <v>50</v>
      </c>
      <c r="AL25" s="581">
        <f t="shared" si="6"/>
        <v>50</v>
      </c>
      <c r="AM25" s="581">
        <f t="shared" si="6"/>
        <v>50</v>
      </c>
      <c r="AN25" s="581">
        <f t="shared" si="6"/>
        <v>50</v>
      </c>
      <c r="AO25" s="581">
        <f t="shared" si="6"/>
        <v>50</v>
      </c>
      <c r="AP25" s="581">
        <f t="shared" si="6"/>
        <v>50</v>
      </c>
      <c r="AQ25" s="581">
        <f t="shared" si="6"/>
        <v>50</v>
      </c>
      <c r="AR25" s="580">
        <f t="shared" si="6"/>
        <v>50</v>
      </c>
      <c r="AS25" s="86"/>
      <c r="AT25" s="91"/>
      <c r="AU25" s="91"/>
      <c r="AV25" s="91"/>
      <c r="AW25" s="91"/>
      <c r="AX25" s="91"/>
      <c r="AY25" s="550"/>
      <c r="AZ25" s="552"/>
      <c r="BA25" s="551" t="s">
        <v>366</v>
      </c>
      <c r="BB25" s="552"/>
      <c r="BC25" s="552"/>
      <c r="BD25" s="552"/>
      <c r="BE25" s="552"/>
      <c r="BF25" s="552"/>
      <c r="BG25" s="86"/>
      <c r="BH25" s="86"/>
      <c r="BI25" s="86"/>
      <c r="BJ25" s="86"/>
    </row>
    <row r="26" spans="1:62" ht="15.6" thickBot="1" x14ac:dyDescent="0.4">
      <c r="A26" s="194"/>
      <c r="B26" s="579"/>
      <c r="C26" s="250" t="s">
        <v>183</v>
      </c>
      <c r="D26" s="578">
        <v>164.27452731742318</v>
      </c>
      <c r="E26" s="577">
        <v>164.27452731742318</v>
      </c>
      <c r="F26" s="577">
        <v>164.27452731742318</v>
      </c>
      <c r="G26" s="577">
        <v>164.27452731742318</v>
      </c>
      <c r="H26" s="577">
        <v>164.27452731742318</v>
      </c>
      <c r="I26" s="577">
        <v>164.27452731742318</v>
      </c>
      <c r="J26" s="577">
        <v>164.27452731742318</v>
      </c>
      <c r="K26" s="577">
        <v>164.27452731742318</v>
      </c>
      <c r="L26" s="577">
        <v>164.27452731742318</v>
      </c>
      <c r="M26" s="577">
        <v>164.27452731742318</v>
      </c>
      <c r="N26" s="577">
        <v>164.27452731742318</v>
      </c>
      <c r="O26" s="577">
        <v>164.27452731742318</v>
      </c>
      <c r="P26" s="577">
        <v>164.27452731742318</v>
      </c>
      <c r="Q26" s="577">
        <v>164.27452731742318</v>
      </c>
      <c r="R26" s="577">
        <v>164.27452731742318</v>
      </c>
      <c r="S26" s="577">
        <v>164.27452731742318</v>
      </c>
      <c r="T26" s="577">
        <v>164.27452731742318</v>
      </c>
      <c r="U26" s="577">
        <v>164.27452731742318</v>
      </c>
      <c r="V26" s="576">
        <v>164.27452731742318</v>
      </c>
      <c r="W26" s="194"/>
      <c r="X26" s="579"/>
      <c r="Y26" s="250" t="s">
        <v>183</v>
      </c>
      <c r="Z26" s="578">
        <v>9.8829999999999991</v>
      </c>
      <c r="AA26" s="577">
        <v>9.8829999999999991</v>
      </c>
      <c r="AB26" s="577">
        <v>9.8829999999999991</v>
      </c>
      <c r="AC26" s="577">
        <v>9.8829999999999991</v>
      </c>
      <c r="AD26" s="577">
        <v>9.8829999999999991</v>
      </c>
      <c r="AE26" s="577">
        <v>9.8829999999999991</v>
      </c>
      <c r="AF26" s="577">
        <v>9.8829999999999991</v>
      </c>
      <c r="AG26" s="577">
        <v>9.8829999999999991</v>
      </c>
      <c r="AH26" s="577">
        <v>9.8829999999999991</v>
      </c>
      <c r="AI26" s="577">
        <v>9.8829999999999991</v>
      </c>
      <c r="AJ26" s="577">
        <v>9.8829999999999991</v>
      </c>
      <c r="AK26" s="577">
        <v>9.8829999999999991</v>
      </c>
      <c r="AL26" s="577">
        <v>9.8829999999999991</v>
      </c>
      <c r="AM26" s="577">
        <v>9.8829999999999991</v>
      </c>
      <c r="AN26" s="577">
        <v>9.8829999999999991</v>
      </c>
      <c r="AO26" s="577">
        <v>9.8829999999999991</v>
      </c>
      <c r="AP26" s="577">
        <v>9.8829999999999991</v>
      </c>
      <c r="AQ26" s="577">
        <v>9.8829999999999991</v>
      </c>
      <c r="AR26" s="576">
        <v>9.8829999999999991</v>
      </c>
      <c r="AS26" s="86"/>
      <c r="AT26" s="91"/>
      <c r="AU26" s="91"/>
      <c r="AV26" s="91"/>
      <c r="AW26" s="91"/>
      <c r="AX26" s="91"/>
      <c r="AY26" s="550"/>
      <c r="AZ26" s="547"/>
      <c r="BA26" s="551"/>
      <c r="BB26" s="552"/>
      <c r="BC26" s="552"/>
      <c r="BD26" s="552"/>
      <c r="BE26" s="552"/>
      <c r="BF26" s="552"/>
      <c r="BG26" s="86"/>
      <c r="BH26" s="86"/>
      <c r="BI26" s="86"/>
      <c r="BJ26" s="86"/>
    </row>
    <row r="27" spans="1:62" ht="16.2" thickTop="1" thickBot="1" x14ac:dyDescent="0.4">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50"/>
      <c r="AZ27" s="547" t="s">
        <v>363</v>
      </c>
      <c r="BA27" s="551" t="s">
        <v>364</v>
      </c>
      <c r="BB27" s="552" t="s">
        <v>336</v>
      </c>
      <c r="BC27" s="552" t="s">
        <v>365</v>
      </c>
      <c r="BD27" s="552"/>
      <c r="BE27" s="552"/>
      <c r="BF27" s="552"/>
      <c r="BG27" s="86"/>
      <c r="BH27" s="86"/>
      <c r="BI27" s="86"/>
      <c r="BJ27" s="86"/>
    </row>
    <row r="28" spans="1:62" ht="23.4" thickTop="1" x14ac:dyDescent="0.5">
      <c r="A28" s="194"/>
      <c r="B28" s="561">
        <f>INDEX($AZ$44:$BC$54,MATCH(B30,$AY$44:$AY$54,0),MATCH($C$6,$AZ$43:$BC$43,0))</f>
        <v>2036</v>
      </c>
      <c r="C28" s="562">
        <f>INDEX($AZ$28:$BC$38,MATCH(B30,$AY$28:$AY$38,0),MATCH($C$6,$AZ$27:$BC$27,0))</f>
        <v>0.4</v>
      </c>
      <c r="D28" s="535">
        <v>2014</v>
      </c>
      <c r="E28" s="536">
        <v>2016</v>
      </c>
      <c r="F28" s="536">
        <v>2018</v>
      </c>
      <c r="G28" s="536">
        <v>2020</v>
      </c>
      <c r="H28" s="536">
        <v>2022</v>
      </c>
      <c r="I28" s="536">
        <v>2024</v>
      </c>
      <c r="J28" s="536">
        <v>2026</v>
      </c>
      <c r="K28" s="536">
        <v>2028</v>
      </c>
      <c r="L28" s="536">
        <v>2030</v>
      </c>
      <c r="M28" s="536">
        <v>2032</v>
      </c>
      <c r="N28" s="536">
        <v>2034</v>
      </c>
      <c r="O28" s="536">
        <v>2036</v>
      </c>
      <c r="P28" s="536">
        <v>2038</v>
      </c>
      <c r="Q28" s="536">
        <v>2040</v>
      </c>
      <c r="R28" s="536">
        <v>2042</v>
      </c>
      <c r="S28" s="536">
        <v>2044</v>
      </c>
      <c r="T28" s="536">
        <v>2046</v>
      </c>
      <c r="U28" s="536">
        <v>2048</v>
      </c>
      <c r="V28" s="537">
        <v>2050</v>
      </c>
      <c r="W28" s="194"/>
      <c r="X28" s="561">
        <f>INDEX($AZ$44:$BC$54,MATCH(X30,$AY$44:$AY$54,0),MATCH($C$6,$AZ$43:$BC$43,0))</f>
        <v>2036</v>
      </c>
      <c r="Y28" s="562">
        <f>INDEX($AZ$28:$BC$38,MATCH(X30,$AY$28:$AY$38,0),MATCH($C$6,$AZ$27:$BC$27,0))</f>
        <v>0.16</v>
      </c>
      <c r="Z28" s="535">
        <v>2014</v>
      </c>
      <c r="AA28" s="536">
        <v>2016</v>
      </c>
      <c r="AB28" s="536">
        <v>2018</v>
      </c>
      <c r="AC28" s="536">
        <v>2020</v>
      </c>
      <c r="AD28" s="536">
        <v>2022</v>
      </c>
      <c r="AE28" s="536">
        <v>2024</v>
      </c>
      <c r="AF28" s="536">
        <v>2026</v>
      </c>
      <c r="AG28" s="536">
        <v>2028</v>
      </c>
      <c r="AH28" s="536">
        <v>2030</v>
      </c>
      <c r="AI28" s="536">
        <v>2032</v>
      </c>
      <c r="AJ28" s="536">
        <v>2034</v>
      </c>
      <c r="AK28" s="536">
        <v>2036</v>
      </c>
      <c r="AL28" s="536">
        <v>2038</v>
      </c>
      <c r="AM28" s="536">
        <v>2040</v>
      </c>
      <c r="AN28" s="536">
        <v>2042</v>
      </c>
      <c r="AO28" s="536">
        <v>2044</v>
      </c>
      <c r="AP28" s="536">
        <v>2046</v>
      </c>
      <c r="AQ28" s="536">
        <v>2048</v>
      </c>
      <c r="AR28" s="537">
        <v>2050</v>
      </c>
      <c r="AS28" s="86"/>
      <c r="AT28" s="91"/>
      <c r="AU28" s="91"/>
      <c r="AV28" s="91"/>
      <c r="AW28" s="91"/>
      <c r="AX28" s="91"/>
      <c r="AY28" s="555" t="s">
        <v>163</v>
      </c>
      <c r="AZ28" s="548">
        <v>0</v>
      </c>
      <c r="BA28" s="549">
        <v>0.4</v>
      </c>
      <c r="BB28" s="549">
        <v>0.4</v>
      </c>
      <c r="BC28" s="549">
        <v>0.54</v>
      </c>
      <c r="BD28" s="552"/>
      <c r="BE28" s="552"/>
      <c r="BF28" s="552"/>
      <c r="BG28" s="86"/>
      <c r="BH28" s="86"/>
      <c r="BI28" s="86"/>
      <c r="BJ28" s="86"/>
    </row>
    <row r="29" spans="1:62" ht="22.8" x14ac:dyDescent="0.5">
      <c r="A29" s="194"/>
      <c r="B29" s="244"/>
      <c r="C29" s="245" t="s">
        <v>108</v>
      </c>
      <c r="D29" s="538">
        <v>6914.4923694308109</v>
      </c>
      <c r="E29" s="246">
        <f t="shared" ref="E29:V29" si="7">IF(E28&gt;$B28,D29,D29-($D29*2*$C28/($B28-$D28)))</f>
        <v>6663.0562832696905</v>
      </c>
      <c r="F29" s="246">
        <f t="shared" si="7"/>
        <v>6411.6201971085702</v>
      </c>
      <c r="G29" s="246">
        <f t="shared" si="7"/>
        <v>6160.1841109474499</v>
      </c>
      <c r="H29" s="246">
        <f t="shared" si="7"/>
        <v>5908.7480247863296</v>
      </c>
      <c r="I29" s="246">
        <f t="shared" si="7"/>
        <v>5657.3119386252092</v>
      </c>
      <c r="J29" s="246">
        <f t="shared" si="7"/>
        <v>5405.8758524640889</v>
      </c>
      <c r="K29" s="246">
        <f t="shared" si="7"/>
        <v>5154.4397663029686</v>
      </c>
      <c r="L29" s="246">
        <f t="shared" si="7"/>
        <v>4903.0036801418482</v>
      </c>
      <c r="M29" s="246">
        <f t="shared" si="7"/>
        <v>4651.5675939807279</v>
      </c>
      <c r="N29" s="246">
        <f t="shared" si="7"/>
        <v>4400.1315078196076</v>
      </c>
      <c r="O29" s="246">
        <f t="shared" si="7"/>
        <v>4148.6954216584872</v>
      </c>
      <c r="P29" s="246">
        <f t="shared" si="7"/>
        <v>4148.6954216584872</v>
      </c>
      <c r="Q29" s="246">
        <f t="shared" si="7"/>
        <v>4148.6954216584872</v>
      </c>
      <c r="R29" s="246">
        <f t="shared" si="7"/>
        <v>4148.6954216584872</v>
      </c>
      <c r="S29" s="246">
        <f t="shared" si="7"/>
        <v>4148.6954216584872</v>
      </c>
      <c r="T29" s="246">
        <f t="shared" si="7"/>
        <v>4148.6954216584872</v>
      </c>
      <c r="U29" s="246">
        <f t="shared" si="7"/>
        <v>4148.6954216584872</v>
      </c>
      <c r="V29" s="246">
        <f t="shared" si="7"/>
        <v>4148.6954216584872</v>
      </c>
      <c r="W29" s="194"/>
      <c r="X29" s="244"/>
      <c r="Y29" s="245" t="s">
        <v>108</v>
      </c>
      <c r="Z29" s="538">
        <v>2630.436395242984</v>
      </c>
      <c r="AA29" s="246">
        <f t="shared" ref="AA29:AR29" si="8">IF(AA28&gt;$X28,Z29,Z29-($Z29*2*$Y28/($B28-$Z28)))</f>
        <v>2592.1755022212678</v>
      </c>
      <c r="AB29" s="246">
        <f t="shared" si="8"/>
        <v>2553.9146091995517</v>
      </c>
      <c r="AC29" s="246">
        <f t="shared" si="8"/>
        <v>2515.6537161778356</v>
      </c>
      <c r="AD29" s="246">
        <f t="shared" si="8"/>
        <v>2477.3928231561194</v>
      </c>
      <c r="AE29" s="246">
        <f t="shared" si="8"/>
        <v>2439.1319301344033</v>
      </c>
      <c r="AF29" s="246">
        <f t="shared" si="8"/>
        <v>2400.8710371126872</v>
      </c>
      <c r="AG29" s="246">
        <f t="shared" si="8"/>
        <v>2362.6101440909711</v>
      </c>
      <c r="AH29" s="246">
        <f t="shared" si="8"/>
        <v>2324.3492510692549</v>
      </c>
      <c r="AI29" s="246">
        <f t="shared" si="8"/>
        <v>2286.0883580475388</v>
      </c>
      <c r="AJ29" s="246">
        <f t="shared" si="8"/>
        <v>2247.8274650258227</v>
      </c>
      <c r="AK29" s="246">
        <f t="shared" si="8"/>
        <v>2209.5665720041065</v>
      </c>
      <c r="AL29" s="246">
        <f t="shared" si="8"/>
        <v>2209.5665720041065</v>
      </c>
      <c r="AM29" s="246">
        <f t="shared" si="8"/>
        <v>2209.5665720041065</v>
      </c>
      <c r="AN29" s="246">
        <f t="shared" si="8"/>
        <v>2209.5665720041065</v>
      </c>
      <c r="AO29" s="246">
        <f t="shared" si="8"/>
        <v>2209.5665720041065</v>
      </c>
      <c r="AP29" s="246">
        <f t="shared" si="8"/>
        <v>2209.5665720041065</v>
      </c>
      <c r="AQ29" s="246">
        <f t="shared" si="8"/>
        <v>2209.5665720041065</v>
      </c>
      <c r="AR29" s="246">
        <f t="shared" si="8"/>
        <v>2209.5665720041065</v>
      </c>
      <c r="AS29" s="86"/>
      <c r="AT29" s="91"/>
      <c r="AU29" s="91"/>
      <c r="AV29" s="91"/>
      <c r="AW29" s="91"/>
      <c r="AX29" s="91"/>
      <c r="AY29" s="555" t="s">
        <v>112</v>
      </c>
      <c r="AZ29" s="548">
        <v>0</v>
      </c>
      <c r="BA29" s="549">
        <v>0.4</v>
      </c>
      <c r="BB29" s="549">
        <v>0.4</v>
      </c>
      <c r="BC29" s="549">
        <v>0.54</v>
      </c>
      <c r="BD29" s="552"/>
      <c r="BE29" s="552"/>
      <c r="BF29" s="552"/>
      <c r="BG29" s="86"/>
      <c r="BH29" s="86"/>
      <c r="BI29" s="86"/>
      <c r="BJ29" s="86"/>
    </row>
    <row r="30" spans="1:62" ht="22.8" x14ac:dyDescent="0.5">
      <c r="A30" s="194"/>
      <c r="B30" s="202" t="s">
        <v>131</v>
      </c>
      <c r="C30" s="247" t="s">
        <v>110</v>
      </c>
      <c r="D30" s="401">
        <v>45.088999999999999</v>
      </c>
      <c r="E30" s="401">
        <v>45.088999999999999</v>
      </c>
      <c r="F30" s="401">
        <v>45.088999999999999</v>
      </c>
      <c r="G30" s="401">
        <v>45.088999999999999</v>
      </c>
      <c r="H30" s="401">
        <v>45.088999999999999</v>
      </c>
      <c r="I30" s="401">
        <v>45.088999999999999</v>
      </c>
      <c r="J30" s="401">
        <v>45.088999999999999</v>
      </c>
      <c r="K30" s="401">
        <v>45.088999999999999</v>
      </c>
      <c r="L30" s="401">
        <v>45.088999999999999</v>
      </c>
      <c r="M30" s="401">
        <v>45.088999999999999</v>
      </c>
      <c r="N30" s="401">
        <v>45.088999999999999</v>
      </c>
      <c r="O30" s="401">
        <v>45.088999999999999</v>
      </c>
      <c r="P30" s="401">
        <v>45.088999999999999</v>
      </c>
      <c r="Q30" s="401">
        <v>45.088999999999999</v>
      </c>
      <c r="R30" s="401">
        <v>45.088999999999999</v>
      </c>
      <c r="S30" s="401">
        <v>45.088999999999999</v>
      </c>
      <c r="T30" s="401">
        <v>45.088999999999999</v>
      </c>
      <c r="U30" s="401">
        <v>45.088999999999999</v>
      </c>
      <c r="V30" s="401">
        <v>45.088999999999999</v>
      </c>
      <c r="W30" s="194"/>
      <c r="X30" s="202" t="s">
        <v>165</v>
      </c>
      <c r="Y30" s="247" t="s">
        <v>110</v>
      </c>
      <c r="Z30" s="195">
        <v>34.728999999999999</v>
      </c>
      <c r="AA30" s="195">
        <v>34.728999999999999</v>
      </c>
      <c r="AB30" s="195">
        <v>34.728999999999999</v>
      </c>
      <c r="AC30" s="195">
        <v>34.728999999999999</v>
      </c>
      <c r="AD30" s="195">
        <v>34.728999999999999</v>
      </c>
      <c r="AE30" s="195">
        <v>34.728999999999999</v>
      </c>
      <c r="AF30" s="195">
        <v>34.728999999999999</v>
      </c>
      <c r="AG30" s="195">
        <v>34.728999999999999</v>
      </c>
      <c r="AH30" s="195">
        <v>34.728999999999999</v>
      </c>
      <c r="AI30" s="195">
        <v>34.728999999999999</v>
      </c>
      <c r="AJ30" s="195">
        <v>34.728999999999999</v>
      </c>
      <c r="AK30" s="195">
        <v>34.728999999999999</v>
      </c>
      <c r="AL30" s="195">
        <v>34.728999999999999</v>
      </c>
      <c r="AM30" s="195">
        <v>34.728999999999999</v>
      </c>
      <c r="AN30" s="195">
        <v>34.728999999999999</v>
      </c>
      <c r="AO30" s="195">
        <v>34.728999999999999</v>
      </c>
      <c r="AP30" s="195">
        <v>34.728999999999999</v>
      </c>
      <c r="AQ30" s="195">
        <v>34.728999999999999</v>
      </c>
      <c r="AR30" s="195">
        <v>34.728999999999999</v>
      </c>
      <c r="AS30" s="86"/>
      <c r="AT30" s="91"/>
      <c r="AU30" s="91"/>
      <c r="AV30" s="91"/>
      <c r="AW30" s="91"/>
      <c r="AX30" s="91"/>
      <c r="AY30" s="555" t="s">
        <v>131</v>
      </c>
      <c r="AZ30" s="548">
        <v>0</v>
      </c>
      <c r="BA30" s="549">
        <v>0.4</v>
      </c>
      <c r="BB30" s="549">
        <v>0.4</v>
      </c>
      <c r="BC30" s="549">
        <v>0.54</v>
      </c>
      <c r="BD30" s="552"/>
      <c r="BE30" s="552"/>
      <c r="BF30" s="552"/>
      <c r="BG30" s="86"/>
      <c r="BH30" s="86"/>
      <c r="BI30" s="86"/>
      <c r="BJ30" s="86"/>
    </row>
    <row r="31" spans="1:62" ht="22.8" x14ac:dyDescent="0.5">
      <c r="A31" s="194"/>
      <c r="B31" s="248" t="s">
        <v>151</v>
      </c>
      <c r="C31" s="247" t="s">
        <v>154</v>
      </c>
      <c r="D31" s="584">
        <v>0</v>
      </c>
      <c r="E31" s="583">
        <v>0</v>
      </c>
      <c r="F31" s="583">
        <v>0</v>
      </c>
      <c r="G31" s="583">
        <v>0</v>
      </c>
      <c r="H31" s="583">
        <v>0</v>
      </c>
      <c r="I31" s="583">
        <v>0</v>
      </c>
      <c r="J31" s="583">
        <v>0</v>
      </c>
      <c r="K31" s="583">
        <v>0</v>
      </c>
      <c r="L31" s="583">
        <v>0</v>
      </c>
      <c r="M31" s="583">
        <v>0</v>
      </c>
      <c r="N31" s="583">
        <v>0</v>
      </c>
      <c r="O31" s="583">
        <v>0</v>
      </c>
      <c r="P31" s="583">
        <v>0</v>
      </c>
      <c r="Q31" s="583">
        <v>0</v>
      </c>
      <c r="R31" s="583">
        <v>0</v>
      </c>
      <c r="S31" s="583">
        <v>0</v>
      </c>
      <c r="T31" s="583">
        <v>0</v>
      </c>
      <c r="U31" s="583">
        <v>0</v>
      </c>
      <c r="V31" s="583">
        <v>0</v>
      </c>
      <c r="W31" s="194"/>
      <c r="X31" s="248" t="s">
        <v>151</v>
      </c>
      <c r="Y31" s="247" t="s">
        <v>154</v>
      </c>
      <c r="Z31" s="584">
        <v>0</v>
      </c>
      <c r="AA31" s="583">
        <v>0</v>
      </c>
      <c r="AB31" s="583">
        <v>0</v>
      </c>
      <c r="AC31" s="583">
        <v>0</v>
      </c>
      <c r="AD31" s="583">
        <v>0</v>
      </c>
      <c r="AE31" s="583">
        <v>0</v>
      </c>
      <c r="AF31" s="583">
        <v>0</v>
      </c>
      <c r="AG31" s="583">
        <v>0</v>
      </c>
      <c r="AH31" s="583">
        <v>0</v>
      </c>
      <c r="AI31" s="583">
        <v>0</v>
      </c>
      <c r="AJ31" s="583">
        <v>0</v>
      </c>
      <c r="AK31" s="583">
        <v>0</v>
      </c>
      <c r="AL31" s="583">
        <v>0</v>
      </c>
      <c r="AM31" s="583">
        <v>0</v>
      </c>
      <c r="AN31" s="583">
        <v>0</v>
      </c>
      <c r="AO31" s="583">
        <v>0</v>
      </c>
      <c r="AP31" s="583">
        <v>0</v>
      </c>
      <c r="AQ31" s="583">
        <v>0</v>
      </c>
      <c r="AR31" s="583">
        <v>0</v>
      </c>
      <c r="AS31" s="86"/>
      <c r="AT31" s="91"/>
      <c r="AU31" s="91"/>
      <c r="AV31" s="91"/>
      <c r="AW31" s="91"/>
      <c r="AX31" s="91"/>
      <c r="AY31" s="555" t="s">
        <v>130</v>
      </c>
      <c r="AZ31" s="548">
        <v>0</v>
      </c>
      <c r="BA31" s="549">
        <v>0.4</v>
      </c>
      <c r="BB31" s="549">
        <v>0.4</v>
      </c>
      <c r="BC31" s="549">
        <v>0.54</v>
      </c>
      <c r="BD31" s="552"/>
      <c r="BE31" s="552"/>
      <c r="BF31" s="552"/>
      <c r="BG31" s="86"/>
      <c r="BH31" s="86"/>
      <c r="BI31" s="86"/>
      <c r="BJ31" s="86"/>
    </row>
    <row r="32" spans="1:62" ht="22.8" x14ac:dyDescent="0.5">
      <c r="A32" s="194"/>
      <c r="B32" s="249"/>
      <c r="C32" s="247" t="s">
        <v>109</v>
      </c>
      <c r="D32" s="582">
        <v>30</v>
      </c>
      <c r="E32" s="581">
        <f t="shared" ref="E32:V32" si="9">D32</f>
        <v>30</v>
      </c>
      <c r="F32" s="581">
        <f t="shared" si="9"/>
        <v>30</v>
      </c>
      <c r="G32" s="581">
        <f t="shared" si="9"/>
        <v>30</v>
      </c>
      <c r="H32" s="581">
        <f t="shared" si="9"/>
        <v>30</v>
      </c>
      <c r="I32" s="581">
        <f t="shared" si="9"/>
        <v>30</v>
      </c>
      <c r="J32" s="581">
        <f t="shared" si="9"/>
        <v>30</v>
      </c>
      <c r="K32" s="581">
        <f t="shared" si="9"/>
        <v>30</v>
      </c>
      <c r="L32" s="581">
        <f t="shared" si="9"/>
        <v>30</v>
      </c>
      <c r="M32" s="581">
        <f t="shared" si="9"/>
        <v>30</v>
      </c>
      <c r="N32" s="581">
        <f t="shared" si="9"/>
        <v>30</v>
      </c>
      <c r="O32" s="581">
        <f t="shared" si="9"/>
        <v>30</v>
      </c>
      <c r="P32" s="581">
        <f t="shared" si="9"/>
        <v>30</v>
      </c>
      <c r="Q32" s="581">
        <f t="shared" si="9"/>
        <v>30</v>
      </c>
      <c r="R32" s="581">
        <f t="shared" si="9"/>
        <v>30</v>
      </c>
      <c r="S32" s="581">
        <f t="shared" si="9"/>
        <v>30</v>
      </c>
      <c r="T32" s="581">
        <f t="shared" si="9"/>
        <v>30</v>
      </c>
      <c r="U32" s="581">
        <f t="shared" si="9"/>
        <v>30</v>
      </c>
      <c r="V32" s="580">
        <f t="shared" si="9"/>
        <v>30</v>
      </c>
      <c r="W32" s="194"/>
      <c r="X32" s="249"/>
      <c r="Y32" s="247" t="s">
        <v>109</v>
      </c>
      <c r="Z32" s="582">
        <v>50</v>
      </c>
      <c r="AA32" s="581">
        <f t="shared" ref="AA32:AR32" si="10">Z32</f>
        <v>50</v>
      </c>
      <c r="AB32" s="581">
        <f t="shared" si="10"/>
        <v>50</v>
      </c>
      <c r="AC32" s="581">
        <f t="shared" si="10"/>
        <v>50</v>
      </c>
      <c r="AD32" s="581">
        <f t="shared" si="10"/>
        <v>50</v>
      </c>
      <c r="AE32" s="581">
        <f t="shared" si="10"/>
        <v>50</v>
      </c>
      <c r="AF32" s="581">
        <f t="shared" si="10"/>
        <v>50</v>
      </c>
      <c r="AG32" s="581">
        <f t="shared" si="10"/>
        <v>50</v>
      </c>
      <c r="AH32" s="581">
        <f t="shared" si="10"/>
        <v>50</v>
      </c>
      <c r="AI32" s="581">
        <f t="shared" si="10"/>
        <v>50</v>
      </c>
      <c r="AJ32" s="581">
        <f t="shared" si="10"/>
        <v>50</v>
      </c>
      <c r="AK32" s="581">
        <f t="shared" si="10"/>
        <v>50</v>
      </c>
      <c r="AL32" s="581">
        <f t="shared" si="10"/>
        <v>50</v>
      </c>
      <c r="AM32" s="581">
        <f t="shared" si="10"/>
        <v>50</v>
      </c>
      <c r="AN32" s="581">
        <f t="shared" si="10"/>
        <v>50</v>
      </c>
      <c r="AO32" s="581">
        <f t="shared" si="10"/>
        <v>50</v>
      </c>
      <c r="AP32" s="581">
        <f t="shared" si="10"/>
        <v>50</v>
      </c>
      <c r="AQ32" s="581">
        <f t="shared" si="10"/>
        <v>50</v>
      </c>
      <c r="AR32" s="580">
        <f t="shared" si="10"/>
        <v>50</v>
      </c>
      <c r="AS32" s="86"/>
      <c r="AT32" s="91"/>
      <c r="AU32" s="91"/>
      <c r="AV32" s="91"/>
      <c r="AW32" s="91"/>
      <c r="AX32" s="91"/>
      <c r="AY32" s="555" t="s">
        <v>132</v>
      </c>
      <c r="AZ32" s="548">
        <v>0</v>
      </c>
      <c r="BA32" s="549">
        <v>0.37</v>
      </c>
      <c r="BB32" s="549">
        <v>0.37</v>
      </c>
      <c r="BC32" s="549">
        <v>0.52</v>
      </c>
      <c r="BD32" s="552"/>
      <c r="BE32" s="552"/>
      <c r="BF32" s="552"/>
      <c r="BG32" s="86"/>
      <c r="BH32" s="86"/>
      <c r="BI32" s="86"/>
      <c r="BJ32" s="86"/>
    </row>
    <row r="33" spans="1:62" ht="23.4" thickBot="1" x14ac:dyDescent="0.55000000000000004">
      <c r="A33" s="194"/>
      <c r="B33" s="579"/>
      <c r="C33" s="250" t="s">
        <v>183</v>
      </c>
      <c r="D33" s="578">
        <v>117.75048855823965</v>
      </c>
      <c r="E33" s="577">
        <v>117.75048855823965</v>
      </c>
      <c r="F33" s="577">
        <v>117.75048855823965</v>
      </c>
      <c r="G33" s="577">
        <v>117.75048855823965</v>
      </c>
      <c r="H33" s="577">
        <v>117.75048855823965</v>
      </c>
      <c r="I33" s="577">
        <v>117.75048855823965</v>
      </c>
      <c r="J33" s="577">
        <v>117.75048855823965</v>
      </c>
      <c r="K33" s="577">
        <v>117.75048855823965</v>
      </c>
      <c r="L33" s="577">
        <v>117.75048855823965</v>
      </c>
      <c r="M33" s="577">
        <v>117.75048855823965</v>
      </c>
      <c r="N33" s="577">
        <v>117.75048855823965</v>
      </c>
      <c r="O33" s="577">
        <v>117.75048855823965</v>
      </c>
      <c r="P33" s="577">
        <v>117.75048855823965</v>
      </c>
      <c r="Q33" s="577">
        <v>117.75048855823965</v>
      </c>
      <c r="R33" s="577">
        <v>117.75048855823965</v>
      </c>
      <c r="S33" s="577">
        <v>117.75048855823965</v>
      </c>
      <c r="T33" s="577">
        <v>117.75048855823965</v>
      </c>
      <c r="U33" s="577">
        <v>117.75048855823965</v>
      </c>
      <c r="V33" s="576">
        <v>117.75048855823965</v>
      </c>
      <c r="W33" s="194"/>
      <c r="X33" s="579"/>
      <c r="Y33" s="250" t="s">
        <v>183</v>
      </c>
      <c r="Z33" s="578">
        <v>9.0079999999999991</v>
      </c>
      <c r="AA33" s="577">
        <v>9.0079999999999991</v>
      </c>
      <c r="AB33" s="577">
        <v>9.0079999999999991</v>
      </c>
      <c r="AC33" s="577">
        <v>9.0079999999999991</v>
      </c>
      <c r="AD33" s="577">
        <v>9.0079999999999991</v>
      </c>
      <c r="AE33" s="577">
        <v>9.0079999999999991</v>
      </c>
      <c r="AF33" s="577">
        <v>9.0079999999999991</v>
      </c>
      <c r="AG33" s="577">
        <v>9.0079999999999991</v>
      </c>
      <c r="AH33" s="577">
        <v>9.0079999999999991</v>
      </c>
      <c r="AI33" s="577">
        <v>9.0079999999999991</v>
      </c>
      <c r="AJ33" s="577">
        <v>9.0079999999999991</v>
      </c>
      <c r="AK33" s="577">
        <v>9.0079999999999991</v>
      </c>
      <c r="AL33" s="577">
        <v>9.0079999999999991</v>
      </c>
      <c r="AM33" s="577">
        <v>9.0079999999999991</v>
      </c>
      <c r="AN33" s="577">
        <v>9.0079999999999991</v>
      </c>
      <c r="AO33" s="577">
        <v>9.0079999999999991</v>
      </c>
      <c r="AP33" s="577">
        <v>9.0079999999999991</v>
      </c>
      <c r="AQ33" s="577">
        <v>9.0079999999999991</v>
      </c>
      <c r="AR33" s="576">
        <v>9.0079999999999991</v>
      </c>
      <c r="AS33" s="86"/>
      <c r="AT33" s="91"/>
      <c r="AU33" s="91"/>
      <c r="AV33" s="91"/>
      <c r="AW33" s="91"/>
      <c r="AX33" s="91"/>
      <c r="AY33" s="555" t="s">
        <v>133</v>
      </c>
      <c r="AZ33" s="548">
        <v>0</v>
      </c>
      <c r="BA33" s="549">
        <v>0.35</v>
      </c>
      <c r="BB33" s="549">
        <v>0.35</v>
      </c>
      <c r="BC33" s="549">
        <v>0.5</v>
      </c>
      <c r="BD33" s="552"/>
      <c r="BE33" s="552"/>
      <c r="BF33" s="552"/>
      <c r="BG33" s="86"/>
      <c r="BH33" s="86"/>
      <c r="BI33" s="86"/>
      <c r="BJ33" s="86"/>
    </row>
    <row r="34" spans="1:62" ht="24" thickTop="1" thickBot="1" x14ac:dyDescent="0.55000000000000004">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55" t="s">
        <v>164</v>
      </c>
      <c r="AZ34" s="548">
        <v>0</v>
      </c>
      <c r="BA34" s="549">
        <v>0.27</v>
      </c>
      <c r="BB34" s="549">
        <v>0.27</v>
      </c>
      <c r="BC34" s="549">
        <v>0.32</v>
      </c>
      <c r="BD34" s="552"/>
      <c r="BE34" s="552"/>
      <c r="BF34" s="552"/>
      <c r="BG34" s="86"/>
      <c r="BH34" s="86"/>
      <c r="BI34" s="86"/>
      <c r="BJ34" s="86"/>
    </row>
    <row r="35" spans="1:62" ht="23.4" thickTop="1" x14ac:dyDescent="0.5">
      <c r="A35" s="194"/>
      <c r="B35" s="561">
        <f>INDEX($AZ$44:$BC$54,MATCH(B37,$AY$44:$AY$54,0),MATCH($C$6,$AZ$43:$BC$43,0))</f>
        <v>2036</v>
      </c>
      <c r="C35" s="562">
        <f>INDEX($AZ$28:$BC$38,MATCH(B37,$AY$28:$AY$38,0),MATCH($C$6,$AZ$27:$BC$27,0))</f>
        <v>0.4</v>
      </c>
      <c r="D35" s="535">
        <v>2014</v>
      </c>
      <c r="E35" s="536">
        <v>2016</v>
      </c>
      <c r="F35" s="536">
        <v>2018</v>
      </c>
      <c r="G35" s="536">
        <v>2020</v>
      </c>
      <c r="H35" s="536">
        <v>2022</v>
      </c>
      <c r="I35" s="536">
        <v>2024</v>
      </c>
      <c r="J35" s="536">
        <v>2026</v>
      </c>
      <c r="K35" s="536">
        <v>2028</v>
      </c>
      <c r="L35" s="536">
        <v>2030</v>
      </c>
      <c r="M35" s="536">
        <v>2032</v>
      </c>
      <c r="N35" s="536">
        <v>2034</v>
      </c>
      <c r="O35" s="536">
        <v>2036</v>
      </c>
      <c r="P35" s="536">
        <v>2038</v>
      </c>
      <c r="Q35" s="536">
        <v>2040</v>
      </c>
      <c r="R35" s="536">
        <v>2042</v>
      </c>
      <c r="S35" s="536">
        <v>2044</v>
      </c>
      <c r="T35" s="536">
        <v>2046</v>
      </c>
      <c r="U35" s="536">
        <v>2048</v>
      </c>
      <c r="V35" s="537">
        <v>2050</v>
      </c>
      <c r="W35" s="194"/>
      <c r="X35" s="561">
        <f>INDEX($AZ$44:$BC$54,MATCH(X37,$AY$44:$AY$54,0),MATCH($C$6,$AZ$43:$BC$43,0))</f>
        <v>2036</v>
      </c>
      <c r="Y35" s="562">
        <f>INDEX($AZ$28:$BC$38,MATCH(X37,$AY$28:$AY$38,0),MATCH($C$6,$AZ$27:$BC$27,0))</f>
        <v>0.12</v>
      </c>
      <c r="Z35" s="535">
        <v>2014</v>
      </c>
      <c r="AA35" s="536">
        <v>2016</v>
      </c>
      <c r="AB35" s="536">
        <v>2018</v>
      </c>
      <c r="AC35" s="536">
        <v>2020</v>
      </c>
      <c r="AD35" s="536">
        <v>2022</v>
      </c>
      <c r="AE35" s="536">
        <v>2024</v>
      </c>
      <c r="AF35" s="536">
        <v>2026</v>
      </c>
      <c r="AG35" s="536">
        <v>2028</v>
      </c>
      <c r="AH35" s="536">
        <v>2030</v>
      </c>
      <c r="AI35" s="536">
        <v>2032</v>
      </c>
      <c r="AJ35" s="536">
        <v>2034</v>
      </c>
      <c r="AK35" s="536">
        <v>2036</v>
      </c>
      <c r="AL35" s="536">
        <v>2038</v>
      </c>
      <c r="AM35" s="536">
        <v>2040</v>
      </c>
      <c r="AN35" s="536">
        <v>2042</v>
      </c>
      <c r="AO35" s="536">
        <v>2044</v>
      </c>
      <c r="AP35" s="536">
        <v>2046</v>
      </c>
      <c r="AQ35" s="536">
        <v>2048</v>
      </c>
      <c r="AR35" s="537">
        <v>2050</v>
      </c>
      <c r="AS35" s="86"/>
      <c r="AT35" s="91"/>
      <c r="AU35" s="91"/>
      <c r="AV35" s="91"/>
      <c r="AW35" s="91"/>
      <c r="AX35" s="91"/>
      <c r="AY35" s="555" t="s">
        <v>134</v>
      </c>
      <c r="AZ35" s="548">
        <v>0</v>
      </c>
      <c r="BA35" s="549">
        <v>0.21</v>
      </c>
      <c r="BB35" s="549">
        <v>0.21</v>
      </c>
      <c r="BC35" s="549">
        <v>0.25</v>
      </c>
      <c r="BD35" s="552"/>
      <c r="BE35" s="552"/>
      <c r="BF35" s="552"/>
      <c r="BG35" s="86"/>
      <c r="BH35" s="86"/>
      <c r="BI35" s="86"/>
      <c r="BJ35" s="86"/>
    </row>
    <row r="36" spans="1:62" ht="22.8" x14ac:dyDescent="0.5">
      <c r="A36" s="194"/>
      <c r="B36" s="244"/>
      <c r="C36" s="245" t="s">
        <v>108</v>
      </c>
      <c r="D36" s="538">
        <v>6459.3026159570945</v>
      </c>
      <c r="E36" s="246">
        <f t="shared" ref="E36:V36" si="11">IF(E35&gt;$B35,D36,D36-($D36*2*$C35/($B35-$D35)))</f>
        <v>6224.4188844677456</v>
      </c>
      <c r="F36" s="246">
        <f t="shared" si="11"/>
        <v>5989.5351529783966</v>
      </c>
      <c r="G36" s="246">
        <f t="shared" si="11"/>
        <v>5754.6514214890476</v>
      </c>
      <c r="H36" s="246">
        <f t="shared" si="11"/>
        <v>5519.7676899996986</v>
      </c>
      <c r="I36" s="246">
        <f t="shared" si="11"/>
        <v>5284.8839585103497</v>
      </c>
      <c r="J36" s="246">
        <f t="shared" si="11"/>
        <v>5050.0002270210007</v>
      </c>
      <c r="K36" s="246">
        <f t="shared" si="11"/>
        <v>4815.1164955316517</v>
      </c>
      <c r="L36" s="246">
        <f t="shared" si="11"/>
        <v>4580.2327640423027</v>
      </c>
      <c r="M36" s="246">
        <f t="shared" si="11"/>
        <v>4345.3490325529538</v>
      </c>
      <c r="N36" s="246">
        <f t="shared" si="11"/>
        <v>4110.4653010636048</v>
      </c>
      <c r="O36" s="246">
        <f t="shared" si="11"/>
        <v>3875.5815695742558</v>
      </c>
      <c r="P36" s="246">
        <f t="shared" si="11"/>
        <v>3875.5815695742558</v>
      </c>
      <c r="Q36" s="246">
        <f t="shared" si="11"/>
        <v>3875.5815695742558</v>
      </c>
      <c r="R36" s="246">
        <f t="shared" si="11"/>
        <v>3875.5815695742558</v>
      </c>
      <c r="S36" s="246">
        <f t="shared" si="11"/>
        <v>3875.5815695742558</v>
      </c>
      <c r="T36" s="246">
        <f t="shared" si="11"/>
        <v>3875.5815695742558</v>
      </c>
      <c r="U36" s="246">
        <f t="shared" si="11"/>
        <v>3875.5815695742558</v>
      </c>
      <c r="V36" s="246">
        <f t="shared" si="11"/>
        <v>3875.5815695742558</v>
      </c>
      <c r="W36" s="194"/>
      <c r="X36" s="244"/>
      <c r="Y36" s="245" t="s">
        <v>108</v>
      </c>
      <c r="Z36" s="538">
        <v>2396.2056518527443</v>
      </c>
      <c r="AA36" s="246">
        <f t="shared" ref="AA36:AR36" si="12">IF(AA35&gt;$X35,Z36,Z36-($Z36*2*$Y35/($B35-$Z35)))</f>
        <v>2370.0652265598051</v>
      </c>
      <c r="AB36" s="246">
        <f t="shared" si="12"/>
        <v>2343.9248012668659</v>
      </c>
      <c r="AC36" s="246">
        <f t="shared" si="12"/>
        <v>2317.7843759739267</v>
      </c>
      <c r="AD36" s="246">
        <f t="shared" si="12"/>
        <v>2291.6439506809875</v>
      </c>
      <c r="AE36" s="246">
        <f t="shared" si="12"/>
        <v>2265.5035253880483</v>
      </c>
      <c r="AF36" s="246">
        <f t="shared" si="12"/>
        <v>2239.3631000951091</v>
      </c>
      <c r="AG36" s="246">
        <f t="shared" si="12"/>
        <v>2213.2226748021699</v>
      </c>
      <c r="AH36" s="246">
        <f t="shared" si="12"/>
        <v>2187.0822495092307</v>
      </c>
      <c r="AI36" s="246">
        <f t="shared" si="12"/>
        <v>2160.9418242162915</v>
      </c>
      <c r="AJ36" s="246">
        <f t="shared" si="12"/>
        <v>2134.8013989233523</v>
      </c>
      <c r="AK36" s="246">
        <f t="shared" si="12"/>
        <v>2108.6609736304131</v>
      </c>
      <c r="AL36" s="246">
        <f t="shared" si="12"/>
        <v>2108.6609736304131</v>
      </c>
      <c r="AM36" s="246">
        <f t="shared" si="12"/>
        <v>2108.6609736304131</v>
      </c>
      <c r="AN36" s="246">
        <f t="shared" si="12"/>
        <v>2108.6609736304131</v>
      </c>
      <c r="AO36" s="246">
        <f t="shared" si="12"/>
        <v>2108.6609736304131</v>
      </c>
      <c r="AP36" s="246">
        <f t="shared" si="12"/>
        <v>2108.6609736304131</v>
      </c>
      <c r="AQ36" s="246">
        <f t="shared" si="12"/>
        <v>2108.6609736304131</v>
      </c>
      <c r="AR36" s="246">
        <f t="shared" si="12"/>
        <v>2108.6609736304131</v>
      </c>
      <c r="AS36" s="86"/>
      <c r="AT36" s="91"/>
      <c r="AU36" s="91"/>
      <c r="AV36" s="91"/>
      <c r="AW36" s="91"/>
      <c r="AX36" s="91"/>
      <c r="AY36" s="555" t="s">
        <v>165</v>
      </c>
      <c r="AZ36" s="548">
        <v>0</v>
      </c>
      <c r="BA36" s="549">
        <v>0.16</v>
      </c>
      <c r="BB36" s="549">
        <v>0.16</v>
      </c>
      <c r="BC36" s="549">
        <v>0.2</v>
      </c>
      <c r="BD36" s="552"/>
      <c r="BE36" s="552"/>
      <c r="BF36" s="552"/>
      <c r="BG36" s="86"/>
      <c r="BH36" s="86"/>
      <c r="BI36" s="86"/>
      <c r="BJ36" s="86"/>
    </row>
    <row r="37" spans="1:62" ht="22.8" x14ac:dyDescent="0.5">
      <c r="A37" s="194"/>
      <c r="B37" s="202" t="s">
        <v>130</v>
      </c>
      <c r="C37" s="247" t="s">
        <v>110</v>
      </c>
      <c r="D37" s="401">
        <v>44.948999999999998</v>
      </c>
      <c r="E37" s="401">
        <v>44.948999999999998</v>
      </c>
      <c r="F37" s="401">
        <v>44.948999999999998</v>
      </c>
      <c r="G37" s="401">
        <v>44.948999999999998</v>
      </c>
      <c r="H37" s="401">
        <v>44.948999999999998</v>
      </c>
      <c r="I37" s="401">
        <v>44.948999999999998</v>
      </c>
      <c r="J37" s="401">
        <v>44.948999999999998</v>
      </c>
      <c r="K37" s="401">
        <v>44.948999999999998</v>
      </c>
      <c r="L37" s="401">
        <v>44.948999999999998</v>
      </c>
      <c r="M37" s="401">
        <v>44.948999999999998</v>
      </c>
      <c r="N37" s="401">
        <v>44.948999999999998</v>
      </c>
      <c r="O37" s="401">
        <v>44.948999999999998</v>
      </c>
      <c r="P37" s="401">
        <v>44.948999999999998</v>
      </c>
      <c r="Q37" s="401">
        <v>44.948999999999998</v>
      </c>
      <c r="R37" s="401">
        <v>44.948999999999998</v>
      </c>
      <c r="S37" s="401">
        <v>44.948999999999998</v>
      </c>
      <c r="T37" s="401">
        <v>44.948999999999998</v>
      </c>
      <c r="U37" s="401">
        <v>44.948999999999998</v>
      </c>
      <c r="V37" s="401">
        <v>44.948999999999998</v>
      </c>
      <c r="W37" s="194"/>
      <c r="X37" s="202" t="s">
        <v>166</v>
      </c>
      <c r="Y37" s="247" t="s">
        <v>110</v>
      </c>
      <c r="Z37" s="195">
        <v>31.228999999999999</v>
      </c>
      <c r="AA37" s="195">
        <v>31.228999999999999</v>
      </c>
      <c r="AB37" s="195">
        <v>31.228999999999999</v>
      </c>
      <c r="AC37" s="195">
        <v>31.228999999999999</v>
      </c>
      <c r="AD37" s="195">
        <v>31.228999999999999</v>
      </c>
      <c r="AE37" s="195">
        <v>31.228999999999999</v>
      </c>
      <c r="AF37" s="195">
        <v>31.228999999999999</v>
      </c>
      <c r="AG37" s="195">
        <v>31.228999999999999</v>
      </c>
      <c r="AH37" s="195">
        <v>31.228999999999999</v>
      </c>
      <c r="AI37" s="195">
        <v>31.228999999999999</v>
      </c>
      <c r="AJ37" s="195">
        <v>31.228999999999999</v>
      </c>
      <c r="AK37" s="195">
        <v>31.228999999999999</v>
      </c>
      <c r="AL37" s="195">
        <v>31.228999999999999</v>
      </c>
      <c r="AM37" s="195">
        <v>31.228999999999999</v>
      </c>
      <c r="AN37" s="195">
        <v>31.228999999999999</v>
      </c>
      <c r="AO37" s="195">
        <v>31.228999999999999</v>
      </c>
      <c r="AP37" s="195">
        <v>31.228999999999999</v>
      </c>
      <c r="AQ37" s="195">
        <v>31.228999999999999</v>
      </c>
      <c r="AR37" s="195">
        <v>31.228999999999999</v>
      </c>
      <c r="AS37" s="86"/>
      <c r="AT37" s="90"/>
      <c r="AU37" s="91"/>
      <c r="AV37" s="94"/>
      <c r="AW37" s="91"/>
      <c r="AX37" s="93"/>
      <c r="AY37" s="555" t="s">
        <v>166</v>
      </c>
      <c r="AZ37" s="548">
        <v>0</v>
      </c>
      <c r="BA37" s="549">
        <v>0.12</v>
      </c>
      <c r="BB37" s="549">
        <v>0.12</v>
      </c>
      <c r="BC37" s="549">
        <v>0.17</v>
      </c>
      <c r="BD37" s="552"/>
      <c r="BE37" s="552"/>
      <c r="BF37" s="552"/>
      <c r="BG37" s="86"/>
      <c r="BH37" s="86"/>
      <c r="BI37" s="86"/>
      <c r="BJ37" s="86"/>
    </row>
    <row r="38" spans="1:62" ht="22.8" x14ac:dyDescent="0.5">
      <c r="A38" s="194"/>
      <c r="B38" s="248" t="s">
        <v>151</v>
      </c>
      <c r="C38" s="247" t="s">
        <v>154</v>
      </c>
      <c r="D38" s="584">
        <v>0</v>
      </c>
      <c r="E38" s="583">
        <v>0</v>
      </c>
      <c r="F38" s="583">
        <v>0</v>
      </c>
      <c r="G38" s="583">
        <v>0</v>
      </c>
      <c r="H38" s="583">
        <v>0</v>
      </c>
      <c r="I38" s="583">
        <v>0</v>
      </c>
      <c r="J38" s="583">
        <v>0</v>
      </c>
      <c r="K38" s="583">
        <v>0</v>
      </c>
      <c r="L38" s="583">
        <v>0</v>
      </c>
      <c r="M38" s="583">
        <v>0</v>
      </c>
      <c r="N38" s="583">
        <v>0</v>
      </c>
      <c r="O38" s="583">
        <v>0</v>
      </c>
      <c r="P38" s="583">
        <v>0</v>
      </c>
      <c r="Q38" s="583">
        <v>0</v>
      </c>
      <c r="R38" s="583">
        <v>0</v>
      </c>
      <c r="S38" s="583">
        <v>0</v>
      </c>
      <c r="T38" s="583">
        <v>0</v>
      </c>
      <c r="U38" s="583">
        <v>0</v>
      </c>
      <c r="V38" s="583">
        <v>0</v>
      </c>
      <c r="W38" s="194"/>
      <c r="X38" s="248" t="s">
        <v>151</v>
      </c>
      <c r="Y38" s="247" t="s">
        <v>154</v>
      </c>
      <c r="Z38" s="584">
        <v>0</v>
      </c>
      <c r="AA38" s="583">
        <v>0</v>
      </c>
      <c r="AB38" s="583">
        <v>0</v>
      </c>
      <c r="AC38" s="583">
        <v>0</v>
      </c>
      <c r="AD38" s="583">
        <v>0</v>
      </c>
      <c r="AE38" s="583">
        <v>0</v>
      </c>
      <c r="AF38" s="583">
        <v>0</v>
      </c>
      <c r="AG38" s="583">
        <v>0</v>
      </c>
      <c r="AH38" s="583">
        <v>0</v>
      </c>
      <c r="AI38" s="583">
        <v>0</v>
      </c>
      <c r="AJ38" s="583">
        <v>0</v>
      </c>
      <c r="AK38" s="583">
        <v>0</v>
      </c>
      <c r="AL38" s="583">
        <v>0</v>
      </c>
      <c r="AM38" s="583">
        <v>0</v>
      </c>
      <c r="AN38" s="583">
        <v>0</v>
      </c>
      <c r="AO38" s="583">
        <v>0</v>
      </c>
      <c r="AP38" s="583">
        <v>0</v>
      </c>
      <c r="AQ38" s="583">
        <v>0</v>
      </c>
      <c r="AR38" s="583">
        <v>0</v>
      </c>
      <c r="AS38" s="86"/>
      <c r="AT38" s="90"/>
      <c r="AU38" s="91"/>
      <c r="AV38" s="92"/>
      <c r="AW38" s="91"/>
      <c r="AX38" s="93"/>
      <c r="AY38" s="555" t="s">
        <v>167</v>
      </c>
      <c r="AZ38" s="548">
        <v>0</v>
      </c>
      <c r="BA38" s="549">
        <v>7.0000000000000007E-2</v>
      </c>
      <c r="BB38" s="549">
        <v>7.0000000000000007E-2</v>
      </c>
      <c r="BC38" s="549">
        <v>0.15</v>
      </c>
      <c r="BD38" s="552"/>
      <c r="BE38" s="552"/>
      <c r="BF38" s="552"/>
      <c r="BG38" s="86"/>
      <c r="BH38" s="86"/>
      <c r="BI38" s="86"/>
      <c r="BJ38" s="86"/>
    </row>
    <row r="39" spans="1:62" ht="16.2" x14ac:dyDescent="0.35">
      <c r="A39" s="194"/>
      <c r="B39" s="249"/>
      <c r="C39" s="247" t="s">
        <v>109</v>
      </c>
      <c r="D39" s="582">
        <v>30</v>
      </c>
      <c r="E39" s="581">
        <f t="shared" ref="E39:V39" si="13">D39</f>
        <v>30</v>
      </c>
      <c r="F39" s="581">
        <f t="shared" si="13"/>
        <v>30</v>
      </c>
      <c r="G39" s="581">
        <f t="shared" si="13"/>
        <v>30</v>
      </c>
      <c r="H39" s="581">
        <f t="shared" si="13"/>
        <v>30</v>
      </c>
      <c r="I39" s="581">
        <f t="shared" si="13"/>
        <v>30</v>
      </c>
      <c r="J39" s="581">
        <f t="shared" si="13"/>
        <v>30</v>
      </c>
      <c r="K39" s="581">
        <f t="shared" si="13"/>
        <v>30</v>
      </c>
      <c r="L39" s="581">
        <f t="shared" si="13"/>
        <v>30</v>
      </c>
      <c r="M39" s="581">
        <f t="shared" si="13"/>
        <v>30</v>
      </c>
      <c r="N39" s="581">
        <f t="shared" si="13"/>
        <v>30</v>
      </c>
      <c r="O39" s="581">
        <f t="shared" si="13"/>
        <v>30</v>
      </c>
      <c r="P39" s="581">
        <f t="shared" si="13"/>
        <v>30</v>
      </c>
      <c r="Q39" s="581">
        <f t="shared" si="13"/>
        <v>30</v>
      </c>
      <c r="R39" s="581">
        <f t="shared" si="13"/>
        <v>30</v>
      </c>
      <c r="S39" s="581">
        <f t="shared" si="13"/>
        <v>30</v>
      </c>
      <c r="T39" s="581">
        <f t="shared" si="13"/>
        <v>30</v>
      </c>
      <c r="U39" s="581">
        <f t="shared" si="13"/>
        <v>30</v>
      </c>
      <c r="V39" s="580">
        <f t="shared" si="13"/>
        <v>30</v>
      </c>
      <c r="W39" s="194"/>
      <c r="X39" s="249"/>
      <c r="Y39" s="247" t="s">
        <v>109</v>
      </c>
      <c r="Z39" s="582">
        <v>80</v>
      </c>
      <c r="AA39" s="581">
        <f t="shared" ref="AA39:AR39" si="14">Z39</f>
        <v>80</v>
      </c>
      <c r="AB39" s="581">
        <f t="shared" si="14"/>
        <v>80</v>
      </c>
      <c r="AC39" s="581">
        <f t="shared" si="14"/>
        <v>80</v>
      </c>
      <c r="AD39" s="581">
        <f t="shared" si="14"/>
        <v>80</v>
      </c>
      <c r="AE39" s="581">
        <f t="shared" si="14"/>
        <v>80</v>
      </c>
      <c r="AF39" s="581">
        <f t="shared" si="14"/>
        <v>80</v>
      </c>
      <c r="AG39" s="581">
        <f t="shared" si="14"/>
        <v>80</v>
      </c>
      <c r="AH39" s="581">
        <f t="shared" si="14"/>
        <v>80</v>
      </c>
      <c r="AI39" s="581">
        <f t="shared" si="14"/>
        <v>80</v>
      </c>
      <c r="AJ39" s="581">
        <f t="shared" si="14"/>
        <v>80</v>
      </c>
      <c r="AK39" s="581">
        <f t="shared" si="14"/>
        <v>80</v>
      </c>
      <c r="AL39" s="581">
        <f t="shared" si="14"/>
        <v>80</v>
      </c>
      <c r="AM39" s="581">
        <f t="shared" si="14"/>
        <v>80</v>
      </c>
      <c r="AN39" s="581">
        <f t="shared" si="14"/>
        <v>80</v>
      </c>
      <c r="AO39" s="581">
        <f t="shared" si="14"/>
        <v>80</v>
      </c>
      <c r="AP39" s="581">
        <f t="shared" si="14"/>
        <v>80</v>
      </c>
      <c r="AQ39" s="581">
        <f t="shared" si="14"/>
        <v>80</v>
      </c>
      <c r="AR39" s="580">
        <f t="shared" si="14"/>
        <v>80</v>
      </c>
      <c r="AS39" s="86"/>
      <c r="AT39" s="90"/>
      <c r="AU39" s="91"/>
      <c r="AV39" s="92"/>
      <c r="AW39" s="91"/>
      <c r="AX39" s="93"/>
      <c r="AY39" s="555"/>
      <c r="AZ39" s="553"/>
      <c r="BA39" s="551"/>
      <c r="BB39" s="552"/>
      <c r="BC39" s="552"/>
      <c r="BD39" s="552"/>
      <c r="BE39" s="552"/>
      <c r="BF39" s="552"/>
      <c r="BG39" s="86"/>
      <c r="BH39" s="86"/>
      <c r="BI39" s="86"/>
      <c r="BJ39" s="86"/>
    </row>
    <row r="40" spans="1:62" ht="16.8" thickBot="1" x14ac:dyDescent="0.4">
      <c r="A40" s="194"/>
      <c r="B40" s="579"/>
      <c r="C40" s="250" t="s">
        <v>183</v>
      </c>
      <c r="D40" s="578">
        <v>71.226449799056127</v>
      </c>
      <c r="E40" s="577">
        <v>71.226449799056127</v>
      </c>
      <c r="F40" s="577">
        <v>71.226449799056127</v>
      </c>
      <c r="G40" s="577">
        <v>71.226449799056127</v>
      </c>
      <c r="H40" s="577">
        <v>71.226449799056127</v>
      </c>
      <c r="I40" s="577">
        <v>71.226449799056127</v>
      </c>
      <c r="J40" s="577">
        <v>71.226449799056127</v>
      </c>
      <c r="K40" s="577">
        <v>71.226449799056127</v>
      </c>
      <c r="L40" s="577">
        <v>71.226449799056127</v>
      </c>
      <c r="M40" s="577">
        <v>71.226449799056127</v>
      </c>
      <c r="N40" s="577">
        <v>71.226449799056127</v>
      </c>
      <c r="O40" s="577">
        <v>71.226449799056127</v>
      </c>
      <c r="P40" s="577">
        <v>71.226449799056127</v>
      </c>
      <c r="Q40" s="577">
        <v>71.226449799056127</v>
      </c>
      <c r="R40" s="577">
        <v>71.226449799056127</v>
      </c>
      <c r="S40" s="577">
        <v>71.226449799056127</v>
      </c>
      <c r="T40" s="577">
        <v>71.226449799056127</v>
      </c>
      <c r="U40" s="577">
        <v>71.226449799056127</v>
      </c>
      <c r="V40" s="576">
        <v>71.226449799056127</v>
      </c>
      <c r="W40" s="194"/>
      <c r="X40" s="579"/>
      <c r="Y40" s="250" t="s">
        <v>183</v>
      </c>
      <c r="Z40" s="578">
        <v>8.1329999999999991</v>
      </c>
      <c r="AA40" s="577">
        <v>8.1329999999999991</v>
      </c>
      <c r="AB40" s="577">
        <v>8.1329999999999991</v>
      </c>
      <c r="AC40" s="577">
        <v>8.1329999999999991</v>
      </c>
      <c r="AD40" s="577">
        <v>8.1329999999999991</v>
      </c>
      <c r="AE40" s="577">
        <v>8.1329999999999991</v>
      </c>
      <c r="AF40" s="577">
        <v>8.1329999999999991</v>
      </c>
      <c r="AG40" s="577">
        <v>8.1329999999999991</v>
      </c>
      <c r="AH40" s="577">
        <v>8.1329999999999991</v>
      </c>
      <c r="AI40" s="577">
        <v>8.1329999999999991</v>
      </c>
      <c r="AJ40" s="577">
        <v>8.1329999999999991</v>
      </c>
      <c r="AK40" s="577">
        <v>8.1329999999999991</v>
      </c>
      <c r="AL40" s="577">
        <v>8.1329999999999991</v>
      </c>
      <c r="AM40" s="577">
        <v>8.1329999999999991</v>
      </c>
      <c r="AN40" s="577">
        <v>8.1329999999999991</v>
      </c>
      <c r="AO40" s="577">
        <v>8.1329999999999991</v>
      </c>
      <c r="AP40" s="577">
        <v>8.1329999999999991</v>
      </c>
      <c r="AQ40" s="577">
        <v>8.1329999999999991</v>
      </c>
      <c r="AR40" s="576">
        <v>8.1329999999999991</v>
      </c>
      <c r="AS40" s="86"/>
      <c r="AT40" s="90"/>
      <c r="AU40" s="91"/>
      <c r="AV40" s="92"/>
      <c r="AW40" s="91"/>
      <c r="AX40" s="93"/>
      <c r="AY40" s="555"/>
      <c r="AZ40" s="553"/>
      <c r="BA40" s="551"/>
      <c r="BB40" s="552"/>
      <c r="BC40" s="552"/>
      <c r="BD40" s="552"/>
      <c r="BE40" s="552"/>
      <c r="BF40" s="552"/>
      <c r="BG40" s="86"/>
      <c r="BH40" s="86"/>
      <c r="BI40" s="86"/>
      <c r="BJ40" s="86"/>
    </row>
    <row r="41" spans="1:62" ht="17.399999999999999" thickTop="1" thickBot="1" x14ac:dyDescent="0.4">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55"/>
      <c r="AZ41" s="553"/>
      <c r="BA41" s="551" t="s">
        <v>367</v>
      </c>
      <c r="BB41" s="552"/>
      <c r="BC41" s="552"/>
      <c r="BD41" s="552"/>
      <c r="BE41" s="552"/>
      <c r="BF41" s="552"/>
      <c r="BG41" s="86"/>
      <c r="BH41" s="86"/>
      <c r="BI41" s="86"/>
      <c r="BJ41" s="86"/>
    </row>
    <row r="42" spans="1:62" ht="16.8" thickTop="1" x14ac:dyDescent="0.35">
      <c r="A42" s="194"/>
      <c r="B42" s="561">
        <f>INDEX($AZ$44:$BC$54,MATCH(B44,$AY$44:$AY$54,0),MATCH($C$6,$AZ$43:$BC$43,0))</f>
        <v>2036</v>
      </c>
      <c r="C42" s="562">
        <f>INDEX($AZ$28:$BC$38,MATCH(B44,$AY$28:$AY$38,0),MATCH($C$6,$AZ$27:$BC$27,0))</f>
        <v>0.37</v>
      </c>
      <c r="D42" s="535">
        <v>2014</v>
      </c>
      <c r="E42" s="536">
        <v>2016</v>
      </c>
      <c r="F42" s="536">
        <v>2018</v>
      </c>
      <c r="G42" s="536">
        <v>2020</v>
      </c>
      <c r="H42" s="536">
        <v>2022</v>
      </c>
      <c r="I42" s="536">
        <v>2024</v>
      </c>
      <c r="J42" s="536">
        <v>2026</v>
      </c>
      <c r="K42" s="536">
        <v>2028</v>
      </c>
      <c r="L42" s="536">
        <v>2030</v>
      </c>
      <c r="M42" s="536">
        <v>2032</v>
      </c>
      <c r="N42" s="536">
        <v>2034</v>
      </c>
      <c r="O42" s="536">
        <v>2036</v>
      </c>
      <c r="P42" s="536">
        <v>2038</v>
      </c>
      <c r="Q42" s="536">
        <v>2040</v>
      </c>
      <c r="R42" s="536">
        <v>2042</v>
      </c>
      <c r="S42" s="536">
        <v>2044</v>
      </c>
      <c r="T42" s="536">
        <v>2046</v>
      </c>
      <c r="U42" s="536">
        <v>2048</v>
      </c>
      <c r="V42" s="537">
        <v>2050</v>
      </c>
      <c r="W42" s="194"/>
      <c r="X42" s="561">
        <f>INDEX($AZ$44:$BC$54,MATCH(X44,$AY$44:$AY$54,0),MATCH($C$6,$AZ$43:$BC$43,0))</f>
        <v>2036</v>
      </c>
      <c r="Y42" s="562">
        <f>INDEX($AZ$28:$BC$38,MATCH(X44,$AY$28:$AY$38,0),MATCH($C$6,$AZ$27:$BC$27,0))</f>
        <v>7.0000000000000007E-2</v>
      </c>
      <c r="Z42" s="535">
        <v>2014</v>
      </c>
      <c r="AA42" s="536">
        <v>2016</v>
      </c>
      <c r="AB42" s="536">
        <v>2018</v>
      </c>
      <c r="AC42" s="536">
        <v>2020</v>
      </c>
      <c r="AD42" s="536">
        <v>2022</v>
      </c>
      <c r="AE42" s="536">
        <v>2024</v>
      </c>
      <c r="AF42" s="536">
        <v>2026</v>
      </c>
      <c r="AG42" s="536">
        <v>2028</v>
      </c>
      <c r="AH42" s="536">
        <v>2030</v>
      </c>
      <c r="AI42" s="536">
        <v>2032</v>
      </c>
      <c r="AJ42" s="536">
        <v>2034</v>
      </c>
      <c r="AK42" s="536">
        <v>2036</v>
      </c>
      <c r="AL42" s="536">
        <v>2038</v>
      </c>
      <c r="AM42" s="536">
        <v>2040</v>
      </c>
      <c r="AN42" s="536">
        <v>2042</v>
      </c>
      <c r="AO42" s="536">
        <v>2044</v>
      </c>
      <c r="AP42" s="536">
        <v>2046</v>
      </c>
      <c r="AQ42" s="536">
        <v>2048</v>
      </c>
      <c r="AR42" s="537">
        <v>2050</v>
      </c>
      <c r="AS42" s="86"/>
      <c r="AT42" s="90"/>
      <c r="AU42" s="91"/>
      <c r="AV42" s="92"/>
      <c r="AW42" s="91"/>
      <c r="AX42" s="93"/>
      <c r="AY42" s="555"/>
      <c r="AZ42" s="547"/>
      <c r="BA42" s="551"/>
      <c r="BB42" s="552"/>
      <c r="BC42" s="552"/>
      <c r="BD42" s="552"/>
      <c r="BE42" s="552"/>
      <c r="BF42" s="552"/>
      <c r="BG42" s="86"/>
      <c r="BH42" s="86"/>
      <c r="BI42" s="86"/>
      <c r="BJ42" s="86"/>
    </row>
    <row r="43" spans="1:62" ht="16.2" x14ac:dyDescent="0.35">
      <c r="A43" s="194"/>
      <c r="B43" s="244"/>
      <c r="C43" s="245" t="s">
        <v>108</v>
      </c>
      <c r="D43" s="538">
        <v>5857.5744923353368</v>
      </c>
      <c r="E43" s="246">
        <f t="shared" ref="E43:V43" si="15">IF(E42&gt;$B42,D43,D43-($D43*2*$C42/($B42-$D42)))</f>
        <v>5660.5469866840576</v>
      </c>
      <c r="F43" s="246">
        <f t="shared" si="15"/>
        <v>5463.5194810327785</v>
      </c>
      <c r="G43" s="246">
        <f t="shared" si="15"/>
        <v>5266.4919753814993</v>
      </c>
      <c r="H43" s="246">
        <f t="shared" si="15"/>
        <v>5069.4644697302201</v>
      </c>
      <c r="I43" s="246">
        <f t="shared" si="15"/>
        <v>4872.4369640789409</v>
      </c>
      <c r="J43" s="246">
        <f t="shared" si="15"/>
        <v>4675.4094584276618</v>
      </c>
      <c r="K43" s="246">
        <f t="shared" si="15"/>
        <v>4478.3819527763826</v>
      </c>
      <c r="L43" s="246">
        <f t="shared" si="15"/>
        <v>4281.3544471251034</v>
      </c>
      <c r="M43" s="246">
        <f t="shared" si="15"/>
        <v>4084.3269414738238</v>
      </c>
      <c r="N43" s="246">
        <f t="shared" si="15"/>
        <v>3887.2994358225442</v>
      </c>
      <c r="O43" s="246">
        <f t="shared" si="15"/>
        <v>3690.2719301712646</v>
      </c>
      <c r="P43" s="246">
        <f t="shared" si="15"/>
        <v>3690.2719301712646</v>
      </c>
      <c r="Q43" s="246">
        <f t="shared" si="15"/>
        <v>3690.2719301712646</v>
      </c>
      <c r="R43" s="246">
        <f t="shared" si="15"/>
        <v>3690.2719301712646</v>
      </c>
      <c r="S43" s="246">
        <f t="shared" si="15"/>
        <v>3690.2719301712646</v>
      </c>
      <c r="T43" s="246">
        <f t="shared" si="15"/>
        <v>3690.2719301712646</v>
      </c>
      <c r="U43" s="246">
        <f t="shared" si="15"/>
        <v>3690.2719301712646</v>
      </c>
      <c r="V43" s="246">
        <f t="shared" si="15"/>
        <v>3690.2719301712646</v>
      </c>
      <c r="W43" s="194"/>
      <c r="X43" s="244"/>
      <c r="Y43" s="245" t="s">
        <v>108</v>
      </c>
      <c r="Z43" s="538">
        <v>2185.0850513397531</v>
      </c>
      <c r="AA43" s="246">
        <f t="shared" ref="AA43:AR43" si="16">IF(AA42&gt;$X42,Z43,Z43-($Z43*2*$Y42/($B42-$Z42)))</f>
        <v>2171.1799646494092</v>
      </c>
      <c r="AB43" s="246">
        <f t="shared" si="16"/>
        <v>2157.2748779590652</v>
      </c>
      <c r="AC43" s="246">
        <f t="shared" si="16"/>
        <v>2143.3697912687212</v>
      </c>
      <c r="AD43" s="246">
        <f t="shared" si="16"/>
        <v>2129.4647045783772</v>
      </c>
      <c r="AE43" s="246">
        <f t="shared" si="16"/>
        <v>2115.5596178880332</v>
      </c>
      <c r="AF43" s="246">
        <f t="shared" si="16"/>
        <v>2101.6545311976893</v>
      </c>
      <c r="AG43" s="246">
        <f t="shared" si="16"/>
        <v>2087.7494445073453</v>
      </c>
      <c r="AH43" s="246">
        <f t="shared" si="16"/>
        <v>2073.8443578170013</v>
      </c>
      <c r="AI43" s="246">
        <f t="shared" si="16"/>
        <v>2059.9392711266573</v>
      </c>
      <c r="AJ43" s="246">
        <f t="shared" si="16"/>
        <v>2046.0341844363134</v>
      </c>
      <c r="AK43" s="246">
        <f t="shared" si="16"/>
        <v>2032.1290977459694</v>
      </c>
      <c r="AL43" s="246">
        <f t="shared" si="16"/>
        <v>2032.1290977459694</v>
      </c>
      <c r="AM43" s="246">
        <f t="shared" si="16"/>
        <v>2032.1290977459694</v>
      </c>
      <c r="AN43" s="246">
        <f t="shared" si="16"/>
        <v>2032.1290977459694</v>
      </c>
      <c r="AO43" s="246">
        <f t="shared" si="16"/>
        <v>2032.1290977459694</v>
      </c>
      <c r="AP43" s="246">
        <f t="shared" si="16"/>
        <v>2032.1290977459694</v>
      </c>
      <c r="AQ43" s="246">
        <f t="shared" si="16"/>
        <v>2032.1290977459694</v>
      </c>
      <c r="AR43" s="246">
        <f t="shared" si="16"/>
        <v>2032.1290977459694</v>
      </c>
      <c r="AS43" s="86"/>
      <c r="AT43" s="90"/>
      <c r="AU43" s="91"/>
      <c r="AV43" s="92"/>
      <c r="AW43" s="91"/>
      <c r="AX43" s="93"/>
      <c r="AY43" s="555"/>
      <c r="AZ43" s="547" t="str">
        <f>AZ27</f>
        <v>No Improvement</v>
      </c>
      <c r="BA43" s="547" t="str">
        <f>BA27</f>
        <v>Conservative</v>
      </c>
      <c r="BB43" s="547" t="str">
        <f>BB27</f>
        <v>Reference</v>
      </c>
      <c r="BC43" s="547" t="str">
        <f>BC27</f>
        <v>Aggressive</v>
      </c>
      <c r="BD43" s="552"/>
      <c r="BE43" s="552"/>
      <c r="BF43" s="552"/>
      <c r="BG43" s="86"/>
      <c r="BH43" s="86"/>
      <c r="BI43" s="86"/>
      <c r="BJ43" s="86"/>
    </row>
    <row r="44" spans="1:62" ht="21" x14ac:dyDescent="0.4">
      <c r="A44" s="194"/>
      <c r="B44" s="202" t="s">
        <v>132</v>
      </c>
      <c r="C44" s="247" t="s">
        <v>110</v>
      </c>
      <c r="D44" s="401">
        <v>44.529000000000003</v>
      </c>
      <c r="E44" s="401">
        <v>44.529000000000003</v>
      </c>
      <c r="F44" s="401">
        <v>44.529000000000003</v>
      </c>
      <c r="G44" s="401">
        <v>44.529000000000003</v>
      </c>
      <c r="H44" s="401">
        <v>44.529000000000003</v>
      </c>
      <c r="I44" s="401">
        <v>44.529000000000003</v>
      </c>
      <c r="J44" s="401">
        <v>44.529000000000003</v>
      </c>
      <c r="K44" s="401">
        <v>44.529000000000003</v>
      </c>
      <c r="L44" s="401">
        <v>44.529000000000003</v>
      </c>
      <c r="M44" s="401">
        <v>44.529000000000003</v>
      </c>
      <c r="N44" s="401">
        <v>44.529000000000003</v>
      </c>
      <c r="O44" s="401">
        <v>44.529000000000003</v>
      </c>
      <c r="P44" s="401">
        <v>44.529000000000003</v>
      </c>
      <c r="Q44" s="401">
        <v>44.529000000000003</v>
      </c>
      <c r="R44" s="401">
        <v>44.529000000000003</v>
      </c>
      <c r="S44" s="401">
        <v>44.529000000000003</v>
      </c>
      <c r="T44" s="401">
        <v>44.529000000000003</v>
      </c>
      <c r="U44" s="401">
        <v>44.529000000000003</v>
      </c>
      <c r="V44" s="401">
        <v>44.529000000000003</v>
      </c>
      <c r="W44" s="194"/>
      <c r="X44" s="202" t="s">
        <v>167</v>
      </c>
      <c r="Y44" s="247" t="s">
        <v>110</v>
      </c>
      <c r="Z44" s="195">
        <v>24.229000000000003</v>
      </c>
      <c r="AA44" s="195">
        <v>24.229000000000003</v>
      </c>
      <c r="AB44" s="195">
        <v>24.229000000000003</v>
      </c>
      <c r="AC44" s="195">
        <v>24.229000000000003</v>
      </c>
      <c r="AD44" s="195">
        <v>24.229000000000003</v>
      </c>
      <c r="AE44" s="195">
        <v>24.229000000000003</v>
      </c>
      <c r="AF44" s="195">
        <v>24.229000000000003</v>
      </c>
      <c r="AG44" s="195">
        <v>24.229000000000003</v>
      </c>
      <c r="AH44" s="195">
        <v>24.229000000000003</v>
      </c>
      <c r="AI44" s="195">
        <v>24.229000000000003</v>
      </c>
      <c r="AJ44" s="195">
        <v>24.229000000000003</v>
      </c>
      <c r="AK44" s="195">
        <v>24.229000000000003</v>
      </c>
      <c r="AL44" s="195">
        <v>24.229000000000003</v>
      </c>
      <c r="AM44" s="195">
        <v>24.229000000000003</v>
      </c>
      <c r="AN44" s="195">
        <v>24.229000000000003</v>
      </c>
      <c r="AO44" s="195">
        <v>24.229000000000003</v>
      </c>
      <c r="AP44" s="195">
        <v>24.229000000000003</v>
      </c>
      <c r="AQ44" s="195">
        <v>24.229000000000003</v>
      </c>
      <c r="AR44" s="195">
        <v>24.229000000000003</v>
      </c>
      <c r="AS44" s="86"/>
      <c r="AT44" s="90"/>
      <c r="AU44" s="91"/>
      <c r="AV44" s="92"/>
      <c r="AW44" s="91"/>
      <c r="AX44" s="93"/>
      <c r="AY44" s="555" t="s">
        <v>163</v>
      </c>
      <c r="AZ44" s="558">
        <v>2050</v>
      </c>
      <c r="BA44" s="559">
        <v>2040</v>
      </c>
      <c r="BB44" s="560">
        <v>2036</v>
      </c>
      <c r="BC44" s="560">
        <v>2030</v>
      </c>
      <c r="BD44" s="552"/>
      <c r="BE44" s="552"/>
      <c r="BF44" s="552"/>
      <c r="BG44" s="86"/>
      <c r="BH44" s="86"/>
      <c r="BI44" s="86"/>
      <c r="BJ44" s="86"/>
    </row>
    <row r="45" spans="1:62" ht="21" x14ac:dyDescent="0.4">
      <c r="A45" s="194"/>
      <c r="B45" s="248" t="s">
        <v>151</v>
      </c>
      <c r="C45" s="247" t="s">
        <v>154</v>
      </c>
      <c r="D45" s="584">
        <v>0</v>
      </c>
      <c r="E45" s="583">
        <v>0</v>
      </c>
      <c r="F45" s="583">
        <v>0</v>
      </c>
      <c r="G45" s="583">
        <v>0</v>
      </c>
      <c r="H45" s="583">
        <v>0</v>
      </c>
      <c r="I45" s="583">
        <v>0</v>
      </c>
      <c r="J45" s="583">
        <v>0</v>
      </c>
      <c r="K45" s="583">
        <v>0</v>
      </c>
      <c r="L45" s="583">
        <v>0</v>
      </c>
      <c r="M45" s="583">
        <v>0</v>
      </c>
      <c r="N45" s="583">
        <v>0</v>
      </c>
      <c r="O45" s="583">
        <v>0</v>
      </c>
      <c r="P45" s="583">
        <v>0</v>
      </c>
      <c r="Q45" s="583">
        <v>0</v>
      </c>
      <c r="R45" s="583">
        <v>0</v>
      </c>
      <c r="S45" s="583">
        <v>0</v>
      </c>
      <c r="T45" s="583">
        <v>0</v>
      </c>
      <c r="U45" s="583">
        <v>0</v>
      </c>
      <c r="V45" s="583">
        <v>0</v>
      </c>
      <c r="W45" s="194"/>
      <c r="X45" s="248" t="s">
        <v>151</v>
      </c>
      <c r="Y45" s="247" t="s">
        <v>154</v>
      </c>
      <c r="Z45" s="584">
        <v>0</v>
      </c>
      <c r="AA45" s="583">
        <v>0</v>
      </c>
      <c r="AB45" s="583">
        <v>0</v>
      </c>
      <c r="AC45" s="583">
        <v>0</v>
      </c>
      <c r="AD45" s="583">
        <v>0</v>
      </c>
      <c r="AE45" s="583">
        <v>0</v>
      </c>
      <c r="AF45" s="583">
        <v>0</v>
      </c>
      <c r="AG45" s="583">
        <v>0</v>
      </c>
      <c r="AH45" s="583">
        <v>0</v>
      </c>
      <c r="AI45" s="583">
        <v>0</v>
      </c>
      <c r="AJ45" s="583">
        <v>0</v>
      </c>
      <c r="AK45" s="583">
        <v>0</v>
      </c>
      <c r="AL45" s="583">
        <v>0</v>
      </c>
      <c r="AM45" s="583">
        <v>0</v>
      </c>
      <c r="AN45" s="583">
        <v>0</v>
      </c>
      <c r="AO45" s="583">
        <v>0</v>
      </c>
      <c r="AP45" s="583">
        <v>0</v>
      </c>
      <c r="AQ45" s="583">
        <v>0</v>
      </c>
      <c r="AR45" s="583">
        <v>0</v>
      </c>
      <c r="AS45" s="86"/>
      <c r="AT45" s="90"/>
      <c r="AU45" s="91"/>
      <c r="AV45" s="92"/>
      <c r="AW45" s="91"/>
      <c r="AX45" s="93"/>
      <c r="AY45" s="555" t="s">
        <v>112</v>
      </c>
      <c r="AZ45" s="558">
        <v>2050</v>
      </c>
      <c r="BA45" s="559">
        <v>2040</v>
      </c>
      <c r="BB45" s="560">
        <v>2036</v>
      </c>
      <c r="BC45" s="560">
        <v>2030</v>
      </c>
      <c r="BD45" s="552"/>
      <c r="BE45" s="552"/>
      <c r="BF45" s="552"/>
      <c r="BG45" s="86"/>
      <c r="BH45" s="86"/>
      <c r="BI45" s="86"/>
      <c r="BJ45" s="86"/>
    </row>
    <row r="46" spans="1:62" ht="16.2" x14ac:dyDescent="0.35">
      <c r="A46" s="194"/>
      <c r="B46" s="249"/>
      <c r="C46" s="247" t="s">
        <v>109</v>
      </c>
      <c r="D46" s="582">
        <v>30</v>
      </c>
      <c r="E46" s="581">
        <f t="shared" ref="E46:V46" si="17">D46</f>
        <v>30</v>
      </c>
      <c r="F46" s="581">
        <f t="shared" si="17"/>
        <v>30</v>
      </c>
      <c r="G46" s="581">
        <f t="shared" si="17"/>
        <v>30</v>
      </c>
      <c r="H46" s="581">
        <f t="shared" si="17"/>
        <v>30</v>
      </c>
      <c r="I46" s="581">
        <f t="shared" si="17"/>
        <v>30</v>
      </c>
      <c r="J46" s="581">
        <f t="shared" si="17"/>
        <v>30</v>
      </c>
      <c r="K46" s="581">
        <f t="shared" si="17"/>
        <v>30</v>
      </c>
      <c r="L46" s="581">
        <f t="shared" si="17"/>
        <v>30</v>
      </c>
      <c r="M46" s="581">
        <f t="shared" si="17"/>
        <v>30</v>
      </c>
      <c r="N46" s="581">
        <f t="shared" si="17"/>
        <v>30</v>
      </c>
      <c r="O46" s="581">
        <f t="shared" si="17"/>
        <v>30</v>
      </c>
      <c r="P46" s="581">
        <f t="shared" si="17"/>
        <v>30</v>
      </c>
      <c r="Q46" s="581">
        <f t="shared" si="17"/>
        <v>30</v>
      </c>
      <c r="R46" s="581">
        <f t="shared" si="17"/>
        <v>30</v>
      </c>
      <c r="S46" s="581">
        <f t="shared" si="17"/>
        <v>30</v>
      </c>
      <c r="T46" s="581">
        <f t="shared" si="17"/>
        <v>30</v>
      </c>
      <c r="U46" s="581">
        <f t="shared" si="17"/>
        <v>30</v>
      </c>
      <c r="V46" s="580">
        <f t="shared" si="17"/>
        <v>30</v>
      </c>
      <c r="W46" s="194"/>
      <c r="X46" s="249"/>
      <c r="Y46" s="247" t="s">
        <v>109</v>
      </c>
      <c r="Z46" s="582">
        <v>80</v>
      </c>
      <c r="AA46" s="581">
        <f t="shared" ref="AA46:AR46" si="18">Z46</f>
        <v>80</v>
      </c>
      <c r="AB46" s="581">
        <f t="shared" si="18"/>
        <v>80</v>
      </c>
      <c r="AC46" s="581">
        <f t="shared" si="18"/>
        <v>80</v>
      </c>
      <c r="AD46" s="581">
        <f t="shared" si="18"/>
        <v>80</v>
      </c>
      <c r="AE46" s="581">
        <f t="shared" si="18"/>
        <v>80</v>
      </c>
      <c r="AF46" s="581">
        <f t="shared" si="18"/>
        <v>80</v>
      </c>
      <c r="AG46" s="581">
        <f t="shared" si="18"/>
        <v>80</v>
      </c>
      <c r="AH46" s="581">
        <f t="shared" si="18"/>
        <v>80</v>
      </c>
      <c r="AI46" s="581">
        <f t="shared" si="18"/>
        <v>80</v>
      </c>
      <c r="AJ46" s="581">
        <f t="shared" si="18"/>
        <v>80</v>
      </c>
      <c r="AK46" s="581">
        <f t="shared" si="18"/>
        <v>80</v>
      </c>
      <c r="AL46" s="581">
        <f t="shared" si="18"/>
        <v>80</v>
      </c>
      <c r="AM46" s="581">
        <f t="shared" si="18"/>
        <v>80</v>
      </c>
      <c r="AN46" s="581">
        <f t="shared" si="18"/>
        <v>80</v>
      </c>
      <c r="AO46" s="581">
        <f t="shared" si="18"/>
        <v>80</v>
      </c>
      <c r="AP46" s="581">
        <f t="shared" si="18"/>
        <v>80</v>
      </c>
      <c r="AQ46" s="581">
        <f t="shared" si="18"/>
        <v>80</v>
      </c>
      <c r="AR46" s="580">
        <f t="shared" si="18"/>
        <v>80</v>
      </c>
      <c r="AS46" s="86"/>
      <c r="AT46" s="90"/>
      <c r="AU46" s="91"/>
      <c r="AV46" s="92"/>
      <c r="AW46" s="91"/>
      <c r="AX46" s="93"/>
      <c r="AY46" s="555" t="s">
        <v>131</v>
      </c>
      <c r="AZ46" s="558">
        <v>2050</v>
      </c>
      <c r="BA46" s="559">
        <v>2040</v>
      </c>
      <c r="BB46" s="560">
        <v>2036</v>
      </c>
      <c r="BC46" s="560">
        <v>2030</v>
      </c>
      <c r="BD46" s="552"/>
      <c r="BE46" s="552"/>
      <c r="BF46" s="552"/>
      <c r="BG46" s="86"/>
      <c r="BH46" s="86"/>
      <c r="BI46" s="86"/>
      <c r="BJ46" s="86"/>
    </row>
    <row r="47" spans="1:62" ht="16.8" thickBot="1" x14ac:dyDescent="0.4">
      <c r="A47" s="194"/>
      <c r="B47" s="579"/>
      <c r="C47" s="250" t="s">
        <v>183</v>
      </c>
      <c r="D47" s="578">
        <v>15.737704918032783</v>
      </c>
      <c r="E47" s="577">
        <v>15.737704918032783</v>
      </c>
      <c r="F47" s="577">
        <v>15.737704918032783</v>
      </c>
      <c r="G47" s="577">
        <v>15.737704918032783</v>
      </c>
      <c r="H47" s="577">
        <v>15.737704918032783</v>
      </c>
      <c r="I47" s="577">
        <v>15.737704918032783</v>
      </c>
      <c r="J47" s="577">
        <v>15.737704918032783</v>
      </c>
      <c r="K47" s="577">
        <v>15.737704918032783</v>
      </c>
      <c r="L47" s="577">
        <v>15.737704918032783</v>
      </c>
      <c r="M47" s="577">
        <v>15.737704918032783</v>
      </c>
      <c r="N47" s="577">
        <v>15.737704918032783</v>
      </c>
      <c r="O47" s="577">
        <v>15.737704918032783</v>
      </c>
      <c r="P47" s="577">
        <v>15.737704918032783</v>
      </c>
      <c r="Q47" s="577">
        <v>15.737704918032783</v>
      </c>
      <c r="R47" s="577">
        <v>15.737704918032783</v>
      </c>
      <c r="S47" s="577">
        <v>15.737704918032783</v>
      </c>
      <c r="T47" s="577">
        <v>15.737704918032783</v>
      </c>
      <c r="U47" s="577">
        <v>15.737704918032783</v>
      </c>
      <c r="V47" s="576">
        <v>15.737704918032783</v>
      </c>
      <c r="W47" s="194"/>
      <c r="X47" s="579"/>
      <c r="Y47" s="250" t="s">
        <v>183</v>
      </c>
      <c r="Z47" s="578">
        <v>6.3829999999999991</v>
      </c>
      <c r="AA47" s="577">
        <v>6.3829999999999991</v>
      </c>
      <c r="AB47" s="577">
        <v>6.3829999999999991</v>
      </c>
      <c r="AC47" s="577">
        <v>6.3829999999999991</v>
      </c>
      <c r="AD47" s="577">
        <v>6.3829999999999991</v>
      </c>
      <c r="AE47" s="577">
        <v>6.3829999999999991</v>
      </c>
      <c r="AF47" s="577">
        <v>6.3829999999999991</v>
      </c>
      <c r="AG47" s="577">
        <v>6.3829999999999991</v>
      </c>
      <c r="AH47" s="577">
        <v>6.3829999999999991</v>
      </c>
      <c r="AI47" s="577">
        <v>6.3829999999999991</v>
      </c>
      <c r="AJ47" s="577">
        <v>6.3829999999999991</v>
      </c>
      <c r="AK47" s="577">
        <v>6.3829999999999991</v>
      </c>
      <c r="AL47" s="577">
        <v>6.3829999999999991</v>
      </c>
      <c r="AM47" s="577">
        <v>6.3829999999999991</v>
      </c>
      <c r="AN47" s="577">
        <v>6.3829999999999991</v>
      </c>
      <c r="AO47" s="577">
        <v>6.3829999999999991</v>
      </c>
      <c r="AP47" s="577">
        <v>6.3829999999999991</v>
      </c>
      <c r="AQ47" s="577">
        <v>6.3829999999999991</v>
      </c>
      <c r="AR47" s="576">
        <v>6.3829999999999991</v>
      </c>
      <c r="AS47" s="86"/>
      <c r="AT47" s="90"/>
      <c r="AU47" s="91"/>
      <c r="AV47" s="92"/>
      <c r="AW47" s="91"/>
      <c r="AX47" s="93"/>
      <c r="AY47" s="555" t="s">
        <v>130</v>
      </c>
      <c r="AZ47" s="558">
        <v>2050</v>
      </c>
      <c r="BA47" s="559">
        <v>2040</v>
      </c>
      <c r="BB47" s="560">
        <v>2036</v>
      </c>
      <c r="BC47" s="560">
        <v>2030</v>
      </c>
      <c r="BD47" s="552"/>
      <c r="BE47" s="552"/>
      <c r="BF47" s="552"/>
      <c r="BG47" s="86"/>
      <c r="BH47" s="86"/>
      <c r="BI47" s="86"/>
      <c r="BJ47" s="86"/>
    </row>
    <row r="48" spans="1:62" ht="17.399999999999999" thickTop="1" thickBot="1" x14ac:dyDescent="0.4">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55" t="s">
        <v>132</v>
      </c>
      <c r="AZ48" s="558">
        <v>2050</v>
      </c>
      <c r="BA48" s="559">
        <v>2040</v>
      </c>
      <c r="BB48" s="560">
        <v>2036</v>
      </c>
      <c r="BC48" s="560">
        <v>2030</v>
      </c>
      <c r="BD48" s="552"/>
      <c r="BE48" s="552"/>
      <c r="BF48" s="552"/>
      <c r="BG48" s="86"/>
      <c r="BH48" s="86"/>
      <c r="BI48" s="86"/>
      <c r="BJ48" s="86"/>
    </row>
    <row r="49" spans="1:62" ht="15" customHeight="1" thickTop="1" x14ac:dyDescent="0.35">
      <c r="A49" s="194"/>
      <c r="B49" s="561">
        <f>INDEX($AZ$44:$BC$54,MATCH(B51,$AY$44:$AY$54,0),MATCH($C$6,$AZ$43:$BC$43,0))</f>
        <v>2036</v>
      </c>
      <c r="C49" s="562">
        <f>INDEX($AZ$28:$BC$38,MATCH(B51,$AY$28:$AY$38,0),MATCH($C$6,$AZ$27:$BC$27,0))</f>
        <v>0.35</v>
      </c>
      <c r="D49" s="535">
        <v>2014</v>
      </c>
      <c r="E49" s="536">
        <v>2016</v>
      </c>
      <c r="F49" s="536">
        <v>2018</v>
      </c>
      <c r="G49" s="536">
        <v>2020</v>
      </c>
      <c r="H49" s="536">
        <v>2022</v>
      </c>
      <c r="I49" s="536">
        <v>2024</v>
      </c>
      <c r="J49" s="536">
        <v>2026</v>
      </c>
      <c r="K49" s="536">
        <v>2028</v>
      </c>
      <c r="L49" s="536">
        <v>2030</v>
      </c>
      <c r="M49" s="536">
        <v>2032</v>
      </c>
      <c r="N49" s="536">
        <v>2034</v>
      </c>
      <c r="O49" s="536">
        <v>2036</v>
      </c>
      <c r="P49" s="536">
        <v>2038</v>
      </c>
      <c r="Q49" s="536">
        <v>2040</v>
      </c>
      <c r="R49" s="536">
        <v>2042</v>
      </c>
      <c r="S49" s="536">
        <v>2044</v>
      </c>
      <c r="T49" s="536">
        <v>2046</v>
      </c>
      <c r="U49" s="536">
        <v>2048</v>
      </c>
      <c r="V49" s="537">
        <v>2050</v>
      </c>
      <c r="W49" s="194"/>
      <c r="X49" s="597" t="s">
        <v>269</v>
      </c>
      <c r="Y49" s="597"/>
      <c r="Z49" s="597"/>
      <c r="AA49" s="597"/>
      <c r="AB49" s="597"/>
      <c r="AC49" s="597"/>
      <c r="AD49" s="597"/>
      <c r="AE49" s="597"/>
      <c r="AF49" s="597"/>
      <c r="AG49" s="597"/>
      <c r="AH49" s="597"/>
      <c r="AI49" s="597"/>
      <c r="AJ49" s="597"/>
      <c r="AK49" s="597"/>
      <c r="AL49" s="597"/>
      <c r="AM49" s="597"/>
      <c r="AN49" s="597"/>
      <c r="AO49" s="597"/>
      <c r="AP49" s="597"/>
      <c r="AQ49" s="597"/>
      <c r="AR49" s="597"/>
      <c r="AS49" s="86"/>
      <c r="AT49" s="90"/>
      <c r="AU49" s="91"/>
      <c r="AV49" s="92"/>
      <c r="AW49" s="91"/>
      <c r="AX49" s="93"/>
      <c r="AY49" s="555" t="s">
        <v>133</v>
      </c>
      <c r="AZ49" s="558">
        <v>2050</v>
      </c>
      <c r="BA49" s="559">
        <v>2040</v>
      </c>
      <c r="BB49" s="560">
        <v>2036</v>
      </c>
      <c r="BC49" s="560">
        <v>2030</v>
      </c>
      <c r="BD49" s="552"/>
      <c r="BE49" s="552"/>
      <c r="BF49" s="552"/>
      <c r="BG49" s="86"/>
      <c r="BH49" s="86"/>
      <c r="BI49" s="86"/>
      <c r="BJ49" s="86"/>
    </row>
    <row r="50" spans="1:62" ht="16.2" x14ac:dyDescent="0.35">
      <c r="A50" s="194"/>
      <c r="B50" s="244"/>
      <c r="C50" s="245" t="s">
        <v>108</v>
      </c>
      <c r="D50" s="538">
        <v>5402.3847388616205</v>
      </c>
      <c r="E50" s="246">
        <f t="shared" ref="E50:V50" si="19">IF(E49&gt;$B49,D50,D50-($D50*2*$C49/($B49-$D49)))</f>
        <v>5230.4906789887509</v>
      </c>
      <c r="F50" s="246">
        <f t="shared" si="19"/>
        <v>5058.5966191158814</v>
      </c>
      <c r="G50" s="246">
        <f t="shared" si="19"/>
        <v>4886.7025592430118</v>
      </c>
      <c r="H50" s="246">
        <f t="shared" si="19"/>
        <v>4714.8084993701423</v>
      </c>
      <c r="I50" s="246">
        <f t="shared" si="19"/>
        <v>4542.9144394972727</v>
      </c>
      <c r="J50" s="246">
        <f t="shared" si="19"/>
        <v>4371.0203796244032</v>
      </c>
      <c r="K50" s="246">
        <f t="shared" si="19"/>
        <v>4199.1263197515336</v>
      </c>
      <c r="L50" s="246">
        <f t="shared" si="19"/>
        <v>4027.2322598786641</v>
      </c>
      <c r="M50" s="246">
        <f t="shared" si="19"/>
        <v>3855.3382000057945</v>
      </c>
      <c r="N50" s="246">
        <f t="shared" si="19"/>
        <v>3683.444140132925</v>
      </c>
      <c r="O50" s="246">
        <f t="shared" si="19"/>
        <v>3511.5500802600554</v>
      </c>
      <c r="P50" s="246">
        <f t="shared" si="19"/>
        <v>3511.5500802600554</v>
      </c>
      <c r="Q50" s="246">
        <f t="shared" si="19"/>
        <v>3511.5500802600554</v>
      </c>
      <c r="R50" s="246">
        <f t="shared" si="19"/>
        <v>3511.5500802600554</v>
      </c>
      <c r="S50" s="246">
        <f t="shared" si="19"/>
        <v>3511.5500802600554</v>
      </c>
      <c r="T50" s="246">
        <f t="shared" si="19"/>
        <v>3511.5500802600554</v>
      </c>
      <c r="U50" s="246">
        <f t="shared" si="19"/>
        <v>3511.5500802600554</v>
      </c>
      <c r="V50" s="246">
        <f t="shared" si="19"/>
        <v>3511.5500802600554</v>
      </c>
      <c r="W50" s="194"/>
      <c r="X50" s="597"/>
      <c r="Y50" s="597"/>
      <c r="Z50" s="597"/>
      <c r="AA50" s="597"/>
      <c r="AB50" s="597"/>
      <c r="AC50" s="597"/>
      <c r="AD50" s="597"/>
      <c r="AE50" s="597"/>
      <c r="AF50" s="597"/>
      <c r="AG50" s="597"/>
      <c r="AH50" s="597"/>
      <c r="AI50" s="597"/>
      <c r="AJ50" s="597"/>
      <c r="AK50" s="597"/>
      <c r="AL50" s="597"/>
      <c r="AM50" s="597"/>
      <c r="AN50" s="597"/>
      <c r="AO50" s="597"/>
      <c r="AP50" s="597"/>
      <c r="AQ50" s="597"/>
      <c r="AR50" s="597"/>
      <c r="AS50" s="86"/>
      <c r="AT50" s="90"/>
      <c r="AU50" s="91"/>
      <c r="AV50" s="92"/>
      <c r="AW50" s="91"/>
      <c r="AX50" s="93"/>
      <c r="AY50" s="555" t="s">
        <v>164</v>
      </c>
      <c r="AZ50" s="558">
        <v>2050</v>
      </c>
      <c r="BA50" s="559">
        <v>2040</v>
      </c>
      <c r="BB50" s="560">
        <v>2036</v>
      </c>
      <c r="BC50" s="560">
        <v>2030</v>
      </c>
      <c r="BD50" s="552"/>
      <c r="BE50" s="552"/>
      <c r="BF50" s="552"/>
      <c r="BG50" s="86"/>
      <c r="BH50" s="86"/>
      <c r="BI50" s="86"/>
      <c r="BJ50" s="86"/>
    </row>
    <row r="51" spans="1:62" ht="21" x14ac:dyDescent="0.4">
      <c r="A51" s="194"/>
      <c r="B51" s="202" t="s">
        <v>133</v>
      </c>
      <c r="C51" s="247" t="s">
        <v>110</v>
      </c>
      <c r="D51" s="401">
        <v>43.829000000000001</v>
      </c>
      <c r="E51" s="401">
        <v>43.829000000000001</v>
      </c>
      <c r="F51" s="401">
        <v>43.829000000000001</v>
      </c>
      <c r="G51" s="401">
        <v>43.829000000000001</v>
      </c>
      <c r="H51" s="401">
        <v>43.829000000000001</v>
      </c>
      <c r="I51" s="401">
        <v>43.829000000000001</v>
      </c>
      <c r="J51" s="401">
        <v>43.829000000000001</v>
      </c>
      <c r="K51" s="401">
        <v>43.829000000000001</v>
      </c>
      <c r="L51" s="401">
        <v>43.829000000000001</v>
      </c>
      <c r="M51" s="401">
        <v>43.829000000000001</v>
      </c>
      <c r="N51" s="401">
        <v>43.829000000000001</v>
      </c>
      <c r="O51" s="401">
        <v>43.829000000000001</v>
      </c>
      <c r="P51" s="401">
        <v>43.829000000000001</v>
      </c>
      <c r="Q51" s="401">
        <v>43.829000000000001</v>
      </c>
      <c r="R51" s="401">
        <v>43.829000000000001</v>
      </c>
      <c r="S51" s="401">
        <v>43.829000000000001</v>
      </c>
      <c r="T51" s="401">
        <v>43.829000000000001</v>
      </c>
      <c r="U51" s="401">
        <v>43.829000000000001</v>
      </c>
      <c r="V51" s="401">
        <v>43.829000000000001</v>
      </c>
      <c r="W51" s="194"/>
      <c r="X51" s="597"/>
      <c r="Y51" s="597"/>
      <c r="Z51" s="597"/>
      <c r="AA51" s="597"/>
      <c r="AB51" s="597"/>
      <c r="AC51" s="597"/>
      <c r="AD51" s="597"/>
      <c r="AE51" s="597"/>
      <c r="AF51" s="597"/>
      <c r="AG51" s="597"/>
      <c r="AH51" s="597"/>
      <c r="AI51" s="597"/>
      <c r="AJ51" s="597"/>
      <c r="AK51" s="597"/>
      <c r="AL51" s="597"/>
      <c r="AM51" s="597"/>
      <c r="AN51" s="597"/>
      <c r="AO51" s="597"/>
      <c r="AP51" s="597"/>
      <c r="AQ51" s="597"/>
      <c r="AR51" s="597"/>
      <c r="AS51" s="86"/>
      <c r="AT51" s="90"/>
      <c r="AU51" s="91"/>
      <c r="AV51" s="92"/>
      <c r="AW51" s="91"/>
      <c r="AX51" s="93"/>
      <c r="AY51" s="555" t="s">
        <v>134</v>
      </c>
      <c r="AZ51" s="558">
        <v>2050</v>
      </c>
      <c r="BA51" s="559">
        <v>2040</v>
      </c>
      <c r="BB51" s="560">
        <v>2036</v>
      </c>
      <c r="BC51" s="560">
        <v>2030</v>
      </c>
      <c r="BD51" s="552"/>
      <c r="BE51" s="552"/>
      <c r="BF51" s="552"/>
      <c r="BG51" s="86"/>
      <c r="BH51" s="86"/>
      <c r="BI51" s="86"/>
      <c r="BJ51" s="86"/>
    </row>
    <row r="52" spans="1:62" ht="21" x14ac:dyDescent="0.4">
      <c r="A52" s="194"/>
      <c r="B52" s="248" t="s">
        <v>151</v>
      </c>
      <c r="C52" s="247" t="s">
        <v>154</v>
      </c>
      <c r="D52" s="584">
        <v>0</v>
      </c>
      <c r="E52" s="583">
        <v>0</v>
      </c>
      <c r="F52" s="583">
        <v>0</v>
      </c>
      <c r="G52" s="583">
        <v>0</v>
      </c>
      <c r="H52" s="583">
        <v>0</v>
      </c>
      <c r="I52" s="583">
        <v>0</v>
      </c>
      <c r="J52" s="583">
        <v>0</v>
      </c>
      <c r="K52" s="583">
        <v>0</v>
      </c>
      <c r="L52" s="583">
        <v>0</v>
      </c>
      <c r="M52" s="583">
        <v>0</v>
      </c>
      <c r="N52" s="583">
        <v>0</v>
      </c>
      <c r="O52" s="583">
        <v>0</v>
      </c>
      <c r="P52" s="583">
        <v>0</v>
      </c>
      <c r="Q52" s="583">
        <v>0</v>
      </c>
      <c r="R52" s="583">
        <v>0</v>
      </c>
      <c r="S52" s="583">
        <v>0</v>
      </c>
      <c r="T52" s="583">
        <v>0</v>
      </c>
      <c r="U52" s="583">
        <v>0</v>
      </c>
      <c r="V52" s="583">
        <v>0</v>
      </c>
      <c r="W52" s="194"/>
      <c r="X52" s="597"/>
      <c r="Y52" s="597"/>
      <c r="Z52" s="597"/>
      <c r="AA52" s="597"/>
      <c r="AB52" s="597"/>
      <c r="AC52" s="597"/>
      <c r="AD52" s="597"/>
      <c r="AE52" s="597"/>
      <c r="AF52" s="597"/>
      <c r="AG52" s="597"/>
      <c r="AH52" s="597"/>
      <c r="AI52" s="597"/>
      <c r="AJ52" s="597"/>
      <c r="AK52" s="597"/>
      <c r="AL52" s="597"/>
      <c r="AM52" s="597"/>
      <c r="AN52" s="597"/>
      <c r="AO52" s="597"/>
      <c r="AP52" s="597"/>
      <c r="AQ52" s="597"/>
      <c r="AR52" s="597"/>
      <c r="AS52" s="86"/>
      <c r="AT52" s="90"/>
      <c r="AU52" s="91"/>
      <c r="AV52" s="92"/>
      <c r="AW52" s="91"/>
      <c r="AX52" s="93"/>
      <c r="AY52" s="555" t="s">
        <v>165</v>
      </c>
      <c r="AZ52" s="558">
        <v>2050</v>
      </c>
      <c r="BA52" s="559">
        <v>2040</v>
      </c>
      <c r="BB52" s="560">
        <v>2036</v>
      </c>
      <c r="BC52" s="560">
        <v>2030</v>
      </c>
      <c r="BD52" s="552"/>
      <c r="BE52" s="552"/>
      <c r="BF52" s="552"/>
      <c r="BG52" s="86"/>
      <c r="BH52" s="86"/>
      <c r="BI52" s="86"/>
      <c r="BJ52" s="86"/>
    </row>
    <row r="53" spans="1:62" ht="16.2" x14ac:dyDescent="0.35">
      <c r="A53" s="194"/>
      <c r="B53" s="249"/>
      <c r="C53" s="247" t="s">
        <v>109</v>
      </c>
      <c r="D53" s="582">
        <v>40</v>
      </c>
      <c r="E53" s="581">
        <f t="shared" ref="E53:V53" si="20">D53</f>
        <v>40</v>
      </c>
      <c r="F53" s="581">
        <f t="shared" si="20"/>
        <v>40</v>
      </c>
      <c r="G53" s="581">
        <f t="shared" si="20"/>
        <v>40</v>
      </c>
      <c r="H53" s="581">
        <f t="shared" si="20"/>
        <v>40</v>
      </c>
      <c r="I53" s="581">
        <f t="shared" si="20"/>
        <v>40</v>
      </c>
      <c r="J53" s="581">
        <f t="shared" si="20"/>
        <v>40</v>
      </c>
      <c r="K53" s="581">
        <f t="shared" si="20"/>
        <v>40</v>
      </c>
      <c r="L53" s="581">
        <f t="shared" si="20"/>
        <v>40</v>
      </c>
      <c r="M53" s="581">
        <f t="shared" si="20"/>
        <v>40</v>
      </c>
      <c r="N53" s="581">
        <f t="shared" si="20"/>
        <v>40</v>
      </c>
      <c r="O53" s="581">
        <f t="shared" si="20"/>
        <v>40</v>
      </c>
      <c r="P53" s="581">
        <f t="shared" si="20"/>
        <v>40</v>
      </c>
      <c r="Q53" s="581">
        <f t="shared" si="20"/>
        <v>40</v>
      </c>
      <c r="R53" s="581">
        <f t="shared" si="20"/>
        <v>40</v>
      </c>
      <c r="S53" s="581">
        <f t="shared" si="20"/>
        <v>40</v>
      </c>
      <c r="T53" s="581">
        <f t="shared" si="20"/>
        <v>40</v>
      </c>
      <c r="U53" s="581">
        <f t="shared" si="20"/>
        <v>40</v>
      </c>
      <c r="V53" s="580">
        <f t="shared" si="20"/>
        <v>40</v>
      </c>
      <c r="W53" s="194"/>
      <c r="X53" s="597"/>
      <c r="Y53" s="597"/>
      <c r="Z53" s="597"/>
      <c r="AA53" s="597"/>
      <c r="AB53" s="597"/>
      <c r="AC53" s="597"/>
      <c r="AD53" s="597"/>
      <c r="AE53" s="597"/>
      <c r="AF53" s="597"/>
      <c r="AG53" s="597"/>
      <c r="AH53" s="597"/>
      <c r="AI53" s="597"/>
      <c r="AJ53" s="597"/>
      <c r="AK53" s="597"/>
      <c r="AL53" s="597"/>
      <c r="AM53" s="597"/>
      <c r="AN53" s="597"/>
      <c r="AO53" s="597"/>
      <c r="AP53" s="597"/>
      <c r="AQ53" s="597"/>
      <c r="AR53" s="597"/>
      <c r="AS53" s="86"/>
      <c r="AT53" s="90"/>
      <c r="AU53" s="91"/>
      <c r="AV53" s="92"/>
      <c r="AW53" s="91"/>
      <c r="AX53" s="93"/>
      <c r="AY53" s="555" t="s">
        <v>166</v>
      </c>
      <c r="AZ53" s="558">
        <v>2050</v>
      </c>
      <c r="BA53" s="559">
        <v>2040</v>
      </c>
      <c r="BB53" s="560">
        <v>2036</v>
      </c>
      <c r="BC53" s="560">
        <v>2030</v>
      </c>
      <c r="BD53" s="552"/>
      <c r="BE53" s="552"/>
      <c r="BF53" s="552"/>
      <c r="BG53" s="86"/>
      <c r="BH53" s="86"/>
      <c r="BI53" s="86"/>
      <c r="BJ53" s="86"/>
    </row>
    <row r="54" spans="1:62" ht="16.8" thickBot="1" x14ac:dyDescent="0.4">
      <c r="A54" s="194"/>
      <c r="B54" s="579"/>
      <c r="C54" s="250" t="s">
        <v>183</v>
      </c>
      <c r="D54" s="578">
        <v>11.282999999999999</v>
      </c>
      <c r="E54" s="577">
        <v>11.282999999999999</v>
      </c>
      <c r="F54" s="577">
        <v>11.282999999999999</v>
      </c>
      <c r="G54" s="577">
        <v>11.282999999999999</v>
      </c>
      <c r="H54" s="577">
        <v>11.282999999999999</v>
      </c>
      <c r="I54" s="577">
        <v>11.282999999999999</v>
      </c>
      <c r="J54" s="577">
        <v>11.282999999999999</v>
      </c>
      <c r="K54" s="577">
        <v>11.282999999999999</v>
      </c>
      <c r="L54" s="577">
        <v>11.282999999999999</v>
      </c>
      <c r="M54" s="577">
        <v>11.282999999999999</v>
      </c>
      <c r="N54" s="577">
        <v>11.282999999999999</v>
      </c>
      <c r="O54" s="577">
        <v>11.282999999999999</v>
      </c>
      <c r="P54" s="577">
        <v>11.282999999999999</v>
      </c>
      <c r="Q54" s="577">
        <v>11.282999999999999</v>
      </c>
      <c r="R54" s="577">
        <v>11.282999999999999</v>
      </c>
      <c r="S54" s="577">
        <v>11.282999999999999</v>
      </c>
      <c r="T54" s="577">
        <v>11.282999999999999</v>
      </c>
      <c r="U54" s="577">
        <v>11.282999999999999</v>
      </c>
      <c r="V54" s="576">
        <v>11.282999999999999</v>
      </c>
      <c r="W54" s="194"/>
      <c r="X54" s="597"/>
      <c r="Y54" s="597"/>
      <c r="Z54" s="597"/>
      <c r="AA54" s="597"/>
      <c r="AB54" s="597"/>
      <c r="AC54" s="597"/>
      <c r="AD54" s="597"/>
      <c r="AE54" s="597"/>
      <c r="AF54" s="597"/>
      <c r="AG54" s="597"/>
      <c r="AH54" s="597"/>
      <c r="AI54" s="597"/>
      <c r="AJ54" s="597"/>
      <c r="AK54" s="597"/>
      <c r="AL54" s="597"/>
      <c r="AM54" s="597"/>
      <c r="AN54" s="597"/>
      <c r="AO54" s="597"/>
      <c r="AP54" s="597"/>
      <c r="AQ54" s="597"/>
      <c r="AR54" s="597"/>
      <c r="AS54" s="86"/>
      <c r="AT54" s="90"/>
      <c r="AU54" s="91"/>
      <c r="AV54" s="92"/>
      <c r="AW54" s="91"/>
      <c r="AX54" s="93"/>
      <c r="AY54" s="555" t="s">
        <v>167</v>
      </c>
      <c r="AZ54" s="558">
        <v>2050</v>
      </c>
      <c r="BA54" s="559">
        <v>2040</v>
      </c>
      <c r="BB54" s="560">
        <v>2036</v>
      </c>
      <c r="BC54" s="560">
        <v>2030</v>
      </c>
      <c r="BD54" s="552"/>
      <c r="BE54" s="552"/>
      <c r="BF54" s="552"/>
      <c r="BG54" s="86"/>
      <c r="BH54" s="86"/>
      <c r="BI54" s="86"/>
      <c r="BJ54" s="86"/>
    </row>
    <row r="55" spans="1:62" ht="15.6" thickTop="1" x14ac:dyDescent="0.35">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52"/>
      <c r="BE55" s="552"/>
      <c r="BF55" s="552"/>
      <c r="BG55" s="86"/>
      <c r="BH55" s="86"/>
      <c r="BI55" s="86"/>
      <c r="BJ55" s="86"/>
    </row>
    <row r="56" spans="1:62" ht="21" x14ac:dyDescent="0.4">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56"/>
      <c r="AZ56" s="547"/>
      <c r="BA56" s="551"/>
      <c r="BB56" s="552"/>
      <c r="BC56" s="552"/>
      <c r="BD56" s="552"/>
      <c r="BE56" s="552"/>
      <c r="BF56" s="552"/>
      <c r="BG56" s="86"/>
      <c r="BH56" s="86"/>
      <c r="BI56" s="86"/>
      <c r="BJ56" s="86"/>
    </row>
    <row r="57" spans="1:62" ht="16.2" x14ac:dyDescent="0.3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57"/>
      <c r="AZ57" s="547"/>
      <c r="BA57" s="551"/>
      <c r="BB57" s="552"/>
      <c r="BC57" s="552"/>
      <c r="BD57" s="552"/>
      <c r="BE57" s="552"/>
      <c r="BF57" s="552"/>
      <c r="BG57" s="86"/>
      <c r="BH57" s="86"/>
      <c r="BI57" s="86"/>
      <c r="BJ57" s="86"/>
    </row>
    <row r="58" spans="1:62" x14ac:dyDescent="0.35">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47"/>
      <c r="BA58" s="551"/>
      <c r="BB58" s="552"/>
      <c r="BC58" s="552"/>
      <c r="BD58" s="552"/>
      <c r="BE58" s="552"/>
      <c r="BF58" s="552"/>
      <c r="BG58" s="86"/>
      <c r="BH58" s="86"/>
      <c r="BI58" s="86"/>
      <c r="BJ58" s="86"/>
    </row>
    <row r="59" spans="1:62" x14ac:dyDescent="0.35">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47"/>
      <c r="BA59" s="551"/>
      <c r="BB59" s="552"/>
      <c r="BC59" s="552"/>
      <c r="BD59" s="552"/>
      <c r="BE59" s="552"/>
      <c r="BF59" s="552"/>
      <c r="BG59" s="86"/>
      <c r="BH59" s="86"/>
      <c r="BI59" s="86"/>
      <c r="BJ59" s="86"/>
    </row>
    <row r="60" spans="1:62" x14ac:dyDescent="0.35">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47"/>
      <c r="BA60" s="551"/>
      <c r="BB60" s="552"/>
      <c r="BC60" s="552"/>
      <c r="BD60" s="552"/>
      <c r="BE60" s="552"/>
      <c r="BF60" s="552"/>
      <c r="BG60" s="86"/>
      <c r="BH60" s="86"/>
      <c r="BI60" s="86"/>
      <c r="BJ60" s="86"/>
    </row>
    <row r="61" spans="1:62" ht="16.2" x14ac:dyDescent="0.3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55"/>
      <c r="AZ61" s="547"/>
      <c r="BA61" s="551"/>
      <c r="BB61" s="552"/>
      <c r="BC61" s="552"/>
      <c r="BD61" s="552"/>
      <c r="BE61" s="552"/>
      <c r="BF61" s="552"/>
      <c r="BG61" s="86"/>
      <c r="BH61" s="86"/>
      <c r="BI61" s="86"/>
      <c r="BJ61" s="86"/>
    </row>
    <row r="62" spans="1:62" x14ac:dyDescent="0.35">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52"/>
      <c r="AZ62" s="547"/>
      <c r="BA62" s="551"/>
      <c r="BB62" s="552"/>
      <c r="BC62" s="552"/>
      <c r="BD62" s="552"/>
      <c r="BE62" s="552"/>
      <c r="BF62" s="552"/>
      <c r="BG62" s="86"/>
      <c r="BH62" s="86"/>
      <c r="BI62" s="86"/>
      <c r="BJ62" s="86"/>
    </row>
    <row r="63" spans="1:62" x14ac:dyDescent="0.35">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50"/>
      <c r="AZ63" s="547"/>
      <c r="BA63" s="551"/>
      <c r="BB63" s="552"/>
      <c r="BC63" s="552"/>
      <c r="BD63" s="552"/>
      <c r="BE63" s="552"/>
      <c r="BF63" s="552"/>
      <c r="BG63" s="86"/>
      <c r="BH63" s="86"/>
      <c r="BI63" s="86"/>
      <c r="BJ63" s="86"/>
    </row>
    <row r="64" spans="1:62" x14ac:dyDescent="0.35">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50"/>
      <c r="AZ64" s="547"/>
      <c r="BA64" s="551"/>
      <c r="BB64" s="552"/>
      <c r="BC64" s="552"/>
      <c r="BD64" s="552"/>
      <c r="BE64" s="552"/>
      <c r="BF64" s="552"/>
      <c r="BG64" s="86"/>
      <c r="BH64" s="86"/>
      <c r="BI64" s="86"/>
      <c r="BJ64" s="86"/>
    </row>
    <row r="65" spans="1:62" x14ac:dyDescent="0.35">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50"/>
      <c r="AZ65" s="547"/>
      <c r="BA65" s="551"/>
      <c r="BB65" s="552"/>
      <c r="BC65" s="552"/>
      <c r="BD65" s="552"/>
      <c r="BE65" s="552"/>
      <c r="BF65" s="552"/>
      <c r="BG65" s="86"/>
      <c r="BH65" s="86"/>
      <c r="BI65" s="86"/>
      <c r="BJ65" s="86"/>
    </row>
    <row r="66" spans="1:62" x14ac:dyDescent="0.35">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50"/>
      <c r="AZ66" s="547"/>
      <c r="BA66" s="551"/>
      <c r="BB66" s="552"/>
      <c r="BC66" s="552"/>
      <c r="BD66" s="552"/>
      <c r="BE66" s="552"/>
      <c r="BF66" s="552"/>
      <c r="BG66" s="86"/>
      <c r="BH66" s="86"/>
      <c r="BI66" s="86"/>
      <c r="BJ66" s="86"/>
    </row>
    <row r="67" spans="1:62" x14ac:dyDescent="0.35">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50"/>
      <c r="AZ67" s="547"/>
      <c r="BA67" s="551"/>
      <c r="BB67" s="552"/>
      <c r="BC67" s="552"/>
      <c r="BD67" s="552"/>
      <c r="BE67" s="552"/>
      <c r="BF67" s="552"/>
      <c r="BG67" s="86"/>
      <c r="BH67" s="86"/>
      <c r="BI67" s="86"/>
      <c r="BJ67" s="86"/>
    </row>
    <row r="68" spans="1:62" x14ac:dyDescent="0.35">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50"/>
      <c r="AZ68" s="547"/>
      <c r="BA68" s="551"/>
      <c r="BB68" s="552"/>
      <c r="BC68" s="552"/>
      <c r="BD68" s="552"/>
      <c r="BE68" s="552"/>
      <c r="BF68" s="552"/>
      <c r="BG68" s="86"/>
      <c r="BH68" s="86"/>
      <c r="BI68" s="86"/>
      <c r="BJ68" s="86"/>
    </row>
    <row r="69" spans="1:62" x14ac:dyDescent="0.35">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x14ac:dyDescent="0.35">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x14ac:dyDescent="0.35">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x14ac:dyDescent="0.35">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x14ac:dyDescent="0.35">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x14ac:dyDescent="0.35">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x14ac:dyDescent="0.35">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x14ac:dyDescent="0.35">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x14ac:dyDescent="0.35">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x14ac:dyDescent="0.35">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x14ac:dyDescent="0.35">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x14ac:dyDescent="0.35">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x14ac:dyDescent="0.35">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x14ac:dyDescent="0.35">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x14ac:dyDescent="0.35">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x14ac:dyDescent="0.35">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x14ac:dyDescent="0.35">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x14ac:dyDescent="0.35">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x14ac:dyDescent="0.35">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x14ac:dyDescent="0.35">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x14ac:dyDescent="0.35">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x14ac:dyDescent="0.35">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x14ac:dyDescent="0.35">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x14ac:dyDescent="0.35">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x14ac:dyDescent="0.35">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x14ac:dyDescent="0.35">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x14ac:dyDescent="0.35">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x14ac:dyDescent="0.35">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x14ac:dyDescent="0.35">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x14ac:dyDescent="0.35">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x14ac:dyDescent="0.35">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x14ac:dyDescent="0.35">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x14ac:dyDescent="0.35">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x14ac:dyDescent="0.35">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x14ac:dyDescent="0.35">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x14ac:dyDescent="0.35">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x14ac:dyDescent="0.35">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x14ac:dyDescent="0.35">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x14ac:dyDescent="0.35">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x14ac:dyDescent="0.35">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x14ac:dyDescent="0.35">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x14ac:dyDescent="0.35">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x14ac:dyDescent="0.35">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x14ac:dyDescent="0.35">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x14ac:dyDescent="0.35">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x14ac:dyDescent="0.35">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x14ac:dyDescent="0.35">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x14ac:dyDescent="0.35">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x14ac:dyDescent="0.35">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x14ac:dyDescent="0.35">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x14ac:dyDescent="0.35">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x14ac:dyDescent="0.35">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x14ac:dyDescent="0.35">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x14ac:dyDescent="0.35">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x14ac:dyDescent="0.35">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x14ac:dyDescent="0.35">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x14ac:dyDescent="0.35">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x14ac:dyDescent="0.35">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x14ac:dyDescent="0.35">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x14ac:dyDescent="0.35">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x14ac:dyDescent="0.35">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x14ac:dyDescent="0.35">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x14ac:dyDescent="0.35">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x14ac:dyDescent="0.35">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x14ac:dyDescent="0.35">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x14ac:dyDescent="0.35">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x14ac:dyDescent="0.35">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x14ac:dyDescent="0.35">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x14ac:dyDescent="0.35">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x14ac:dyDescent="0.35">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x14ac:dyDescent="0.35">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x14ac:dyDescent="0.35">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x14ac:dyDescent="0.35">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x14ac:dyDescent="0.35">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x14ac:dyDescent="0.35">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x14ac:dyDescent="0.35">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x14ac:dyDescent="0.35">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x14ac:dyDescent="0.35">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x14ac:dyDescent="0.35">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x14ac:dyDescent="0.35">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x14ac:dyDescent="0.35">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x14ac:dyDescent="0.35">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x14ac:dyDescent="0.35">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x14ac:dyDescent="0.35">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x14ac:dyDescent="0.35">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x14ac:dyDescent="0.35">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x14ac:dyDescent="0.35">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x14ac:dyDescent="0.35">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x14ac:dyDescent="0.35">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x14ac:dyDescent="0.35">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x14ac:dyDescent="0.35">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x14ac:dyDescent="0.35">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x14ac:dyDescent="0.35">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x14ac:dyDescent="0.35">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x14ac:dyDescent="0.35">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x14ac:dyDescent="0.35">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x14ac:dyDescent="0.35">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x14ac:dyDescent="0.35">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x14ac:dyDescent="0.35">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x14ac:dyDescent="0.35">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x14ac:dyDescent="0.35">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x14ac:dyDescent="0.35">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x14ac:dyDescent="0.35">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x14ac:dyDescent="0.35">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x14ac:dyDescent="0.35">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x14ac:dyDescent="0.35">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x14ac:dyDescent="0.35">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x14ac:dyDescent="0.35">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x14ac:dyDescent="0.35">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x14ac:dyDescent="0.35">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x14ac:dyDescent="0.35">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x14ac:dyDescent="0.35">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x14ac:dyDescent="0.35">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x14ac:dyDescent="0.35">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x14ac:dyDescent="0.35">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x14ac:dyDescent="0.35">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x14ac:dyDescent="0.35">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x14ac:dyDescent="0.35">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x14ac:dyDescent="0.35">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x14ac:dyDescent="0.35">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x14ac:dyDescent="0.35">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x14ac:dyDescent="0.35">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x14ac:dyDescent="0.35">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x14ac:dyDescent="0.35">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x14ac:dyDescent="0.35">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x14ac:dyDescent="0.35">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x14ac:dyDescent="0.35">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x14ac:dyDescent="0.35">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x14ac:dyDescent="0.35">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x14ac:dyDescent="0.35">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x14ac:dyDescent="0.35">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x14ac:dyDescent="0.35">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x14ac:dyDescent="0.35">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x14ac:dyDescent="0.35">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x14ac:dyDescent="0.35">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x14ac:dyDescent="0.35">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x14ac:dyDescent="0.35">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x14ac:dyDescent="0.35">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x14ac:dyDescent="0.35">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x14ac:dyDescent="0.35">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x14ac:dyDescent="0.35">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x14ac:dyDescent="0.35">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x14ac:dyDescent="0.35">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x14ac:dyDescent="0.35">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x14ac:dyDescent="0.35">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x14ac:dyDescent="0.35">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x14ac:dyDescent="0.35">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x14ac:dyDescent="0.35">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x14ac:dyDescent="0.35">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x14ac:dyDescent="0.35">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x14ac:dyDescent="0.35">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x14ac:dyDescent="0.35">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x14ac:dyDescent="0.35">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x14ac:dyDescent="0.35">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x14ac:dyDescent="0.35">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x14ac:dyDescent="0.35">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x14ac:dyDescent="0.35">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x14ac:dyDescent="0.35">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x14ac:dyDescent="0.35">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x14ac:dyDescent="0.35">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x14ac:dyDescent="0.35">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x14ac:dyDescent="0.35">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x14ac:dyDescent="0.35">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x14ac:dyDescent="0.35">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x14ac:dyDescent="0.35">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x14ac:dyDescent="0.35">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x14ac:dyDescent="0.35">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x14ac:dyDescent="0.35">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x14ac:dyDescent="0.35">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x14ac:dyDescent="0.35">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x14ac:dyDescent="0.35">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x14ac:dyDescent="0.35">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x14ac:dyDescent="0.35">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x14ac:dyDescent="0.35">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x14ac:dyDescent="0.35">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x14ac:dyDescent="0.35">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x14ac:dyDescent="0.35">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x14ac:dyDescent="0.35">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x14ac:dyDescent="0.35">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x14ac:dyDescent="0.35">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x14ac:dyDescent="0.35">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x14ac:dyDescent="0.35">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x14ac:dyDescent="0.35">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x14ac:dyDescent="0.35">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x14ac:dyDescent="0.35">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x14ac:dyDescent="0.35">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x14ac:dyDescent="0.35">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x14ac:dyDescent="0.35">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x14ac:dyDescent="0.35">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x14ac:dyDescent="0.35">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x14ac:dyDescent="0.35">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x14ac:dyDescent="0.35">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x14ac:dyDescent="0.35">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x14ac:dyDescent="0.35">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x14ac:dyDescent="0.35">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x14ac:dyDescent="0.35">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x14ac:dyDescent="0.35">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x14ac:dyDescent="0.35">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x14ac:dyDescent="0.35">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x14ac:dyDescent="0.35">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x14ac:dyDescent="0.35">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x14ac:dyDescent="0.35">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x14ac:dyDescent="0.35">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x14ac:dyDescent="0.35">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x14ac:dyDescent="0.35">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x14ac:dyDescent="0.35">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x14ac:dyDescent="0.35">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x14ac:dyDescent="0.35">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x14ac:dyDescent="0.35">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x14ac:dyDescent="0.35">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x14ac:dyDescent="0.35">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x14ac:dyDescent="0.35">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x14ac:dyDescent="0.35">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x14ac:dyDescent="0.35">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x14ac:dyDescent="0.35">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x14ac:dyDescent="0.35">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x14ac:dyDescent="0.35">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x14ac:dyDescent="0.35">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x14ac:dyDescent="0.35">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x14ac:dyDescent="0.35">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x14ac:dyDescent="0.35">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x14ac:dyDescent="0.35">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x14ac:dyDescent="0.35">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x14ac:dyDescent="0.35">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x14ac:dyDescent="0.35">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x14ac:dyDescent="0.35">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x14ac:dyDescent="0.35">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x14ac:dyDescent="0.35">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x14ac:dyDescent="0.35">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x14ac:dyDescent="0.35">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x14ac:dyDescent="0.35">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x14ac:dyDescent="0.35">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x14ac:dyDescent="0.35">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x14ac:dyDescent="0.35">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x14ac:dyDescent="0.35">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x14ac:dyDescent="0.35">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x14ac:dyDescent="0.35">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x14ac:dyDescent="0.35">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x14ac:dyDescent="0.35">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x14ac:dyDescent="0.35">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x14ac:dyDescent="0.35">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x14ac:dyDescent="0.35">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x14ac:dyDescent="0.35">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x14ac:dyDescent="0.35">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x14ac:dyDescent="0.35">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x14ac:dyDescent="0.35">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x14ac:dyDescent="0.35">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x14ac:dyDescent="0.35">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x14ac:dyDescent="0.35">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x14ac:dyDescent="0.35">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x14ac:dyDescent="0.35">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x14ac:dyDescent="0.35">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x14ac:dyDescent="0.35">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x14ac:dyDescent="0.35">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x14ac:dyDescent="0.35">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x14ac:dyDescent="0.35">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x14ac:dyDescent="0.35">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x14ac:dyDescent="0.35">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x14ac:dyDescent="0.35">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x14ac:dyDescent="0.35">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x14ac:dyDescent="0.35">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x14ac:dyDescent="0.35">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x14ac:dyDescent="0.35">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x14ac:dyDescent="0.35">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x14ac:dyDescent="0.35">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x14ac:dyDescent="0.35">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x14ac:dyDescent="0.35">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x14ac:dyDescent="0.35">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x14ac:dyDescent="0.35">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x14ac:dyDescent="0.35">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x14ac:dyDescent="0.35">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x14ac:dyDescent="0.35">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x14ac:dyDescent="0.35">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x14ac:dyDescent="0.35">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x14ac:dyDescent="0.35">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x14ac:dyDescent="0.35">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x14ac:dyDescent="0.35">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x14ac:dyDescent="0.35">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x14ac:dyDescent="0.35">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x14ac:dyDescent="0.35">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x14ac:dyDescent="0.35">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x14ac:dyDescent="0.35">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x14ac:dyDescent="0.35">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x14ac:dyDescent="0.35">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x14ac:dyDescent="0.35">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x14ac:dyDescent="0.35">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x14ac:dyDescent="0.35">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x14ac:dyDescent="0.35">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x14ac:dyDescent="0.35">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x14ac:dyDescent="0.35">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x14ac:dyDescent="0.35">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x14ac:dyDescent="0.35">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x14ac:dyDescent="0.35">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x14ac:dyDescent="0.35">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x14ac:dyDescent="0.35">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x14ac:dyDescent="0.35">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x14ac:dyDescent="0.35">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x14ac:dyDescent="0.35">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x14ac:dyDescent="0.35">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x14ac:dyDescent="0.35">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x14ac:dyDescent="0.35">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x14ac:dyDescent="0.35">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x14ac:dyDescent="0.35">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x14ac:dyDescent="0.35">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x14ac:dyDescent="0.35">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x14ac:dyDescent="0.35">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x14ac:dyDescent="0.35">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x14ac:dyDescent="0.35">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x14ac:dyDescent="0.35">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x14ac:dyDescent="0.35">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x14ac:dyDescent="0.35">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x14ac:dyDescent="0.35">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x14ac:dyDescent="0.35">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x14ac:dyDescent="0.35">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x14ac:dyDescent="0.35">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x14ac:dyDescent="0.35">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x14ac:dyDescent="0.35">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x14ac:dyDescent="0.35">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x14ac:dyDescent="0.35">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x14ac:dyDescent="0.35">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x14ac:dyDescent="0.35">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x14ac:dyDescent="0.35">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x14ac:dyDescent="0.35">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x14ac:dyDescent="0.35">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x14ac:dyDescent="0.35">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x14ac:dyDescent="0.35">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x14ac:dyDescent="0.35">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x14ac:dyDescent="0.35">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x14ac:dyDescent="0.35">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x14ac:dyDescent="0.35">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x14ac:dyDescent="0.35">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x14ac:dyDescent="0.35">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x14ac:dyDescent="0.35">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x14ac:dyDescent="0.35">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x14ac:dyDescent="0.35">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x14ac:dyDescent="0.35">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x14ac:dyDescent="0.35">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x14ac:dyDescent="0.35">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x14ac:dyDescent="0.35">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x14ac:dyDescent="0.35">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x14ac:dyDescent="0.35">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x14ac:dyDescent="0.35">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x14ac:dyDescent="0.35">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x14ac:dyDescent="0.35">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x14ac:dyDescent="0.35">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x14ac:dyDescent="0.35">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x14ac:dyDescent="0.35">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x14ac:dyDescent="0.35">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x14ac:dyDescent="0.35">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x14ac:dyDescent="0.35">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x14ac:dyDescent="0.35">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x14ac:dyDescent="0.35">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x14ac:dyDescent="0.35">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x14ac:dyDescent="0.35">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x14ac:dyDescent="0.35">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x14ac:dyDescent="0.35">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x14ac:dyDescent="0.35">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x14ac:dyDescent="0.35">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x14ac:dyDescent="0.35">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x14ac:dyDescent="0.35">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x14ac:dyDescent="0.35">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x14ac:dyDescent="0.35">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x14ac:dyDescent="0.35">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x14ac:dyDescent="0.35">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x14ac:dyDescent="0.35">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x14ac:dyDescent="0.35">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x14ac:dyDescent="0.35">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x14ac:dyDescent="0.35">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x14ac:dyDescent="0.35">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x14ac:dyDescent="0.35">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x14ac:dyDescent="0.35">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x14ac:dyDescent="0.35">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x14ac:dyDescent="0.35">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x14ac:dyDescent="0.35">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x14ac:dyDescent="0.35">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x14ac:dyDescent="0.35">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x14ac:dyDescent="0.35">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x14ac:dyDescent="0.35">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x14ac:dyDescent="0.35">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x14ac:dyDescent="0.35">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x14ac:dyDescent="0.35">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x14ac:dyDescent="0.35">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x14ac:dyDescent="0.35">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x14ac:dyDescent="0.35">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x14ac:dyDescent="0.35">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x14ac:dyDescent="0.35">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x14ac:dyDescent="0.35">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x14ac:dyDescent="0.35">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x14ac:dyDescent="0.35">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x14ac:dyDescent="0.35">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x14ac:dyDescent="0.35">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x14ac:dyDescent="0.35">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x14ac:dyDescent="0.35">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x14ac:dyDescent="0.35">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x14ac:dyDescent="0.35">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x14ac:dyDescent="0.35">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x14ac:dyDescent="0.35">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x14ac:dyDescent="0.35">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x14ac:dyDescent="0.35">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x14ac:dyDescent="0.35">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x14ac:dyDescent="0.35">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x14ac:dyDescent="0.35">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x14ac:dyDescent="0.35">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x14ac:dyDescent="0.35">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x14ac:dyDescent="0.35">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x14ac:dyDescent="0.35">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x14ac:dyDescent="0.35">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x14ac:dyDescent="0.35">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x14ac:dyDescent="0.35">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x14ac:dyDescent="0.35">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x14ac:dyDescent="0.35">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x14ac:dyDescent="0.35">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x14ac:dyDescent="0.35">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x14ac:dyDescent="0.35">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x14ac:dyDescent="0.35">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x14ac:dyDescent="0.35">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x14ac:dyDescent="0.35">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x14ac:dyDescent="0.35">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x14ac:dyDescent="0.35">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x14ac:dyDescent="0.35">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x14ac:dyDescent="0.35">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x14ac:dyDescent="0.35">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x14ac:dyDescent="0.35">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x14ac:dyDescent="0.35">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x14ac:dyDescent="0.35">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x14ac:dyDescent="0.35">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x14ac:dyDescent="0.35">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x14ac:dyDescent="0.35">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x14ac:dyDescent="0.35">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x14ac:dyDescent="0.35">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x14ac:dyDescent="0.35">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x14ac:dyDescent="0.35">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x14ac:dyDescent="0.35">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x14ac:dyDescent="0.35">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x14ac:dyDescent="0.35">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x14ac:dyDescent="0.35">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x14ac:dyDescent="0.35">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x14ac:dyDescent="0.35">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x14ac:dyDescent="0.35">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x14ac:dyDescent="0.35">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x14ac:dyDescent="0.35">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x14ac:dyDescent="0.35">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x14ac:dyDescent="0.35">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x14ac:dyDescent="0.35">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x14ac:dyDescent="0.35">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x14ac:dyDescent="0.35">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x14ac:dyDescent="0.35">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x14ac:dyDescent="0.35">
      <c r="A516" s="575"/>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x14ac:dyDescent="0.35">
      <c r="A517" s="575"/>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x14ac:dyDescent="0.35">
      <c r="A518" s="575"/>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x14ac:dyDescent="0.35">
      <c r="A519" s="575"/>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x14ac:dyDescent="0.35">
      <c r="A520" s="575"/>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x14ac:dyDescent="0.35">
      <c r="A521" s="575"/>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x14ac:dyDescent="0.35">
      <c r="A522" s="575"/>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x14ac:dyDescent="0.35">
      <c r="A523" s="575"/>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x14ac:dyDescent="0.35">
      <c r="A524" s="575"/>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x14ac:dyDescent="0.35">
      <c r="A525" s="575"/>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5"/>
      <c r="AD525" s="575"/>
      <c r="AE525" s="575"/>
      <c r="AF525" s="575"/>
      <c r="AG525" s="575"/>
      <c r="AH525" s="575"/>
      <c r="AI525" s="575"/>
    </row>
    <row r="526" spans="1:62" x14ac:dyDescent="0.35">
      <c r="A526" s="575"/>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5"/>
      <c r="AD526" s="575"/>
      <c r="AE526" s="575"/>
      <c r="AF526" s="575"/>
      <c r="AG526" s="575"/>
      <c r="AH526" s="575"/>
      <c r="AI526" s="575"/>
    </row>
    <row r="527" spans="1:62" x14ac:dyDescent="0.35">
      <c r="A527" s="575"/>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5"/>
      <c r="AD527" s="575"/>
      <c r="AE527" s="575"/>
      <c r="AF527" s="575"/>
      <c r="AG527" s="575"/>
      <c r="AH527" s="575"/>
      <c r="AI527" s="575"/>
    </row>
    <row r="528" spans="1:62" x14ac:dyDescent="0.35">
      <c r="A528" s="575"/>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5"/>
      <c r="AD528" s="575"/>
      <c r="AE528" s="575"/>
      <c r="AF528" s="575"/>
      <c r="AG528" s="575"/>
      <c r="AH528" s="575"/>
      <c r="AI528" s="575"/>
    </row>
    <row r="529" spans="1:35" x14ac:dyDescent="0.35">
      <c r="A529" s="575"/>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5"/>
      <c r="AD529" s="575"/>
      <c r="AE529" s="575"/>
      <c r="AF529" s="575"/>
      <c r="AG529" s="575"/>
      <c r="AH529" s="575"/>
      <c r="AI529" s="575"/>
    </row>
    <row r="530" spans="1:35" x14ac:dyDescent="0.35">
      <c r="A530" s="575"/>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5"/>
      <c r="AD530" s="575"/>
      <c r="AE530" s="575"/>
      <c r="AF530" s="575"/>
      <c r="AG530" s="575"/>
      <c r="AH530" s="575"/>
      <c r="AI530" s="575"/>
    </row>
    <row r="531" spans="1:35" x14ac:dyDescent="0.35">
      <c r="A531" s="575"/>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5"/>
      <c r="AD531" s="575"/>
      <c r="AE531" s="575"/>
      <c r="AF531" s="575"/>
      <c r="AG531" s="575"/>
      <c r="AH531" s="575"/>
      <c r="AI531" s="575"/>
    </row>
    <row r="532" spans="1:35" x14ac:dyDescent="0.35">
      <c r="A532" s="575"/>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5"/>
      <c r="AD532" s="575"/>
      <c r="AE532" s="575"/>
      <c r="AF532" s="575"/>
      <c r="AG532" s="575"/>
      <c r="AH532" s="575"/>
      <c r="AI532" s="575"/>
    </row>
    <row r="533" spans="1:35" x14ac:dyDescent="0.35">
      <c r="A533" s="575"/>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5"/>
      <c r="AD533" s="575"/>
      <c r="AE533" s="575"/>
      <c r="AF533" s="575"/>
      <c r="AG533" s="575"/>
      <c r="AH533" s="575"/>
      <c r="AI533" s="575"/>
    </row>
    <row r="534" spans="1:35" x14ac:dyDescent="0.35">
      <c r="A534" s="575"/>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5"/>
      <c r="AD534" s="575"/>
      <c r="AE534" s="575"/>
      <c r="AF534" s="575"/>
      <c r="AG534" s="575"/>
      <c r="AH534" s="575"/>
      <c r="AI534" s="575"/>
    </row>
    <row r="535" spans="1:35" x14ac:dyDescent="0.35">
      <c r="A535" s="575"/>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5"/>
      <c r="AD535" s="575"/>
      <c r="AE535" s="575"/>
      <c r="AF535" s="575"/>
      <c r="AG535" s="575"/>
      <c r="AH535" s="575"/>
      <c r="AI535" s="575"/>
    </row>
    <row r="536" spans="1:35" x14ac:dyDescent="0.35">
      <c r="A536" s="575"/>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5"/>
      <c r="AD536" s="575"/>
      <c r="AE536" s="575"/>
      <c r="AF536" s="575"/>
      <c r="AG536" s="575"/>
      <c r="AH536" s="575"/>
      <c r="AI536" s="575"/>
    </row>
    <row r="537" spans="1:35" x14ac:dyDescent="0.35">
      <c r="A537" s="575"/>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5"/>
      <c r="AD537" s="575"/>
      <c r="AE537" s="575"/>
      <c r="AF537" s="575"/>
      <c r="AG537" s="575"/>
      <c r="AH537" s="575"/>
      <c r="AI537" s="575"/>
    </row>
    <row r="538" spans="1:35" x14ac:dyDescent="0.35">
      <c r="A538" s="575"/>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5"/>
      <c r="AD538" s="575"/>
      <c r="AE538" s="575"/>
      <c r="AF538" s="575"/>
      <c r="AG538" s="575"/>
      <c r="AH538" s="575"/>
      <c r="AI538" s="575"/>
    </row>
    <row r="539" spans="1:35" x14ac:dyDescent="0.35">
      <c r="A539" s="575"/>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5"/>
      <c r="AD539" s="575"/>
      <c r="AE539" s="575"/>
      <c r="AF539" s="575"/>
      <c r="AG539" s="575"/>
      <c r="AH539" s="575"/>
      <c r="AI539" s="575"/>
    </row>
    <row r="540" spans="1:35" x14ac:dyDescent="0.35">
      <c r="A540" s="575"/>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5"/>
      <c r="AD540" s="575"/>
      <c r="AE540" s="575"/>
      <c r="AF540" s="575"/>
      <c r="AG540" s="575"/>
      <c r="AH540" s="575"/>
      <c r="AI540" s="575"/>
    </row>
    <row r="541" spans="1:35" x14ac:dyDescent="0.35">
      <c r="A541" s="575"/>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5"/>
      <c r="AD541" s="575"/>
      <c r="AE541" s="575"/>
      <c r="AF541" s="575"/>
      <c r="AG541" s="575"/>
      <c r="AH541" s="575"/>
      <c r="AI541" s="575"/>
    </row>
    <row r="542" spans="1:35" x14ac:dyDescent="0.35">
      <c r="A542" s="575"/>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5"/>
      <c r="AD542" s="575"/>
      <c r="AE542" s="575"/>
      <c r="AF542" s="575"/>
      <c r="AG542" s="575"/>
      <c r="AH542" s="575"/>
      <c r="AI542" s="575"/>
    </row>
    <row r="543" spans="1:35" x14ac:dyDescent="0.35">
      <c r="A543" s="575"/>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5"/>
      <c r="AD543" s="575"/>
      <c r="AE543" s="575"/>
      <c r="AF543" s="575"/>
      <c r="AG543" s="575"/>
      <c r="AH543" s="575"/>
      <c r="AI543" s="575"/>
    </row>
    <row r="544" spans="1:35" x14ac:dyDescent="0.35">
      <c r="A544" s="575"/>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5"/>
      <c r="AD544" s="575"/>
      <c r="AE544" s="575"/>
      <c r="AF544" s="575"/>
      <c r="AG544" s="575"/>
      <c r="AH544" s="575"/>
      <c r="AI544" s="575"/>
    </row>
    <row r="545" spans="1:35" x14ac:dyDescent="0.35">
      <c r="A545" s="575"/>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5"/>
      <c r="AD545" s="575"/>
      <c r="AE545" s="575"/>
      <c r="AF545" s="575"/>
      <c r="AG545" s="575"/>
      <c r="AH545" s="575"/>
      <c r="AI545" s="575"/>
    </row>
    <row r="546" spans="1:35" x14ac:dyDescent="0.35">
      <c r="A546" s="575"/>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5"/>
      <c r="AD546" s="575"/>
      <c r="AE546" s="575"/>
      <c r="AF546" s="575"/>
      <c r="AG546" s="575"/>
      <c r="AH546" s="575"/>
      <c r="AI546" s="575"/>
    </row>
    <row r="547" spans="1:35" x14ac:dyDescent="0.35">
      <c r="A547" s="575"/>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5"/>
      <c r="AD547" s="575"/>
      <c r="AE547" s="575"/>
      <c r="AF547" s="575"/>
      <c r="AG547" s="575"/>
      <c r="AH547" s="575"/>
      <c r="AI547" s="575"/>
    </row>
    <row r="548" spans="1:35" x14ac:dyDescent="0.35">
      <c r="A548" s="575"/>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5"/>
      <c r="AD548" s="575"/>
      <c r="AE548" s="575"/>
      <c r="AF548" s="575"/>
      <c r="AG548" s="575"/>
      <c r="AH548" s="575"/>
      <c r="AI548" s="575"/>
    </row>
    <row r="549" spans="1:35" x14ac:dyDescent="0.35">
      <c r="A549" s="575"/>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5"/>
      <c r="AD549" s="575"/>
      <c r="AE549" s="575"/>
      <c r="AF549" s="575"/>
      <c r="AG549" s="575"/>
      <c r="AH549" s="575"/>
      <c r="AI549" s="575"/>
    </row>
    <row r="550" spans="1:35" x14ac:dyDescent="0.35">
      <c r="A550" s="575"/>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5"/>
      <c r="AD550" s="575"/>
      <c r="AE550" s="575"/>
      <c r="AF550" s="575"/>
      <c r="AG550" s="575"/>
      <c r="AH550" s="575"/>
      <c r="AI550" s="575"/>
    </row>
    <row r="551" spans="1:35" x14ac:dyDescent="0.35">
      <c r="A551" s="575"/>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5"/>
      <c r="AD551" s="575"/>
      <c r="AE551" s="575"/>
      <c r="AF551" s="575"/>
      <c r="AG551" s="575"/>
      <c r="AH551" s="575"/>
      <c r="AI551" s="575"/>
    </row>
    <row r="552" spans="1:35" x14ac:dyDescent="0.35">
      <c r="A552" s="575"/>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5"/>
      <c r="AD552" s="575"/>
      <c r="AE552" s="575"/>
      <c r="AF552" s="575"/>
      <c r="AG552" s="575"/>
      <c r="AH552" s="575"/>
      <c r="AI552" s="575"/>
    </row>
    <row r="553" spans="1:35" x14ac:dyDescent="0.35">
      <c r="A553" s="575"/>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5"/>
      <c r="AD553" s="575"/>
      <c r="AE553" s="575"/>
      <c r="AF553" s="575"/>
      <c r="AG553" s="575"/>
      <c r="AH553" s="575"/>
      <c r="AI553" s="575"/>
    </row>
    <row r="554" spans="1:35" x14ac:dyDescent="0.35">
      <c r="A554" s="575"/>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5"/>
      <c r="AD554" s="575"/>
      <c r="AE554" s="575"/>
      <c r="AF554" s="575"/>
      <c r="AG554" s="575"/>
      <c r="AH554" s="575"/>
      <c r="AI554" s="575"/>
    </row>
    <row r="555" spans="1:35" x14ac:dyDescent="0.35">
      <c r="A555" s="575"/>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5"/>
      <c r="AD555" s="575"/>
      <c r="AE555" s="575"/>
      <c r="AF555" s="575"/>
      <c r="AG555" s="575"/>
      <c r="AH555" s="575"/>
      <c r="AI555" s="575"/>
    </row>
    <row r="556" spans="1:35" x14ac:dyDescent="0.35">
      <c r="A556" s="575"/>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5"/>
      <c r="AD556" s="575"/>
      <c r="AE556" s="575"/>
      <c r="AF556" s="575"/>
      <c r="AG556" s="575"/>
      <c r="AH556" s="575"/>
      <c r="AI556" s="575"/>
    </row>
    <row r="557" spans="1:35" x14ac:dyDescent="0.35">
      <c r="A557" s="575"/>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5"/>
      <c r="AD557" s="575"/>
      <c r="AE557" s="575"/>
      <c r="AF557" s="575"/>
      <c r="AG557" s="575"/>
      <c r="AH557" s="575"/>
      <c r="AI557" s="575"/>
    </row>
    <row r="558" spans="1:35" x14ac:dyDescent="0.35">
      <c r="A558" s="575"/>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5"/>
      <c r="AD558" s="575"/>
      <c r="AE558" s="575"/>
      <c r="AF558" s="575"/>
      <c r="AG558" s="575"/>
      <c r="AH558" s="575"/>
      <c r="AI558" s="575"/>
    </row>
    <row r="559" spans="1:35" x14ac:dyDescent="0.35">
      <c r="A559" s="575"/>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5"/>
      <c r="AD559" s="575"/>
      <c r="AE559" s="575"/>
      <c r="AF559" s="575"/>
      <c r="AG559" s="575"/>
      <c r="AH559" s="575"/>
      <c r="AI559" s="575"/>
    </row>
    <row r="560" spans="1:35" x14ac:dyDescent="0.35">
      <c r="A560" s="575"/>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5"/>
      <c r="AD560" s="575"/>
      <c r="AE560" s="575"/>
      <c r="AF560" s="575"/>
      <c r="AG560" s="575"/>
      <c r="AH560" s="575"/>
      <c r="AI560" s="575"/>
    </row>
    <row r="561" spans="1:35" x14ac:dyDescent="0.35">
      <c r="A561" s="575"/>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5"/>
      <c r="AD561" s="575"/>
      <c r="AE561" s="575"/>
      <c r="AF561" s="575"/>
      <c r="AG561" s="575"/>
      <c r="AH561" s="575"/>
      <c r="AI561" s="575"/>
    </row>
    <row r="562" spans="1:35" x14ac:dyDescent="0.35">
      <c r="A562" s="575"/>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5"/>
      <c r="AD562" s="575"/>
      <c r="AE562" s="575"/>
      <c r="AF562" s="575"/>
      <c r="AG562" s="575"/>
      <c r="AH562" s="575"/>
      <c r="AI562" s="575"/>
    </row>
    <row r="563" spans="1:35" x14ac:dyDescent="0.35">
      <c r="A563" s="575"/>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5"/>
      <c r="AD563" s="575"/>
      <c r="AE563" s="575"/>
      <c r="AF563" s="575"/>
      <c r="AG563" s="575"/>
      <c r="AH563" s="575"/>
      <c r="AI563" s="575"/>
    </row>
    <row r="564" spans="1:35" x14ac:dyDescent="0.35">
      <c r="A564" s="575"/>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5"/>
      <c r="AD564" s="575"/>
      <c r="AE564" s="575"/>
      <c r="AF564" s="575"/>
      <c r="AG564" s="575"/>
      <c r="AH564" s="575"/>
      <c r="AI564" s="575"/>
    </row>
    <row r="565" spans="1:35" x14ac:dyDescent="0.35">
      <c r="A565" s="575"/>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5"/>
      <c r="AD565" s="575"/>
      <c r="AE565" s="575"/>
      <c r="AF565" s="575"/>
      <c r="AG565" s="575"/>
      <c r="AH565" s="575"/>
      <c r="AI565" s="575"/>
    </row>
    <row r="566" spans="1:35" x14ac:dyDescent="0.35">
      <c r="A566" s="575"/>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5"/>
      <c r="AD566" s="575"/>
      <c r="AE566" s="575"/>
      <c r="AF566" s="575"/>
      <c r="AG566" s="575"/>
      <c r="AH566" s="575"/>
      <c r="AI566" s="575"/>
    </row>
    <row r="567" spans="1:35" x14ac:dyDescent="0.35">
      <c r="A567" s="575"/>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5"/>
      <c r="AD567" s="575"/>
      <c r="AE567" s="575"/>
      <c r="AF567" s="575"/>
      <c r="AG567" s="575"/>
      <c r="AH567" s="575"/>
      <c r="AI567" s="575"/>
    </row>
    <row r="568" spans="1:35" x14ac:dyDescent="0.35">
      <c r="A568" s="575"/>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5"/>
      <c r="AD568" s="575"/>
      <c r="AE568" s="575"/>
      <c r="AF568" s="575"/>
      <c r="AG568" s="575"/>
      <c r="AH568" s="575"/>
      <c r="AI568" s="575"/>
    </row>
    <row r="569" spans="1:35" x14ac:dyDescent="0.35">
      <c r="A569" s="575"/>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5"/>
      <c r="AD569" s="575"/>
      <c r="AE569" s="575"/>
      <c r="AF569" s="575"/>
      <c r="AG569" s="575"/>
      <c r="AH569" s="575"/>
      <c r="AI569" s="575"/>
    </row>
    <row r="570" spans="1:35" x14ac:dyDescent="0.35">
      <c r="A570" s="575"/>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5"/>
      <c r="AD570" s="575"/>
      <c r="AE570" s="575"/>
      <c r="AF570" s="575"/>
      <c r="AG570" s="575"/>
      <c r="AH570" s="575"/>
      <c r="AI570" s="575"/>
    </row>
    <row r="571" spans="1:35" x14ac:dyDescent="0.35">
      <c r="A571" s="575"/>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5"/>
      <c r="AD571" s="575"/>
      <c r="AE571" s="575"/>
      <c r="AF571" s="575"/>
      <c r="AG571" s="575"/>
      <c r="AH571" s="575"/>
      <c r="AI571" s="575"/>
    </row>
    <row r="572" spans="1:35" x14ac:dyDescent="0.35">
      <c r="A572" s="575"/>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5"/>
      <c r="AD572" s="575"/>
      <c r="AE572" s="575"/>
      <c r="AF572" s="575"/>
      <c r="AG572" s="575"/>
      <c r="AH572" s="575"/>
      <c r="AI572" s="575"/>
    </row>
    <row r="573" spans="1:35" x14ac:dyDescent="0.35">
      <c r="A573" s="575"/>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5"/>
      <c r="AD573" s="575"/>
      <c r="AE573" s="575"/>
      <c r="AF573" s="575"/>
      <c r="AG573" s="575"/>
      <c r="AH573" s="575"/>
      <c r="AI573" s="575"/>
    </row>
    <row r="574" spans="1:35" x14ac:dyDescent="0.35">
      <c r="A574" s="575"/>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5"/>
      <c r="AD574" s="575"/>
      <c r="AE574" s="575"/>
      <c r="AF574" s="575"/>
      <c r="AG574" s="575"/>
      <c r="AH574" s="575"/>
      <c r="AI574" s="575"/>
    </row>
    <row r="575" spans="1:35" x14ac:dyDescent="0.35">
      <c r="A575" s="575"/>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5"/>
      <c r="AD575" s="575"/>
      <c r="AE575" s="575"/>
      <c r="AF575" s="575"/>
      <c r="AG575" s="575"/>
      <c r="AH575" s="575"/>
      <c r="AI575" s="575"/>
    </row>
    <row r="576" spans="1:35" x14ac:dyDescent="0.35">
      <c r="A576" s="575"/>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5"/>
      <c r="AD576" s="575"/>
      <c r="AE576" s="575"/>
      <c r="AF576" s="575"/>
      <c r="AG576" s="575"/>
      <c r="AH576" s="575"/>
      <c r="AI576" s="575"/>
    </row>
    <row r="577" spans="1:35" x14ac:dyDescent="0.35">
      <c r="A577" s="575"/>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5"/>
      <c r="AD577" s="575"/>
      <c r="AE577" s="575"/>
      <c r="AF577" s="575"/>
      <c r="AG577" s="575"/>
      <c r="AH577" s="575"/>
      <c r="AI577" s="575"/>
    </row>
    <row r="578" spans="1:35" x14ac:dyDescent="0.35">
      <c r="A578" s="575"/>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5"/>
      <c r="AD578" s="575"/>
      <c r="AE578" s="575"/>
      <c r="AF578" s="575"/>
      <c r="AG578" s="575"/>
      <c r="AH578" s="575"/>
      <c r="AI578" s="575"/>
    </row>
    <row r="579" spans="1:35" x14ac:dyDescent="0.35">
      <c r="A579" s="575"/>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5"/>
      <c r="AD579" s="575"/>
      <c r="AE579" s="575"/>
      <c r="AF579" s="575"/>
      <c r="AG579" s="575"/>
      <c r="AH579" s="575"/>
      <c r="AI579" s="575"/>
    </row>
    <row r="580" spans="1:35" x14ac:dyDescent="0.35">
      <c r="A580" s="575"/>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5"/>
      <c r="AD580" s="575"/>
      <c r="AE580" s="575"/>
      <c r="AF580" s="575"/>
      <c r="AG580" s="575"/>
      <c r="AH580" s="575"/>
      <c r="AI580" s="575"/>
    </row>
    <row r="581" spans="1:35" x14ac:dyDescent="0.35">
      <c r="A581" s="575"/>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5"/>
      <c r="AD581" s="575"/>
      <c r="AE581" s="575"/>
      <c r="AF581" s="575"/>
      <c r="AG581" s="575"/>
      <c r="AH581" s="575"/>
      <c r="AI581" s="575"/>
    </row>
    <row r="582" spans="1:35" x14ac:dyDescent="0.35">
      <c r="A582" s="575"/>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5"/>
      <c r="AD582" s="575"/>
      <c r="AE582" s="575"/>
      <c r="AF582" s="575"/>
      <c r="AG582" s="575"/>
      <c r="AH582" s="575"/>
      <c r="AI582" s="575"/>
    </row>
    <row r="583" spans="1:35" x14ac:dyDescent="0.35">
      <c r="A583" s="575"/>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5"/>
      <c r="AD583" s="575"/>
      <c r="AE583" s="575"/>
      <c r="AF583" s="575"/>
      <c r="AG583" s="575"/>
      <c r="AH583" s="575"/>
      <c r="AI583" s="575"/>
    </row>
    <row r="584" spans="1:35" x14ac:dyDescent="0.35">
      <c r="A584" s="575"/>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5"/>
      <c r="AD584" s="575"/>
      <c r="AE584" s="575"/>
      <c r="AF584" s="575"/>
      <c r="AG584" s="575"/>
      <c r="AH584" s="575"/>
      <c r="AI584" s="575"/>
    </row>
    <row r="585" spans="1:35" x14ac:dyDescent="0.35">
      <c r="A585" s="575"/>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5"/>
      <c r="AD585" s="575"/>
      <c r="AE585" s="575"/>
      <c r="AF585" s="575"/>
      <c r="AG585" s="575"/>
      <c r="AH585" s="575"/>
      <c r="AI585" s="575"/>
    </row>
    <row r="586" spans="1:35" x14ac:dyDescent="0.35">
      <c r="A586" s="575"/>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5"/>
      <c r="AD586" s="575"/>
      <c r="AE586" s="575"/>
      <c r="AF586" s="575"/>
      <c r="AG586" s="575"/>
      <c r="AH586" s="575"/>
      <c r="AI586" s="575"/>
    </row>
    <row r="587" spans="1:35" x14ac:dyDescent="0.35">
      <c r="A587" s="575"/>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5"/>
      <c r="AD587" s="575"/>
      <c r="AE587" s="575"/>
      <c r="AF587" s="575"/>
      <c r="AG587" s="575"/>
      <c r="AH587" s="575"/>
      <c r="AI587" s="575"/>
    </row>
    <row r="588" spans="1:35" x14ac:dyDescent="0.35">
      <c r="A588" s="575"/>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5"/>
      <c r="AD588" s="575"/>
      <c r="AE588" s="575"/>
      <c r="AF588" s="575"/>
      <c r="AG588" s="575"/>
      <c r="AH588" s="575"/>
      <c r="AI588" s="575"/>
    </row>
    <row r="589" spans="1:35" x14ac:dyDescent="0.35">
      <c r="A589" s="575"/>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5"/>
      <c r="AD589" s="575"/>
      <c r="AE589" s="575"/>
      <c r="AF589" s="575"/>
      <c r="AG589" s="575"/>
      <c r="AH589" s="575"/>
      <c r="AI589" s="575"/>
    </row>
    <row r="590" spans="1:35" x14ac:dyDescent="0.35">
      <c r="A590" s="575"/>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5"/>
      <c r="AD590" s="575"/>
      <c r="AE590" s="575"/>
      <c r="AF590" s="575"/>
      <c r="AG590" s="575"/>
      <c r="AH590" s="575"/>
      <c r="AI590" s="575"/>
    </row>
    <row r="591" spans="1:35" x14ac:dyDescent="0.35">
      <c r="A591" s="575"/>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5"/>
      <c r="AD591" s="575"/>
      <c r="AE591" s="575"/>
      <c r="AF591" s="575"/>
      <c r="AG591" s="575"/>
      <c r="AH591" s="575"/>
      <c r="AI591" s="575"/>
    </row>
    <row r="592" spans="1:35" x14ac:dyDescent="0.35">
      <c r="A592" s="575"/>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5"/>
      <c r="AD592" s="575"/>
      <c r="AE592" s="575"/>
      <c r="AF592" s="575"/>
      <c r="AG592" s="575"/>
      <c r="AH592" s="575"/>
      <c r="AI592" s="575"/>
    </row>
    <row r="593" spans="1:35" x14ac:dyDescent="0.35">
      <c r="A593" s="575"/>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5"/>
      <c r="AD593" s="575"/>
      <c r="AE593" s="575"/>
      <c r="AF593" s="575"/>
      <c r="AG593" s="575"/>
      <c r="AH593" s="575"/>
      <c r="AI593" s="575"/>
    </row>
    <row r="594" spans="1:35" x14ac:dyDescent="0.35">
      <c r="A594" s="575"/>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5"/>
      <c r="AD594" s="575"/>
      <c r="AE594" s="575"/>
      <c r="AF594" s="575"/>
      <c r="AG594" s="575"/>
      <c r="AH594" s="575"/>
      <c r="AI594" s="575"/>
    </row>
    <row r="595" spans="1:35" x14ac:dyDescent="0.35">
      <c r="A595" s="575"/>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5"/>
      <c r="AD595" s="575"/>
      <c r="AE595" s="575"/>
      <c r="AF595" s="575"/>
      <c r="AG595" s="575"/>
      <c r="AH595" s="575"/>
      <c r="AI595" s="575"/>
    </row>
    <row r="596" spans="1:35" x14ac:dyDescent="0.35">
      <c r="A596" s="575"/>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5"/>
      <c r="AD596" s="575"/>
      <c r="AE596" s="575"/>
      <c r="AF596" s="575"/>
      <c r="AG596" s="575"/>
      <c r="AH596" s="575"/>
      <c r="AI596" s="575"/>
    </row>
    <row r="597" spans="1:35" x14ac:dyDescent="0.35">
      <c r="A597" s="575"/>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5"/>
      <c r="AD597" s="575"/>
      <c r="AE597" s="575"/>
      <c r="AF597" s="575"/>
      <c r="AG597" s="575"/>
      <c r="AH597" s="575"/>
      <c r="AI597" s="575"/>
    </row>
    <row r="598" spans="1:35" x14ac:dyDescent="0.35">
      <c r="A598" s="575"/>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5"/>
      <c r="AD598" s="575"/>
      <c r="AE598" s="575"/>
      <c r="AF598" s="575"/>
      <c r="AG598" s="575"/>
      <c r="AH598" s="575"/>
      <c r="AI598" s="575"/>
    </row>
    <row r="599" spans="1:35" x14ac:dyDescent="0.35">
      <c r="A599" s="575"/>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5"/>
      <c r="AD599" s="575"/>
      <c r="AE599" s="575"/>
      <c r="AF599" s="575"/>
      <c r="AG599" s="575"/>
      <c r="AH599" s="575"/>
      <c r="AI599" s="575"/>
    </row>
    <row r="600" spans="1:35" x14ac:dyDescent="0.35">
      <c r="A600" s="575"/>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5"/>
      <c r="AD600" s="575"/>
      <c r="AE600" s="575"/>
      <c r="AF600" s="575"/>
      <c r="AG600" s="575"/>
      <c r="AH600" s="575"/>
      <c r="AI600" s="575"/>
    </row>
    <row r="601" spans="1:35" x14ac:dyDescent="0.35">
      <c r="A601" s="575"/>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5"/>
      <c r="AD601" s="575"/>
      <c r="AE601" s="575"/>
      <c r="AF601" s="575"/>
      <c r="AG601" s="575"/>
      <c r="AH601" s="575"/>
      <c r="AI601" s="575"/>
    </row>
    <row r="602" spans="1:35" x14ac:dyDescent="0.35">
      <c r="A602" s="575"/>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5"/>
      <c r="AD602" s="575"/>
      <c r="AE602" s="575"/>
      <c r="AF602" s="575"/>
      <c r="AG602" s="575"/>
      <c r="AH602" s="575"/>
      <c r="AI602" s="575"/>
    </row>
    <row r="603" spans="1:35" x14ac:dyDescent="0.35">
      <c r="A603" s="575"/>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5"/>
      <c r="AD603" s="575"/>
      <c r="AE603" s="575"/>
      <c r="AF603" s="575"/>
      <c r="AG603" s="575"/>
      <c r="AH603" s="575"/>
      <c r="AI603" s="575"/>
    </row>
    <row r="604" spans="1:35" x14ac:dyDescent="0.35">
      <c r="A604" s="575"/>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5"/>
      <c r="AD604" s="575"/>
      <c r="AE604" s="575"/>
      <c r="AF604" s="575"/>
      <c r="AG604" s="575"/>
      <c r="AH604" s="575"/>
      <c r="AI604" s="575"/>
    </row>
    <row r="605" spans="1:35" x14ac:dyDescent="0.35">
      <c r="A605" s="575"/>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5"/>
      <c r="AD605" s="575"/>
      <c r="AE605" s="575"/>
      <c r="AF605" s="575"/>
      <c r="AG605" s="575"/>
      <c r="AH605" s="575"/>
      <c r="AI605" s="575"/>
    </row>
    <row r="606" spans="1:35" x14ac:dyDescent="0.35">
      <c r="A606" s="575"/>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5"/>
      <c r="AD606" s="575"/>
      <c r="AE606" s="575"/>
      <c r="AF606" s="575"/>
      <c r="AG606" s="575"/>
      <c r="AH606" s="575"/>
      <c r="AI606" s="575"/>
    </row>
    <row r="607" spans="1:35" x14ac:dyDescent="0.35">
      <c r="A607" s="575"/>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5"/>
      <c r="AD607" s="575"/>
      <c r="AE607" s="575"/>
      <c r="AF607" s="575"/>
      <c r="AG607" s="575"/>
      <c r="AH607" s="575"/>
      <c r="AI607" s="575"/>
    </row>
    <row r="608" spans="1:35" x14ac:dyDescent="0.35">
      <c r="A608" s="575"/>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5"/>
      <c r="AD608" s="575"/>
      <c r="AE608" s="575"/>
      <c r="AF608" s="575"/>
      <c r="AG608" s="575"/>
      <c r="AH608" s="575"/>
      <c r="AI608" s="575"/>
    </row>
    <row r="609" spans="1:35" x14ac:dyDescent="0.35">
      <c r="A609" s="575"/>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5"/>
      <c r="AD609" s="575"/>
      <c r="AE609" s="575"/>
      <c r="AF609" s="575"/>
      <c r="AG609" s="575"/>
      <c r="AH609" s="575"/>
      <c r="AI609" s="575"/>
    </row>
    <row r="610" spans="1:35" x14ac:dyDescent="0.35">
      <c r="A610" s="575"/>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5"/>
      <c r="AD610" s="575"/>
      <c r="AE610" s="575"/>
      <c r="AF610" s="575"/>
      <c r="AG610" s="575"/>
      <c r="AH610" s="575"/>
      <c r="AI610" s="575"/>
    </row>
    <row r="611" spans="1:35" x14ac:dyDescent="0.35">
      <c r="A611" s="575"/>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5"/>
      <c r="AD611" s="575"/>
      <c r="AE611" s="575"/>
      <c r="AF611" s="575"/>
      <c r="AG611" s="575"/>
      <c r="AH611" s="575"/>
      <c r="AI611" s="575"/>
    </row>
    <row r="612" spans="1:35" x14ac:dyDescent="0.35">
      <c r="A612" s="575"/>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5"/>
      <c r="AD612" s="575"/>
      <c r="AE612" s="575"/>
      <c r="AF612" s="575"/>
      <c r="AG612" s="575"/>
      <c r="AH612" s="575"/>
      <c r="AI612" s="575"/>
    </row>
    <row r="613" spans="1:35" x14ac:dyDescent="0.35">
      <c r="A613" s="575"/>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5"/>
      <c r="AD613" s="575"/>
      <c r="AE613" s="575"/>
      <c r="AF613" s="575"/>
      <c r="AG613" s="575"/>
      <c r="AH613" s="575"/>
      <c r="AI613" s="575"/>
    </row>
    <row r="614" spans="1:35" x14ac:dyDescent="0.35">
      <c r="A614" s="575"/>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5"/>
      <c r="AD614" s="575"/>
      <c r="AE614" s="575"/>
      <c r="AF614" s="575"/>
      <c r="AG614" s="575"/>
      <c r="AH614" s="575"/>
      <c r="AI614" s="575"/>
    </row>
    <row r="615" spans="1:35" x14ac:dyDescent="0.35">
      <c r="A615" s="575"/>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5"/>
      <c r="AD615" s="575"/>
      <c r="AE615" s="575"/>
      <c r="AF615" s="575"/>
      <c r="AG615" s="575"/>
      <c r="AH615" s="575"/>
      <c r="AI615" s="575"/>
    </row>
    <row r="616" spans="1:35" x14ac:dyDescent="0.35">
      <c r="A616" s="575"/>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5"/>
      <c r="AD616" s="575"/>
      <c r="AE616" s="575"/>
      <c r="AF616" s="575"/>
      <c r="AG616" s="575"/>
      <c r="AH616" s="575"/>
      <c r="AI616" s="575"/>
    </row>
    <row r="617" spans="1:35" x14ac:dyDescent="0.35">
      <c r="A617" s="575"/>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5"/>
      <c r="AD617" s="575"/>
      <c r="AE617" s="575"/>
      <c r="AF617" s="575"/>
      <c r="AG617" s="575"/>
      <c r="AH617" s="575"/>
      <c r="AI617" s="575"/>
    </row>
    <row r="618" spans="1:35" x14ac:dyDescent="0.35">
      <c r="A618" s="575"/>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5"/>
      <c r="AD618" s="575"/>
      <c r="AE618" s="575"/>
      <c r="AF618" s="575"/>
      <c r="AG618" s="575"/>
      <c r="AH618" s="575"/>
      <c r="AI618" s="575"/>
    </row>
    <row r="619" spans="1:35" x14ac:dyDescent="0.35">
      <c r="A619" s="575"/>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5"/>
      <c r="AD619" s="575"/>
      <c r="AE619" s="575"/>
      <c r="AF619" s="575"/>
      <c r="AG619" s="575"/>
      <c r="AH619" s="575"/>
      <c r="AI619" s="575"/>
    </row>
    <row r="620" spans="1:35" x14ac:dyDescent="0.35">
      <c r="A620" s="575"/>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5"/>
      <c r="AD620" s="575"/>
      <c r="AE620" s="575"/>
      <c r="AF620" s="575"/>
      <c r="AG620" s="575"/>
      <c r="AH620" s="575"/>
      <c r="AI620" s="575"/>
    </row>
    <row r="621" spans="1:35" x14ac:dyDescent="0.35">
      <c r="A621" s="575"/>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5"/>
      <c r="AD621" s="575"/>
      <c r="AE621" s="575"/>
      <c r="AF621" s="575"/>
      <c r="AG621" s="575"/>
      <c r="AH621" s="575"/>
      <c r="AI621" s="575"/>
    </row>
    <row r="622" spans="1:35" x14ac:dyDescent="0.35">
      <c r="A622" s="575"/>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5"/>
      <c r="AD622" s="575"/>
      <c r="AE622" s="575"/>
      <c r="AF622" s="575"/>
      <c r="AG622" s="575"/>
      <c r="AH622" s="575"/>
      <c r="AI622" s="575"/>
    </row>
    <row r="623" spans="1:35" x14ac:dyDescent="0.35">
      <c r="A623" s="575"/>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5"/>
      <c r="AD623" s="575"/>
      <c r="AE623" s="575"/>
      <c r="AF623" s="575"/>
      <c r="AG623" s="575"/>
      <c r="AH623" s="575"/>
      <c r="AI623" s="575"/>
    </row>
    <row r="624" spans="1:35" x14ac:dyDescent="0.35">
      <c r="A624" s="575"/>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5"/>
      <c r="AD624" s="575"/>
      <c r="AE624" s="575"/>
      <c r="AF624" s="575"/>
      <c r="AG624" s="575"/>
      <c r="AH624" s="575"/>
      <c r="AI624" s="575"/>
    </row>
    <row r="625" spans="1:35" x14ac:dyDescent="0.35">
      <c r="A625" s="575"/>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5"/>
      <c r="AD625" s="575"/>
      <c r="AE625" s="575"/>
      <c r="AF625" s="575"/>
      <c r="AG625" s="575"/>
      <c r="AH625" s="575"/>
      <c r="AI625" s="575"/>
    </row>
    <row r="626" spans="1:35" x14ac:dyDescent="0.35">
      <c r="A626" s="575"/>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5"/>
      <c r="AD626" s="575"/>
      <c r="AE626" s="575"/>
      <c r="AF626" s="575"/>
      <c r="AG626" s="575"/>
      <c r="AH626" s="575"/>
      <c r="AI626" s="575"/>
    </row>
    <row r="627" spans="1:35" x14ac:dyDescent="0.35">
      <c r="A627" s="575"/>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5"/>
      <c r="AD627" s="575"/>
      <c r="AE627" s="575"/>
      <c r="AF627" s="575"/>
      <c r="AG627" s="575"/>
      <c r="AH627" s="575"/>
      <c r="AI627" s="575"/>
    </row>
    <row r="628" spans="1:35" x14ac:dyDescent="0.35">
      <c r="A628" s="575"/>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5"/>
      <c r="AD628" s="575"/>
      <c r="AE628" s="575"/>
      <c r="AF628" s="575"/>
      <c r="AG628" s="575"/>
      <c r="AH628" s="575"/>
      <c r="AI628" s="575"/>
    </row>
    <row r="629" spans="1:35" x14ac:dyDescent="0.35">
      <c r="A629" s="575"/>
      <c r="B629" s="575"/>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5"/>
      <c r="Z629" s="575"/>
      <c r="AA629" s="575"/>
      <c r="AB629" s="575"/>
      <c r="AC629" s="575"/>
      <c r="AD629" s="575"/>
      <c r="AE629" s="575"/>
      <c r="AF629" s="575"/>
      <c r="AG629" s="575"/>
      <c r="AH629" s="575"/>
      <c r="AI629" s="575"/>
    </row>
    <row r="630" spans="1:35" x14ac:dyDescent="0.35">
      <c r="A630" s="575"/>
      <c r="B630" s="575"/>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5"/>
      <c r="Z630" s="575"/>
      <c r="AA630" s="575"/>
      <c r="AB630" s="575"/>
      <c r="AC630" s="575"/>
      <c r="AD630" s="575"/>
      <c r="AE630" s="575"/>
      <c r="AF630" s="575"/>
      <c r="AG630" s="575"/>
      <c r="AH630" s="575"/>
      <c r="AI630" s="575"/>
    </row>
    <row r="631" spans="1:35" x14ac:dyDescent="0.35">
      <c r="A631" s="575"/>
      <c r="B631" s="575"/>
      <c r="C631" s="575"/>
      <c r="D631" s="575"/>
      <c r="E631" s="575"/>
      <c r="F631" s="575"/>
      <c r="G631" s="575"/>
      <c r="H631" s="575"/>
      <c r="I631" s="575"/>
      <c r="J631" s="575"/>
      <c r="K631" s="575"/>
      <c r="L631" s="575"/>
      <c r="M631" s="575"/>
      <c r="N631" s="575"/>
      <c r="O631" s="575"/>
      <c r="P631" s="575"/>
      <c r="Q631" s="575"/>
      <c r="R631" s="575"/>
      <c r="S631" s="575"/>
      <c r="T631" s="575"/>
      <c r="U631" s="575"/>
      <c r="V631" s="575"/>
      <c r="W631" s="575"/>
      <c r="X631" s="575"/>
      <c r="Y631" s="575"/>
      <c r="Z631" s="575"/>
      <c r="AA631" s="575"/>
      <c r="AB631" s="575"/>
      <c r="AC631" s="575"/>
      <c r="AD631" s="575"/>
      <c r="AE631" s="575"/>
      <c r="AF631" s="575"/>
      <c r="AG631" s="575"/>
      <c r="AH631" s="575"/>
      <c r="AI631" s="575"/>
    </row>
    <row r="632" spans="1:35" x14ac:dyDescent="0.35">
      <c r="A632" s="575"/>
      <c r="B632" s="575"/>
      <c r="C632" s="575"/>
      <c r="D632" s="575"/>
      <c r="E632" s="575"/>
      <c r="F632" s="575"/>
      <c r="G632" s="575"/>
      <c r="H632" s="575"/>
      <c r="I632" s="575"/>
      <c r="J632" s="575"/>
      <c r="K632" s="575"/>
      <c r="L632" s="575"/>
      <c r="M632" s="575"/>
      <c r="N632" s="575"/>
      <c r="O632" s="575"/>
      <c r="P632" s="575"/>
      <c r="Q632" s="575"/>
      <c r="R632" s="575"/>
      <c r="S632" s="575"/>
      <c r="T632" s="575"/>
      <c r="U632" s="575"/>
      <c r="V632" s="575"/>
      <c r="W632" s="575"/>
      <c r="X632" s="575"/>
      <c r="Y632" s="575"/>
      <c r="Z632" s="575"/>
      <c r="AA632" s="575"/>
      <c r="AB632" s="575"/>
      <c r="AC632" s="575"/>
      <c r="AD632" s="575"/>
      <c r="AE632" s="575"/>
      <c r="AF632" s="575"/>
      <c r="AG632" s="575"/>
      <c r="AH632" s="575"/>
      <c r="AI632" s="575"/>
    </row>
    <row r="633" spans="1:35" x14ac:dyDescent="0.35">
      <c r="A633" s="575"/>
      <c r="B633" s="575"/>
      <c r="C633" s="575"/>
      <c r="D633" s="575"/>
      <c r="E633" s="575"/>
      <c r="F633" s="575"/>
      <c r="G633" s="575"/>
      <c r="H633" s="575"/>
      <c r="I633" s="575"/>
      <c r="J633" s="575"/>
      <c r="K633" s="575"/>
      <c r="L633" s="575"/>
      <c r="M633" s="575"/>
      <c r="N633" s="575"/>
      <c r="O633" s="575"/>
      <c r="P633" s="575"/>
      <c r="Q633" s="575"/>
      <c r="R633" s="575"/>
      <c r="S633" s="575"/>
      <c r="T633" s="575"/>
      <c r="U633" s="575"/>
      <c r="V633" s="575"/>
      <c r="W633" s="575"/>
      <c r="X633" s="575"/>
      <c r="Y633" s="575"/>
      <c r="Z633" s="575"/>
      <c r="AA633" s="575"/>
      <c r="AB633" s="575"/>
      <c r="AC633" s="575"/>
      <c r="AD633" s="575"/>
      <c r="AE633" s="575"/>
      <c r="AF633" s="575"/>
      <c r="AG633" s="575"/>
      <c r="AH633" s="575"/>
      <c r="AI633" s="575"/>
    </row>
    <row r="634" spans="1:35" x14ac:dyDescent="0.35">
      <c r="A634" s="575"/>
      <c r="B634" s="575"/>
      <c r="C634" s="575"/>
      <c r="D634" s="575"/>
      <c r="E634" s="575"/>
      <c r="F634" s="575"/>
      <c r="G634" s="575"/>
      <c r="H634" s="575"/>
      <c r="I634" s="575"/>
      <c r="J634" s="575"/>
      <c r="K634" s="575"/>
      <c r="L634" s="575"/>
      <c r="M634" s="575"/>
      <c r="N634" s="575"/>
      <c r="O634" s="575"/>
      <c r="P634" s="575"/>
      <c r="Q634" s="575"/>
      <c r="R634" s="575"/>
      <c r="S634" s="575"/>
      <c r="T634" s="575"/>
      <c r="U634" s="575"/>
      <c r="V634" s="575"/>
      <c r="W634" s="575"/>
      <c r="X634" s="575"/>
      <c r="Y634" s="575"/>
      <c r="Z634" s="575"/>
      <c r="AA634" s="575"/>
      <c r="AB634" s="575"/>
      <c r="AC634" s="575"/>
      <c r="AD634" s="575"/>
      <c r="AE634" s="575"/>
      <c r="AF634" s="575"/>
      <c r="AG634" s="575"/>
      <c r="AH634" s="575"/>
      <c r="AI634" s="575"/>
    </row>
    <row r="635" spans="1:35" x14ac:dyDescent="0.35">
      <c r="A635" s="575"/>
      <c r="B635" s="575"/>
      <c r="C635" s="575"/>
      <c r="D635" s="575"/>
      <c r="E635" s="575"/>
      <c r="F635" s="575"/>
      <c r="G635" s="575"/>
      <c r="H635" s="575"/>
      <c r="I635" s="575"/>
      <c r="J635" s="575"/>
      <c r="K635" s="575"/>
      <c r="L635" s="575"/>
      <c r="M635" s="575"/>
      <c r="N635" s="575"/>
      <c r="O635" s="575"/>
      <c r="P635" s="575"/>
      <c r="Q635" s="575"/>
      <c r="R635" s="575"/>
      <c r="S635" s="575"/>
      <c r="T635" s="575"/>
      <c r="U635" s="575"/>
      <c r="V635" s="575"/>
      <c r="W635" s="575"/>
      <c r="X635" s="575"/>
      <c r="Y635" s="575"/>
      <c r="Z635" s="575"/>
      <c r="AA635" s="575"/>
      <c r="AB635" s="575"/>
      <c r="AC635" s="575"/>
      <c r="AD635" s="575"/>
      <c r="AE635" s="575"/>
      <c r="AF635" s="575"/>
      <c r="AG635" s="575"/>
      <c r="AH635" s="575"/>
      <c r="AI635" s="575"/>
    </row>
    <row r="636" spans="1:35" x14ac:dyDescent="0.35">
      <c r="A636" s="575"/>
      <c r="B636" s="575"/>
      <c r="C636" s="575"/>
      <c r="D636" s="575"/>
      <c r="E636" s="575"/>
      <c r="F636" s="575"/>
      <c r="G636" s="575"/>
      <c r="H636" s="575"/>
      <c r="I636" s="575"/>
      <c r="J636" s="575"/>
      <c r="K636" s="575"/>
      <c r="L636" s="575"/>
      <c r="M636" s="575"/>
      <c r="N636" s="575"/>
      <c r="O636" s="575"/>
      <c r="P636" s="575"/>
      <c r="Q636" s="575"/>
      <c r="R636" s="575"/>
      <c r="S636" s="575"/>
      <c r="T636" s="575"/>
      <c r="U636" s="575"/>
      <c r="V636" s="575"/>
      <c r="W636" s="575"/>
      <c r="X636" s="575"/>
      <c r="Y636" s="575"/>
      <c r="Z636" s="575"/>
      <c r="AA636" s="575"/>
      <c r="AB636" s="575"/>
      <c r="AC636" s="575"/>
      <c r="AD636" s="575"/>
      <c r="AE636" s="575"/>
      <c r="AF636" s="575"/>
      <c r="AG636" s="575"/>
      <c r="AH636" s="575"/>
      <c r="AI636" s="575"/>
    </row>
    <row r="637" spans="1:35" x14ac:dyDescent="0.35">
      <c r="A637" s="575"/>
      <c r="B637" s="575"/>
      <c r="C637" s="575"/>
      <c r="D637" s="575"/>
      <c r="E637" s="575"/>
      <c r="F637" s="575"/>
      <c r="G637" s="575"/>
      <c r="H637" s="575"/>
      <c r="I637" s="575"/>
      <c r="J637" s="575"/>
      <c r="K637" s="575"/>
      <c r="L637" s="575"/>
      <c r="M637" s="575"/>
      <c r="N637" s="575"/>
      <c r="O637" s="575"/>
      <c r="P637" s="575"/>
      <c r="Q637" s="575"/>
      <c r="R637" s="575"/>
      <c r="S637" s="575"/>
      <c r="T637" s="575"/>
      <c r="U637" s="575"/>
      <c r="V637" s="575"/>
      <c r="W637" s="575"/>
      <c r="X637" s="575"/>
      <c r="Y637" s="575"/>
      <c r="Z637" s="575"/>
      <c r="AA637" s="575"/>
      <c r="AB637" s="575"/>
      <c r="AC637" s="575"/>
      <c r="AD637" s="575"/>
      <c r="AE637" s="575"/>
      <c r="AF637" s="575"/>
      <c r="AG637" s="575"/>
      <c r="AH637" s="575"/>
      <c r="AI637" s="575"/>
    </row>
    <row r="638" spans="1:35" x14ac:dyDescent="0.35">
      <c r="A638" s="575"/>
      <c r="B638" s="575"/>
      <c r="C638" s="575"/>
      <c r="D638" s="575"/>
      <c r="E638" s="575"/>
      <c r="F638" s="575"/>
      <c r="G638" s="575"/>
      <c r="H638" s="575"/>
      <c r="I638" s="575"/>
      <c r="J638" s="575"/>
      <c r="K638" s="575"/>
      <c r="L638" s="575"/>
      <c r="M638" s="575"/>
      <c r="N638" s="575"/>
      <c r="O638" s="575"/>
      <c r="P638" s="575"/>
      <c r="Q638" s="575"/>
      <c r="R638" s="575"/>
      <c r="S638" s="575"/>
      <c r="T638" s="575"/>
      <c r="U638" s="575"/>
      <c r="V638" s="575"/>
      <c r="W638" s="575"/>
      <c r="X638" s="575"/>
      <c r="Y638" s="575"/>
      <c r="Z638" s="575"/>
      <c r="AA638" s="575"/>
      <c r="AB638" s="575"/>
      <c r="AC638" s="575"/>
      <c r="AD638" s="575"/>
      <c r="AE638" s="575"/>
      <c r="AF638" s="575"/>
      <c r="AG638" s="575"/>
      <c r="AH638" s="575"/>
      <c r="AI638" s="575"/>
    </row>
    <row r="639" spans="1:35" x14ac:dyDescent="0.35">
      <c r="A639" s="575"/>
      <c r="B639" s="575"/>
      <c r="C639" s="575"/>
      <c r="D639" s="575"/>
      <c r="E639" s="575"/>
      <c r="F639" s="575"/>
      <c r="G639" s="575"/>
      <c r="H639" s="575"/>
      <c r="I639" s="575"/>
      <c r="J639" s="575"/>
      <c r="K639" s="575"/>
      <c r="L639" s="575"/>
      <c r="M639" s="575"/>
      <c r="N639" s="575"/>
      <c r="O639" s="575"/>
      <c r="P639" s="575"/>
      <c r="Q639" s="575"/>
      <c r="R639" s="575"/>
      <c r="S639" s="575"/>
      <c r="T639" s="575"/>
      <c r="U639" s="575"/>
      <c r="V639" s="575"/>
      <c r="W639" s="575"/>
      <c r="X639" s="575"/>
      <c r="Y639" s="575"/>
      <c r="Z639" s="575"/>
      <c r="AA639" s="575"/>
      <c r="AB639" s="575"/>
      <c r="AC639" s="575"/>
      <c r="AD639" s="575"/>
      <c r="AE639" s="575"/>
      <c r="AF639" s="575"/>
      <c r="AG639" s="575"/>
      <c r="AH639" s="575"/>
      <c r="AI639" s="575"/>
    </row>
    <row r="640" spans="1:35" x14ac:dyDescent="0.35">
      <c r="A640" s="575"/>
      <c r="B640" s="575"/>
      <c r="C640" s="575"/>
      <c r="D640" s="575"/>
      <c r="E640" s="575"/>
      <c r="F640" s="575"/>
      <c r="G640" s="575"/>
      <c r="H640" s="575"/>
      <c r="I640" s="575"/>
      <c r="J640" s="575"/>
      <c r="K640" s="575"/>
      <c r="L640" s="575"/>
      <c r="M640" s="575"/>
      <c r="N640" s="575"/>
      <c r="O640" s="575"/>
      <c r="P640" s="575"/>
      <c r="Q640" s="575"/>
      <c r="R640" s="575"/>
      <c r="S640" s="575"/>
      <c r="T640" s="575"/>
      <c r="U640" s="575"/>
      <c r="V640" s="575"/>
      <c r="W640" s="575"/>
      <c r="X640" s="575"/>
      <c r="Y640" s="575"/>
      <c r="Z640" s="575"/>
      <c r="AA640" s="575"/>
      <c r="AB640" s="575"/>
      <c r="AC640" s="575"/>
      <c r="AD640" s="575"/>
      <c r="AE640" s="575"/>
      <c r="AF640" s="575"/>
      <c r="AG640" s="575"/>
      <c r="AH640" s="575"/>
      <c r="AI640" s="575"/>
    </row>
    <row r="641" spans="1:35" x14ac:dyDescent="0.35">
      <c r="A641" s="575"/>
      <c r="B641" s="575"/>
      <c r="C641" s="575"/>
      <c r="D641" s="575"/>
      <c r="E641" s="575"/>
      <c r="F641" s="575"/>
      <c r="G641" s="575"/>
      <c r="H641" s="575"/>
      <c r="I641" s="575"/>
      <c r="J641" s="575"/>
      <c r="K641" s="575"/>
      <c r="L641" s="575"/>
      <c r="M641" s="575"/>
      <c r="N641" s="575"/>
      <c r="O641" s="575"/>
      <c r="P641" s="575"/>
      <c r="Q641" s="575"/>
      <c r="R641" s="575"/>
      <c r="S641" s="575"/>
      <c r="T641" s="575"/>
      <c r="U641" s="575"/>
      <c r="V641" s="575"/>
      <c r="W641" s="575"/>
      <c r="X641" s="575"/>
      <c r="Y641" s="575"/>
      <c r="Z641" s="575"/>
      <c r="AA641" s="575"/>
      <c r="AB641" s="575"/>
      <c r="AC641" s="575"/>
      <c r="AD641" s="575"/>
      <c r="AE641" s="575"/>
      <c r="AF641" s="575"/>
      <c r="AG641" s="575"/>
      <c r="AH641" s="575"/>
      <c r="AI641" s="575"/>
    </row>
    <row r="642" spans="1:35" x14ac:dyDescent="0.35">
      <c r="A642" s="575"/>
      <c r="B642" s="575"/>
      <c r="C642" s="575"/>
      <c r="D642" s="575"/>
      <c r="E642" s="575"/>
      <c r="F642" s="575"/>
      <c r="G642" s="575"/>
      <c r="H642" s="575"/>
      <c r="I642" s="575"/>
      <c r="J642" s="575"/>
      <c r="K642" s="575"/>
      <c r="L642" s="575"/>
      <c r="M642" s="575"/>
      <c r="N642" s="575"/>
      <c r="O642" s="575"/>
      <c r="P642" s="575"/>
      <c r="Q642" s="575"/>
      <c r="R642" s="575"/>
      <c r="S642" s="575"/>
      <c r="T642" s="575"/>
      <c r="U642" s="575"/>
      <c r="V642" s="575"/>
      <c r="W642" s="575"/>
      <c r="X642" s="575"/>
      <c r="Y642" s="575"/>
      <c r="Z642" s="575"/>
      <c r="AA642" s="575"/>
      <c r="AB642" s="575"/>
      <c r="AC642" s="575"/>
      <c r="AD642" s="575"/>
      <c r="AE642" s="575"/>
      <c r="AF642" s="575"/>
      <c r="AG642" s="575"/>
      <c r="AH642" s="575"/>
      <c r="AI642" s="575"/>
    </row>
    <row r="643" spans="1:35" x14ac:dyDescent="0.35">
      <c r="A643" s="575"/>
      <c r="B643" s="575"/>
      <c r="C643" s="575"/>
      <c r="D643" s="575"/>
      <c r="E643" s="575"/>
      <c r="F643" s="575"/>
      <c r="G643" s="575"/>
      <c r="H643" s="575"/>
      <c r="I643" s="575"/>
      <c r="J643" s="575"/>
      <c r="K643" s="575"/>
      <c r="L643" s="575"/>
      <c r="M643" s="575"/>
      <c r="N643" s="575"/>
      <c r="O643" s="575"/>
      <c r="P643" s="575"/>
      <c r="Q643" s="575"/>
      <c r="R643" s="575"/>
      <c r="S643" s="575"/>
      <c r="T643" s="575"/>
      <c r="U643" s="575"/>
      <c r="V643" s="575"/>
      <c r="W643" s="575"/>
      <c r="X643" s="575"/>
      <c r="Y643" s="575"/>
      <c r="Z643" s="575"/>
      <c r="AA643" s="575"/>
      <c r="AB643" s="575"/>
      <c r="AC643" s="575"/>
      <c r="AD643" s="575"/>
      <c r="AE643" s="575"/>
      <c r="AF643" s="575"/>
      <c r="AG643" s="575"/>
      <c r="AH643" s="575"/>
      <c r="AI643" s="575"/>
    </row>
    <row r="644" spans="1:35" x14ac:dyDescent="0.35">
      <c r="A644" s="575"/>
      <c r="B644" s="575"/>
      <c r="C644" s="575"/>
      <c r="D644" s="575"/>
      <c r="E644" s="575"/>
      <c r="F644" s="575"/>
      <c r="G644" s="575"/>
      <c r="H644" s="575"/>
      <c r="I644" s="575"/>
      <c r="J644" s="575"/>
      <c r="K644" s="575"/>
      <c r="L644" s="575"/>
      <c r="M644" s="575"/>
      <c r="N644" s="575"/>
      <c r="O644" s="575"/>
      <c r="P644" s="575"/>
      <c r="Q644" s="575"/>
      <c r="R644" s="575"/>
      <c r="S644" s="575"/>
      <c r="T644" s="575"/>
      <c r="U644" s="575"/>
      <c r="V644" s="575"/>
      <c r="W644" s="575"/>
      <c r="X644" s="575"/>
      <c r="Y644" s="575"/>
      <c r="Z644" s="575"/>
      <c r="AA644" s="575"/>
      <c r="AB644" s="575"/>
      <c r="AC644" s="575"/>
      <c r="AD644" s="575"/>
      <c r="AE644" s="575"/>
      <c r="AF644" s="575"/>
      <c r="AG644" s="575"/>
      <c r="AH644" s="575"/>
      <c r="AI644" s="575"/>
    </row>
    <row r="645" spans="1:35" x14ac:dyDescent="0.35">
      <c r="A645" s="575"/>
      <c r="B645" s="575"/>
      <c r="C645" s="575"/>
      <c r="D645" s="575"/>
      <c r="E645" s="575"/>
      <c r="F645" s="575"/>
      <c r="G645" s="575"/>
      <c r="H645" s="575"/>
      <c r="I645" s="575"/>
      <c r="J645" s="575"/>
      <c r="K645" s="575"/>
      <c r="L645" s="575"/>
      <c r="M645" s="575"/>
      <c r="N645" s="575"/>
      <c r="O645" s="575"/>
      <c r="P645" s="575"/>
      <c r="Q645" s="575"/>
      <c r="R645" s="575"/>
      <c r="S645" s="575"/>
      <c r="T645" s="575"/>
      <c r="U645" s="575"/>
      <c r="V645" s="575"/>
      <c r="W645" s="575"/>
      <c r="X645" s="575"/>
      <c r="Y645" s="575"/>
      <c r="Z645" s="575"/>
      <c r="AA645" s="575"/>
      <c r="AB645" s="575"/>
      <c r="AC645" s="575"/>
      <c r="AD645" s="575"/>
      <c r="AE645" s="575"/>
      <c r="AF645" s="575"/>
      <c r="AG645" s="575"/>
      <c r="AH645" s="575"/>
      <c r="AI645" s="575"/>
    </row>
    <row r="646" spans="1:35" x14ac:dyDescent="0.35">
      <c r="A646" s="575"/>
      <c r="B646" s="575"/>
      <c r="C646" s="575"/>
      <c r="D646" s="575"/>
      <c r="E646" s="575"/>
      <c r="F646" s="575"/>
      <c r="G646" s="575"/>
      <c r="H646" s="575"/>
      <c r="I646" s="575"/>
      <c r="J646" s="575"/>
      <c r="K646" s="575"/>
      <c r="L646" s="575"/>
      <c r="M646" s="575"/>
      <c r="N646" s="575"/>
      <c r="O646" s="575"/>
      <c r="P646" s="575"/>
      <c r="Q646" s="575"/>
      <c r="R646" s="575"/>
      <c r="S646" s="575"/>
      <c r="T646" s="575"/>
      <c r="U646" s="575"/>
      <c r="V646" s="575"/>
      <c r="W646" s="575"/>
      <c r="X646" s="575"/>
      <c r="Y646" s="575"/>
      <c r="Z646" s="575"/>
      <c r="AA646" s="575"/>
      <c r="AB646" s="575"/>
      <c r="AC646" s="575"/>
      <c r="AD646" s="575"/>
      <c r="AE646" s="575"/>
      <c r="AF646" s="575"/>
      <c r="AG646" s="575"/>
      <c r="AH646" s="575"/>
      <c r="AI646" s="575"/>
    </row>
    <row r="647" spans="1:35" x14ac:dyDescent="0.35">
      <c r="A647" s="575"/>
      <c r="B647" s="575"/>
      <c r="C647" s="575"/>
      <c r="D647" s="575"/>
      <c r="E647" s="575"/>
      <c r="F647" s="575"/>
      <c r="G647" s="575"/>
      <c r="H647" s="575"/>
      <c r="I647" s="575"/>
      <c r="J647" s="575"/>
      <c r="K647" s="575"/>
      <c r="L647" s="575"/>
      <c r="M647" s="575"/>
      <c r="N647" s="575"/>
      <c r="O647" s="575"/>
      <c r="P647" s="575"/>
      <c r="Q647" s="575"/>
      <c r="R647" s="575"/>
      <c r="S647" s="575"/>
      <c r="T647" s="575"/>
      <c r="U647" s="575"/>
      <c r="V647" s="575"/>
      <c r="W647" s="575"/>
      <c r="X647" s="575"/>
      <c r="Y647" s="575"/>
      <c r="Z647" s="575"/>
      <c r="AA647" s="575"/>
      <c r="AB647" s="575"/>
      <c r="AC647" s="575"/>
      <c r="AD647" s="575"/>
      <c r="AE647" s="575"/>
      <c r="AF647" s="575"/>
      <c r="AG647" s="575"/>
      <c r="AH647" s="575"/>
      <c r="AI647" s="575"/>
    </row>
    <row r="648" spans="1:35" x14ac:dyDescent="0.35">
      <c r="A648" s="575"/>
      <c r="B648" s="575"/>
      <c r="C648" s="575"/>
      <c r="D648" s="575"/>
      <c r="E648" s="575"/>
      <c r="F648" s="575"/>
      <c r="G648" s="575"/>
      <c r="H648" s="575"/>
      <c r="I648" s="575"/>
      <c r="J648" s="575"/>
      <c r="K648" s="575"/>
      <c r="L648" s="575"/>
      <c r="M648" s="575"/>
      <c r="N648" s="575"/>
      <c r="O648" s="575"/>
      <c r="P648" s="575"/>
      <c r="Q648" s="575"/>
      <c r="R648" s="575"/>
      <c r="S648" s="575"/>
      <c r="T648" s="575"/>
      <c r="U648" s="575"/>
      <c r="V648" s="575"/>
      <c r="W648" s="575"/>
      <c r="X648" s="575"/>
      <c r="Y648" s="575"/>
      <c r="Z648" s="575"/>
      <c r="AA648" s="575"/>
      <c r="AB648" s="575"/>
      <c r="AC648" s="575"/>
      <c r="AD648" s="575"/>
      <c r="AE648" s="575"/>
      <c r="AF648" s="575"/>
      <c r="AG648" s="575"/>
      <c r="AH648" s="575"/>
      <c r="AI648" s="575"/>
    </row>
    <row r="649" spans="1:35" x14ac:dyDescent="0.35">
      <c r="A649" s="575"/>
      <c r="B649" s="575"/>
      <c r="C649" s="575"/>
      <c r="D649" s="575"/>
      <c r="E649" s="575"/>
      <c r="F649" s="575"/>
      <c r="G649" s="575"/>
      <c r="H649" s="575"/>
      <c r="I649" s="575"/>
      <c r="J649" s="575"/>
      <c r="K649" s="575"/>
      <c r="L649" s="575"/>
      <c r="M649" s="575"/>
      <c r="N649" s="575"/>
      <c r="O649" s="575"/>
      <c r="P649" s="575"/>
      <c r="Q649" s="575"/>
      <c r="R649" s="575"/>
      <c r="S649" s="575"/>
      <c r="T649" s="575"/>
      <c r="U649" s="575"/>
      <c r="V649" s="575"/>
      <c r="W649" s="575"/>
      <c r="X649" s="575"/>
      <c r="Y649" s="575"/>
      <c r="Z649" s="575"/>
      <c r="AA649" s="575"/>
      <c r="AB649" s="575"/>
      <c r="AC649" s="575"/>
      <c r="AD649" s="575"/>
      <c r="AE649" s="575"/>
      <c r="AF649" s="575"/>
      <c r="AG649" s="575"/>
      <c r="AH649" s="575"/>
      <c r="AI649" s="575"/>
    </row>
    <row r="650" spans="1:35" x14ac:dyDescent="0.35">
      <c r="A650" s="575"/>
      <c r="B650" s="575"/>
      <c r="C650" s="575"/>
      <c r="D650" s="575"/>
      <c r="E650" s="575"/>
      <c r="F650" s="575"/>
      <c r="G650" s="575"/>
      <c r="H650" s="575"/>
      <c r="I650" s="575"/>
      <c r="J650" s="575"/>
      <c r="K650" s="575"/>
      <c r="L650" s="575"/>
      <c r="M650" s="575"/>
      <c r="N650" s="575"/>
      <c r="O650" s="575"/>
      <c r="P650" s="575"/>
      <c r="Q650" s="575"/>
      <c r="R650" s="575"/>
      <c r="S650" s="575"/>
      <c r="T650" s="575"/>
      <c r="U650" s="575"/>
      <c r="V650" s="575"/>
      <c r="W650" s="575"/>
      <c r="X650" s="575"/>
      <c r="Y650" s="575"/>
      <c r="Z650" s="575"/>
      <c r="AA650" s="575"/>
      <c r="AB650" s="575"/>
      <c r="AC650" s="575"/>
      <c r="AD650" s="575"/>
      <c r="AE650" s="575"/>
      <c r="AF650" s="575"/>
      <c r="AG650" s="575"/>
      <c r="AH650" s="575"/>
      <c r="AI650" s="575"/>
    </row>
    <row r="651" spans="1:35" x14ac:dyDescent="0.35">
      <c r="A651" s="575"/>
      <c r="B651" s="575"/>
      <c r="C651" s="575"/>
      <c r="D651" s="575"/>
      <c r="E651" s="575"/>
      <c r="F651" s="575"/>
      <c r="G651" s="575"/>
      <c r="H651" s="575"/>
      <c r="I651" s="575"/>
      <c r="J651" s="575"/>
      <c r="K651" s="575"/>
      <c r="L651" s="575"/>
      <c r="M651" s="575"/>
      <c r="N651" s="575"/>
      <c r="O651" s="575"/>
      <c r="P651" s="575"/>
      <c r="Q651" s="575"/>
      <c r="R651" s="575"/>
      <c r="S651" s="575"/>
      <c r="T651" s="575"/>
      <c r="U651" s="575"/>
      <c r="V651" s="575"/>
      <c r="W651" s="575"/>
      <c r="X651" s="575"/>
      <c r="Y651" s="575"/>
      <c r="Z651" s="575"/>
      <c r="AA651" s="575"/>
      <c r="AB651" s="575"/>
      <c r="AC651" s="575"/>
      <c r="AD651" s="575"/>
      <c r="AE651" s="575"/>
      <c r="AF651" s="575"/>
      <c r="AG651" s="575"/>
      <c r="AH651" s="575"/>
      <c r="AI651" s="575"/>
    </row>
    <row r="652" spans="1:35" x14ac:dyDescent="0.35">
      <c r="A652" s="575"/>
      <c r="B652" s="575"/>
      <c r="C652" s="575"/>
      <c r="D652" s="575"/>
      <c r="E652" s="575"/>
      <c r="F652" s="575"/>
      <c r="G652" s="575"/>
      <c r="H652" s="575"/>
      <c r="I652" s="575"/>
      <c r="J652" s="575"/>
      <c r="K652" s="575"/>
      <c r="L652" s="575"/>
      <c r="M652" s="575"/>
      <c r="N652" s="575"/>
      <c r="O652" s="575"/>
      <c r="P652" s="575"/>
      <c r="Q652" s="575"/>
      <c r="R652" s="575"/>
      <c r="S652" s="575"/>
      <c r="T652" s="575"/>
      <c r="U652" s="575"/>
      <c r="V652" s="575"/>
      <c r="W652" s="575"/>
      <c r="X652" s="575"/>
      <c r="Y652" s="575"/>
      <c r="Z652" s="575"/>
      <c r="AA652" s="575"/>
      <c r="AB652" s="575"/>
      <c r="AC652" s="575"/>
      <c r="AD652" s="575"/>
      <c r="AE652" s="575"/>
      <c r="AF652" s="575"/>
      <c r="AG652" s="575"/>
      <c r="AH652" s="575"/>
      <c r="AI652" s="575"/>
    </row>
    <row r="653" spans="1:35" x14ac:dyDescent="0.35">
      <c r="A653" s="575"/>
      <c r="B653" s="575"/>
      <c r="C653" s="575"/>
      <c r="D653" s="575"/>
      <c r="E653" s="575"/>
      <c r="F653" s="575"/>
      <c r="G653" s="575"/>
      <c r="H653" s="575"/>
      <c r="I653" s="575"/>
      <c r="J653" s="575"/>
      <c r="K653" s="575"/>
      <c r="L653" s="575"/>
      <c r="M653" s="575"/>
      <c r="N653" s="575"/>
      <c r="O653" s="575"/>
      <c r="P653" s="575"/>
      <c r="Q653" s="575"/>
      <c r="R653" s="575"/>
      <c r="S653" s="575"/>
      <c r="T653" s="575"/>
      <c r="U653" s="575"/>
      <c r="V653" s="575"/>
      <c r="W653" s="575"/>
      <c r="X653" s="575"/>
      <c r="Y653" s="575"/>
      <c r="Z653" s="575"/>
      <c r="AA653" s="575"/>
      <c r="AB653" s="575"/>
      <c r="AC653" s="575"/>
      <c r="AD653" s="575"/>
      <c r="AE653" s="575"/>
      <c r="AF653" s="575"/>
      <c r="AG653" s="575"/>
      <c r="AH653" s="575"/>
      <c r="AI653" s="575"/>
    </row>
    <row r="654" spans="1:35" x14ac:dyDescent="0.35">
      <c r="A654" s="575"/>
      <c r="B654" s="575"/>
      <c r="C654" s="575"/>
      <c r="D654" s="575"/>
      <c r="E654" s="575"/>
      <c r="F654" s="575"/>
      <c r="G654" s="575"/>
      <c r="H654" s="575"/>
      <c r="I654" s="575"/>
      <c r="J654" s="575"/>
      <c r="K654" s="575"/>
      <c r="L654" s="575"/>
      <c r="M654" s="575"/>
      <c r="N654" s="575"/>
      <c r="O654" s="575"/>
      <c r="P654" s="575"/>
      <c r="Q654" s="575"/>
      <c r="R654" s="575"/>
      <c r="S654" s="575"/>
      <c r="T654" s="575"/>
      <c r="U654" s="575"/>
      <c r="V654" s="575"/>
      <c r="W654" s="575"/>
      <c r="X654" s="575"/>
      <c r="Y654" s="575"/>
      <c r="Z654" s="575"/>
      <c r="AA654" s="575"/>
      <c r="AB654" s="575"/>
      <c r="AC654" s="575"/>
      <c r="AD654" s="575"/>
      <c r="AE654" s="575"/>
      <c r="AF654" s="575"/>
      <c r="AG654" s="575"/>
      <c r="AH654" s="575"/>
      <c r="AI654" s="575"/>
    </row>
    <row r="655" spans="1:35" x14ac:dyDescent="0.35">
      <c r="A655" s="575"/>
      <c r="B655" s="575"/>
      <c r="C655" s="575"/>
      <c r="D655" s="575"/>
      <c r="E655" s="575"/>
      <c r="F655" s="575"/>
      <c r="G655" s="575"/>
      <c r="H655" s="575"/>
      <c r="I655" s="575"/>
      <c r="J655" s="575"/>
      <c r="K655" s="575"/>
      <c r="L655" s="575"/>
      <c r="M655" s="575"/>
      <c r="N655" s="575"/>
      <c r="O655" s="575"/>
      <c r="P655" s="575"/>
      <c r="Q655" s="575"/>
      <c r="R655" s="575"/>
      <c r="S655" s="575"/>
      <c r="T655" s="575"/>
      <c r="U655" s="575"/>
      <c r="V655" s="575"/>
      <c r="W655" s="575"/>
      <c r="X655" s="575"/>
      <c r="Y655" s="575"/>
      <c r="Z655" s="575"/>
      <c r="AA655" s="575"/>
      <c r="AB655" s="575"/>
      <c r="AC655" s="575"/>
      <c r="AD655" s="575"/>
      <c r="AE655" s="575"/>
      <c r="AF655" s="575"/>
      <c r="AG655" s="575"/>
      <c r="AH655" s="575"/>
      <c r="AI655" s="575"/>
    </row>
    <row r="656" spans="1:35" x14ac:dyDescent="0.35">
      <c r="A656" s="575"/>
      <c r="B656" s="575"/>
      <c r="C656" s="575"/>
      <c r="D656" s="575"/>
      <c r="E656" s="575"/>
      <c r="F656" s="575"/>
      <c r="G656" s="575"/>
      <c r="H656" s="575"/>
      <c r="I656" s="575"/>
      <c r="J656" s="575"/>
      <c r="K656" s="575"/>
      <c r="L656" s="575"/>
      <c r="M656" s="575"/>
      <c r="N656" s="575"/>
      <c r="O656" s="575"/>
      <c r="P656" s="575"/>
      <c r="Q656" s="575"/>
      <c r="R656" s="575"/>
      <c r="S656" s="575"/>
      <c r="T656" s="575"/>
      <c r="U656" s="575"/>
      <c r="V656" s="575"/>
      <c r="W656" s="575"/>
      <c r="X656" s="575"/>
      <c r="Y656" s="575"/>
      <c r="Z656" s="575"/>
      <c r="AA656" s="575"/>
      <c r="AB656" s="575"/>
      <c r="AC656" s="575"/>
      <c r="AD656" s="575"/>
      <c r="AE656" s="575"/>
      <c r="AF656" s="575"/>
      <c r="AG656" s="575"/>
      <c r="AH656" s="575"/>
      <c r="AI656" s="575"/>
    </row>
    <row r="657" spans="1:35" x14ac:dyDescent="0.35">
      <c r="A657" s="575"/>
      <c r="B657" s="575"/>
      <c r="C657" s="575"/>
      <c r="D657" s="575"/>
      <c r="E657" s="575"/>
      <c r="F657" s="575"/>
      <c r="G657" s="575"/>
      <c r="H657" s="575"/>
      <c r="I657" s="575"/>
      <c r="J657" s="575"/>
      <c r="K657" s="575"/>
      <c r="L657" s="575"/>
      <c r="M657" s="575"/>
      <c r="N657" s="575"/>
      <c r="O657" s="575"/>
      <c r="P657" s="575"/>
      <c r="Q657" s="575"/>
      <c r="R657" s="575"/>
      <c r="S657" s="575"/>
      <c r="T657" s="575"/>
      <c r="U657" s="575"/>
      <c r="V657" s="575"/>
      <c r="W657" s="575"/>
      <c r="X657" s="575"/>
      <c r="Y657" s="575"/>
      <c r="Z657" s="575"/>
      <c r="AA657" s="575"/>
      <c r="AB657" s="575"/>
      <c r="AC657" s="575"/>
      <c r="AD657" s="575"/>
      <c r="AE657" s="575"/>
      <c r="AF657" s="575"/>
      <c r="AG657" s="575"/>
      <c r="AH657" s="575"/>
      <c r="AI657" s="575"/>
    </row>
    <row r="658" spans="1:35" x14ac:dyDescent="0.35">
      <c r="A658" s="575"/>
      <c r="B658" s="575"/>
      <c r="C658" s="575"/>
      <c r="D658" s="575"/>
      <c r="E658" s="575"/>
      <c r="F658" s="575"/>
      <c r="G658" s="575"/>
      <c r="H658" s="575"/>
      <c r="I658" s="575"/>
      <c r="J658" s="575"/>
      <c r="K658" s="575"/>
      <c r="L658" s="575"/>
      <c r="M658" s="575"/>
      <c r="N658" s="575"/>
      <c r="O658" s="575"/>
      <c r="P658" s="575"/>
      <c r="Q658" s="575"/>
      <c r="R658" s="575"/>
      <c r="S658" s="575"/>
      <c r="T658" s="575"/>
      <c r="U658" s="575"/>
      <c r="V658" s="575"/>
      <c r="W658" s="575"/>
      <c r="X658" s="575"/>
      <c r="Y658" s="575"/>
      <c r="Z658" s="575"/>
      <c r="AA658" s="575"/>
      <c r="AB658" s="575"/>
      <c r="AC658" s="575"/>
      <c r="AD658" s="575"/>
      <c r="AE658" s="575"/>
      <c r="AF658" s="575"/>
      <c r="AG658" s="575"/>
      <c r="AH658" s="575"/>
      <c r="AI658" s="575"/>
    </row>
    <row r="659" spans="1:35" x14ac:dyDescent="0.35">
      <c r="A659" s="575"/>
      <c r="B659" s="575"/>
      <c r="C659" s="575"/>
      <c r="D659" s="575"/>
      <c r="E659" s="575"/>
      <c r="F659" s="575"/>
      <c r="G659" s="575"/>
      <c r="H659" s="575"/>
      <c r="I659" s="575"/>
      <c r="J659" s="575"/>
      <c r="K659" s="575"/>
      <c r="L659" s="575"/>
      <c r="M659" s="575"/>
      <c r="N659" s="575"/>
      <c r="O659" s="575"/>
      <c r="P659" s="575"/>
      <c r="Q659" s="575"/>
      <c r="R659" s="575"/>
      <c r="S659" s="575"/>
      <c r="T659" s="575"/>
      <c r="U659" s="575"/>
      <c r="V659" s="575"/>
      <c r="W659" s="575"/>
      <c r="X659" s="575"/>
      <c r="Y659" s="575"/>
      <c r="Z659" s="575"/>
      <c r="AA659" s="575"/>
      <c r="AB659" s="575"/>
      <c r="AC659" s="575"/>
      <c r="AD659" s="575"/>
      <c r="AE659" s="575"/>
      <c r="AF659" s="575"/>
      <c r="AG659" s="575"/>
      <c r="AH659" s="575"/>
      <c r="AI659" s="575"/>
    </row>
    <row r="660" spans="1:35" x14ac:dyDescent="0.35">
      <c r="A660" s="575"/>
      <c r="B660" s="575"/>
      <c r="C660" s="575"/>
      <c r="D660" s="575"/>
      <c r="E660" s="575"/>
      <c r="F660" s="575"/>
      <c r="G660" s="575"/>
      <c r="H660" s="575"/>
      <c r="I660" s="575"/>
      <c r="J660" s="575"/>
      <c r="K660" s="575"/>
      <c r="L660" s="575"/>
      <c r="M660" s="575"/>
      <c r="N660" s="575"/>
      <c r="O660" s="575"/>
      <c r="P660" s="575"/>
      <c r="Q660" s="575"/>
      <c r="R660" s="575"/>
      <c r="S660" s="575"/>
      <c r="T660" s="575"/>
      <c r="U660" s="575"/>
      <c r="V660" s="575"/>
      <c r="W660" s="575"/>
      <c r="X660" s="575"/>
      <c r="Y660" s="575"/>
      <c r="Z660" s="575"/>
      <c r="AA660" s="575"/>
      <c r="AB660" s="575"/>
      <c r="AC660" s="575"/>
      <c r="AD660" s="575"/>
      <c r="AE660" s="575"/>
      <c r="AF660" s="575"/>
      <c r="AG660" s="575"/>
      <c r="AH660" s="575"/>
      <c r="AI660" s="575"/>
    </row>
    <row r="661" spans="1:35" x14ac:dyDescent="0.35">
      <c r="A661" s="575"/>
      <c r="B661" s="575"/>
      <c r="C661" s="575"/>
      <c r="D661" s="575"/>
      <c r="E661" s="575"/>
      <c r="F661" s="575"/>
      <c r="G661" s="575"/>
      <c r="H661" s="575"/>
      <c r="I661" s="575"/>
      <c r="J661" s="575"/>
      <c r="K661" s="575"/>
      <c r="L661" s="575"/>
      <c r="M661" s="575"/>
      <c r="N661" s="575"/>
      <c r="O661" s="575"/>
      <c r="P661" s="575"/>
      <c r="Q661" s="575"/>
      <c r="R661" s="575"/>
      <c r="S661" s="575"/>
      <c r="T661" s="575"/>
      <c r="U661" s="575"/>
      <c r="V661" s="575"/>
      <c r="W661" s="575"/>
      <c r="X661" s="575"/>
      <c r="Y661" s="575"/>
      <c r="Z661" s="575"/>
      <c r="AA661" s="575"/>
      <c r="AB661" s="575"/>
      <c r="AC661" s="575"/>
      <c r="AD661" s="575"/>
      <c r="AE661" s="575"/>
      <c r="AF661" s="575"/>
      <c r="AG661" s="575"/>
      <c r="AH661" s="575"/>
      <c r="AI661" s="575"/>
    </row>
    <row r="662" spans="1:35" x14ac:dyDescent="0.35">
      <c r="A662" s="575"/>
      <c r="B662" s="575"/>
      <c r="C662" s="575"/>
      <c r="D662" s="575"/>
      <c r="E662" s="575"/>
      <c r="F662" s="575"/>
      <c r="G662" s="575"/>
      <c r="H662" s="575"/>
      <c r="I662" s="575"/>
      <c r="J662" s="575"/>
      <c r="K662" s="575"/>
      <c r="L662" s="575"/>
      <c r="M662" s="575"/>
      <c r="N662" s="575"/>
      <c r="O662" s="575"/>
      <c r="P662" s="575"/>
      <c r="Q662" s="575"/>
      <c r="R662" s="575"/>
      <c r="S662" s="575"/>
      <c r="T662" s="575"/>
      <c r="U662" s="575"/>
      <c r="V662" s="575"/>
      <c r="W662" s="575"/>
      <c r="X662" s="575"/>
      <c r="Y662" s="575"/>
      <c r="Z662" s="575"/>
      <c r="AA662" s="575"/>
      <c r="AB662" s="575"/>
      <c r="AC662" s="575"/>
      <c r="AD662" s="575"/>
      <c r="AE662" s="575"/>
      <c r="AF662" s="575"/>
      <c r="AG662" s="575"/>
      <c r="AH662" s="575"/>
      <c r="AI662" s="575"/>
    </row>
    <row r="663" spans="1:35" x14ac:dyDescent="0.35">
      <c r="A663" s="575"/>
      <c r="B663" s="575"/>
      <c r="C663" s="575"/>
      <c r="D663" s="575"/>
      <c r="E663" s="575"/>
      <c r="F663" s="575"/>
      <c r="G663" s="575"/>
      <c r="H663" s="575"/>
      <c r="I663" s="575"/>
      <c r="J663" s="575"/>
      <c r="K663" s="575"/>
      <c r="L663" s="575"/>
      <c r="M663" s="575"/>
      <c r="N663" s="575"/>
      <c r="O663" s="575"/>
      <c r="P663" s="575"/>
      <c r="Q663" s="575"/>
      <c r="R663" s="575"/>
      <c r="S663" s="575"/>
      <c r="T663" s="575"/>
      <c r="U663" s="575"/>
      <c r="V663" s="575"/>
      <c r="W663" s="575"/>
      <c r="X663" s="575"/>
      <c r="Y663" s="575"/>
      <c r="Z663" s="575"/>
      <c r="AA663" s="575"/>
      <c r="AB663" s="575"/>
      <c r="AC663" s="575"/>
      <c r="AD663" s="575"/>
      <c r="AE663" s="575"/>
      <c r="AF663" s="575"/>
      <c r="AG663" s="575"/>
      <c r="AH663" s="575"/>
      <c r="AI663" s="575"/>
    </row>
    <row r="664" spans="1:35" x14ac:dyDescent="0.35">
      <c r="A664" s="575"/>
      <c r="B664" s="575"/>
      <c r="C664" s="575"/>
      <c r="D664" s="575"/>
      <c r="E664" s="575"/>
      <c r="F664" s="575"/>
      <c r="G664" s="575"/>
      <c r="H664" s="575"/>
      <c r="I664" s="575"/>
      <c r="J664" s="575"/>
      <c r="K664" s="575"/>
      <c r="L664" s="575"/>
      <c r="M664" s="575"/>
      <c r="N664" s="575"/>
      <c r="O664" s="575"/>
      <c r="P664" s="575"/>
      <c r="Q664" s="575"/>
      <c r="R664" s="575"/>
      <c r="S664" s="575"/>
      <c r="T664" s="575"/>
      <c r="U664" s="575"/>
      <c r="V664" s="575"/>
      <c r="W664" s="575"/>
      <c r="X664" s="575"/>
      <c r="Y664" s="575"/>
      <c r="Z664" s="575"/>
      <c r="AA664" s="575"/>
      <c r="AB664" s="575"/>
      <c r="AC664" s="575"/>
      <c r="AD664" s="575"/>
      <c r="AE664" s="575"/>
      <c r="AF664" s="575"/>
      <c r="AG664" s="575"/>
      <c r="AH664" s="575"/>
      <c r="AI664" s="575"/>
    </row>
    <row r="665" spans="1:35" x14ac:dyDescent="0.35">
      <c r="A665" s="575"/>
      <c r="B665" s="575"/>
      <c r="C665" s="575"/>
      <c r="D665" s="575"/>
      <c r="E665" s="575"/>
      <c r="F665" s="575"/>
      <c r="G665" s="575"/>
      <c r="H665" s="575"/>
      <c r="I665" s="575"/>
      <c r="J665" s="575"/>
      <c r="K665" s="575"/>
      <c r="L665" s="575"/>
      <c r="M665" s="575"/>
      <c r="N665" s="575"/>
      <c r="O665" s="575"/>
      <c r="P665" s="575"/>
      <c r="Q665" s="575"/>
      <c r="R665" s="575"/>
      <c r="S665" s="575"/>
      <c r="T665" s="575"/>
      <c r="U665" s="575"/>
      <c r="V665" s="575"/>
      <c r="W665" s="575"/>
      <c r="X665" s="575"/>
      <c r="Y665" s="575"/>
      <c r="Z665" s="575"/>
      <c r="AA665" s="575"/>
      <c r="AB665" s="575"/>
      <c r="AC665" s="575"/>
      <c r="AD665" s="575"/>
      <c r="AE665" s="575"/>
      <c r="AF665" s="575"/>
      <c r="AG665" s="575"/>
      <c r="AH665" s="575"/>
      <c r="AI665" s="575"/>
    </row>
    <row r="666" spans="1:35" x14ac:dyDescent="0.35">
      <c r="A666" s="575"/>
      <c r="B666" s="575"/>
      <c r="C666" s="575"/>
      <c r="D666" s="575"/>
      <c r="E666" s="575"/>
      <c r="F666" s="575"/>
      <c r="G666" s="575"/>
      <c r="H666" s="575"/>
      <c r="I666" s="575"/>
      <c r="J666" s="575"/>
      <c r="K666" s="575"/>
      <c r="L666" s="575"/>
      <c r="M666" s="575"/>
      <c r="N666" s="575"/>
      <c r="O666" s="575"/>
      <c r="P666" s="575"/>
      <c r="Q666" s="575"/>
      <c r="R666" s="575"/>
      <c r="S666" s="575"/>
      <c r="T666" s="575"/>
      <c r="U666" s="575"/>
      <c r="V666" s="575"/>
      <c r="W666" s="575"/>
      <c r="X666" s="575"/>
      <c r="Y666" s="575"/>
      <c r="Z666" s="575"/>
      <c r="AA666" s="575"/>
      <c r="AB666" s="575"/>
      <c r="AC666" s="575"/>
      <c r="AD666" s="575"/>
      <c r="AE666" s="575"/>
      <c r="AF666" s="575"/>
      <c r="AG666" s="575"/>
      <c r="AH666" s="575"/>
      <c r="AI666" s="575"/>
    </row>
    <row r="667" spans="1:35" x14ac:dyDescent="0.35">
      <c r="A667" s="575"/>
      <c r="B667" s="575"/>
      <c r="C667" s="575"/>
      <c r="D667" s="575"/>
      <c r="E667" s="575"/>
      <c r="F667" s="575"/>
      <c r="G667" s="575"/>
      <c r="H667" s="575"/>
      <c r="I667" s="575"/>
      <c r="J667" s="575"/>
      <c r="K667" s="575"/>
      <c r="L667" s="575"/>
      <c r="M667" s="575"/>
      <c r="N667" s="575"/>
      <c r="O667" s="575"/>
      <c r="P667" s="575"/>
      <c r="Q667" s="575"/>
      <c r="R667" s="575"/>
      <c r="S667" s="575"/>
      <c r="T667" s="575"/>
      <c r="U667" s="575"/>
      <c r="V667" s="575"/>
      <c r="W667" s="575"/>
      <c r="X667" s="575"/>
      <c r="Y667" s="575"/>
      <c r="Z667" s="575"/>
      <c r="AA667" s="575"/>
      <c r="AB667" s="575"/>
      <c r="AC667" s="575"/>
      <c r="AD667" s="575"/>
      <c r="AE667" s="575"/>
      <c r="AF667" s="575"/>
      <c r="AG667" s="575"/>
      <c r="AH667" s="575"/>
      <c r="AI667" s="575"/>
    </row>
    <row r="668" spans="1:35" x14ac:dyDescent="0.35">
      <c r="A668" s="575"/>
      <c r="B668" s="575"/>
      <c r="C668" s="575"/>
      <c r="D668" s="575"/>
      <c r="E668" s="575"/>
      <c r="F668" s="575"/>
      <c r="G668" s="575"/>
      <c r="H668" s="575"/>
      <c r="I668" s="575"/>
      <c r="J668" s="575"/>
      <c r="K668" s="575"/>
      <c r="L668" s="575"/>
      <c r="M668" s="575"/>
      <c r="N668" s="575"/>
      <c r="O668" s="575"/>
      <c r="P668" s="575"/>
      <c r="Q668" s="575"/>
      <c r="R668" s="575"/>
      <c r="S668" s="575"/>
      <c r="T668" s="575"/>
      <c r="U668" s="575"/>
      <c r="V668" s="575"/>
      <c r="W668" s="575"/>
      <c r="X668" s="575"/>
      <c r="Y668" s="575"/>
      <c r="Z668" s="575"/>
      <c r="AA668" s="575"/>
      <c r="AB668" s="575"/>
      <c r="AC668" s="575"/>
      <c r="AD668" s="575"/>
      <c r="AE668" s="575"/>
      <c r="AF668" s="575"/>
      <c r="AG668" s="575"/>
      <c r="AH668" s="575"/>
      <c r="AI668" s="575"/>
    </row>
    <row r="669" spans="1:35" x14ac:dyDescent="0.35">
      <c r="A669" s="575"/>
      <c r="B669" s="575"/>
      <c r="C669" s="575"/>
      <c r="D669" s="575"/>
      <c r="E669" s="575"/>
      <c r="F669" s="575"/>
      <c r="G669" s="575"/>
      <c r="H669" s="575"/>
      <c r="I669" s="575"/>
      <c r="J669" s="575"/>
      <c r="K669" s="575"/>
      <c r="L669" s="575"/>
      <c r="M669" s="575"/>
      <c r="N669" s="575"/>
      <c r="O669" s="575"/>
      <c r="P669" s="575"/>
      <c r="Q669" s="575"/>
      <c r="R669" s="575"/>
      <c r="S669" s="575"/>
      <c r="T669" s="575"/>
      <c r="U669" s="575"/>
      <c r="V669" s="575"/>
      <c r="W669" s="575"/>
      <c r="X669" s="575"/>
      <c r="Y669" s="575"/>
      <c r="Z669" s="575"/>
      <c r="AA669" s="575"/>
      <c r="AB669" s="575"/>
      <c r="AC669" s="575"/>
      <c r="AD669" s="575"/>
      <c r="AE669" s="575"/>
      <c r="AF669" s="575"/>
      <c r="AG669" s="575"/>
      <c r="AH669" s="575"/>
      <c r="AI669" s="575"/>
    </row>
    <row r="670" spans="1:35" x14ac:dyDescent="0.35">
      <c r="A670" s="575"/>
      <c r="B670" s="575"/>
      <c r="C670" s="575"/>
      <c r="D670" s="575"/>
      <c r="E670" s="575"/>
      <c r="F670" s="575"/>
      <c r="G670" s="575"/>
      <c r="H670" s="575"/>
      <c r="I670" s="575"/>
      <c r="J670" s="575"/>
      <c r="K670" s="575"/>
      <c r="L670" s="575"/>
      <c r="M670" s="575"/>
      <c r="N670" s="575"/>
      <c r="O670" s="575"/>
      <c r="P670" s="575"/>
      <c r="Q670" s="575"/>
      <c r="R670" s="575"/>
      <c r="S670" s="575"/>
      <c r="T670" s="575"/>
      <c r="U670" s="575"/>
      <c r="V670" s="575"/>
      <c r="W670" s="575"/>
      <c r="X670" s="575"/>
      <c r="Y670" s="575"/>
      <c r="Z670" s="575"/>
      <c r="AA670" s="575"/>
      <c r="AB670" s="575"/>
      <c r="AC670" s="575"/>
      <c r="AD670" s="575"/>
      <c r="AE670" s="575"/>
      <c r="AF670" s="575"/>
      <c r="AG670" s="575"/>
      <c r="AH670" s="575"/>
      <c r="AI670" s="575"/>
    </row>
    <row r="671" spans="1:35" x14ac:dyDescent="0.35">
      <c r="A671" s="575"/>
      <c r="B671" s="575"/>
      <c r="C671" s="575"/>
      <c r="D671" s="575"/>
      <c r="E671" s="575"/>
      <c r="F671" s="575"/>
      <c r="G671" s="575"/>
      <c r="H671" s="575"/>
      <c r="I671" s="575"/>
      <c r="J671" s="575"/>
      <c r="K671" s="575"/>
      <c r="L671" s="575"/>
      <c r="M671" s="575"/>
      <c r="N671" s="575"/>
      <c r="O671" s="575"/>
      <c r="P671" s="575"/>
      <c r="Q671" s="575"/>
      <c r="R671" s="575"/>
      <c r="S671" s="575"/>
      <c r="T671" s="575"/>
      <c r="U671" s="575"/>
      <c r="V671" s="575"/>
      <c r="W671" s="575"/>
      <c r="X671" s="575"/>
      <c r="Y671" s="575"/>
      <c r="Z671" s="575"/>
      <c r="AA671" s="575"/>
      <c r="AB671" s="575"/>
      <c r="AC671" s="575"/>
      <c r="AD671" s="575"/>
      <c r="AE671" s="575"/>
      <c r="AF671" s="575"/>
      <c r="AG671" s="575"/>
      <c r="AH671" s="575"/>
      <c r="AI671" s="575"/>
    </row>
    <row r="672" spans="1:35" x14ac:dyDescent="0.35">
      <c r="A672" s="575"/>
      <c r="B672" s="575"/>
      <c r="C672" s="575"/>
      <c r="D672" s="575"/>
      <c r="E672" s="575"/>
      <c r="F672" s="575"/>
      <c r="G672" s="575"/>
      <c r="H672" s="575"/>
      <c r="I672" s="575"/>
      <c r="J672" s="575"/>
      <c r="K672" s="575"/>
      <c r="L672" s="575"/>
      <c r="M672" s="575"/>
      <c r="N672" s="575"/>
      <c r="O672" s="575"/>
      <c r="P672" s="575"/>
      <c r="Q672" s="575"/>
      <c r="R672" s="575"/>
      <c r="S672" s="575"/>
      <c r="T672" s="575"/>
      <c r="U672" s="575"/>
      <c r="V672" s="575"/>
      <c r="W672" s="575"/>
      <c r="X672" s="575"/>
      <c r="Y672" s="575"/>
      <c r="Z672" s="575"/>
      <c r="AA672" s="575"/>
      <c r="AB672" s="575"/>
      <c r="AC672" s="575"/>
      <c r="AD672" s="575"/>
      <c r="AE672" s="575"/>
      <c r="AF672" s="575"/>
      <c r="AG672" s="575"/>
      <c r="AH672" s="575"/>
      <c r="AI672" s="575"/>
    </row>
    <row r="673" spans="1:35" x14ac:dyDescent="0.35">
      <c r="A673" s="575"/>
      <c r="B673" s="575"/>
      <c r="C673" s="575"/>
      <c r="D673" s="575"/>
      <c r="E673" s="575"/>
      <c r="F673" s="575"/>
      <c r="G673" s="575"/>
      <c r="H673" s="575"/>
      <c r="I673" s="575"/>
      <c r="J673" s="575"/>
      <c r="K673" s="575"/>
      <c r="L673" s="575"/>
      <c r="M673" s="575"/>
      <c r="N673" s="575"/>
      <c r="O673" s="575"/>
      <c r="P673" s="575"/>
      <c r="Q673" s="575"/>
      <c r="R673" s="575"/>
      <c r="S673" s="575"/>
      <c r="T673" s="575"/>
      <c r="U673" s="575"/>
      <c r="V673" s="575"/>
      <c r="W673" s="575"/>
      <c r="X673" s="575"/>
      <c r="Y673" s="575"/>
      <c r="Z673" s="575"/>
      <c r="AA673" s="575"/>
      <c r="AB673" s="575"/>
      <c r="AC673" s="575"/>
      <c r="AD673" s="575"/>
      <c r="AE673" s="575"/>
      <c r="AF673" s="575"/>
      <c r="AG673" s="575"/>
      <c r="AH673" s="575"/>
      <c r="AI673" s="575"/>
    </row>
    <row r="674" spans="1:35" x14ac:dyDescent="0.35">
      <c r="A674" s="575"/>
      <c r="B674" s="575"/>
      <c r="C674" s="575"/>
      <c r="D674" s="575"/>
      <c r="E674" s="575"/>
      <c r="F674" s="575"/>
      <c r="G674" s="575"/>
      <c r="H674" s="575"/>
      <c r="I674" s="575"/>
      <c r="J674" s="575"/>
      <c r="K674" s="575"/>
      <c r="L674" s="575"/>
      <c r="M674" s="575"/>
      <c r="N674" s="575"/>
      <c r="O674" s="575"/>
      <c r="P674" s="575"/>
      <c r="Q674" s="575"/>
      <c r="R674" s="575"/>
      <c r="S674" s="575"/>
      <c r="T674" s="575"/>
      <c r="U674" s="575"/>
      <c r="V674" s="575"/>
      <c r="W674" s="575"/>
      <c r="X674" s="575"/>
      <c r="Y674" s="575"/>
      <c r="Z674" s="575"/>
      <c r="AA674" s="575"/>
      <c r="AB674" s="575"/>
      <c r="AC674" s="575"/>
      <c r="AD674" s="575"/>
      <c r="AE674" s="575"/>
      <c r="AF674" s="575"/>
      <c r="AG674" s="575"/>
      <c r="AH674" s="575"/>
      <c r="AI674" s="575"/>
    </row>
    <row r="675" spans="1:35" x14ac:dyDescent="0.35">
      <c r="A675" s="575"/>
      <c r="B675" s="575"/>
      <c r="C675" s="575"/>
      <c r="D675" s="575"/>
      <c r="E675" s="575"/>
      <c r="F675" s="575"/>
      <c r="G675" s="575"/>
      <c r="H675" s="575"/>
      <c r="I675" s="575"/>
      <c r="J675" s="575"/>
      <c r="K675" s="575"/>
      <c r="L675" s="575"/>
      <c r="M675" s="575"/>
      <c r="N675" s="575"/>
      <c r="O675" s="575"/>
      <c r="P675" s="575"/>
      <c r="Q675" s="575"/>
      <c r="R675" s="575"/>
      <c r="S675" s="575"/>
      <c r="T675" s="575"/>
      <c r="U675" s="575"/>
      <c r="V675" s="575"/>
      <c r="W675" s="575"/>
      <c r="X675" s="575"/>
      <c r="Y675" s="575"/>
      <c r="Z675" s="575"/>
      <c r="AA675" s="575"/>
      <c r="AB675" s="575"/>
      <c r="AC675" s="575"/>
      <c r="AD675" s="575"/>
      <c r="AE675" s="575"/>
      <c r="AF675" s="575"/>
      <c r="AG675" s="575"/>
      <c r="AH675" s="575"/>
      <c r="AI675" s="575"/>
    </row>
    <row r="676" spans="1:35" x14ac:dyDescent="0.35">
      <c r="A676" s="575"/>
      <c r="B676" s="575"/>
      <c r="C676" s="575"/>
      <c r="D676" s="575"/>
      <c r="E676" s="575"/>
      <c r="F676" s="575"/>
      <c r="G676" s="575"/>
      <c r="H676" s="575"/>
      <c r="I676" s="575"/>
      <c r="J676" s="575"/>
      <c r="K676" s="575"/>
      <c r="L676" s="575"/>
      <c r="M676" s="575"/>
      <c r="N676" s="575"/>
      <c r="O676" s="575"/>
      <c r="P676" s="575"/>
      <c r="Q676" s="575"/>
      <c r="R676" s="575"/>
      <c r="S676" s="575"/>
      <c r="T676" s="575"/>
      <c r="U676" s="575"/>
      <c r="V676" s="575"/>
      <c r="W676" s="575"/>
      <c r="X676" s="575"/>
      <c r="Y676" s="575"/>
      <c r="Z676" s="575"/>
      <c r="AA676" s="575"/>
      <c r="AB676" s="575"/>
      <c r="AC676" s="575"/>
      <c r="AD676" s="575"/>
      <c r="AE676" s="575"/>
      <c r="AF676" s="575"/>
      <c r="AG676" s="575"/>
      <c r="AH676" s="575"/>
      <c r="AI676" s="575"/>
    </row>
    <row r="677" spans="1:35" x14ac:dyDescent="0.35">
      <c r="A677" s="575"/>
      <c r="B677" s="575"/>
      <c r="C677" s="575"/>
      <c r="D677" s="575"/>
      <c r="E677" s="575"/>
      <c r="F677" s="575"/>
      <c r="G677" s="575"/>
      <c r="H677" s="575"/>
      <c r="I677" s="575"/>
      <c r="J677" s="575"/>
      <c r="K677" s="575"/>
      <c r="L677" s="575"/>
      <c r="M677" s="575"/>
      <c r="N677" s="575"/>
      <c r="O677" s="575"/>
      <c r="P677" s="575"/>
      <c r="Q677" s="575"/>
      <c r="R677" s="575"/>
      <c r="S677" s="575"/>
      <c r="T677" s="575"/>
      <c r="U677" s="575"/>
      <c r="V677" s="575"/>
      <c r="W677" s="575"/>
      <c r="X677" s="575"/>
      <c r="Y677" s="575"/>
      <c r="Z677" s="575"/>
      <c r="AA677" s="575"/>
      <c r="AB677" s="575"/>
      <c r="AC677" s="575"/>
      <c r="AD677" s="575"/>
      <c r="AE677" s="575"/>
      <c r="AF677" s="575"/>
      <c r="AG677" s="575"/>
      <c r="AH677" s="575"/>
      <c r="AI677" s="575"/>
    </row>
    <row r="678" spans="1:35" x14ac:dyDescent="0.35">
      <c r="A678" s="575"/>
      <c r="B678" s="575"/>
      <c r="C678" s="575"/>
      <c r="D678" s="575"/>
      <c r="E678" s="575"/>
      <c r="F678" s="575"/>
      <c r="G678" s="575"/>
      <c r="H678" s="575"/>
      <c r="I678" s="575"/>
      <c r="J678" s="575"/>
      <c r="K678" s="575"/>
      <c r="L678" s="575"/>
      <c r="M678" s="575"/>
      <c r="N678" s="575"/>
      <c r="O678" s="575"/>
      <c r="P678" s="575"/>
      <c r="Q678" s="575"/>
      <c r="R678" s="575"/>
      <c r="S678" s="575"/>
      <c r="T678" s="575"/>
      <c r="U678" s="575"/>
      <c r="V678" s="575"/>
      <c r="W678" s="575"/>
      <c r="X678" s="575"/>
      <c r="Y678" s="575"/>
      <c r="Z678" s="575"/>
      <c r="AA678" s="575"/>
      <c r="AB678" s="575"/>
      <c r="AC678" s="575"/>
      <c r="AD678" s="575"/>
      <c r="AE678" s="575"/>
      <c r="AF678" s="575"/>
      <c r="AG678" s="575"/>
      <c r="AH678" s="575"/>
      <c r="AI678" s="575"/>
    </row>
    <row r="679" spans="1:35" x14ac:dyDescent="0.35">
      <c r="A679" s="575"/>
      <c r="B679" s="575"/>
      <c r="C679" s="575"/>
      <c r="D679" s="575"/>
      <c r="E679" s="575"/>
      <c r="F679" s="575"/>
      <c r="G679" s="575"/>
      <c r="H679" s="575"/>
      <c r="I679" s="575"/>
      <c r="J679" s="575"/>
      <c r="K679" s="575"/>
      <c r="L679" s="575"/>
      <c r="M679" s="575"/>
      <c r="N679" s="575"/>
      <c r="O679" s="575"/>
      <c r="P679" s="575"/>
      <c r="Q679" s="575"/>
      <c r="R679" s="575"/>
      <c r="S679" s="575"/>
      <c r="T679" s="575"/>
      <c r="U679" s="575"/>
      <c r="V679" s="575"/>
      <c r="W679" s="575"/>
      <c r="X679" s="575"/>
      <c r="Y679" s="575"/>
      <c r="Z679" s="575"/>
      <c r="AA679" s="575"/>
      <c r="AB679" s="575"/>
      <c r="AC679" s="575"/>
      <c r="AD679" s="575"/>
      <c r="AE679" s="575"/>
      <c r="AF679" s="575"/>
      <c r="AG679" s="575"/>
      <c r="AH679" s="575"/>
      <c r="AI679" s="575"/>
    </row>
    <row r="680" spans="1:35" x14ac:dyDescent="0.35">
      <c r="A680" s="575"/>
      <c r="B680" s="575"/>
      <c r="C680" s="575"/>
      <c r="D680" s="575"/>
      <c r="E680" s="575"/>
      <c r="F680" s="575"/>
      <c r="G680" s="575"/>
      <c r="H680" s="575"/>
      <c r="I680" s="575"/>
      <c r="J680" s="575"/>
      <c r="K680" s="575"/>
      <c r="L680" s="575"/>
      <c r="M680" s="575"/>
      <c r="N680" s="575"/>
      <c r="O680" s="575"/>
      <c r="P680" s="575"/>
      <c r="Q680" s="575"/>
      <c r="R680" s="575"/>
      <c r="S680" s="575"/>
      <c r="T680" s="575"/>
      <c r="U680" s="575"/>
      <c r="V680" s="575"/>
      <c r="W680" s="575"/>
      <c r="X680" s="575"/>
      <c r="Y680" s="575"/>
      <c r="Z680" s="575"/>
      <c r="AA680" s="575"/>
      <c r="AB680" s="575"/>
      <c r="AC680" s="575"/>
      <c r="AD680" s="575"/>
      <c r="AE680" s="575"/>
      <c r="AF680" s="575"/>
      <c r="AG680" s="575"/>
      <c r="AH680" s="575"/>
      <c r="AI680" s="575"/>
    </row>
    <row r="681" spans="1:35" x14ac:dyDescent="0.35">
      <c r="A681" s="575"/>
      <c r="B681" s="575"/>
      <c r="C681" s="575"/>
      <c r="D681" s="575"/>
      <c r="E681" s="575"/>
      <c r="F681" s="575"/>
      <c r="G681" s="575"/>
      <c r="H681" s="575"/>
      <c r="I681" s="575"/>
      <c r="J681" s="575"/>
      <c r="K681" s="575"/>
      <c r="L681" s="575"/>
      <c r="M681" s="575"/>
      <c r="N681" s="575"/>
      <c r="O681" s="575"/>
      <c r="P681" s="575"/>
      <c r="Q681" s="575"/>
      <c r="R681" s="575"/>
      <c r="S681" s="575"/>
      <c r="T681" s="575"/>
      <c r="U681" s="575"/>
      <c r="V681" s="575"/>
      <c r="W681" s="575"/>
      <c r="X681" s="575"/>
      <c r="Y681" s="575"/>
      <c r="Z681" s="575"/>
      <c r="AA681" s="575"/>
      <c r="AB681" s="575"/>
      <c r="AC681" s="575"/>
      <c r="AD681" s="575"/>
      <c r="AE681" s="575"/>
      <c r="AF681" s="575"/>
      <c r="AG681" s="575"/>
      <c r="AH681" s="575"/>
      <c r="AI681" s="575"/>
    </row>
    <row r="682" spans="1:35" x14ac:dyDescent="0.35">
      <c r="A682" s="575"/>
      <c r="B682" s="575"/>
      <c r="C682" s="575"/>
      <c r="D682" s="575"/>
      <c r="E682" s="575"/>
      <c r="F682" s="575"/>
      <c r="G682" s="575"/>
      <c r="H682" s="575"/>
      <c r="I682" s="575"/>
      <c r="J682" s="575"/>
      <c r="K682" s="575"/>
      <c r="L682" s="575"/>
      <c r="M682" s="575"/>
      <c r="N682" s="575"/>
      <c r="O682" s="575"/>
      <c r="P682" s="575"/>
      <c r="Q682" s="575"/>
      <c r="R682" s="575"/>
      <c r="S682" s="575"/>
      <c r="T682" s="575"/>
      <c r="U682" s="575"/>
      <c r="V682" s="575"/>
      <c r="W682" s="575"/>
      <c r="X682" s="575"/>
      <c r="Y682" s="575"/>
      <c r="Z682" s="575"/>
      <c r="AA682" s="575"/>
      <c r="AB682" s="575"/>
      <c r="AC682" s="575"/>
      <c r="AD682" s="575"/>
      <c r="AE682" s="575"/>
      <c r="AF682" s="575"/>
      <c r="AG682" s="575"/>
      <c r="AH682" s="575"/>
      <c r="AI682" s="575"/>
    </row>
    <row r="683" spans="1:35" x14ac:dyDescent="0.35">
      <c r="A683" s="575"/>
      <c r="B683" s="575"/>
      <c r="C683" s="575"/>
      <c r="D683" s="575"/>
      <c r="E683" s="575"/>
      <c r="F683" s="575"/>
      <c r="G683" s="575"/>
      <c r="H683" s="575"/>
      <c r="I683" s="575"/>
      <c r="J683" s="575"/>
      <c r="K683" s="575"/>
      <c r="L683" s="575"/>
      <c r="M683" s="575"/>
      <c r="N683" s="575"/>
      <c r="O683" s="575"/>
      <c r="P683" s="575"/>
      <c r="Q683" s="575"/>
      <c r="R683" s="575"/>
      <c r="S683" s="575"/>
      <c r="T683" s="575"/>
      <c r="U683" s="575"/>
      <c r="V683" s="575"/>
      <c r="W683" s="575"/>
      <c r="X683" s="575"/>
      <c r="Y683" s="575"/>
      <c r="Z683" s="575"/>
      <c r="AA683" s="575"/>
      <c r="AB683" s="575"/>
      <c r="AC683" s="575"/>
      <c r="AD683" s="575"/>
      <c r="AE683" s="575"/>
      <c r="AF683" s="575"/>
      <c r="AG683" s="575"/>
      <c r="AH683" s="575"/>
      <c r="AI683" s="575"/>
    </row>
    <row r="684" spans="1:35" x14ac:dyDescent="0.35">
      <c r="A684" s="575"/>
      <c r="B684" s="575"/>
      <c r="C684" s="575"/>
      <c r="D684" s="575"/>
      <c r="E684" s="575"/>
      <c r="F684" s="575"/>
      <c r="G684" s="575"/>
      <c r="H684" s="575"/>
      <c r="I684" s="575"/>
      <c r="J684" s="575"/>
      <c r="K684" s="575"/>
      <c r="L684" s="575"/>
      <c r="M684" s="575"/>
      <c r="N684" s="575"/>
      <c r="O684" s="575"/>
      <c r="P684" s="575"/>
      <c r="Q684" s="575"/>
      <c r="R684" s="575"/>
      <c r="S684" s="575"/>
      <c r="T684" s="575"/>
      <c r="U684" s="575"/>
      <c r="V684" s="575"/>
      <c r="W684" s="575"/>
      <c r="X684" s="575"/>
      <c r="Y684" s="575"/>
      <c r="Z684" s="575"/>
      <c r="AA684" s="575"/>
      <c r="AB684" s="575"/>
      <c r="AC684" s="575"/>
      <c r="AD684" s="575"/>
      <c r="AE684" s="575"/>
      <c r="AF684" s="575"/>
      <c r="AG684" s="575"/>
      <c r="AH684" s="575"/>
      <c r="AI684" s="575"/>
    </row>
    <row r="685" spans="1:35" x14ac:dyDescent="0.35">
      <c r="A685" s="575"/>
      <c r="B685" s="575"/>
      <c r="C685" s="575"/>
      <c r="D685" s="575"/>
      <c r="E685" s="575"/>
      <c r="F685" s="575"/>
      <c r="G685" s="575"/>
      <c r="H685" s="575"/>
      <c r="I685" s="575"/>
      <c r="J685" s="575"/>
      <c r="K685" s="575"/>
      <c r="L685" s="575"/>
      <c r="M685" s="575"/>
      <c r="N685" s="575"/>
      <c r="O685" s="575"/>
      <c r="P685" s="575"/>
      <c r="Q685" s="575"/>
      <c r="R685" s="575"/>
      <c r="S685" s="575"/>
      <c r="T685" s="575"/>
      <c r="U685" s="575"/>
      <c r="V685" s="575"/>
      <c r="W685" s="575"/>
      <c r="X685" s="575"/>
      <c r="Y685" s="575"/>
      <c r="Z685" s="575"/>
      <c r="AA685" s="575"/>
      <c r="AB685" s="575"/>
      <c r="AC685" s="575"/>
      <c r="AD685" s="575"/>
      <c r="AE685" s="575"/>
      <c r="AF685" s="575"/>
      <c r="AG685" s="575"/>
      <c r="AH685" s="575"/>
      <c r="AI685" s="575"/>
    </row>
    <row r="686" spans="1:35" x14ac:dyDescent="0.35">
      <c r="A686" s="575"/>
      <c r="B686" s="575"/>
      <c r="C686" s="575"/>
      <c r="D686" s="575"/>
      <c r="E686" s="575"/>
      <c r="F686" s="575"/>
      <c r="G686" s="575"/>
      <c r="H686" s="575"/>
      <c r="I686" s="575"/>
      <c r="J686" s="575"/>
      <c r="K686" s="575"/>
      <c r="L686" s="575"/>
      <c r="M686" s="575"/>
      <c r="N686" s="575"/>
      <c r="O686" s="575"/>
      <c r="P686" s="575"/>
      <c r="Q686" s="575"/>
      <c r="R686" s="575"/>
      <c r="S686" s="575"/>
      <c r="T686" s="575"/>
      <c r="U686" s="575"/>
      <c r="V686" s="575"/>
      <c r="W686" s="575"/>
      <c r="X686" s="575"/>
      <c r="Y686" s="575"/>
      <c r="Z686" s="575"/>
      <c r="AA686" s="575"/>
      <c r="AB686" s="575"/>
      <c r="AC686" s="575"/>
      <c r="AD686" s="575"/>
      <c r="AE686" s="575"/>
      <c r="AF686" s="575"/>
      <c r="AG686" s="575"/>
      <c r="AH686" s="575"/>
      <c r="AI686" s="575"/>
    </row>
    <row r="687" spans="1:35" x14ac:dyDescent="0.35">
      <c r="A687" s="575"/>
      <c r="B687" s="575"/>
      <c r="C687" s="575"/>
      <c r="D687" s="575"/>
      <c r="E687" s="575"/>
      <c r="F687" s="575"/>
      <c r="G687" s="575"/>
      <c r="H687" s="575"/>
      <c r="I687" s="575"/>
      <c r="J687" s="575"/>
      <c r="K687" s="575"/>
      <c r="L687" s="575"/>
      <c r="M687" s="575"/>
      <c r="N687" s="575"/>
      <c r="O687" s="575"/>
      <c r="P687" s="575"/>
      <c r="Q687" s="575"/>
      <c r="R687" s="575"/>
      <c r="S687" s="575"/>
      <c r="T687" s="575"/>
      <c r="U687" s="575"/>
      <c r="V687" s="575"/>
      <c r="W687" s="575"/>
      <c r="X687" s="575"/>
      <c r="Y687" s="575"/>
      <c r="Z687" s="575"/>
      <c r="AA687" s="575"/>
      <c r="AB687" s="575"/>
      <c r="AC687" s="575"/>
      <c r="AD687" s="575"/>
      <c r="AE687" s="575"/>
      <c r="AF687" s="575"/>
      <c r="AG687" s="575"/>
      <c r="AH687" s="575"/>
      <c r="AI687" s="575"/>
    </row>
    <row r="688" spans="1:35" x14ac:dyDescent="0.35">
      <c r="A688" s="575"/>
      <c r="B688" s="575"/>
      <c r="C688" s="575"/>
      <c r="D688" s="575"/>
      <c r="E688" s="575"/>
      <c r="F688" s="575"/>
      <c r="G688" s="575"/>
      <c r="H688" s="575"/>
      <c r="I688" s="575"/>
      <c r="J688" s="575"/>
      <c r="K688" s="575"/>
      <c r="L688" s="575"/>
      <c r="M688" s="575"/>
      <c r="N688" s="575"/>
      <c r="O688" s="575"/>
      <c r="P688" s="575"/>
      <c r="Q688" s="575"/>
      <c r="R688" s="575"/>
      <c r="S688" s="575"/>
      <c r="T688" s="575"/>
      <c r="U688" s="575"/>
      <c r="V688" s="575"/>
      <c r="W688" s="575"/>
      <c r="X688" s="575"/>
      <c r="Y688" s="575"/>
      <c r="Z688" s="575"/>
      <c r="AA688" s="575"/>
      <c r="AB688" s="575"/>
      <c r="AC688" s="575"/>
      <c r="AD688" s="575"/>
      <c r="AE688" s="575"/>
      <c r="AF688" s="575"/>
      <c r="AG688" s="575"/>
      <c r="AH688" s="575"/>
      <c r="AI688" s="575"/>
    </row>
    <row r="689" spans="1:35" x14ac:dyDescent="0.35">
      <c r="A689" s="575"/>
      <c r="B689" s="575"/>
      <c r="C689" s="575"/>
      <c r="D689" s="575"/>
      <c r="E689" s="575"/>
      <c r="F689" s="575"/>
      <c r="G689" s="575"/>
      <c r="H689" s="575"/>
      <c r="I689" s="575"/>
      <c r="J689" s="575"/>
      <c r="K689" s="575"/>
      <c r="L689" s="575"/>
      <c r="M689" s="575"/>
      <c r="N689" s="575"/>
      <c r="O689" s="575"/>
      <c r="P689" s="575"/>
      <c r="Q689" s="575"/>
      <c r="R689" s="575"/>
      <c r="S689" s="575"/>
      <c r="T689" s="575"/>
      <c r="U689" s="575"/>
      <c r="V689" s="575"/>
      <c r="W689" s="575"/>
      <c r="X689" s="575"/>
      <c r="Y689" s="575"/>
      <c r="Z689" s="575"/>
      <c r="AA689" s="575"/>
      <c r="AB689" s="575"/>
      <c r="AC689" s="575"/>
      <c r="AD689" s="575"/>
      <c r="AE689" s="575"/>
      <c r="AF689" s="575"/>
      <c r="AG689" s="575"/>
      <c r="AH689" s="575"/>
      <c r="AI689" s="575"/>
    </row>
    <row r="690" spans="1:35" x14ac:dyDescent="0.35">
      <c r="A690" s="575"/>
      <c r="B690" s="575"/>
      <c r="C690" s="575"/>
      <c r="D690" s="575"/>
      <c r="E690" s="575"/>
      <c r="F690" s="575"/>
      <c r="G690" s="575"/>
      <c r="H690" s="575"/>
      <c r="I690" s="575"/>
      <c r="J690" s="575"/>
      <c r="K690" s="575"/>
      <c r="L690" s="575"/>
      <c r="M690" s="575"/>
      <c r="N690" s="575"/>
      <c r="O690" s="575"/>
      <c r="P690" s="575"/>
      <c r="Q690" s="575"/>
      <c r="R690" s="575"/>
      <c r="S690" s="575"/>
      <c r="T690" s="575"/>
      <c r="U690" s="575"/>
      <c r="V690" s="575"/>
      <c r="W690" s="575"/>
      <c r="X690" s="575"/>
      <c r="Y690" s="575"/>
      <c r="Z690" s="575"/>
      <c r="AA690" s="575"/>
      <c r="AB690" s="575"/>
      <c r="AC690" s="575"/>
      <c r="AD690" s="575"/>
      <c r="AE690" s="575"/>
      <c r="AF690" s="575"/>
      <c r="AG690" s="575"/>
      <c r="AH690" s="575"/>
      <c r="AI690" s="575"/>
    </row>
    <row r="691" spans="1:35" x14ac:dyDescent="0.35">
      <c r="A691" s="575"/>
      <c r="B691" s="575"/>
      <c r="C691" s="575"/>
      <c r="D691" s="575"/>
      <c r="E691" s="575"/>
      <c r="F691" s="575"/>
      <c r="G691" s="575"/>
      <c r="H691" s="575"/>
      <c r="I691" s="575"/>
      <c r="J691" s="575"/>
      <c r="K691" s="575"/>
      <c r="L691" s="575"/>
      <c r="M691" s="575"/>
      <c r="N691" s="575"/>
      <c r="O691" s="575"/>
      <c r="P691" s="575"/>
      <c r="Q691" s="575"/>
      <c r="R691" s="575"/>
      <c r="S691" s="575"/>
      <c r="T691" s="575"/>
      <c r="U691" s="575"/>
      <c r="V691" s="575"/>
      <c r="W691" s="575"/>
      <c r="X691" s="575"/>
      <c r="Y691" s="575"/>
      <c r="Z691" s="575"/>
      <c r="AA691" s="575"/>
      <c r="AB691" s="575"/>
      <c r="AC691" s="575"/>
      <c r="AD691" s="575"/>
      <c r="AE691" s="575"/>
      <c r="AF691" s="575"/>
      <c r="AG691" s="575"/>
      <c r="AH691" s="575"/>
      <c r="AI691" s="575"/>
    </row>
    <row r="692" spans="1:35" x14ac:dyDescent="0.35">
      <c r="A692" s="575"/>
      <c r="B692" s="575"/>
      <c r="C692" s="575"/>
      <c r="D692" s="575"/>
      <c r="E692" s="575"/>
      <c r="F692" s="575"/>
      <c r="G692" s="575"/>
      <c r="H692" s="575"/>
      <c r="I692" s="575"/>
      <c r="J692" s="575"/>
      <c r="K692" s="575"/>
      <c r="L692" s="575"/>
      <c r="M692" s="575"/>
      <c r="N692" s="575"/>
      <c r="O692" s="575"/>
      <c r="P692" s="575"/>
      <c r="Q692" s="575"/>
      <c r="R692" s="575"/>
      <c r="S692" s="575"/>
      <c r="T692" s="575"/>
      <c r="U692" s="575"/>
      <c r="V692" s="575"/>
      <c r="W692" s="575"/>
      <c r="X692" s="575"/>
      <c r="Y692" s="575"/>
      <c r="Z692" s="575"/>
      <c r="AA692" s="575"/>
      <c r="AB692" s="575"/>
      <c r="AC692" s="575"/>
      <c r="AD692" s="575"/>
      <c r="AE692" s="575"/>
      <c r="AF692" s="575"/>
      <c r="AG692" s="575"/>
      <c r="AH692" s="575"/>
      <c r="AI692" s="575"/>
    </row>
    <row r="693" spans="1:35" x14ac:dyDescent="0.35">
      <c r="A693" s="575"/>
      <c r="B693" s="575"/>
      <c r="C693" s="575"/>
      <c r="D693" s="575"/>
      <c r="E693" s="575"/>
      <c r="F693" s="575"/>
      <c r="G693" s="575"/>
      <c r="H693" s="575"/>
      <c r="I693" s="575"/>
      <c r="J693" s="575"/>
      <c r="K693" s="575"/>
      <c r="L693" s="575"/>
      <c r="M693" s="575"/>
      <c r="N693" s="575"/>
      <c r="O693" s="575"/>
      <c r="P693" s="575"/>
      <c r="Q693" s="575"/>
      <c r="R693" s="575"/>
      <c r="S693" s="575"/>
      <c r="T693" s="575"/>
      <c r="U693" s="575"/>
      <c r="V693" s="575"/>
      <c r="W693" s="575"/>
      <c r="X693" s="575"/>
      <c r="Y693" s="575"/>
      <c r="Z693" s="575"/>
      <c r="AA693" s="575"/>
      <c r="AB693" s="575"/>
      <c r="AC693" s="575"/>
      <c r="AD693" s="575"/>
      <c r="AE693" s="575"/>
      <c r="AF693" s="575"/>
      <c r="AG693" s="575"/>
      <c r="AH693" s="575"/>
      <c r="AI693" s="575"/>
    </row>
    <row r="694" spans="1:35" x14ac:dyDescent="0.35">
      <c r="A694" s="575"/>
      <c r="B694" s="575"/>
      <c r="C694" s="575"/>
      <c r="D694" s="575"/>
      <c r="E694" s="575"/>
      <c r="F694" s="575"/>
      <c r="G694" s="575"/>
      <c r="H694" s="575"/>
      <c r="I694" s="575"/>
      <c r="J694" s="575"/>
      <c r="K694" s="575"/>
      <c r="L694" s="575"/>
      <c r="M694" s="575"/>
      <c r="N694" s="575"/>
      <c r="O694" s="575"/>
      <c r="P694" s="575"/>
      <c r="Q694" s="575"/>
      <c r="R694" s="575"/>
      <c r="S694" s="575"/>
      <c r="T694" s="575"/>
      <c r="U694" s="575"/>
      <c r="V694" s="575"/>
      <c r="W694" s="575"/>
      <c r="X694" s="575"/>
      <c r="Y694" s="575"/>
      <c r="Z694" s="575"/>
      <c r="AA694" s="575"/>
      <c r="AB694" s="575"/>
      <c r="AC694" s="575"/>
      <c r="AD694" s="575"/>
      <c r="AE694" s="575"/>
      <c r="AF694" s="575"/>
      <c r="AG694" s="575"/>
      <c r="AH694" s="575"/>
      <c r="AI694" s="575"/>
    </row>
    <row r="695" spans="1:35" x14ac:dyDescent="0.35">
      <c r="A695" s="575"/>
      <c r="B695" s="575"/>
      <c r="C695" s="575"/>
      <c r="D695" s="575"/>
      <c r="E695" s="575"/>
      <c r="F695" s="575"/>
      <c r="G695" s="575"/>
      <c r="H695" s="575"/>
      <c r="I695" s="575"/>
      <c r="J695" s="575"/>
      <c r="K695" s="575"/>
      <c r="L695" s="575"/>
      <c r="M695" s="575"/>
      <c r="N695" s="575"/>
      <c r="O695" s="575"/>
      <c r="P695" s="575"/>
      <c r="Q695" s="575"/>
      <c r="R695" s="575"/>
      <c r="S695" s="575"/>
      <c r="T695" s="575"/>
      <c r="U695" s="575"/>
      <c r="V695" s="575"/>
      <c r="W695" s="575"/>
      <c r="X695" s="575"/>
      <c r="Y695" s="575"/>
      <c r="Z695" s="575"/>
      <c r="AA695" s="575"/>
      <c r="AB695" s="575"/>
      <c r="AC695" s="575"/>
      <c r="AD695" s="575"/>
      <c r="AE695" s="575"/>
      <c r="AF695" s="575"/>
      <c r="AG695" s="575"/>
      <c r="AH695" s="575"/>
      <c r="AI695" s="575"/>
    </row>
    <row r="696" spans="1:35" x14ac:dyDescent="0.35">
      <c r="A696" s="575"/>
      <c r="B696" s="575"/>
      <c r="C696" s="575"/>
      <c r="D696" s="575"/>
      <c r="E696" s="575"/>
      <c r="F696" s="575"/>
      <c r="G696" s="575"/>
      <c r="H696" s="575"/>
      <c r="I696" s="575"/>
      <c r="J696" s="575"/>
      <c r="K696" s="575"/>
      <c r="L696" s="575"/>
      <c r="M696" s="575"/>
      <c r="N696" s="575"/>
      <c r="O696" s="575"/>
      <c r="P696" s="575"/>
      <c r="Q696" s="575"/>
      <c r="R696" s="575"/>
      <c r="S696" s="575"/>
      <c r="T696" s="575"/>
      <c r="U696" s="575"/>
      <c r="V696" s="575"/>
      <c r="W696" s="575"/>
      <c r="X696" s="575"/>
      <c r="Y696" s="575"/>
      <c r="Z696" s="575"/>
      <c r="AA696" s="575"/>
      <c r="AB696" s="575"/>
      <c r="AC696" s="575"/>
      <c r="AD696" s="575"/>
      <c r="AE696" s="575"/>
      <c r="AF696" s="575"/>
      <c r="AG696" s="575"/>
      <c r="AH696" s="575"/>
      <c r="AI696" s="575"/>
    </row>
    <row r="697" spans="1:35" x14ac:dyDescent="0.35">
      <c r="A697" s="575"/>
      <c r="B697" s="575"/>
      <c r="C697" s="575"/>
      <c r="D697" s="575"/>
      <c r="E697" s="575"/>
      <c r="F697" s="575"/>
      <c r="G697" s="575"/>
      <c r="H697" s="575"/>
      <c r="I697" s="575"/>
      <c r="J697" s="575"/>
      <c r="K697" s="575"/>
      <c r="L697" s="575"/>
      <c r="M697" s="575"/>
      <c r="N697" s="575"/>
      <c r="O697" s="575"/>
      <c r="P697" s="575"/>
      <c r="Q697" s="575"/>
      <c r="R697" s="575"/>
      <c r="S697" s="575"/>
      <c r="T697" s="575"/>
      <c r="U697" s="575"/>
      <c r="V697" s="575"/>
      <c r="W697" s="575"/>
      <c r="X697" s="575"/>
      <c r="Y697" s="575"/>
      <c r="Z697" s="575"/>
      <c r="AA697" s="575"/>
      <c r="AB697" s="575"/>
      <c r="AC697" s="575"/>
      <c r="AD697" s="575"/>
      <c r="AE697" s="575"/>
      <c r="AF697" s="575"/>
      <c r="AG697" s="575"/>
      <c r="AH697" s="575"/>
      <c r="AI697" s="575"/>
    </row>
    <row r="698" spans="1:35" x14ac:dyDescent="0.35">
      <c r="A698" s="575"/>
      <c r="B698" s="575"/>
      <c r="C698" s="575"/>
      <c r="D698" s="575"/>
      <c r="E698" s="575"/>
      <c r="F698" s="575"/>
      <c r="G698" s="575"/>
      <c r="H698" s="575"/>
      <c r="I698" s="575"/>
      <c r="J698" s="575"/>
      <c r="K698" s="575"/>
      <c r="L698" s="575"/>
      <c r="M698" s="575"/>
      <c r="N698" s="575"/>
      <c r="O698" s="575"/>
      <c r="P698" s="575"/>
      <c r="Q698" s="575"/>
      <c r="R698" s="575"/>
      <c r="S698" s="575"/>
      <c r="T698" s="575"/>
      <c r="U698" s="575"/>
      <c r="V698" s="575"/>
      <c r="W698" s="575"/>
      <c r="X698" s="575"/>
      <c r="Y698" s="575"/>
      <c r="Z698" s="575"/>
      <c r="AA698" s="575"/>
      <c r="AB698" s="575"/>
      <c r="AC698" s="575"/>
      <c r="AD698" s="575"/>
      <c r="AE698" s="575"/>
      <c r="AF698" s="575"/>
      <c r="AG698" s="575"/>
      <c r="AH698" s="575"/>
      <c r="AI698" s="575"/>
    </row>
    <row r="699" spans="1:35" x14ac:dyDescent="0.35">
      <c r="A699" s="575"/>
      <c r="B699" s="575"/>
      <c r="C699" s="575"/>
      <c r="D699" s="575"/>
      <c r="E699" s="575"/>
      <c r="F699" s="575"/>
      <c r="G699" s="575"/>
      <c r="H699" s="575"/>
      <c r="I699" s="575"/>
      <c r="J699" s="575"/>
      <c r="K699" s="575"/>
      <c r="L699" s="575"/>
      <c r="M699" s="575"/>
      <c r="N699" s="575"/>
      <c r="O699" s="575"/>
      <c r="P699" s="575"/>
      <c r="Q699" s="575"/>
      <c r="R699" s="575"/>
      <c r="S699" s="575"/>
      <c r="T699" s="575"/>
      <c r="U699" s="575"/>
      <c r="V699" s="575"/>
      <c r="W699" s="575"/>
      <c r="X699" s="575"/>
      <c r="Y699" s="575"/>
      <c r="Z699" s="575"/>
      <c r="AA699" s="575"/>
      <c r="AB699" s="575"/>
      <c r="AC699" s="575"/>
      <c r="AD699" s="575"/>
      <c r="AE699" s="575"/>
      <c r="AF699" s="575"/>
      <c r="AG699" s="575"/>
      <c r="AH699" s="575"/>
      <c r="AI699" s="575"/>
    </row>
    <row r="700" spans="1:35" x14ac:dyDescent="0.35">
      <c r="A700" s="575"/>
      <c r="B700" s="575"/>
      <c r="C700" s="575"/>
      <c r="D700" s="575"/>
      <c r="E700" s="575"/>
      <c r="F700" s="575"/>
      <c r="G700" s="575"/>
      <c r="H700" s="575"/>
      <c r="I700" s="575"/>
      <c r="J700" s="575"/>
      <c r="K700" s="575"/>
      <c r="L700" s="575"/>
      <c r="M700" s="575"/>
      <c r="N700" s="575"/>
      <c r="O700" s="575"/>
      <c r="P700" s="575"/>
      <c r="Q700" s="575"/>
      <c r="R700" s="575"/>
      <c r="S700" s="575"/>
      <c r="T700" s="575"/>
      <c r="U700" s="575"/>
      <c r="V700" s="575"/>
      <c r="W700" s="575"/>
      <c r="X700" s="575"/>
      <c r="Y700" s="575"/>
      <c r="Z700" s="575"/>
      <c r="AA700" s="575"/>
      <c r="AB700" s="575"/>
      <c r="AC700" s="575"/>
      <c r="AD700" s="575"/>
      <c r="AE700" s="575"/>
      <c r="AF700" s="575"/>
      <c r="AG700" s="575"/>
      <c r="AH700" s="575"/>
      <c r="AI700" s="575"/>
    </row>
    <row r="701" spans="1:35" x14ac:dyDescent="0.35">
      <c r="A701" s="575"/>
      <c r="B701" s="575"/>
      <c r="C701" s="575"/>
      <c r="D701" s="575"/>
      <c r="E701" s="575"/>
      <c r="F701" s="575"/>
      <c r="G701" s="575"/>
      <c r="H701" s="575"/>
      <c r="I701" s="575"/>
      <c r="J701" s="575"/>
      <c r="K701" s="575"/>
      <c r="L701" s="575"/>
      <c r="M701" s="575"/>
      <c r="N701" s="575"/>
      <c r="O701" s="575"/>
      <c r="P701" s="575"/>
      <c r="Q701" s="575"/>
      <c r="R701" s="575"/>
      <c r="S701" s="575"/>
      <c r="T701" s="575"/>
      <c r="U701" s="575"/>
      <c r="V701" s="575"/>
      <c r="W701" s="575"/>
      <c r="X701" s="575"/>
      <c r="Y701" s="575"/>
      <c r="Z701" s="575"/>
      <c r="AA701" s="575"/>
      <c r="AB701" s="575"/>
      <c r="AC701" s="575"/>
      <c r="AD701" s="575"/>
      <c r="AE701" s="575"/>
      <c r="AF701" s="575"/>
      <c r="AG701" s="575"/>
      <c r="AH701" s="575"/>
      <c r="AI701" s="575"/>
    </row>
    <row r="702" spans="1:35" x14ac:dyDescent="0.35">
      <c r="A702" s="575"/>
      <c r="B702" s="575"/>
      <c r="C702" s="575"/>
      <c r="D702" s="575"/>
      <c r="E702" s="575"/>
      <c r="F702" s="575"/>
      <c r="G702" s="575"/>
      <c r="H702" s="575"/>
      <c r="I702" s="575"/>
      <c r="J702" s="575"/>
      <c r="K702" s="575"/>
      <c r="L702" s="575"/>
      <c r="M702" s="575"/>
      <c r="N702" s="575"/>
      <c r="O702" s="575"/>
      <c r="P702" s="575"/>
      <c r="Q702" s="575"/>
      <c r="R702" s="575"/>
      <c r="S702" s="575"/>
      <c r="T702" s="575"/>
      <c r="U702" s="575"/>
      <c r="V702" s="575"/>
      <c r="W702" s="575"/>
      <c r="X702" s="575"/>
      <c r="Y702" s="575"/>
      <c r="Z702" s="575"/>
      <c r="AA702" s="575"/>
      <c r="AB702" s="575"/>
      <c r="AC702" s="575"/>
      <c r="AD702" s="575"/>
      <c r="AE702" s="575"/>
      <c r="AF702" s="575"/>
      <c r="AG702" s="575"/>
      <c r="AH702" s="575"/>
      <c r="AI702" s="575"/>
    </row>
    <row r="703" spans="1:35" x14ac:dyDescent="0.35">
      <c r="A703" s="575"/>
      <c r="B703" s="575"/>
      <c r="C703" s="575"/>
      <c r="D703" s="575"/>
      <c r="E703" s="575"/>
      <c r="F703" s="575"/>
      <c r="G703" s="575"/>
      <c r="H703" s="575"/>
      <c r="I703" s="575"/>
      <c r="J703" s="575"/>
      <c r="K703" s="575"/>
      <c r="L703" s="575"/>
      <c r="M703" s="575"/>
      <c r="N703" s="575"/>
      <c r="O703" s="575"/>
      <c r="P703" s="575"/>
      <c r="Q703" s="575"/>
      <c r="R703" s="575"/>
      <c r="S703" s="575"/>
      <c r="T703" s="575"/>
      <c r="U703" s="575"/>
      <c r="V703" s="575"/>
      <c r="W703" s="575"/>
      <c r="X703" s="575"/>
      <c r="Y703" s="575"/>
      <c r="Z703" s="575"/>
      <c r="AA703" s="575"/>
      <c r="AB703" s="575"/>
      <c r="AC703" s="575"/>
      <c r="AD703" s="575"/>
      <c r="AE703" s="575"/>
      <c r="AF703" s="575"/>
      <c r="AG703" s="575"/>
      <c r="AH703" s="575"/>
      <c r="AI703" s="575"/>
    </row>
    <row r="704" spans="1:35" x14ac:dyDescent="0.35">
      <c r="A704" s="575"/>
      <c r="B704" s="575"/>
      <c r="C704" s="575"/>
      <c r="D704" s="575"/>
      <c r="E704" s="575"/>
      <c r="F704" s="575"/>
      <c r="G704" s="575"/>
      <c r="H704" s="575"/>
      <c r="I704" s="575"/>
      <c r="J704" s="575"/>
      <c r="K704" s="575"/>
      <c r="L704" s="575"/>
      <c r="M704" s="575"/>
      <c r="N704" s="575"/>
      <c r="O704" s="575"/>
      <c r="P704" s="575"/>
      <c r="Q704" s="575"/>
      <c r="R704" s="575"/>
      <c r="S704" s="575"/>
      <c r="T704" s="575"/>
      <c r="U704" s="575"/>
      <c r="V704" s="575"/>
      <c r="W704" s="575"/>
      <c r="X704" s="575"/>
      <c r="Y704" s="575"/>
      <c r="Z704" s="575"/>
      <c r="AA704" s="575"/>
      <c r="AB704" s="575"/>
      <c r="AC704" s="575"/>
      <c r="AD704" s="575"/>
      <c r="AE704" s="575"/>
      <c r="AF704" s="575"/>
      <c r="AG704" s="575"/>
      <c r="AH704" s="575"/>
      <c r="AI704" s="575"/>
    </row>
    <row r="705" spans="1:35" x14ac:dyDescent="0.35">
      <c r="A705" s="575"/>
      <c r="B705" s="575"/>
      <c r="C705" s="575"/>
      <c r="D705" s="575"/>
      <c r="E705" s="575"/>
      <c r="F705" s="575"/>
      <c r="G705" s="575"/>
      <c r="H705" s="575"/>
      <c r="I705" s="575"/>
      <c r="J705" s="575"/>
      <c r="K705" s="575"/>
      <c r="L705" s="575"/>
      <c r="M705" s="575"/>
      <c r="N705" s="575"/>
      <c r="O705" s="575"/>
      <c r="P705" s="575"/>
      <c r="Q705" s="575"/>
      <c r="R705" s="575"/>
      <c r="S705" s="575"/>
      <c r="T705" s="575"/>
      <c r="U705" s="575"/>
      <c r="V705" s="575"/>
      <c r="W705" s="575"/>
      <c r="X705" s="575"/>
      <c r="Y705" s="575"/>
      <c r="Z705" s="575"/>
      <c r="AA705" s="575"/>
      <c r="AB705" s="575"/>
      <c r="AC705" s="575"/>
      <c r="AD705" s="575"/>
      <c r="AE705" s="575"/>
      <c r="AF705" s="575"/>
      <c r="AG705" s="575"/>
      <c r="AH705" s="575"/>
      <c r="AI705" s="575"/>
    </row>
    <row r="706" spans="1:35" x14ac:dyDescent="0.35">
      <c r="A706" s="575"/>
      <c r="B706" s="575"/>
      <c r="C706" s="575"/>
      <c r="D706" s="575"/>
      <c r="E706" s="575"/>
      <c r="F706" s="575"/>
      <c r="G706" s="575"/>
      <c r="H706" s="575"/>
      <c r="I706" s="575"/>
      <c r="J706" s="575"/>
      <c r="K706" s="575"/>
      <c r="L706" s="575"/>
      <c r="M706" s="575"/>
      <c r="N706" s="575"/>
      <c r="O706" s="575"/>
      <c r="P706" s="575"/>
      <c r="Q706" s="575"/>
      <c r="R706" s="575"/>
      <c r="S706" s="575"/>
      <c r="T706" s="575"/>
      <c r="U706" s="575"/>
      <c r="V706" s="575"/>
      <c r="W706" s="575"/>
      <c r="X706" s="575"/>
      <c r="Y706" s="575"/>
      <c r="Z706" s="575"/>
      <c r="AA706" s="575"/>
      <c r="AB706" s="575"/>
      <c r="AC706" s="575"/>
      <c r="AD706" s="575"/>
      <c r="AE706" s="575"/>
      <c r="AF706" s="575"/>
      <c r="AG706" s="575"/>
      <c r="AH706" s="575"/>
      <c r="AI706" s="575"/>
    </row>
    <row r="707" spans="1:35" x14ac:dyDescent="0.35">
      <c r="A707" s="575"/>
      <c r="B707" s="575"/>
      <c r="C707" s="575"/>
      <c r="D707" s="575"/>
      <c r="E707" s="575"/>
      <c r="F707" s="575"/>
      <c r="G707" s="575"/>
      <c r="H707" s="575"/>
      <c r="I707" s="575"/>
      <c r="J707" s="575"/>
      <c r="K707" s="575"/>
      <c r="L707" s="575"/>
      <c r="M707" s="575"/>
      <c r="N707" s="575"/>
      <c r="O707" s="575"/>
      <c r="P707" s="575"/>
      <c r="Q707" s="575"/>
      <c r="R707" s="575"/>
      <c r="S707" s="575"/>
      <c r="T707" s="575"/>
      <c r="U707" s="575"/>
      <c r="V707" s="575"/>
      <c r="W707" s="575"/>
      <c r="X707" s="575"/>
      <c r="Y707" s="575"/>
      <c r="Z707" s="575"/>
      <c r="AA707" s="575"/>
      <c r="AB707" s="575"/>
      <c r="AC707" s="575"/>
      <c r="AD707" s="575"/>
      <c r="AE707" s="575"/>
      <c r="AF707" s="575"/>
      <c r="AG707" s="575"/>
      <c r="AH707" s="575"/>
      <c r="AI707" s="575"/>
    </row>
    <row r="708" spans="1:35" x14ac:dyDescent="0.35">
      <c r="A708" s="575"/>
      <c r="B708" s="575"/>
      <c r="C708" s="575"/>
      <c r="D708" s="575"/>
      <c r="E708" s="575"/>
      <c r="F708" s="575"/>
      <c r="G708" s="575"/>
      <c r="H708" s="575"/>
      <c r="I708" s="575"/>
      <c r="J708" s="575"/>
      <c r="K708" s="575"/>
      <c r="L708" s="575"/>
      <c r="M708" s="575"/>
      <c r="N708" s="575"/>
      <c r="O708" s="575"/>
      <c r="P708" s="575"/>
      <c r="Q708" s="575"/>
      <c r="R708" s="575"/>
      <c r="S708" s="575"/>
      <c r="T708" s="575"/>
      <c r="U708" s="575"/>
      <c r="V708" s="575"/>
      <c r="W708" s="575"/>
      <c r="X708" s="575"/>
      <c r="Y708" s="575"/>
      <c r="Z708" s="575"/>
      <c r="AA708" s="575"/>
      <c r="AB708" s="575"/>
      <c r="AC708" s="575"/>
      <c r="AD708" s="575"/>
      <c r="AE708" s="575"/>
      <c r="AF708" s="575"/>
      <c r="AG708" s="575"/>
      <c r="AH708" s="575"/>
      <c r="AI708" s="575"/>
    </row>
    <row r="709" spans="1:35" x14ac:dyDescent="0.35">
      <c r="A709" s="575"/>
      <c r="B709" s="575"/>
      <c r="C709" s="575"/>
      <c r="D709" s="575"/>
      <c r="E709" s="575"/>
      <c r="F709" s="575"/>
      <c r="G709" s="575"/>
      <c r="H709" s="575"/>
      <c r="I709" s="575"/>
      <c r="J709" s="575"/>
      <c r="K709" s="575"/>
      <c r="L709" s="575"/>
      <c r="M709" s="575"/>
      <c r="N709" s="575"/>
      <c r="O709" s="575"/>
      <c r="P709" s="575"/>
      <c r="Q709" s="575"/>
      <c r="R709" s="575"/>
      <c r="S709" s="575"/>
      <c r="T709" s="575"/>
      <c r="U709" s="575"/>
      <c r="V709" s="575"/>
      <c r="W709" s="575"/>
      <c r="X709" s="575"/>
      <c r="Y709" s="575"/>
      <c r="Z709" s="575"/>
      <c r="AA709" s="575"/>
      <c r="AB709" s="575"/>
      <c r="AC709" s="575"/>
      <c r="AD709" s="575"/>
      <c r="AE709" s="575"/>
      <c r="AF709" s="575"/>
      <c r="AG709" s="575"/>
      <c r="AH709" s="575"/>
      <c r="AI709" s="575"/>
    </row>
    <row r="710" spans="1:35" x14ac:dyDescent="0.35">
      <c r="A710" s="575"/>
      <c r="B710" s="575"/>
      <c r="C710" s="575"/>
      <c r="D710" s="575"/>
      <c r="E710" s="575"/>
      <c r="F710" s="575"/>
      <c r="G710" s="575"/>
      <c r="H710" s="575"/>
      <c r="I710" s="575"/>
      <c r="J710" s="575"/>
      <c r="K710" s="575"/>
      <c r="L710" s="575"/>
      <c r="M710" s="575"/>
      <c r="N710" s="575"/>
      <c r="O710" s="575"/>
      <c r="P710" s="575"/>
      <c r="Q710" s="575"/>
      <c r="R710" s="575"/>
      <c r="S710" s="575"/>
      <c r="T710" s="575"/>
      <c r="U710" s="575"/>
      <c r="V710" s="575"/>
      <c r="W710" s="575"/>
      <c r="X710" s="575"/>
      <c r="Y710" s="575"/>
      <c r="Z710" s="575"/>
      <c r="AA710" s="575"/>
      <c r="AB710" s="575"/>
      <c r="AC710" s="575"/>
      <c r="AD710" s="575"/>
      <c r="AE710" s="575"/>
      <c r="AF710" s="575"/>
      <c r="AG710" s="575"/>
      <c r="AH710" s="575"/>
      <c r="AI710" s="575"/>
    </row>
    <row r="711" spans="1:35" x14ac:dyDescent="0.35">
      <c r="A711" s="575"/>
      <c r="B711" s="575"/>
      <c r="C711" s="575"/>
      <c r="D711" s="575"/>
      <c r="E711" s="575"/>
      <c r="F711" s="575"/>
      <c r="G711" s="575"/>
      <c r="H711" s="575"/>
      <c r="I711" s="575"/>
      <c r="J711" s="575"/>
      <c r="K711" s="575"/>
      <c r="L711" s="575"/>
      <c r="M711" s="575"/>
      <c r="N711" s="575"/>
      <c r="O711" s="575"/>
      <c r="P711" s="575"/>
      <c r="Q711" s="575"/>
      <c r="R711" s="575"/>
      <c r="S711" s="575"/>
      <c r="T711" s="575"/>
      <c r="U711" s="575"/>
      <c r="V711" s="575"/>
      <c r="W711" s="575"/>
      <c r="X711" s="575"/>
      <c r="Y711" s="575"/>
      <c r="Z711" s="575"/>
      <c r="AA711" s="575"/>
      <c r="AB711" s="575"/>
      <c r="AC711" s="575"/>
      <c r="AD711" s="575"/>
      <c r="AE711" s="575"/>
      <c r="AF711" s="575"/>
      <c r="AG711" s="575"/>
      <c r="AH711" s="575"/>
      <c r="AI711" s="575"/>
    </row>
    <row r="712" spans="1:35" x14ac:dyDescent="0.35">
      <c r="A712" s="575"/>
      <c r="B712" s="575"/>
      <c r="C712" s="575"/>
      <c r="D712" s="575"/>
      <c r="E712" s="575"/>
      <c r="F712" s="575"/>
      <c r="G712" s="575"/>
      <c r="H712" s="575"/>
      <c r="I712" s="575"/>
      <c r="J712" s="575"/>
      <c r="K712" s="575"/>
      <c r="L712" s="575"/>
      <c r="M712" s="575"/>
      <c r="N712" s="575"/>
      <c r="O712" s="575"/>
      <c r="P712" s="575"/>
      <c r="Q712" s="575"/>
      <c r="R712" s="575"/>
      <c r="S712" s="575"/>
      <c r="T712" s="575"/>
      <c r="U712" s="575"/>
      <c r="V712" s="575"/>
      <c r="W712" s="575"/>
      <c r="X712" s="575"/>
      <c r="Y712" s="575"/>
      <c r="Z712" s="575"/>
      <c r="AA712" s="575"/>
      <c r="AB712" s="575"/>
      <c r="AC712" s="575"/>
      <c r="AD712" s="575"/>
      <c r="AE712" s="575"/>
      <c r="AF712" s="575"/>
      <c r="AG712" s="575"/>
      <c r="AH712" s="575"/>
      <c r="AI712" s="575"/>
    </row>
    <row r="713" spans="1:35" x14ac:dyDescent="0.35">
      <c r="A713" s="575"/>
      <c r="B713" s="575"/>
      <c r="C713" s="575"/>
      <c r="D713" s="575"/>
      <c r="E713" s="575"/>
      <c r="F713" s="575"/>
      <c r="G713" s="575"/>
      <c r="H713" s="575"/>
      <c r="I713" s="575"/>
      <c r="J713" s="575"/>
      <c r="K713" s="575"/>
      <c r="L713" s="575"/>
      <c r="M713" s="575"/>
      <c r="N713" s="575"/>
      <c r="O713" s="575"/>
      <c r="P713" s="575"/>
      <c r="Q713" s="575"/>
      <c r="R713" s="575"/>
      <c r="S713" s="575"/>
      <c r="T713" s="575"/>
      <c r="U713" s="575"/>
      <c r="V713" s="575"/>
      <c r="W713" s="575"/>
      <c r="X713" s="575"/>
      <c r="Y713" s="575"/>
      <c r="Z713" s="575"/>
      <c r="AA713" s="575"/>
      <c r="AB713" s="575"/>
      <c r="AC713" s="575"/>
      <c r="AD713" s="575"/>
      <c r="AE713" s="575"/>
      <c r="AF713" s="575"/>
      <c r="AG713" s="575"/>
      <c r="AH713" s="575"/>
      <c r="AI713" s="575"/>
    </row>
    <row r="714" spans="1:35" x14ac:dyDescent="0.35">
      <c r="A714" s="575"/>
      <c r="B714" s="575"/>
      <c r="C714" s="575"/>
      <c r="D714" s="575"/>
      <c r="E714" s="575"/>
      <c r="F714" s="575"/>
      <c r="G714" s="575"/>
      <c r="H714" s="575"/>
      <c r="I714" s="575"/>
      <c r="J714" s="575"/>
      <c r="K714" s="575"/>
      <c r="L714" s="575"/>
      <c r="M714" s="575"/>
      <c r="N714" s="575"/>
      <c r="O714" s="575"/>
      <c r="P714" s="575"/>
      <c r="Q714" s="575"/>
      <c r="R714" s="575"/>
      <c r="S714" s="575"/>
      <c r="T714" s="575"/>
      <c r="U714" s="575"/>
      <c r="V714" s="575"/>
      <c r="W714" s="575"/>
      <c r="X714" s="575"/>
      <c r="Y714" s="575"/>
      <c r="Z714" s="575"/>
      <c r="AA714" s="575"/>
      <c r="AB714" s="575"/>
      <c r="AC714" s="575"/>
      <c r="AD714" s="575"/>
      <c r="AE714" s="575"/>
      <c r="AF714" s="575"/>
      <c r="AG714" s="575"/>
      <c r="AH714" s="575"/>
      <c r="AI714" s="575"/>
    </row>
    <row r="715" spans="1:35" x14ac:dyDescent="0.35">
      <c r="A715" s="575"/>
      <c r="B715" s="575"/>
      <c r="C715" s="575"/>
      <c r="D715" s="575"/>
      <c r="E715" s="575"/>
      <c r="F715" s="575"/>
      <c r="G715" s="575"/>
      <c r="H715" s="575"/>
      <c r="I715" s="575"/>
      <c r="J715" s="575"/>
      <c r="K715" s="575"/>
      <c r="L715" s="575"/>
      <c r="M715" s="575"/>
      <c r="N715" s="575"/>
      <c r="O715" s="575"/>
      <c r="P715" s="575"/>
      <c r="Q715" s="575"/>
      <c r="R715" s="575"/>
      <c r="S715" s="575"/>
      <c r="T715" s="575"/>
      <c r="U715" s="575"/>
      <c r="V715" s="575"/>
      <c r="W715" s="575"/>
      <c r="X715" s="575"/>
      <c r="Y715" s="575"/>
      <c r="Z715" s="575"/>
      <c r="AA715" s="575"/>
      <c r="AB715" s="575"/>
      <c r="AC715" s="575"/>
      <c r="AD715" s="575"/>
      <c r="AE715" s="575"/>
      <c r="AF715" s="575"/>
      <c r="AG715" s="575"/>
      <c r="AH715" s="575"/>
      <c r="AI715" s="575"/>
    </row>
    <row r="716" spans="1:35" x14ac:dyDescent="0.35">
      <c r="A716" s="575"/>
      <c r="B716" s="575"/>
      <c r="C716" s="575"/>
      <c r="D716" s="575"/>
      <c r="E716" s="575"/>
      <c r="F716" s="575"/>
      <c r="G716" s="575"/>
      <c r="H716" s="575"/>
      <c r="I716" s="575"/>
      <c r="J716" s="575"/>
      <c r="K716" s="575"/>
      <c r="L716" s="575"/>
      <c r="M716" s="575"/>
      <c r="N716" s="575"/>
      <c r="O716" s="575"/>
      <c r="P716" s="575"/>
      <c r="Q716" s="575"/>
      <c r="R716" s="575"/>
      <c r="S716" s="575"/>
      <c r="T716" s="575"/>
      <c r="U716" s="575"/>
      <c r="V716" s="575"/>
      <c r="W716" s="575"/>
      <c r="X716" s="575"/>
      <c r="Y716" s="575"/>
      <c r="Z716" s="575"/>
      <c r="AA716" s="575"/>
      <c r="AB716" s="575"/>
      <c r="AC716" s="575"/>
      <c r="AD716" s="575"/>
      <c r="AE716" s="575"/>
      <c r="AF716" s="575"/>
      <c r="AG716" s="575"/>
      <c r="AH716" s="575"/>
      <c r="AI716" s="575"/>
    </row>
    <row r="717" spans="1:35" x14ac:dyDescent="0.35">
      <c r="A717" s="575"/>
      <c r="B717" s="575"/>
      <c r="C717" s="575"/>
      <c r="D717" s="575"/>
      <c r="E717" s="575"/>
      <c r="F717" s="575"/>
      <c r="G717" s="575"/>
      <c r="H717" s="575"/>
      <c r="I717" s="575"/>
      <c r="J717" s="575"/>
      <c r="K717" s="575"/>
      <c r="L717" s="575"/>
      <c r="M717" s="575"/>
      <c r="N717" s="575"/>
      <c r="O717" s="575"/>
      <c r="P717" s="575"/>
      <c r="Q717" s="575"/>
      <c r="R717" s="575"/>
      <c r="S717" s="575"/>
      <c r="T717" s="575"/>
      <c r="U717" s="575"/>
      <c r="V717" s="575"/>
      <c r="W717" s="575"/>
      <c r="X717" s="575"/>
      <c r="Y717" s="575"/>
      <c r="Z717" s="575"/>
      <c r="AA717" s="575"/>
      <c r="AB717" s="575"/>
      <c r="AC717" s="575"/>
      <c r="AD717" s="575"/>
      <c r="AE717" s="575"/>
      <c r="AF717" s="575"/>
      <c r="AG717" s="575"/>
      <c r="AH717" s="575"/>
      <c r="AI717" s="575"/>
    </row>
    <row r="718" spans="1:35" x14ac:dyDescent="0.35">
      <c r="A718" s="575"/>
      <c r="B718" s="575"/>
      <c r="C718" s="575"/>
      <c r="D718" s="575"/>
      <c r="E718" s="575"/>
      <c r="F718" s="575"/>
      <c r="G718" s="575"/>
      <c r="H718" s="575"/>
      <c r="I718" s="575"/>
      <c r="J718" s="575"/>
      <c r="K718" s="575"/>
      <c r="L718" s="575"/>
      <c r="M718" s="575"/>
      <c r="N718" s="575"/>
      <c r="O718" s="575"/>
      <c r="P718" s="575"/>
      <c r="Q718" s="575"/>
      <c r="R718" s="575"/>
      <c r="S718" s="575"/>
      <c r="T718" s="575"/>
      <c r="U718" s="575"/>
      <c r="V718" s="575"/>
      <c r="W718" s="575"/>
      <c r="X718" s="575"/>
      <c r="Y718" s="575"/>
      <c r="Z718" s="575"/>
      <c r="AA718" s="575"/>
      <c r="AB718" s="575"/>
      <c r="AC718" s="575"/>
      <c r="AD718" s="575"/>
      <c r="AE718" s="575"/>
      <c r="AF718" s="575"/>
      <c r="AG718" s="575"/>
      <c r="AH718" s="575"/>
      <c r="AI718" s="575"/>
    </row>
    <row r="719" spans="1:35" x14ac:dyDescent="0.35">
      <c r="A719" s="575"/>
      <c r="B719" s="575"/>
      <c r="C719" s="575"/>
      <c r="D719" s="575"/>
      <c r="E719" s="575"/>
      <c r="F719" s="575"/>
      <c r="G719" s="575"/>
      <c r="H719" s="575"/>
      <c r="I719" s="575"/>
      <c r="J719" s="575"/>
      <c r="K719" s="575"/>
      <c r="L719" s="575"/>
      <c r="M719" s="575"/>
      <c r="N719" s="575"/>
      <c r="O719" s="575"/>
      <c r="P719" s="575"/>
      <c r="Q719" s="575"/>
      <c r="R719" s="575"/>
      <c r="S719" s="575"/>
      <c r="T719" s="575"/>
      <c r="U719" s="575"/>
      <c r="V719" s="575"/>
      <c r="W719" s="575"/>
      <c r="X719" s="575"/>
      <c r="Y719" s="575"/>
      <c r="Z719" s="575"/>
      <c r="AA719" s="575"/>
      <c r="AB719" s="575"/>
      <c r="AC719" s="575"/>
      <c r="AD719" s="575"/>
      <c r="AE719" s="575"/>
      <c r="AF719" s="575"/>
      <c r="AG719" s="575"/>
      <c r="AH719" s="575"/>
      <c r="AI719" s="575"/>
    </row>
    <row r="720" spans="1:35" x14ac:dyDescent="0.35">
      <c r="A720" s="575"/>
      <c r="B720" s="575"/>
      <c r="C720" s="575"/>
      <c r="D720" s="575"/>
      <c r="E720" s="575"/>
      <c r="F720" s="575"/>
      <c r="G720" s="575"/>
      <c r="H720" s="575"/>
      <c r="I720" s="575"/>
      <c r="J720" s="575"/>
      <c r="K720" s="575"/>
      <c r="L720" s="575"/>
      <c r="M720" s="575"/>
      <c r="N720" s="575"/>
      <c r="O720" s="575"/>
      <c r="P720" s="575"/>
      <c r="Q720" s="575"/>
      <c r="R720" s="575"/>
      <c r="S720" s="575"/>
      <c r="T720" s="575"/>
      <c r="U720" s="575"/>
      <c r="V720" s="575"/>
      <c r="W720" s="575"/>
      <c r="X720" s="575"/>
      <c r="Y720" s="575"/>
      <c r="Z720" s="575"/>
      <c r="AA720" s="575"/>
      <c r="AB720" s="575"/>
      <c r="AC720" s="575"/>
      <c r="AD720" s="575"/>
      <c r="AE720" s="575"/>
      <c r="AF720" s="575"/>
      <c r="AG720" s="575"/>
      <c r="AH720" s="575"/>
      <c r="AI720" s="575"/>
    </row>
    <row r="721" spans="1:35" x14ac:dyDescent="0.35">
      <c r="A721" s="575"/>
      <c r="B721" s="575"/>
      <c r="C721" s="575"/>
      <c r="D721" s="575"/>
      <c r="E721" s="575"/>
      <c r="F721" s="575"/>
      <c r="G721" s="575"/>
      <c r="H721" s="575"/>
      <c r="I721" s="575"/>
      <c r="J721" s="575"/>
      <c r="K721" s="575"/>
      <c r="L721" s="575"/>
      <c r="M721" s="575"/>
      <c r="N721" s="575"/>
      <c r="O721" s="575"/>
      <c r="P721" s="575"/>
      <c r="Q721" s="575"/>
      <c r="R721" s="575"/>
      <c r="S721" s="575"/>
      <c r="T721" s="575"/>
      <c r="U721" s="575"/>
      <c r="V721" s="575"/>
      <c r="W721" s="575"/>
      <c r="X721" s="575"/>
      <c r="Y721" s="575"/>
      <c r="Z721" s="575"/>
      <c r="AA721" s="575"/>
      <c r="AB721" s="575"/>
      <c r="AC721" s="575"/>
      <c r="AD721" s="575"/>
      <c r="AE721" s="575"/>
      <c r="AF721" s="575"/>
      <c r="AG721" s="575"/>
      <c r="AH721" s="575"/>
      <c r="AI721" s="575"/>
    </row>
    <row r="722" spans="1:35" x14ac:dyDescent="0.35">
      <c r="A722" s="575"/>
      <c r="B722" s="575"/>
      <c r="C722" s="575"/>
      <c r="D722" s="575"/>
      <c r="E722" s="575"/>
      <c r="F722" s="575"/>
      <c r="G722" s="575"/>
      <c r="H722" s="575"/>
      <c r="I722" s="575"/>
      <c r="J722" s="575"/>
      <c r="K722" s="575"/>
      <c r="L722" s="575"/>
      <c r="M722" s="575"/>
      <c r="N722" s="575"/>
      <c r="O722" s="575"/>
      <c r="P722" s="575"/>
      <c r="Q722" s="575"/>
      <c r="R722" s="575"/>
      <c r="S722" s="575"/>
      <c r="T722" s="575"/>
      <c r="U722" s="575"/>
      <c r="V722" s="575"/>
      <c r="W722" s="575"/>
      <c r="X722" s="575"/>
      <c r="Y722" s="575"/>
      <c r="Z722" s="575"/>
      <c r="AA722" s="575"/>
      <c r="AB722" s="575"/>
      <c r="AC722" s="575"/>
      <c r="AD722" s="575"/>
      <c r="AE722" s="575"/>
      <c r="AF722" s="575"/>
      <c r="AG722" s="575"/>
      <c r="AH722" s="575"/>
      <c r="AI722" s="575"/>
    </row>
    <row r="723" spans="1:35" x14ac:dyDescent="0.35">
      <c r="A723" s="575"/>
      <c r="B723" s="575"/>
      <c r="C723" s="575"/>
      <c r="D723" s="575"/>
      <c r="E723" s="575"/>
      <c r="F723" s="575"/>
      <c r="G723" s="575"/>
      <c r="H723" s="575"/>
      <c r="I723" s="575"/>
      <c r="J723" s="575"/>
      <c r="K723" s="575"/>
      <c r="L723" s="575"/>
      <c r="M723" s="575"/>
      <c r="N723" s="575"/>
      <c r="O723" s="575"/>
      <c r="P723" s="575"/>
      <c r="Q723" s="575"/>
      <c r="R723" s="575"/>
      <c r="S723" s="575"/>
      <c r="T723" s="575"/>
      <c r="U723" s="575"/>
      <c r="V723" s="575"/>
      <c r="W723" s="575"/>
      <c r="X723" s="575"/>
      <c r="Y723" s="575"/>
      <c r="Z723" s="575"/>
      <c r="AA723" s="575"/>
      <c r="AB723" s="575"/>
      <c r="AC723" s="575"/>
      <c r="AD723" s="575"/>
      <c r="AE723" s="575"/>
      <c r="AF723" s="575"/>
      <c r="AG723" s="575"/>
      <c r="AH723" s="575"/>
      <c r="AI723" s="575"/>
    </row>
    <row r="724" spans="1:35" x14ac:dyDescent="0.35">
      <c r="A724" s="575"/>
      <c r="B724" s="575"/>
      <c r="C724" s="575"/>
      <c r="D724" s="575"/>
      <c r="E724" s="575"/>
      <c r="F724" s="575"/>
      <c r="G724" s="575"/>
      <c r="H724" s="575"/>
      <c r="I724" s="575"/>
      <c r="J724" s="575"/>
      <c r="K724" s="575"/>
      <c r="L724" s="575"/>
      <c r="M724" s="575"/>
      <c r="N724" s="575"/>
      <c r="O724" s="575"/>
      <c r="P724" s="575"/>
      <c r="Q724" s="575"/>
      <c r="R724" s="575"/>
      <c r="S724" s="575"/>
      <c r="T724" s="575"/>
      <c r="U724" s="575"/>
      <c r="V724" s="575"/>
      <c r="W724" s="575"/>
      <c r="X724" s="575"/>
      <c r="Y724" s="575"/>
      <c r="Z724" s="575"/>
      <c r="AA724" s="575"/>
      <c r="AB724" s="575"/>
      <c r="AC724" s="575"/>
      <c r="AD724" s="575"/>
      <c r="AE724" s="575"/>
      <c r="AF724" s="575"/>
      <c r="AG724" s="575"/>
      <c r="AH724" s="575"/>
      <c r="AI724" s="575"/>
    </row>
    <row r="725" spans="1:35" x14ac:dyDescent="0.35">
      <c r="A725" s="575"/>
      <c r="B725" s="575"/>
      <c r="C725" s="575"/>
      <c r="D725" s="575"/>
      <c r="E725" s="575"/>
      <c r="F725" s="575"/>
      <c r="G725" s="575"/>
      <c r="H725" s="575"/>
      <c r="I725" s="575"/>
      <c r="J725" s="575"/>
      <c r="K725" s="575"/>
      <c r="L725" s="575"/>
      <c r="M725" s="575"/>
      <c r="N725" s="575"/>
      <c r="O725" s="575"/>
      <c r="P725" s="575"/>
      <c r="Q725" s="575"/>
      <c r="R725" s="575"/>
      <c r="S725" s="575"/>
      <c r="T725" s="575"/>
      <c r="U725" s="575"/>
      <c r="V725" s="575"/>
      <c r="W725" s="575"/>
      <c r="X725" s="575"/>
      <c r="Y725" s="575"/>
      <c r="Z725" s="575"/>
      <c r="AA725" s="575"/>
      <c r="AB725" s="575"/>
      <c r="AC725" s="575"/>
      <c r="AD725" s="575"/>
      <c r="AE725" s="575"/>
      <c r="AF725" s="575"/>
      <c r="AG725" s="575"/>
      <c r="AH725" s="575"/>
      <c r="AI725" s="575"/>
    </row>
    <row r="726" spans="1:35" x14ac:dyDescent="0.35">
      <c r="A726" s="575"/>
      <c r="B726" s="575"/>
      <c r="C726" s="575"/>
      <c r="D726" s="575"/>
      <c r="E726" s="575"/>
      <c r="F726" s="575"/>
      <c r="G726" s="575"/>
      <c r="H726" s="575"/>
      <c r="I726" s="575"/>
      <c r="J726" s="575"/>
      <c r="K726" s="575"/>
      <c r="L726" s="575"/>
      <c r="M726" s="575"/>
      <c r="N726" s="575"/>
      <c r="O726" s="575"/>
      <c r="P726" s="575"/>
      <c r="Q726" s="575"/>
      <c r="R726" s="575"/>
      <c r="S726" s="575"/>
      <c r="T726" s="575"/>
      <c r="U726" s="575"/>
      <c r="V726" s="575"/>
      <c r="W726" s="575"/>
      <c r="X726" s="575"/>
      <c r="Y726" s="575"/>
      <c r="Z726" s="575"/>
      <c r="AA726" s="575"/>
      <c r="AB726" s="575"/>
      <c r="AC726" s="575"/>
      <c r="AD726" s="575"/>
      <c r="AE726" s="575"/>
      <c r="AF726" s="575"/>
      <c r="AG726" s="575"/>
      <c r="AH726" s="575"/>
      <c r="AI726" s="575"/>
    </row>
    <row r="727" spans="1:35" x14ac:dyDescent="0.35">
      <c r="A727" s="575"/>
      <c r="B727" s="575"/>
      <c r="C727" s="575"/>
      <c r="D727" s="575"/>
      <c r="E727" s="575"/>
      <c r="F727" s="575"/>
      <c r="G727" s="575"/>
      <c r="H727" s="575"/>
      <c r="I727" s="575"/>
      <c r="J727" s="575"/>
      <c r="K727" s="575"/>
      <c r="L727" s="575"/>
      <c r="M727" s="575"/>
      <c r="N727" s="575"/>
      <c r="O727" s="575"/>
      <c r="P727" s="575"/>
      <c r="Q727" s="575"/>
      <c r="R727" s="575"/>
      <c r="S727" s="575"/>
      <c r="T727" s="575"/>
      <c r="U727" s="575"/>
      <c r="V727" s="575"/>
      <c r="W727" s="575"/>
      <c r="X727" s="575"/>
      <c r="Y727" s="575"/>
      <c r="Z727" s="575"/>
      <c r="AA727" s="575"/>
      <c r="AB727" s="575"/>
      <c r="AC727" s="575"/>
      <c r="AD727" s="575"/>
      <c r="AE727" s="575"/>
      <c r="AF727" s="575"/>
      <c r="AG727" s="575"/>
      <c r="AH727" s="575"/>
      <c r="AI727" s="575"/>
    </row>
    <row r="728" spans="1:35" x14ac:dyDescent="0.35">
      <c r="A728" s="575"/>
      <c r="B728" s="575"/>
      <c r="C728" s="575"/>
      <c r="D728" s="575"/>
      <c r="E728" s="575"/>
      <c r="F728" s="575"/>
      <c r="G728" s="575"/>
      <c r="H728" s="575"/>
      <c r="I728" s="575"/>
      <c r="J728" s="575"/>
      <c r="K728" s="575"/>
      <c r="L728" s="575"/>
      <c r="M728" s="575"/>
      <c r="N728" s="575"/>
      <c r="O728" s="575"/>
      <c r="P728" s="575"/>
      <c r="Q728" s="575"/>
      <c r="R728" s="575"/>
      <c r="S728" s="575"/>
      <c r="T728" s="575"/>
      <c r="U728" s="575"/>
      <c r="V728" s="575"/>
      <c r="W728" s="575"/>
      <c r="X728" s="575"/>
      <c r="Y728" s="575"/>
      <c r="Z728" s="575"/>
      <c r="AA728" s="575"/>
      <c r="AB728" s="575"/>
      <c r="AC728" s="575"/>
      <c r="AD728" s="575"/>
      <c r="AE728" s="575"/>
      <c r="AF728" s="575"/>
      <c r="AG728" s="575"/>
      <c r="AH728" s="575"/>
      <c r="AI728" s="575"/>
    </row>
    <row r="729" spans="1:35" x14ac:dyDescent="0.35">
      <c r="A729" s="575"/>
      <c r="B729" s="575"/>
      <c r="C729" s="575"/>
      <c r="D729" s="575"/>
      <c r="E729" s="575"/>
      <c r="F729" s="575"/>
      <c r="G729" s="575"/>
      <c r="H729" s="575"/>
      <c r="I729" s="575"/>
      <c r="J729" s="575"/>
      <c r="K729" s="575"/>
      <c r="L729" s="575"/>
      <c r="M729" s="575"/>
      <c r="N729" s="575"/>
      <c r="O729" s="575"/>
      <c r="P729" s="575"/>
      <c r="Q729" s="575"/>
      <c r="R729" s="575"/>
      <c r="S729" s="575"/>
      <c r="T729" s="575"/>
      <c r="U729" s="575"/>
      <c r="V729" s="575"/>
      <c r="W729" s="575"/>
      <c r="X729" s="575"/>
      <c r="Y729" s="575"/>
      <c r="Z729" s="575"/>
      <c r="AA729" s="575"/>
      <c r="AB729" s="575"/>
      <c r="AC729" s="575"/>
      <c r="AD729" s="575"/>
      <c r="AE729" s="575"/>
      <c r="AF729" s="575"/>
      <c r="AG729" s="575"/>
      <c r="AH729" s="575"/>
      <c r="AI729" s="575"/>
    </row>
    <row r="730" spans="1:35" x14ac:dyDescent="0.35">
      <c r="A730" s="575"/>
      <c r="B730" s="575"/>
      <c r="C730" s="575"/>
      <c r="D730" s="575"/>
      <c r="E730" s="575"/>
      <c r="F730" s="575"/>
      <c r="G730" s="575"/>
      <c r="H730" s="575"/>
      <c r="I730" s="575"/>
      <c r="J730" s="575"/>
      <c r="K730" s="575"/>
      <c r="L730" s="575"/>
      <c r="M730" s="575"/>
      <c r="N730" s="575"/>
      <c r="O730" s="575"/>
      <c r="P730" s="575"/>
      <c r="Q730" s="575"/>
      <c r="R730" s="575"/>
      <c r="S730" s="575"/>
      <c r="T730" s="575"/>
      <c r="U730" s="575"/>
      <c r="V730" s="575"/>
      <c r="W730" s="575"/>
      <c r="X730" s="575"/>
      <c r="Y730" s="575"/>
      <c r="Z730" s="575"/>
      <c r="AA730" s="575"/>
      <c r="AB730" s="575"/>
      <c r="AC730" s="575"/>
      <c r="AD730" s="575"/>
      <c r="AE730" s="575"/>
      <c r="AF730" s="575"/>
      <c r="AG730" s="575"/>
      <c r="AH730" s="575"/>
      <c r="AI730" s="575"/>
    </row>
    <row r="731" spans="1:35" x14ac:dyDescent="0.35">
      <c r="A731" s="575"/>
      <c r="B731" s="575"/>
      <c r="C731" s="575"/>
      <c r="D731" s="575"/>
      <c r="E731" s="575"/>
      <c r="F731" s="575"/>
      <c r="G731" s="575"/>
      <c r="H731" s="575"/>
      <c r="I731" s="575"/>
      <c r="J731" s="575"/>
      <c r="K731" s="575"/>
      <c r="L731" s="575"/>
      <c r="M731" s="575"/>
      <c r="N731" s="575"/>
      <c r="O731" s="575"/>
      <c r="P731" s="575"/>
      <c r="Q731" s="575"/>
      <c r="R731" s="575"/>
      <c r="S731" s="575"/>
      <c r="T731" s="575"/>
      <c r="U731" s="575"/>
      <c r="V731" s="575"/>
      <c r="W731" s="575"/>
      <c r="X731" s="575"/>
      <c r="Y731" s="575"/>
      <c r="Z731" s="575"/>
      <c r="AA731" s="575"/>
      <c r="AB731" s="575"/>
      <c r="AC731" s="575"/>
      <c r="AD731" s="575"/>
      <c r="AE731" s="575"/>
      <c r="AF731" s="575"/>
      <c r="AG731" s="575"/>
      <c r="AH731" s="575"/>
      <c r="AI731" s="575"/>
    </row>
    <row r="732" spans="1:35" x14ac:dyDescent="0.35">
      <c r="A732" s="575"/>
      <c r="B732" s="575"/>
      <c r="C732" s="575"/>
      <c r="D732" s="575"/>
      <c r="E732" s="575"/>
      <c r="F732" s="575"/>
      <c r="G732" s="575"/>
      <c r="H732" s="575"/>
      <c r="I732" s="575"/>
      <c r="J732" s="575"/>
      <c r="K732" s="575"/>
      <c r="L732" s="575"/>
      <c r="M732" s="575"/>
      <c r="N732" s="575"/>
      <c r="O732" s="575"/>
      <c r="P732" s="575"/>
      <c r="Q732" s="575"/>
      <c r="R732" s="575"/>
      <c r="S732" s="575"/>
      <c r="T732" s="575"/>
      <c r="U732" s="575"/>
      <c r="V732" s="575"/>
      <c r="W732" s="575"/>
      <c r="X732" s="575"/>
      <c r="Y732" s="575"/>
      <c r="Z732" s="575"/>
      <c r="AA732" s="575"/>
      <c r="AB732" s="575"/>
      <c r="AC732" s="575"/>
      <c r="AD732" s="575"/>
      <c r="AE732" s="575"/>
      <c r="AF732" s="575"/>
      <c r="AG732" s="575"/>
      <c r="AH732" s="575"/>
      <c r="AI732" s="575"/>
    </row>
    <row r="733" spans="1:35" x14ac:dyDescent="0.35">
      <c r="A733" s="575"/>
      <c r="B733" s="575"/>
      <c r="C733" s="575"/>
      <c r="D733" s="575"/>
      <c r="E733" s="575"/>
      <c r="F733" s="575"/>
      <c r="G733" s="575"/>
      <c r="H733" s="575"/>
      <c r="I733" s="575"/>
      <c r="J733" s="575"/>
      <c r="K733" s="575"/>
      <c r="L733" s="575"/>
      <c r="M733" s="575"/>
      <c r="N733" s="575"/>
      <c r="O733" s="575"/>
      <c r="P733" s="575"/>
      <c r="Q733" s="575"/>
      <c r="R733" s="575"/>
      <c r="S733" s="575"/>
      <c r="T733" s="575"/>
      <c r="U733" s="575"/>
      <c r="V733" s="575"/>
      <c r="W733" s="575"/>
      <c r="X733" s="575"/>
      <c r="Y733" s="575"/>
      <c r="Z733" s="575"/>
      <c r="AA733" s="575"/>
      <c r="AB733" s="575"/>
      <c r="AC733" s="575"/>
      <c r="AD733" s="575"/>
      <c r="AE733" s="575"/>
      <c r="AF733" s="575"/>
      <c r="AG733" s="575"/>
      <c r="AH733" s="575"/>
      <c r="AI733" s="575"/>
    </row>
    <row r="734" spans="1:35" x14ac:dyDescent="0.35">
      <c r="A734" s="575"/>
      <c r="B734" s="575"/>
      <c r="C734" s="575"/>
      <c r="D734" s="575"/>
      <c r="E734" s="575"/>
      <c r="F734" s="575"/>
      <c r="G734" s="575"/>
      <c r="H734" s="575"/>
      <c r="I734" s="575"/>
      <c r="J734" s="575"/>
      <c r="K734" s="575"/>
      <c r="L734" s="575"/>
      <c r="M734" s="575"/>
      <c r="N734" s="575"/>
      <c r="O734" s="575"/>
      <c r="P734" s="575"/>
      <c r="Q734" s="575"/>
      <c r="R734" s="575"/>
      <c r="S734" s="575"/>
      <c r="T734" s="575"/>
      <c r="U734" s="575"/>
      <c r="V734" s="575"/>
      <c r="W734" s="575"/>
      <c r="X734" s="575"/>
      <c r="Y734" s="575"/>
      <c r="Z734" s="575"/>
      <c r="AA734" s="575"/>
      <c r="AB734" s="575"/>
      <c r="AC734" s="575"/>
      <c r="AD734" s="575"/>
      <c r="AE734" s="575"/>
      <c r="AF734" s="575"/>
      <c r="AG734" s="575"/>
      <c r="AH734" s="575"/>
      <c r="AI734" s="575"/>
    </row>
    <row r="735" spans="1:35" x14ac:dyDescent="0.35">
      <c r="A735" s="575"/>
      <c r="B735" s="575"/>
      <c r="C735" s="575"/>
      <c r="D735" s="575"/>
      <c r="E735" s="575"/>
      <c r="F735" s="575"/>
      <c r="G735" s="575"/>
      <c r="H735" s="575"/>
      <c r="I735" s="575"/>
      <c r="J735" s="575"/>
      <c r="K735" s="575"/>
      <c r="L735" s="575"/>
      <c r="M735" s="575"/>
      <c r="N735" s="575"/>
      <c r="O735" s="575"/>
      <c r="P735" s="575"/>
      <c r="Q735" s="575"/>
      <c r="R735" s="575"/>
      <c r="S735" s="575"/>
      <c r="T735" s="575"/>
      <c r="U735" s="575"/>
      <c r="V735" s="575"/>
      <c r="W735" s="575"/>
      <c r="X735" s="575"/>
      <c r="Y735" s="575"/>
      <c r="Z735" s="575"/>
      <c r="AA735" s="575"/>
      <c r="AB735" s="575"/>
      <c r="AC735" s="575"/>
      <c r="AD735" s="575"/>
      <c r="AE735" s="575"/>
      <c r="AF735" s="575"/>
      <c r="AG735" s="575"/>
      <c r="AH735" s="575"/>
      <c r="AI735" s="575"/>
    </row>
    <row r="736" spans="1:35" x14ac:dyDescent="0.35">
      <c r="A736" s="575"/>
      <c r="B736" s="575"/>
      <c r="C736" s="575"/>
      <c r="D736" s="575"/>
      <c r="E736" s="575"/>
      <c r="F736" s="575"/>
      <c r="G736" s="575"/>
      <c r="H736" s="575"/>
      <c r="I736" s="575"/>
      <c r="J736" s="575"/>
      <c r="K736" s="575"/>
      <c r="L736" s="575"/>
      <c r="M736" s="575"/>
      <c r="N736" s="575"/>
      <c r="O736" s="575"/>
      <c r="P736" s="575"/>
      <c r="Q736" s="575"/>
      <c r="R736" s="575"/>
      <c r="S736" s="575"/>
      <c r="T736" s="575"/>
      <c r="U736" s="575"/>
      <c r="V736" s="575"/>
      <c r="W736" s="575"/>
      <c r="X736" s="575"/>
      <c r="Y736" s="575"/>
      <c r="Z736" s="575"/>
      <c r="AA736" s="575"/>
      <c r="AB736" s="575"/>
      <c r="AC736" s="575"/>
      <c r="AD736" s="575"/>
      <c r="AE736" s="575"/>
      <c r="AF736" s="575"/>
      <c r="AG736" s="575"/>
      <c r="AH736" s="575"/>
      <c r="AI736" s="575"/>
    </row>
    <row r="737" spans="1:35" x14ac:dyDescent="0.35">
      <c r="A737" s="575"/>
      <c r="B737" s="575"/>
      <c r="C737" s="575"/>
      <c r="D737" s="575"/>
      <c r="E737" s="575"/>
      <c r="F737" s="575"/>
      <c r="G737" s="575"/>
      <c r="H737" s="575"/>
      <c r="I737" s="575"/>
      <c r="J737" s="575"/>
      <c r="K737" s="575"/>
      <c r="L737" s="575"/>
      <c r="M737" s="575"/>
      <c r="N737" s="575"/>
      <c r="O737" s="575"/>
      <c r="P737" s="575"/>
      <c r="Q737" s="575"/>
      <c r="R737" s="575"/>
      <c r="S737" s="575"/>
      <c r="T737" s="575"/>
      <c r="U737" s="575"/>
      <c r="V737" s="575"/>
      <c r="W737" s="575"/>
      <c r="X737" s="575"/>
      <c r="Y737" s="575"/>
      <c r="Z737" s="575"/>
      <c r="AA737" s="575"/>
      <c r="AB737" s="575"/>
      <c r="AC737" s="575"/>
      <c r="AD737" s="575"/>
      <c r="AE737" s="575"/>
      <c r="AF737" s="575"/>
      <c r="AG737" s="575"/>
      <c r="AH737" s="575"/>
      <c r="AI737" s="575"/>
    </row>
    <row r="738" spans="1:35" x14ac:dyDescent="0.35">
      <c r="A738" s="575"/>
      <c r="B738" s="575"/>
      <c r="C738" s="575"/>
      <c r="D738" s="575"/>
      <c r="E738" s="575"/>
      <c r="F738" s="575"/>
      <c r="G738" s="575"/>
      <c r="H738" s="575"/>
      <c r="I738" s="575"/>
      <c r="J738" s="575"/>
      <c r="K738" s="575"/>
      <c r="L738" s="575"/>
      <c r="M738" s="575"/>
      <c r="N738" s="575"/>
      <c r="O738" s="575"/>
      <c r="P738" s="575"/>
      <c r="Q738" s="575"/>
      <c r="R738" s="575"/>
      <c r="S738" s="575"/>
      <c r="T738" s="575"/>
      <c r="U738" s="575"/>
      <c r="V738" s="575"/>
      <c r="W738" s="575"/>
      <c r="X738" s="575"/>
      <c r="Y738" s="575"/>
      <c r="Z738" s="575"/>
      <c r="AA738" s="575"/>
      <c r="AB738" s="575"/>
      <c r="AC738" s="575"/>
      <c r="AD738" s="575"/>
      <c r="AE738" s="575"/>
      <c r="AF738" s="575"/>
      <c r="AG738" s="575"/>
      <c r="AH738" s="575"/>
      <c r="AI738" s="575"/>
    </row>
    <row r="739" spans="1:35" x14ac:dyDescent="0.35">
      <c r="A739" s="575"/>
      <c r="B739" s="575"/>
      <c r="C739" s="575"/>
      <c r="D739" s="575"/>
      <c r="E739" s="575"/>
      <c r="F739" s="575"/>
      <c r="G739" s="575"/>
      <c r="H739" s="575"/>
      <c r="I739" s="575"/>
      <c r="J739" s="575"/>
      <c r="K739" s="575"/>
      <c r="L739" s="575"/>
      <c r="M739" s="575"/>
      <c r="N739" s="575"/>
      <c r="O739" s="575"/>
      <c r="P739" s="575"/>
      <c r="Q739" s="575"/>
      <c r="R739" s="575"/>
      <c r="S739" s="575"/>
      <c r="T739" s="575"/>
      <c r="U739" s="575"/>
      <c r="V739" s="575"/>
      <c r="W739" s="575"/>
      <c r="X739" s="575"/>
      <c r="Y739" s="575"/>
      <c r="Z739" s="575"/>
      <c r="AA739" s="575"/>
      <c r="AB739" s="575"/>
      <c r="AC739" s="575"/>
      <c r="AD739" s="575"/>
      <c r="AE739" s="575"/>
      <c r="AF739" s="575"/>
      <c r="AG739" s="575"/>
      <c r="AH739" s="575"/>
      <c r="AI739" s="575"/>
    </row>
    <row r="740" spans="1:35" x14ac:dyDescent="0.35">
      <c r="A740" s="575"/>
      <c r="B740" s="575"/>
      <c r="C740" s="575"/>
      <c r="D740" s="575"/>
      <c r="E740" s="575"/>
      <c r="F740" s="575"/>
      <c r="G740" s="575"/>
      <c r="H740" s="575"/>
      <c r="I740" s="575"/>
      <c r="J740" s="575"/>
      <c r="K740" s="575"/>
      <c r="L740" s="575"/>
      <c r="M740" s="575"/>
      <c r="N740" s="575"/>
      <c r="O740" s="575"/>
      <c r="P740" s="575"/>
      <c r="Q740" s="575"/>
      <c r="R740" s="575"/>
      <c r="S740" s="575"/>
      <c r="T740" s="575"/>
      <c r="U740" s="575"/>
      <c r="V740" s="575"/>
      <c r="W740" s="575"/>
      <c r="X740" s="575"/>
      <c r="Y740" s="575"/>
      <c r="Z740" s="575"/>
      <c r="AA740" s="575"/>
      <c r="AB740" s="575"/>
      <c r="AC740" s="575"/>
      <c r="AD740" s="575"/>
      <c r="AE740" s="575"/>
      <c r="AF740" s="575"/>
      <c r="AG740" s="575"/>
      <c r="AH740" s="575"/>
      <c r="AI740" s="575"/>
    </row>
    <row r="741" spans="1:35" x14ac:dyDescent="0.35">
      <c r="A741" s="575"/>
      <c r="B741" s="575"/>
      <c r="C741" s="575"/>
      <c r="D741" s="575"/>
      <c r="E741" s="575"/>
      <c r="F741" s="575"/>
      <c r="G741" s="575"/>
      <c r="H741" s="575"/>
      <c r="I741" s="575"/>
      <c r="J741" s="575"/>
      <c r="K741" s="575"/>
      <c r="L741" s="575"/>
      <c r="M741" s="575"/>
      <c r="N741" s="575"/>
      <c r="O741" s="575"/>
      <c r="P741" s="575"/>
      <c r="Q741" s="575"/>
      <c r="R741" s="575"/>
      <c r="S741" s="575"/>
      <c r="T741" s="575"/>
      <c r="U741" s="575"/>
      <c r="V741" s="575"/>
      <c r="W741" s="575"/>
      <c r="X741" s="575"/>
      <c r="Y741" s="575"/>
      <c r="Z741" s="575"/>
      <c r="AA741" s="575"/>
      <c r="AB741" s="575"/>
      <c r="AC741" s="575"/>
      <c r="AD741" s="575"/>
      <c r="AE741" s="575"/>
      <c r="AF741" s="575"/>
      <c r="AG741" s="575"/>
      <c r="AH741" s="575"/>
      <c r="AI741" s="575"/>
    </row>
    <row r="742" spans="1:35" x14ac:dyDescent="0.35">
      <c r="A742" s="575"/>
      <c r="B742" s="575"/>
      <c r="C742" s="575"/>
      <c r="D742" s="575"/>
      <c r="E742" s="575"/>
      <c r="F742" s="575"/>
      <c r="G742" s="575"/>
      <c r="H742" s="575"/>
      <c r="I742" s="575"/>
      <c r="J742" s="575"/>
      <c r="K742" s="575"/>
      <c r="L742" s="575"/>
      <c r="M742" s="575"/>
      <c r="N742" s="575"/>
      <c r="O742" s="575"/>
      <c r="P742" s="575"/>
      <c r="Q742" s="575"/>
      <c r="R742" s="575"/>
      <c r="S742" s="575"/>
      <c r="T742" s="575"/>
      <c r="U742" s="575"/>
      <c r="V742" s="575"/>
      <c r="W742" s="575"/>
      <c r="X742" s="575"/>
      <c r="Y742" s="575"/>
      <c r="Z742" s="575"/>
      <c r="AA742" s="575"/>
      <c r="AB742" s="575"/>
      <c r="AC742" s="575"/>
      <c r="AD742" s="575"/>
      <c r="AE742" s="575"/>
      <c r="AF742" s="575"/>
      <c r="AG742" s="575"/>
      <c r="AH742" s="575"/>
      <c r="AI742" s="575"/>
    </row>
    <row r="743" spans="1:35" x14ac:dyDescent="0.35">
      <c r="A743" s="575"/>
      <c r="B743" s="575"/>
      <c r="C743" s="575"/>
      <c r="D743" s="575"/>
      <c r="E743" s="575"/>
      <c r="F743" s="575"/>
      <c r="G743" s="575"/>
      <c r="H743" s="575"/>
      <c r="I743" s="575"/>
      <c r="J743" s="575"/>
      <c r="K743" s="575"/>
      <c r="L743" s="575"/>
      <c r="M743" s="575"/>
      <c r="N743" s="575"/>
      <c r="O743" s="575"/>
      <c r="P743" s="575"/>
      <c r="Q743" s="575"/>
      <c r="R743" s="575"/>
      <c r="S743" s="575"/>
      <c r="T743" s="575"/>
      <c r="U743" s="575"/>
      <c r="V743" s="575"/>
      <c r="W743" s="575"/>
      <c r="X743" s="575"/>
      <c r="Y743" s="575"/>
      <c r="Z743" s="575"/>
      <c r="AA743" s="575"/>
      <c r="AB743" s="575"/>
      <c r="AC743" s="575"/>
      <c r="AD743" s="575"/>
      <c r="AE743" s="575"/>
      <c r="AF743" s="575"/>
      <c r="AG743" s="575"/>
      <c r="AH743" s="575"/>
      <c r="AI743" s="575"/>
    </row>
    <row r="744" spans="1:35" x14ac:dyDescent="0.35">
      <c r="A744" s="575"/>
      <c r="B744" s="575"/>
      <c r="C744" s="575"/>
      <c r="D744" s="575"/>
      <c r="E744" s="575"/>
      <c r="F744" s="575"/>
      <c r="G744" s="575"/>
      <c r="H744" s="575"/>
      <c r="I744" s="575"/>
      <c r="J744" s="575"/>
      <c r="K744" s="575"/>
      <c r="L744" s="575"/>
      <c r="M744" s="575"/>
      <c r="N744" s="575"/>
      <c r="O744" s="575"/>
      <c r="P744" s="575"/>
      <c r="Q744" s="575"/>
      <c r="R744" s="575"/>
      <c r="S744" s="575"/>
      <c r="T744" s="575"/>
      <c r="U744" s="575"/>
      <c r="V744" s="575"/>
      <c r="W744" s="575"/>
      <c r="X744" s="575"/>
      <c r="Y744" s="575"/>
      <c r="Z744" s="575"/>
      <c r="AA744" s="575"/>
      <c r="AB744" s="575"/>
      <c r="AC744" s="575"/>
      <c r="AD744" s="575"/>
      <c r="AE744" s="575"/>
      <c r="AF744" s="575"/>
      <c r="AG744" s="575"/>
      <c r="AH744" s="575"/>
      <c r="AI744" s="575"/>
    </row>
    <row r="745" spans="1:35" x14ac:dyDescent="0.35">
      <c r="A745" s="575"/>
      <c r="B745" s="575"/>
      <c r="C745" s="575"/>
      <c r="D745" s="575"/>
      <c r="E745" s="575"/>
      <c r="F745" s="575"/>
      <c r="G745" s="575"/>
      <c r="H745" s="575"/>
      <c r="I745" s="575"/>
      <c r="J745" s="575"/>
      <c r="K745" s="575"/>
      <c r="L745" s="575"/>
      <c r="M745" s="575"/>
      <c r="N745" s="575"/>
      <c r="O745" s="575"/>
      <c r="P745" s="575"/>
      <c r="Q745" s="575"/>
      <c r="R745" s="575"/>
      <c r="S745" s="575"/>
      <c r="T745" s="575"/>
      <c r="U745" s="575"/>
      <c r="V745" s="575"/>
      <c r="W745" s="575"/>
      <c r="X745" s="575"/>
      <c r="Y745" s="575"/>
      <c r="Z745" s="575"/>
      <c r="AA745" s="575"/>
      <c r="AB745" s="575"/>
      <c r="AC745" s="575"/>
      <c r="AD745" s="575"/>
      <c r="AE745" s="575"/>
      <c r="AF745" s="575"/>
      <c r="AG745" s="575"/>
      <c r="AH745" s="575"/>
      <c r="AI745" s="575"/>
    </row>
    <row r="746" spans="1:35" x14ac:dyDescent="0.35">
      <c r="A746" s="575"/>
      <c r="B746" s="575"/>
      <c r="C746" s="575"/>
      <c r="D746" s="575"/>
      <c r="E746" s="575"/>
      <c r="F746" s="575"/>
      <c r="G746" s="575"/>
      <c r="H746" s="575"/>
      <c r="I746" s="575"/>
      <c r="J746" s="575"/>
      <c r="K746" s="575"/>
      <c r="L746" s="575"/>
      <c r="M746" s="575"/>
      <c r="N746" s="575"/>
      <c r="O746" s="575"/>
      <c r="P746" s="575"/>
      <c r="Q746" s="575"/>
      <c r="R746" s="575"/>
      <c r="S746" s="575"/>
      <c r="T746" s="575"/>
      <c r="U746" s="575"/>
      <c r="V746" s="575"/>
      <c r="W746" s="575"/>
      <c r="X746" s="575"/>
      <c r="Y746" s="575"/>
      <c r="Z746" s="575"/>
      <c r="AA746" s="575"/>
      <c r="AB746" s="575"/>
      <c r="AC746" s="575"/>
      <c r="AD746" s="575"/>
      <c r="AE746" s="575"/>
      <c r="AF746" s="575"/>
      <c r="AG746" s="575"/>
      <c r="AH746" s="575"/>
      <c r="AI746" s="575"/>
    </row>
    <row r="747" spans="1:35" x14ac:dyDescent="0.35">
      <c r="A747" s="575"/>
      <c r="B747" s="575"/>
      <c r="C747" s="575"/>
      <c r="D747" s="575"/>
      <c r="E747" s="575"/>
      <c r="F747" s="575"/>
      <c r="G747" s="575"/>
      <c r="H747" s="575"/>
      <c r="I747" s="575"/>
      <c r="J747" s="575"/>
      <c r="K747" s="575"/>
      <c r="L747" s="575"/>
      <c r="M747" s="575"/>
      <c r="N747" s="575"/>
      <c r="O747" s="575"/>
      <c r="P747" s="575"/>
      <c r="Q747" s="575"/>
      <c r="R747" s="575"/>
      <c r="S747" s="575"/>
      <c r="T747" s="575"/>
      <c r="U747" s="575"/>
      <c r="V747" s="575"/>
      <c r="W747" s="575"/>
      <c r="X747" s="575"/>
      <c r="Y747" s="575"/>
      <c r="Z747" s="575"/>
      <c r="AA747" s="575"/>
      <c r="AB747" s="575"/>
      <c r="AC747" s="575"/>
      <c r="AD747" s="575"/>
      <c r="AE747" s="575"/>
      <c r="AF747" s="575"/>
      <c r="AG747" s="575"/>
      <c r="AH747" s="575"/>
      <c r="AI747" s="575"/>
    </row>
    <row r="748" spans="1:35" x14ac:dyDescent="0.35">
      <c r="A748" s="575"/>
      <c r="B748" s="575"/>
      <c r="C748" s="575"/>
      <c r="D748" s="575"/>
      <c r="E748" s="575"/>
      <c r="F748" s="575"/>
      <c r="G748" s="575"/>
      <c r="H748" s="575"/>
      <c r="I748" s="575"/>
      <c r="J748" s="575"/>
      <c r="K748" s="575"/>
      <c r="L748" s="575"/>
      <c r="M748" s="575"/>
      <c r="N748" s="575"/>
      <c r="O748" s="575"/>
      <c r="P748" s="575"/>
      <c r="Q748" s="575"/>
      <c r="R748" s="575"/>
      <c r="S748" s="575"/>
      <c r="T748" s="575"/>
      <c r="U748" s="575"/>
      <c r="V748" s="575"/>
      <c r="W748" s="575"/>
      <c r="X748" s="575"/>
      <c r="Y748" s="575"/>
      <c r="Z748" s="575"/>
      <c r="AA748" s="575"/>
      <c r="AB748" s="575"/>
      <c r="AC748" s="575"/>
      <c r="AD748" s="575"/>
      <c r="AE748" s="575"/>
      <c r="AF748" s="575"/>
      <c r="AG748" s="575"/>
      <c r="AH748" s="575"/>
      <c r="AI748" s="575"/>
    </row>
    <row r="749" spans="1:35" x14ac:dyDescent="0.35">
      <c r="A749" s="575"/>
      <c r="B749" s="575"/>
      <c r="C749" s="575"/>
      <c r="D749" s="575"/>
      <c r="E749" s="575"/>
      <c r="F749" s="575"/>
      <c r="G749" s="575"/>
      <c r="H749" s="575"/>
      <c r="I749" s="575"/>
      <c r="J749" s="575"/>
      <c r="K749" s="575"/>
      <c r="L749" s="575"/>
      <c r="M749" s="575"/>
      <c r="N749" s="575"/>
      <c r="O749" s="575"/>
      <c r="P749" s="575"/>
      <c r="Q749" s="575"/>
      <c r="R749" s="575"/>
      <c r="S749" s="575"/>
      <c r="T749" s="575"/>
      <c r="U749" s="575"/>
      <c r="V749" s="575"/>
      <c r="W749" s="575"/>
      <c r="X749" s="575"/>
      <c r="Y749" s="575"/>
      <c r="Z749" s="575"/>
      <c r="AA749" s="575"/>
      <c r="AB749" s="575"/>
      <c r="AC749" s="575"/>
      <c r="AD749" s="575"/>
      <c r="AE749" s="575"/>
      <c r="AF749" s="575"/>
      <c r="AG749" s="575"/>
      <c r="AH749" s="575"/>
      <c r="AI749" s="575"/>
    </row>
    <row r="750" spans="1:35" x14ac:dyDescent="0.35">
      <c r="A750" s="575"/>
      <c r="B750" s="575"/>
      <c r="C750" s="575"/>
      <c r="D750" s="575"/>
      <c r="E750" s="575"/>
      <c r="F750" s="575"/>
      <c r="G750" s="575"/>
      <c r="H750" s="575"/>
      <c r="I750" s="575"/>
      <c r="J750" s="575"/>
      <c r="K750" s="575"/>
      <c r="L750" s="575"/>
      <c r="M750" s="575"/>
      <c r="N750" s="575"/>
      <c r="O750" s="575"/>
      <c r="P750" s="575"/>
      <c r="Q750" s="575"/>
      <c r="R750" s="575"/>
      <c r="S750" s="575"/>
      <c r="T750" s="575"/>
      <c r="U750" s="575"/>
      <c r="V750" s="575"/>
      <c r="W750" s="575"/>
      <c r="X750" s="575"/>
      <c r="Y750" s="575"/>
      <c r="Z750" s="575"/>
      <c r="AA750" s="575"/>
      <c r="AB750" s="575"/>
      <c r="AC750" s="575"/>
      <c r="AD750" s="575"/>
      <c r="AE750" s="575"/>
      <c r="AF750" s="575"/>
      <c r="AG750" s="575"/>
      <c r="AH750" s="575"/>
      <c r="AI750" s="575"/>
    </row>
    <row r="751" spans="1:35" x14ac:dyDescent="0.35">
      <c r="A751" s="575"/>
      <c r="B751" s="575"/>
      <c r="C751" s="575"/>
      <c r="D751" s="575"/>
      <c r="E751" s="575"/>
      <c r="F751" s="575"/>
      <c r="G751" s="575"/>
      <c r="H751" s="575"/>
      <c r="I751" s="575"/>
      <c r="J751" s="575"/>
      <c r="K751" s="575"/>
      <c r="L751" s="575"/>
      <c r="M751" s="575"/>
      <c r="N751" s="575"/>
      <c r="O751" s="575"/>
      <c r="P751" s="575"/>
      <c r="Q751" s="575"/>
      <c r="R751" s="575"/>
      <c r="S751" s="575"/>
      <c r="T751" s="575"/>
      <c r="U751" s="575"/>
      <c r="V751" s="575"/>
      <c r="W751" s="575"/>
      <c r="X751" s="575"/>
      <c r="Y751" s="575"/>
      <c r="Z751" s="575"/>
      <c r="AA751" s="575"/>
      <c r="AB751" s="575"/>
      <c r="AC751" s="575"/>
      <c r="AD751" s="575"/>
      <c r="AE751" s="575"/>
      <c r="AF751" s="575"/>
      <c r="AG751" s="575"/>
      <c r="AH751" s="575"/>
      <c r="AI751" s="575"/>
    </row>
    <row r="752" spans="1:35" x14ac:dyDescent="0.35">
      <c r="A752" s="575"/>
      <c r="B752" s="575"/>
      <c r="C752" s="575"/>
      <c r="D752" s="575"/>
      <c r="E752" s="575"/>
      <c r="F752" s="575"/>
      <c r="G752" s="575"/>
      <c r="H752" s="575"/>
      <c r="I752" s="575"/>
      <c r="J752" s="575"/>
      <c r="K752" s="575"/>
      <c r="L752" s="575"/>
      <c r="M752" s="575"/>
      <c r="N752" s="575"/>
      <c r="O752" s="575"/>
      <c r="P752" s="575"/>
      <c r="Q752" s="575"/>
      <c r="R752" s="575"/>
      <c r="S752" s="575"/>
      <c r="T752" s="575"/>
      <c r="U752" s="575"/>
      <c r="V752" s="575"/>
      <c r="W752" s="575"/>
      <c r="X752" s="575"/>
      <c r="Y752" s="575"/>
      <c r="Z752" s="575"/>
      <c r="AA752" s="575"/>
      <c r="AB752" s="575"/>
      <c r="AC752" s="575"/>
      <c r="AD752" s="575"/>
      <c r="AE752" s="575"/>
      <c r="AF752" s="575"/>
      <c r="AG752" s="575"/>
      <c r="AH752" s="575"/>
      <c r="AI752" s="575"/>
    </row>
    <row r="753" spans="1:35" x14ac:dyDescent="0.35">
      <c r="A753" s="575"/>
      <c r="B753" s="575"/>
      <c r="C753" s="575"/>
      <c r="D753" s="575"/>
      <c r="E753" s="575"/>
      <c r="F753" s="575"/>
      <c r="G753" s="575"/>
      <c r="H753" s="575"/>
      <c r="I753" s="575"/>
      <c r="J753" s="575"/>
      <c r="K753" s="575"/>
      <c r="L753" s="575"/>
      <c r="M753" s="575"/>
      <c r="N753" s="575"/>
      <c r="O753" s="575"/>
      <c r="P753" s="575"/>
      <c r="Q753" s="575"/>
      <c r="R753" s="575"/>
      <c r="S753" s="575"/>
      <c r="T753" s="575"/>
      <c r="U753" s="575"/>
      <c r="V753" s="575"/>
      <c r="W753" s="575"/>
      <c r="X753" s="575"/>
      <c r="Y753" s="575"/>
      <c r="Z753" s="575"/>
      <c r="AA753" s="575"/>
      <c r="AB753" s="575"/>
      <c r="AC753" s="575"/>
      <c r="AD753" s="575"/>
      <c r="AE753" s="575"/>
      <c r="AF753" s="575"/>
      <c r="AG753" s="575"/>
      <c r="AH753" s="575"/>
      <c r="AI753" s="575"/>
    </row>
    <row r="754" spans="1:35" x14ac:dyDescent="0.35">
      <c r="A754" s="575"/>
      <c r="B754" s="575"/>
      <c r="C754" s="575"/>
      <c r="D754" s="575"/>
      <c r="E754" s="575"/>
      <c r="F754" s="575"/>
      <c r="G754" s="575"/>
      <c r="H754" s="575"/>
      <c r="I754" s="575"/>
      <c r="J754" s="575"/>
      <c r="K754" s="575"/>
      <c r="L754" s="575"/>
      <c r="M754" s="575"/>
      <c r="N754" s="575"/>
      <c r="O754" s="575"/>
      <c r="P754" s="575"/>
      <c r="Q754" s="575"/>
      <c r="R754" s="575"/>
      <c r="S754" s="575"/>
      <c r="T754" s="575"/>
      <c r="U754" s="575"/>
      <c r="V754" s="575"/>
      <c r="W754" s="575"/>
      <c r="X754" s="575"/>
      <c r="Y754" s="575"/>
      <c r="Z754" s="575"/>
      <c r="AA754" s="575"/>
      <c r="AB754" s="575"/>
      <c r="AC754" s="575"/>
      <c r="AD754" s="575"/>
      <c r="AE754" s="575"/>
      <c r="AF754" s="575"/>
      <c r="AG754" s="575"/>
      <c r="AH754" s="575"/>
      <c r="AI754" s="575"/>
    </row>
    <row r="755" spans="1:35" x14ac:dyDescent="0.35">
      <c r="A755" s="575"/>
      <c r="B755" s="575"/>
      <c r="C755" s="575"/>
      <c r="D755" s="575"/>
      <c r="E755" s="575"/>
      <c r="F755" s="575"/>
      <c r="G755" s="575"/>
      <c r="H755" s="575"/>
      <c r="I755" s="575"/>
      <c r="J755" s="575"/>
      <c r="K755" s="575"/>
      <c r="L755" s="575"/>
      <c r="M755" s="575"/>
      <c r="N755" s="575"/>
      <c r="O755" s="575"/>
      <c r="P755" s="575"/>
      <c r="Q755" s="575"/>
      <c r="R755" s="575"/>
      <c r="S755" s="575"/>
      <c r="T755" s="575"/>
      <c r="U755" s="575"/>
      <c r="V755" s="575"/>
      <c r="W755" s="575"/>
      <c r="X755" s="575"/>
      <c r="Y755" s="575"/>
      <c r="Z755" s="575"/>
      <c r="AA755" s="575"/>
      <c r="AB755" s="575"/>
      <c r="AC755" s="575"/>
      <c r="AD755" s="575"/>
      <c r="AE755" s="575"/>
      <c r="AF755" s="575"/>
      <c r="AG755" s="575"/>
      <c r="AH755" s="575"/>
      <c r="AI755" s="575"/>
    </row>
    <row r="756" spans="1:35" x14ac:dyDescent="0.35">
      <c r="A756" s="575"/>
      <c r="B756" s="575"/>
      <c r="C756" s="575"/>
      <c r="D756" s="575"/>
      <c r="E756" s="575"/>
      <c r="F756" s="575"/>
      <c r="G756" s="575"/>
      <c r="H756" s="575"/>
      <c r="I756" s="575"/>
      <c r="J756" s="575"/>
      <c r="K756" s="575"/>
      <c r="L756" s="575"/>
      <c r="M756" s="575"/>
      <c r="N756" s="575"/>
      <c r="O756" s="575"/>
      <c r="P756" s="575"/>
      <c r="Q756" s="575"/>
      <c r="R756" s="575"/>
      <c r="S756" s="575"/>
      <c r="T756" s="575"/>
      <c r="U756" s="575"/>
      <c r="V756" s="575"/>
      <c r="W756" s="575"/>
      <c r="X756" s="575"/>
      <c r="Y756" s="575"/>
      <c r="Z756" s="575"/>
      <c r="AA756" s="575"/>
      <c r="AB756" s="575"/>
      <c r="AC756" s="575"/>
      <c r="AD756" s="575"/>
      <c r="AE756" s="575"/>
      <c r="AF756" s="575"/>
      <c r="AG756" s="575"/>
      <c r="AH756" s="575"/>
      <c r="AI756" s="575"/>
    </row>
    <row r="757" spans="1:35" x14ac:dyDescent="0.35">
      <c r="A757" s="575"/>
      <c r="B757" s="575"/>
      <c r="C757" s="575"/>
      <c r="D757" s="575"/>
      <c r="E757" s="575"/>
      <c r="F757" s="575"/>
      <c r="G757" s="575"/>
      <c r="H757" s="575"/>
      <c r="I757" s="575"/>
      <c r="J757" s="575"/>
      <c r="K757" s="575"/>
      <c r="L757" s="575"/>
      <c r="M757" s="575"/>
      <c r="N757" s="575"/>
      <c r="O757" s="575"/>
      <c r="P757" s="575"/>
      <c r="Q757" s="575"/>
      <c r="R757" s="575"/>
      <c r="S757" s="575"/>
      <c r="T757" s="575"/>
      <c r="U757" s="575"/>
      <c r="V757" s="575"/>
      <c r="W757" s="575"/>
      <c r="X757" s="575"/>
      <c r="Y757" s="575"/>
      <c r="Z757" s="575"/>
      <c r="AA757" s="575"/>
      <c r="AB757" s="575"/>
      <c r="AC757" s="575"/>
      <c r="AD757" s="575"/>
      <c r="AE757" s="575"/>
      <c r="AF757" s="575"/>
      <c r="AG757" s="575"/>
      <c r="AH757" s="575"/>
      <c r="AI757" s="575"/>
    </row>
    <row r="758" spans="1:35" x14ac:dyDescent="0.35">
      <c r="A758" s="575"/>
      <c r="B758" s="575"/>
      <c r="C758" s="575"/>
      <c r="D758" s="575"/>
      <c r="E758" s="575"/>
      <c r="F758" s="575"/>
      <c r="G758" s="575"/>
      <c r="H758" s="575"/>
      <c r="I758" s="575"/>
      <c r="J758" s="575"/>
      <c r="K758" s="575"/>
      <c r="L758" s="575"/>
      <c r="M758" s="575"/>
      <c r="N758" s="575"/>
      <c r="O758" s="575"/>
      <c r="P758" s="575"/>
      <c r="Q758" s="575"/>
      <c r="R758" s="575"/>
      <c r="S758" s="575"/>
      <c r="T758" s="575"/>
      <c r="U758" s="575"/>
      <c r="V758" s="575"/>
      <c r="W758" s="575"/>
      <c r="X758" s="575"/>
      <c r="Y758" s="575"/>
      <c r="Z758" s="575"/>
      <c r="AA758" s="575"/>
      <c r="AB758" s="575"/>
      <c r="AC758" s="575"/>
      <c r="AD758" s="575"/>
      <c r="AE758" s="575"/>
      <c r="AF758" s="575"/>
      <c r="AG758" s="575"/>
      <c r="AH758" s="575"/>
      <c r="AI758" s="575"/>
    </row>
    <row r="759" spans="1:35" x14ac:dyDescent="0.35">
      <c r="A759" s="575"/>
      <c r="B759" s="575"/>
      <c r="C759" s="575"/>
      <c r="D759" s="575"/>
      <c r="E759" s="575"/>
      <c r="F759" s="575"/>
      <c r="G759" s="575"/>
      <c r="H759" s="575"/>
      <c r="I759" s="575"/>
      <c r="J759" s="575"/>
      <c r="K759" s="575"/>
      <c r="L759" s="575"/>
      <c r="M759" s="575"/>
      <c r="N759" s="575"/>
      <c r="O759" s="575"/>
      <c r="P759" s="575"/>
      <c r="Q759" s="575"/>
      <c r="R759" s="575"/>
      <c r="S759" s="575"/>
      <c r="T759" s="575"/>
      <c r="U759" s="575"/>
      <c r="V759" s="575"/>
      <c r="W759" s="575"/>
      <c r="X759" s="575"/>
      <c r="Y759" s="575"/>
      <c r="Z759" s="575"/>
      <c r="AA759" s="575"/>
      <c r="AB759" s="575"/>
      <c r="AC759" s="575"/>
      <c r="AD759" s="575"/>
      <c r="AE759" s="575"/>
      <c r="AF759" s="575"/>
      <c r="AG759" s="575"/>
      <c r="AH759" s="575"/>
      <c r="AI759" s="575"/>
    </row>
    <row r="760" spans="1:35" x14ac:dyDescent="0.35">
      <c r="A760" s="575"/>
      <c r="B760" s="575"/>
      <c r="C760" s="575"/>
      <c r="D760" s="575"/>
      <c r="E760" s="575"/>
      <c r="F760" s="575"/>
      <c r="G760" s="575"/>
      <c r="H760" s="575"/>
      <c r="I760" s="575"/>
      <c r="J760" s="575"/>
      <c r="K760" s="575"/>
      <c r="L760" s="575"/>
      <c r="M760" s="575"/>
      <c r="N760" s="575"/>
      <c r="O760" s="575"/>
      <c r="P760" s="575"/>
      <c r="Q760" s="575"/>
      <c r="R760" s="575"/>
      <c r="S760" s="575"/>
      <c r="T760" s="575"/>
      <c r="U760" s="575"/>
      <c r="V760" s="575"/>
      <c r="W760" s="575"/>
      <c r="X760" s="575"/>
      <c r="Y760" s="575"/>
      <c r="Z760" s="575"/>
      <c r="AA760" s="575"/>
      <c r="AB760" s="575"/>
      <c r="AC760" s="575"/>
      <c r="AD760" s="575"/>
      <c r="AE760" s="575"/>
      <c r="AF760" s="575"/>
      <c r="AG760" s="575"/>
      <c r="AH760" s="575"/>
      <c r="AI760" s="575"/>
    </row>
    <row r="761" spans="1:35" x14ac:dyDescent="0.35">
      <c r="A761" s="575"/>
      <c r="B761" s="575"/>
      <c r="C761" s="575"/>
      <c r="D761" s="575"/>
      <c r="E761" s="575"/>
      <c r="F761" s="575"/>
      <c r="G761" s="575"/>
      <c r="H761" s="575"/>
      <c r="I761" s="575"/>
      <c r="J761" s="575"/>
      <c r="K761" s="575"/>
      <c r="L761" s="575"/>
      <c r="M761" s="575"/>
      <c r="N761" s="575"/>
      <c r="O761" s="575"/>
      <c r="P761" s="575"/>
      <c r="Q761" s="575"/>
      <c r="R761" s="575"/>
      <c r="S761" s="575"/>
      <c r="T761" s="575"/>
      <c r="U761" s="575"/>
      <c r="V761" s="575"/>
      <c r="W761" s="575"/>
      <c r="X761" s="575"/>
      <c r="Y761" s="575"/>
      <c r="Z761" s="575"/>
      <c r="AA761" s="575"/>
      <c r="AB761" s="575"/>
      <c r="AC761" s="575"/>
      <c r="AD761" s="575"/>
      <c r="AE761" s="575"/>
      <c r="AF761" s="575"/>
      <c r="AG761" s="575"/>
      <c r="AH761" s="575"/>
      <c r="AI761" s="575"/>
    </row>
    <row r="762" spans="1:35" x14ac:dyDescent="0.35">
      <c r="A762" s="575"/>
      <c r="B762" s="575"/>
      <c r="C762" s="575"/>
      <c r="D762" s="575"/>
      <c r="E762" s="575"/>
      <c r="F762" s="575"/>
      <c r="G762" s="575"/>
      <c r="H762" s="575"/>
      <c r="I762" s="575"/>
      <c r="J762" s="575"/>
      <c r="K762" s="575"/>
      <c r="L762" s="575"/>
      <c r="M762" s="575"/>
      <c r="N762" s="575"/>
      <c r="O762" s="575"/>
      <c r="P762" s="575"/>
      <c r="Q762" s="575"/>
      <c r="R762" s="575"/>
      <c r="S762" s="575"/>
      <c r="T762" s="575"/>
      <c r="U762" s="575"/>
      <c r="V762" s="575"/>
      <c r="W762" s="575"/>
      <c r="X762" s="575"/>
      <c r="Y762" s="575"/>
      <c r="Z762" s="575"/>
      <c r="AA762" s="575"/>
      <c r="AB762" s="575"/>
      <c r="AC762" s="575"/>
      <c r="AD762" s="575"/>
      <c r="AE762" s="575"/>
      <c r="AF762" s="575"/>
      <c r="AG762" s="575"/>
      <c r="AH762" s="575"/>
      <c r="AI762" s="575"/>
    </row>
    <row r="763" spans="1:35" x14ac:dyDescent="0.35">
      <c r="A763" s="575"/>
      <c r="B763" s="575"/>
      <c r="C763" s="575"/>
      <c r="D763" s="575"/>
      <c r="E763" s="575"/>
      <c r="F763" s="575"/>
      <c r="G763" s="575"/>
      <c r="H763" s="575"/>
      <c r="I763" s="575"/>
      <c r="J763" s="575"/>
      <c r="K763" s="575"/>
      <c r="L763" s="575"/>
      <c r="M763" s="575"/>
      <c r="N763" s="575"/>
      <c r="O763" s="575"/>
      <c r="P763" s="575"/>
      <c r="Q763" s="575"/>
      <c r="R763" s="575"/>
      <c r="S763" s="575"/>
      <c r="T763" s="575"/>
      <c r="U763" s="575"/>
      <c r="V763" s="575"/>
      <c r="W763" s="575"/>
      <c r="X763" s="575"/>
      <c r="Y763" s="575"/>
      <c r="Z763" s="575"/>
      <c r="AA763" s="575"/>
      <c r="AB763" s="575"/>
      <c r="AC763" s="575"/>
      <c r="AD763" s="575"/>
      <c r="AE763" s="575"/>
      <c r="AF763" s="575"/>
      <c r="AG763" s="575"/>
      <c r="AH763" s="575"/>
      <c r="AI763" s="575"/>
    </row>
    <row r="764" spans="1:35" x14ac:dyDescent="0.35">
      <c r="A764" s="575"/>
      <c r="B764" s="575"/>
      <c r="C764" s="575"/>
      <c r="D764" s="575"/>
      <c r="E764" s="575"/>
      <c r="F764" s="575"/>
      <c r="G764" s="575"/>
      <c r="H764" s="575"/>
      <c r="I764" s="575"/>
      <c r="J764" s="575"/>
      <c r="K764" s="575"/>
      <c r="L764" s="575"/>
      <c r="M764" s="575"/>
      <c r="N764" s="575"/>
      <c r="O764" s="575"/>
      <c r="P764" s="575"/>
      <c r="Q764" s="575"/>
      <c r="R764" s="575"/>
      <c r="S764" s="575"/>
      <c r="T764" s="575"/>
      <c r="U764" s="575"/>
      <c r="V764" s="575"/>
      <c r="W764" s="575"/>
      <c r="X764" s="575"/>
      <c r="Y764" s="575"/>
      <c r="Z764" s="575"/>
      <c r="AA764" s="575"/>
      <c r="AB764" s="575"/>
      <c r="AC764" s="575"/>
      <c r="AD764" s="575"/>
      <c r="AE764" s="575"/>
      <c r="AF764" s="575"/>
      <c r="AG764" s="575"/>
      <c r="AH764" s="575"/>
      <c r="AI764" s="575"/>
    </row>
    <row r="765" spans="1:35" x14ac:dyDescent="0.35">
      <c r="A765" s="575"/>
      <c r="B765" s="575"/>
      <c r="C765" s="575"/>
      <c r="D765" s="575"/>
      <c r="E765" s="575"/>
      <c r="F765" s="575"/>
      <c r="G765" s="575"/>
      <c r="H765" s="575"/>
      <c r="I765" s="575"/>
      <c r="J765" s="575"/>
      <c r="K765" s="575"/>
      <c r="L765" s="575"/>
      <c r="M765" s="575"/>
      <c r="N765" s="575"/>
      <c r="O765" s="575"/>
      <c r="P765" s="575"/>
      <c r="Q765" s="575"/>
      <c r="R765" s="575"/>
      <c r="S765" s="575"/>
      <c r="T765" s="575"/>
      <c r="U765" s="575"/>
      <c r="V765" s="575"/>
      <c r="W765" s="575"/>
      <c r="X765" s="575"/>
      <c r="Y765" s="575"/>
      <c r="Z765" s="575"/>
      <c r="AA765" s="575"/>
      <c r="AB765" s="575"/>
      <c r="AC765" s="575"/>
      <c r="AD765" s="575"/>
      <c r="AE765" s="575"/>
      <c r="AF765" s="575"/>
      <c r="AG765" s="575"/>
      <c r="AH765" s="575"/>
      <c r="AI765" s="575"/>
    </row>
    <row r="766" spans="1:35" x14ac:dyDescent="0.35">
      <c r="A766" s="575"/>
      <c r="B766" s="575"/>
      <c r="C766" s="575"/>
      <c r="D766" s="575"/>
      <c r="E766" s="575"/>
      <c r="F766" s="575"/>
      <c r="G766" s="575"/>
      <c r="H766" s="575"/>
      <c r="I766" s="575"/>
      <c r="J766" s="575"/>
      <c r="K766" s="575"/>
      <c r="L766" s="575"/>
      <c r="M766" s="575"/>
      <c r="N766" s="575"/>
      <c r="O766" s="575"/>
      <c r="P766" s="575"/>
      <c r="Q766" s="575"/>
      <c r="R766" s="575"/>
      <c r="S766" s="575"/>
      <c r="T766" s="575"/>
      <c r="U766" s="575"/>
      <c r="V766" s="575"/>
      <c r="W766" s="575"/>
      <c r="X766" s="575"/>
      <c r="Y766" s="575"/>
      <c r="Z766" s="575"/>
      <c r="AA766" s="575"/>
      <c r="AB766" s="575"/>
      <c r="AC766" s="575"/>
      <c r="AD766" s="575"/>
      <c r="AE766" s="575"/>
      <c r="AF766" s="575"/>
      <c r="AG766" s="575"/>
      <c r="AH766" s="575"/>
      <c r="AI766" s="575"/>
    </row>
    <row r="767" spans="1:35" x14ac:dyDescent="0.35">
      <c r="A767" s="575"/>
      <c r="B767" s="575"/>
      <c r="C767" s="575"/>
      <c r="D767" s="575"/>
      <c r="E767" s="575"/>
      <c r="F767" s="575"/>
      <c r="G767" s="575"/>
      <c r="H767" s="575"/>
      <c r="I767" s="575"/>
      <c r="J767" s="575"/>
      <c r="K767" s="575"/>
      <c r="L767" s="575"/>
      <c r="M767" s="575"/>
      <c r="N767" s="575"/>
      <c r="O767" s="575"/>
      <c r="P767" s="575"/>
      <c r="Q767" s="575"/>
      <c r="R767" s="575"/>
      <c r="S767" s="575"/>
      <c r="T767" s="575"/>
      <c r="U767" s="575"/>
      <c r="V767" s="575"/>
      <c r="W767" s="575"/>
      <c r="X767" s="575"/>
      <c r="Y767" s="575"/>
      <c r="Z767" s="575"/>
      <c r="AA767" s="575"/>
      <c r="AB767" s="575"/>
      <c r="AC767" s="575"/>
      <c r="AD767" s="575"/>
      <c r="AE767" s="575"/>
      <c r="AF767" s="575"/>
      <c r="AG767" s="575"/>
      <c r="AH767" s="575"/>
      <c r="AI767" s="575"/>
    </row>
    <row r="768" spans="1:35" x14ac:dyDescent="0.35">
      <c r="A768" s="575"/>
      <c r="B768" s="575"/>
      <c r="C768" s="575"/>
      <c r="D768" s="575"/>
      <c r="E768" s="575"/>
      <c r="F768" s="575"/>
      <c r="G768" s="575"/>
      <c r="H768" s="575"/>
      <c r="I768" s="575"/>
      <c r="J768" s="575"/>
      <c r="K768" s="575"/>
      <c r="L768" s="575"/>
      <c r="M768" s="575"/>
      <c r="N768" s="575"/>
      <c r="O768" s="575"/>
      <c r="P768" s="575"/>
      <c r="Q768" s="575"/>
      <c r="R768" s="575"/>
      <c r="S768" s="575"/>
      <c r="T768" s="575"/>
      <c r="U768" s="575"/>
      <c r="V768" s="575"/>
      <c r="W768" s="575"/>
      <c r="X768" s="575"/>
      <c r="Y768" s="575"/>
      <c r="Z768" s="575"/>
      <c r="AA768" s="575"/>
      <c r="AB768" s="575"/>
      <c r="AC768" s="575"/>
      <c r="AD768" s="575"/>
      <c r="AE768" s="575"/>
      <c r="AF768" s="575"/>
      <c r="AG768" s="575"/>
      <c r="AH768" s="575"/>
      <c r="AI768" s="575"/>
    </row>
    <row r="769" spans="1:35" x14ac:dyDescent="0.35">
      <c r="A769" s="575"/>
      <c r="B769" s="575"/>
      <c r="C769" s="575"/>
      <c r="D769" s="575"/>
      <c r="E769" s="575"/>
      <c r="F769" s="575"/>
      <c r="G769" s="575"/>
      <c r="H769" s="575"/>
      <c r="I769" s="575"/>
      <c r="J769" s="575"/>
      <c r="K769" s="575"/>
      <c r="L769" s="575"/>
      <c r="M769" s="575"/>
      <c r="N769" s="575"/>
      <c r="O769" s="575"/>
      <c r="P769" s="575"/>
      <c r="Q769" s="575"/>
      <c r="R769" s="575"/>
      <c r="S769" s="575"/>
      <c r="T769" s="575"/>
      <c r="U769" s="575"/>
      <c r="V769" s="575"/>
      <c r="W769" s="575"/>
      <c r="X769" s="575"/>
      <c r="Y769" s="575"/>
      <c r="Z769" s="575"/>
      <c r="AA769" s="575"/>
      <c r="AB769" s="575"/>
      <c r="AC769" s="575"/>
      <c r="AD769" s="575"/>
      <c r="AE769" s="575"/>
      <c r="AF769" s="575"/>
      <c r="AG769" s="575"/>
      <c r="AH769" s="575"/>
      <c r="AI769" s="575"/>
    </row>
    <row r="770" spans="1:35" x14ac:dyDescent="0.35">
      <c r="A770" s="575"/>
      <c r="B770" s="575"/>
      <c r="C770" s="575"/>
      <c r="D770" s="575"/>
      <c r="E770" s="575"/>
      <c r="F770" s="575"/>
      <c r="G770" s="575"/>
      <c r="H770" s="575"/>
      <c r="I770" s="575"/>
      <c r="J770" s="575"/>
      <c r="K770" s="575"/>
      <c r="L770" s="575"/>
      <c r="M770" s="575"/>
      <c r="N770" s="575"/>
      <c r="O770" s="575"/>
      <c r="P770" s="575"/>
      <c r="Q770" s="575"/>
      <c r="R770" s="575"/>
      <c r="S770" s="575"/>
      <c r="T770" s="575"/>
      <c r="U770" s="575"/>
      <c r="V770" s="575"/>
      <c r="W770" s="575"/>
      <c r="X770" s="575"/>
      <c r="Y770" s="575"/>
      <c r="Z770" s="575"/>
      <c r="AA770" s="575"/>
      <c r="AB770" s="575"/>
      <c r="AC770" s="575"/>
      <c r="AD770" s="575"/>
      <c r="AE770" s="575"/>
      <c r="AF770" s="575"/>
      <c r="AG770" s="575"/>
      <c r="AH770" s="575"/>
      <c r="AI770" s="575"/>
    </row>
    <row r="771" spans="1:35" x14ac:dyDescent="0.35">
      <c r="A771" s="575"/>
      <c r="B771" s="575"/>
      <c r="C771" s="575"/>
      <c r="D771" s="575"/>
      <c r="E771" s="575"/>
      <c r="F771" s="575"/>
      <c r="G771" s="575"/>
      <c r="H771" s="575"/>
      <c r="I771" s="575"/>
      <c r="J771" s="575"/>
      <c r="K771" s="575"/>
      <c r="L771" s="575"/>
      <c r="M771" s="575"/>
      <c r="N771" s="575"/>
      <c r="O771" s="575"/>
      <c r="P771" s="575"/>
      <c r="Q771" s="575"/>
      <c r="R771" s="575"/>
      <c r="S771" s="575"/>
      <c r="T771" s="575"/>
      <c r="U771" s="575"/>
      <c r="V771" s="575"/>
      <c r="W771" s="575"/>
      <c r="X771" s="575"/>
      <c r="Y771" s="575"/>
      <c r="Z771" s="575"/>
      <c r="AA771" s="575"/>
      <c r="AB771" s="575"/>
      <c r="AC771" s="575"/>
      <c r="AD771" s="575"/>
      <c r="AE771" s="575"/>
      <c r="AF771" s="575"/>
      <c r="AG771" s="575"/>
      <c r="AH771" s="575"/>
      <c r="AI771" s="575"/>
    </row>
    <row r="772" spans="1:35" x14ac:dyDescent="0.35">
      <c r="A772" s="575"/>
      <c r="B772" s="575"/>
      <c r="C772" s="575"/>
      <c r="D772" s="575"/>
      <c r="E772" s="575"/>
      <c r="F772" s="575"/>
      <c r="G772" s="575"/>
      <c r="H772" s="575"/>
      <c r="I772" s="575"/>
      <c r="J772" s="575"/>
      <c r="K772" s="575"/>
      <c r="L772" s="575"/>
      <c r="M772" s="575"/>
      <c r="N772" s="575"/>
      <c r="O772" s="575"/>
      <c r="P772" s="575"/>
      <c r="Q772" s="575"/>
      <c r="R772" s="575"/>
      <c r="S772" s="575"/>
      <c r="T772" s="575"/>
      <c r="U772" s="575"/>
      <c r="V772" s="575"/>
      <c r="W772" s="575"/>
      <c r="X772" s="575"/>
      <c r="Y772" s="575"/>
      <c r="Z772" s="575"/>
      <c r="AA772" s="575"/>
      <c r="AB772" s="575"/>
      <c r="AC772" s="575"/>
      <c r="AD772" s="575"/>
      <c r="AE772" s="575"/>
      <c r="AF772" s="575"/>
      <c r="AG772" s="575"/>
      <c r="AH772" s="575"/>
      <c r="AI772" s="575"/>
    </row>
    <row r="773" spans="1:35" x14ac:dyDescent="0.35">
      <c r="A773" s="575"/>
      <c r="B773" s="575"/>
      <c r="C773" s="575"/>
      <c r="D773" s="575"/>
      <c r="E773" s="575"/>
      <c r="F773" s="575"/>
      <c r="G773" s="575"/>
      <c r="H773" s="575"/>
      <c r="I773" s="575"/>
      <c r="J773" s="575"/>
      <c r="K773" s="575"/>
      <c r="L773" s="575"/>
      <c r="M773" s="575"/>
      <c r="N773" s="575"/>
      <c r="O773" s="575"/>
      <c r="P773" s="575"/>
      <c r="Q773" s="575"/>
      <c r="R773" s="575"/>
      <c r="S773" s="575"/>
      <c r="T773" s="575"/>
      <c r="U773" s="575"/>
      <c r="V773" s="575"/>
      <c r="W773" s="575"/>
      <c r="X773" s="575"/>
      <c r="Y773" s="575"/>
      <c r="Z773" s="575"/>
      <c r="AA773" s="575"/>
      <c r="AB773" s="575"/>
      <c r="AC773" s="575"/>
      <c r="AD773" s="575"/>
      <c r="AE773" s="575"/>
      <c r="AF773" s="575"/>
      <c r="AG773" s="575"/>
      <c r="AH773" s="575"/>
      <c r="AI773" s="575"/>
    </row>
    <row r="774" spans="1:35" x14ac:dyDescent="0.35">
      <c r="A774" s="575"/>
      <c r="B774" s="575"/>
      <c r="C774" s="575"/>
      <c r="D774" s="575"/>
      <c r="E774" s="575"/>
      <c r="F774" s="575"/>
      <c r="G774" s="575"/>
      <c r="H774" s="575"/>
      <c r="I774" s="575"/>
      <c r="J774" s="575"/>
      <c r="K774" s="575"/>
      <c r="L774" s="575"/>
      <c r="M774" s="575"/>
      <c r="N774" s="575"/>
      <c r="O774" s="575"/>
      <c r="P774" s="575"/>
      <c r="Q774" s="575"/>
      <c r="R774" s="575"/>
      <c r="S774" s="575"/>
      <c r="T774" s="575"/>
      <c r="U774" s="575"/>
      <c r="V774" s="575"/>
      <c r="W774" s="575"/>
      <c r="X774" s="575"/>
      <c r="Y774" s="575"/>
      <c r="Z774" s="575"/>
      <c r="AA774" s="575"/>
      <c r="AB774" s="575"/>
      <c r="AC774" s="575"/>
      <c r="AD774" s="575"/>
      <c r="AE774" s="575"/>
      <c r="AF774" s="575"/>
      <c r="AG774" s="575"/>
      <c r="AH774" s="575"/>
      <c r="AI774" s="575"/>
    </row>
    <row r="775" spans="1:35" x14ac:dyDescent="0.35">
      <c r="A775" s="575"/>
      <c r="B775" s="575"/>
      <c r="C775" s="575"/>
      <c r="D775" s="575"/>
      <c r="E775" s="575"/>
      <c r="F775" s="575"/>
      <c r="G775" s="575"/>
      <c r="H775" s="575"/>
      <c r="I775" s="575"/>
      <c r="J775" s="575"/>
      <c r="K775" s="575"/>
      <c r="L775" s="575"/>
      <c r="M775" s="575"/>
      <c r="N775" s="575"/>
      <c r="O775" s="575"/>
      <c r="P775" s="575"/>
      <c r="Q775" s="575"/>
      <c r="R775" s="575"/>
      <c r="S775" s="575"/>
      <c r="T775" s="575"/>
      <c r="U775" s="575"/>
      <c r="V775" s="575"/>
      <c r="W775" s="575"/>
      <c r="X775" s="575"/>
      <c r="Y775" s="575"/>
      <c r="Z775" s="575"/>
      <c r="AA775" s="575"/>
      <c r="AB775" s="575"/>
      <c r="AC775" s="575"/>
      <c r="AD775" s="575"/>
      <c r="AE775" s="575"/>
      <c r="AF775" s="575"/>
      <c r="AG775" s="575"/>
      <c r="AH775" s="575"/>
      <c r="AI775" s="575"/>
    </row>
    <row r="776" spans="1:35" x14ac:dyDescent="0.35">
      <c r="A776" s="575"/>
      <c r="B776" s="575"/>
      <c r="C776" s="575"/>
      <c r="D776" s="575"/>
      <c r="E776" s="575"/>
      <c r="F776" s="575"/>
      <c r="G776" s="575"/>
      <c r="H776" s="575"/>
      <c r="I776" s="575"/>
      <c r="J776" s="575"/>
      <c r="K776" s="575"/>
      <c r="L776" s="575"/>
      <c r="M776" s="575"/>
      <c r="N776" s="575"/>
      <c r="O776" s="575"/>
      <c r="P776" s="575"/>
      <c r="Q776" s="575"/>
      <c r="R776" s="575"/>
      <c r="S776" s="575"/>
      <c r="T776" s="575"/>
      <c r="U776" s="575"/>
      <c r="V776" s="575"/>
      <c r="W776" s="575"/>
      <c r="X776" s="575"/>
      <c r="Y776" s="575"/>
      <c r="Z776" s="575"/>
      <c r="AA776" s="575"/>
      <c r="AB776" s="575"/>
      <c r="AC776" s="575"/>
      <c r="AD776" s="575"/>
      <c r="AE776" s="575"/>
      <c r="AF776" s="575"/>
      <c r="AG776" s="575"/>
      <c r="AH776" s="575"/>
      <c r="AI776" s="575"/>
    </row>
    <row r="777" spans="1:35" x14ac:dyDescent="0.35">
      <c r="A777" s="575"/>
      <c r="B777" s="575"/>
      <c r="C777" s="575"/>
      <c r="D777" s="575"/>
      <c r="E777" s="575"/>
      <c r="F777" s="575"/>
      <c r="G777" s="575"/>
      <c r="H777" s="575"/>
      <c r="I777" s="575"/>
      <c r="J777" s="575"/>
      <c r="K777" s="575"/>
      <c r="L777" s="575"/>
      <c r="M777" s="575"/>
      <c r="N777" s="575"/>
      <c r="O777" s="575"/>
      <c r="P777" s="575"/>
      <c r="Q777" s="575"/>
      <c r="R777" s="575"/>
      <c r="S777" s="575"/>
      <c r="T777" s="575"/>
      <c r="U777" s="575"/>
      <c r="V777" s="575"/>
      <c r="W777" s="575"/>
      <c r="X777" s="575"/>
      <c r="Y777" s="575"/>
      <c r="Z777" s="575"/>
      <c r="AA777" s="575"/>
      <c r="AB777" s="575"/>
      <c r="AC777" s="575"/>
      <c r="AD777" s="575"/>
      <c r="AE777" s="575"/>
      <c r="AF777" s="575"/>
      <c r="AG777" s="575"/>
      <c r="AH777" s="575"/>
      <c r="AI777" s="575"/>
    </row>
    <row r="778" spans="1:35" x14ac:dyDescent="0.35">
      <c r="A778" s="575"/>
      <c r="B778" s="575"/>
      <c r="C778" s="575"/>
      <c r="D778" s="575"/>
      <c r="E778" s="575"/>
      <c r="F778" s="575"/>
      <c r="G778" s="575"/>
      <c r="H778" s="575"/>
      <c r="I778" s="575"/>
      <c r="J778" s="575"/>
      <c r="K778" s="575"/>
      <c r="L778" s="575"/>
      <c r="M778" s="575"/>
      <c r="N778" s="575"/>
      <c r="O778" s="575"/>
      <c r="P778" s="575"/>
      <c r="Q778" s="575"/>
      <c r="R778" s="575"/>
      <c r="S778" s="575"/>
      <c r="T778" s="575"/>
      <c r="U778" s="575"/>
      <c r="V778" s="575"/>
      <c r="W778" s="575"/>
      <c r="X778" s="575"/>
      <c r="Y778" s="575"/>
      <c r="Z778" s="575"/>
      <c r="AA778" s="575"/>
      <c r="AB778" s="575"/>
      <c r="AC778" s="575"/>
      <c r="AD778" s="575"/>
      <c r="AE778" s="575"/>
      <c r="AF778" s="575"/>
      <c r="AG778" s="575"/>
      <c r="AH778" s="575"/>
      <c r="AI778" s="575"/>
    </row>
    <row r="779" spans="1:35" x14ac:dyDescent="0.35">
      <c r="A779" s="575"/>
      <c r="B779" s="575"/>
      <c r="C779" s="575"/>
      <c r="D779" s="575"/>
      <c r="E779" s="575"/>
      <c r="F779" s="575"/>
      <c r="G779" s="575"/>
      <c r="H779" s="575"/>
      <c r="I779" s="575"/>
      <c r="J779" s="575"/>
      <c r="K779" s="575"/>
      <c r="L779" s="575"/>
      <c r="M779" s="575"/>
      <c r="N779" s="575"/>
      <c r="O779" s="575"/>
      <c r="P779" s="575"/>
      <c r="Q779" s="575"/>
      <c r="R779" s="575"/>
      <c r="S779" s="575"/>
      <c r="T779" s="575"/>
      <c r="U779" s="575"/>
      <c r="V779" s="575"/>
      <c r="W779" s="575"/>
      <c r="X779" s="575"/>
      <c r="Y779" s="575"/>
      <c r="Z779" s="575"/>
      <c r="AA779" s="575"/>
      <c r="AB779" s="575"/>
      <c r="AC779" s="575"/>
      <c r="AD779" s="575"/>
      <c r="AE779" s="575"/>
      <c r="AF779" s="575"/>
      <c r="AG779" s="575"/>
      <c r="AH779" s="575"/>
      <c r="AI779" s="575"/>
    </row>
    <row r="780" spans="1:35" x14ac:dyDescent="0.35">
      <c r="A780" s="575"/>
      <c r="B780" s="575"/>
      <c r="C780" s="575"/>
      <c r="D780" s="575"/>
      <c r="E780" s="575"/>
      <c r="F780" s="575"/>
      <c r="G780" s="575"/>
      <c r="H780" s="575"/>
      <c r="I780" s="575"/>
      <c r="J780" s="575"/>
      <c r="K780" s="575"/>
      <c r="L780" s="575"/>
      <c r="M780" s="575"/>
      <c r="N780" s="575"/>
      <c r="O780" s="575"/>
      <c r="P780" s="575"/>
      <c r="Q780" s="575"/>
      <c r="R780" s="575"/>
      <c r="S780" s="575"/>
      <c r="T780" s="575"/>
      <c r="U780" s="575"/>
      <c r="V780" s="575"/>
      <c r="W780" s="575"/>
      <c r="X780" s="575"/>
      <c r="Y780" s="575"/>
      <c r="Z780" s="575"/>
      <c r="AA780" s="575"/>
      <c r="AB780" s="575"/>
      <c r="AC780" s="575"/>
      <c r="AD780" s="575"/>
      <c r="AE780" s="575"/>
      <c r="AF780" s="575"/>
      <c r="AG780" s="575"/>
      <c r="AH780" s="575"/>
      <c r="AI780" s="575"/>
    </row>
    <row r="781" spans="1:35" x14ac:dyDescent="0.35">
      <c r="A781" s="575"/>
      <c r="B781" s="575"/>
      <c r="C781" s="575"/>
      <c r="D781" s="575"/>
      <c r="E781" s="575"/>
      <c r="F781" s="575"/>
      <c r="G781" s="575"/>
      <c r="H781" s="575"/>
      <c r="I781" s="575"/>
      <c r="J781" s="575"/>
      <c r="K781" s="575"/>
      <c r="L781" s="575"/>
      <c r="M781" s="575"/>
      <c r="N781" s="575"/>
      <c r="O781" s="575"/>
      <c r="P781" s="575"/>
      <c r="Q781" s="575"/>
      <c r="R781" s="575"/>
      <c r="S781" s="575"/>
      <c r="T781" s="575"/>
      <c r="U781" s="575"/>
      <c r="V781" s="575"/>
      <c r="W781" s="575"/>
      <c r="X781" s="575"/>
      <c r="Y781" s="575"/>
      <c r="Z781" s="575"/>
      <c r="AA781" s="575"/>
      <c r="AB781" s="575"/>
      <c r="AC781" s="575"/>
      <c r="AD781" s="575"/>
      <c r="AE781" s="575"/>
      <c r="AF781" s="575"/>
      <c r="AG781" s="575"/>
      <c r="AH781" s="575"/>
      <c r="AI781" s="575"/>
    </row>
    <row r="782" spans="1:35" x14ac:dyDescent="0.35">
      <c r="A782" s="575"/>
      <c r="B782" s="575"/>
      <c r="C782" s="575"/>
      <c r="D782" s="575"/>
      <c r="E782" s="575"/>
      <c r="F782" s="575"/>
      <c r="G782" s="575"/>
      <c r="H782" s="575"/>
      <c r="I782" s="575"/>
      <c r="J782" s="575"/>
      <c r="K782" s="575"/>
      <c r="L782" s="575"/>
      <c r="M782" s="575"/>
      <c r="N782" s="575"/>
      <c r="O782" s="575"/>
      <c r="P782" s="575"/>
      <c r="Q782" s="575"/>
      <c r="R782" s="575"/>
      <c r="S782" s="575"/>
      <c r="T782" s="575"/>
      <c r="U782" s="575"/>
      <c r="V782" s="575"/>
      <c r="W782" s="575"/>
      <c r="X782" s="575"/>
      <c r="Y782" s="575"/>
      <c r="Z782" s="575"/>
      <c r="AA782" s="575"/>
      <c r="AB782" s="575"/>
      <c r="AC782" s="575"/>
      <c r="AD782" s="575"/>
      <c r="AE782" s="575"/>
      <c r="AF782" s="575"/>
      <c r="AG782" s="575"/>
      <c r="AH782" s="575"/>
      <c r="AI782" s="575"/>
    </row>
    <row r="783" spans="1:35" x14ac:dyDescent="0.35">
      <c r="A783" s="575"/>
      <c r="B783" s="575"/>
      <c r="C783" s="575"/>
      <c r="D783" s="575"/>
      <c r="E783" s="575"/>
      <c r="F783" s="575"/>
      <c r="G783" s="575"/>
      <c r="H783" s="575"/>
      <c r="I783" s="575"/>
      <c r="J783" s="575"/>
      <c r="K783" s="575"/>
      <c r="L783" s="575"/>
      <c r="M783" s="575"/>
      <c r="N783" s="575"/>
      <c r="O783" s="575"/>
      <c r="P783" s="575"/>
      <c r="Q783" s="575"/>
      <c r="R783" s="575"/>
      <c r="S783" s="575"/>
      <c r="T783" s="575"/>
      <c r="U783" s="575"/>
      <c r="V783" s="575"/>
      <c r="W783" s="575"/>
      <c r="X783" s="575"/>
      <c r="Y783" s="575"/>
      <c r="Z783" s="575"/>
      <c r="AA783" s="575"/>
      <c r="AB783" s="575"/>
      <c r="AC783" s="575"/>
      <c r="AD783" s="575"/>
      <c r="AE783" s="575"/>
      <c r="AF783" s="575"/>
      <c r="AG783" s="575"/>
      <c r="AH783" s="575"/>
      <c r="AI783" s="575"/>
    </row>
    <row r="784" spans="1:35" x14ac:dyDescent="0.35">
      <c r="A784" s="575"/>
      <c r="B784" s="575"/>
      <c r="C784" s="575"/>
      <c r="D784" s="575"/>
      <c r="E784" s="575"/>
      <c r="F784" s="575"/>
      <c r="G784" s="575"/>
      <c r="H784" s="575"/>
      <c r="I784" s="575"/>
      <c r="J784" s="575"/>
      <c r="K784" s="575"/>
      <c r="L784" s="575"/>
      <c r="M784" s="575"/>
      <c r="N784" s="575"/>
      <c r="O784" s="575"/>
      <c r="P784" s="575"/>
      <c r="Q784" s="575"/>
      <c r="R784" s="575"/>
      <c r="S784" s="575"/>
      <c r="T784" s="575"/>
      <c r="U784" s="575"/>
      <c r="V784" s="575"/>
      <c r="W784" s="575"/>
      <c r="X784" s="575"/>
      <c r="Y784" s="575"/>
      <c r="Z784" s="575"/>
      <c r="AA784" s="575"/>
      <c r="AB784" s="575"/>
      <c r="AC784" s="575"/>
      <c r="AD784" s="575"/>
      <c r="AE784" s="575"/>
      <c r="AF784" s="575"/>
      <c r="AG784" s="575"/>
      <c r="AH784" s="575"/>
      <c r="AI784" s="575"/>
    </row>
    <row r="785" spans="1:35" x14ac:dyDescent="0.35">
      <c r="A785" s="575"/>
      <c r="B785" s="575"/>
      <c r="C785" s="575"/>
      <c r="D785" s="575"/>
      <c r="E785" s="575"/>
      <c r="F785" s="575"/>
      <c r="G785" s="575"/>
      <c r="H785" s="575"/>
      <c r="I785" s="575"/>
      <c r="J785" s="575"/>
      <c r="K785" s="575"/>
      <c r="L785" s="575"/>
      <c r="M785" s="575"/>
      <c r="N785" s="575"/>
      <c r="O785" s="575"/>
      <c r="P785" s="575"/>
      <c r="Q785" s="575"/>
      <c r="R785" s="575"/>
      <c r="S785" s="575"/>
      <c r="T785" s="575"/>
      <c r="U785" s="575"/>
      <c r="V785" s="575"/>
      <c r="W785" s="575"/>
      <c r="X785" s="575"/>
      <c r="Y785" s="575"/>
      <c r="Z785" s="575"/>
      <c r="AA785" s="575"/>
      <c r="AB785" s="575"/>
      <c r="AC785" s="575"/>
      <c r="AD785" s="575"/>
      <c r="AE785" s="575"/>
      <c r="AF785" s="575"/>
      <c r="AG785" s="575"/>
      <c r="AH785" s="575"/>
      <c r="AI785" s="575"/>
    </row>
    <row r="786" spans="1:35" x14ac:dyDescent="0.35">
      <c r="A786" s="575"/>
      <c r="B786" s="575"/>
      <c r="C786" s="575"/>
      <c r="D786" s="575"/>
      <c r="E786" s="575"/>
      <c r="F786" s="575"/>
      <c r="G786" s="575"/>
      <c r="H786" s="575"/>
      <c r="I786" s="575"/>
      <c r="J786" s="575"/>
      <c r="K786" s="575"/>
      <c r="L786" s="575"/>
      <c r="M786" s="575"/>
      <c r="N786" s="575"/>
      <c r="O786" s="575"/>
      <c r="P786" s="575"/>
      <c r="Q786" s="575"/>
      <c r="R786" s="575"/>
      <c r="S786" s="575"/>
      <c r="T786" s="575"/>
      <c r="U786" s="575"/>
      <c r="V786" s="575"/>
      <c r="W786" s="575"/>
      <c r="X786" s="575"/>
      <c r="Y786" s="575"/>
      <c r="Z786" s="575"/>
      <c r="AA786" s="575"/>
      <c r="AB786" s="575"/>
      <c r="AC786" s="575"/>
      <c r="AD786" s="575"/>
      <c r="AE786" s="575"/>
      <c r="AF786" s="575"/>
      <c r="AG786" s="575"/>
      <c r="AH786" s="575"/>
      <c r="AI786" s="575"/>
    </row>
    <row r="787" spans="1:35" x14ac:dyDescent="0.35">
      <c r="A787" s="575"/>
      <c r="B787" s="575"/>
      <c r="C787" s="575"/>
      <c r="D787" s="575"/>
      <c r="E787" s="575"/>
      <c r="F787" s="575"/>
      <c r="G787" s="575"/>
      <c r="H787" s="575"/>
      <c r="I787" s="575"/>
      <c r="J787" s="575"/>
      <c r="K787" s="575"/>
      <c r="L787" s="575"/>
      <c r="M787" s="575"/>
      <c r="N787" s="575"/>
      <c r="O787" s="575"/>
      <c r="P787" s="575"/>
      <c r="Q787" s="575"/>
      <c r="R787" s="575"/>
      <c r="S787" s="575"/>
      <c r="T787" s="575"/>
      <c r="U787" s="575"/>
      <c r="V787" s="575"/>
      <c r="W787" s="575"/>
      <c r="X787" s="575"/>
      <c r="Y787" s="575"/>
      <c r="Z787" s="575"/>
      <c r="AA787" s="575"/>
      <c r="AB787" s="575"/>
      <c r="AC787" s="575"/>
      <c r="AD787" s="575"/>
      <c r="AE787" s="575"/>
      <c r="AF787" s="575"/>
      <c r="AG787" s="575"/>
      <c r="AH787" s="575"/>
      <c r="AI787" s="575"/>
    </row>
    <row r="788" spans="1:35" x14ac:dyDescent="0.35">
      <c r="A788" s="575"/>
      <c r="B788" s="575"/>
      <c r="C788" s="575"/>
      <c r="D788" s="575"/>
      <c r="E788" s="575"/>
      <c r="F788" s="575"/>
      <c r="G788" s="575"/>
      <c r="H788" s="575"/>
      <c r="I788" s="575"/>
      <c r="J788" s="575"/>
      <c r="K788" s="575"/>
      <c r="L788" s="575"/>
      <c r="M788" s="575"/>
      <c r="N788" s="575"/>
      <c r="O788" s="575"/>
      <c r="P788" s="575"/>
      <c r="Q788" s="575"/>
      <c r="R788" s="575"/>
      <c r="S788" s="575"/>
      <c r="T788" s="575"/>
      <c r="U788" s="575"/>
      <c r="V788" s="575"/>
      <c r="W788" s="575"/>
      <c r="X788" s="575"/>
      <c r="Y788" s="575"/>
      <c r="Z788" s="575"/>
      <c r="AA788" s="575"/>
      <c r="AB788" s="575"/>
      <c r="AC788" s="575"/>
      <c r="AD788" s="575"/>
      <c r="AE788" s="575"/>
      <c r="AF788" s="575"/>
      <c r="AG788" s="575"/>
      <c r="AH788" s="575"/>
      <c r="AI788" s="575"/>
    </row>
    <row r="789" spans="1:35" x14ac:dyDescent="0.35">
      <c r="A789" s="575"/>
      <c r="B789" s="575"/>
      <c r="C789" s="575"/>
      <c r="D789" s="575"/>
      <c r="E789" s="575"/>
      <c r="F789" s="575"/>
      <c r="G789" s="575"/>
      <c r="H789" s="575"/>
      <c r="I789" s="575"/>
      <c r="J789" s="575"/>
      <c r="K789" s="575"/>
      <c r="L789" s="575"/>
      <c r="M789" s="575"/>
      <c r="N789" s="575"/>
      <c r="O789" s="575"/>
      <c r="P789" s="575"/>
      <c r="Q789" s="575"/>
      <c r="R789" s="575"/>
      <c r="S789" s="575"/>
      <c r="T789" s="575"/>
      <c r="U789" s="575"/>
      <c r="V789" s="575"/>
      <c r="W789" s="575"/>
      <c r="X789" s="575"/>
      <c r="Y789" s="575"/>
      <c r="Z789" s="575"/>
      <c r="AA789" s="575"/>
      <c r="AB789" s="575"/>
      <c r="AC789" s="575"/>
      <c r="AD789" s="575"/>
      <c r="AE789" s="575"/>
      <c r="AF789" s="575"/>
      <c r="AG789" s="575"/>
      <c r="AH789" s="575"/>
      <c r="AI789" s="575"/>
    </row>
    <row r="790" spans="1:35" x14ac:dyDescent="0.35">
      <c r="A790" s="575"/>
      <c r="B790" s="575"/>
      <c r="C790" s="575"/>
      <c r="D790" s="575"/>
      <c r="E790" s="575"/>
      <c r="F790" s="575"/>
      <c r="G790" s="575"/>
      <c r="H790" s="575"/>
      <c r="I790" s="575"/>
      <c r="J790" s="575"/>
      <c r="K790" s="575"/>
      <c r="L790" s="575"/>
      <c r="M790" s="575"/>
      <c r="N790" s="575"/>
      <c r="O790" s="575"/>
      <c r="P790" s="575"/>
      <c r="Q790" s="575"/>
      <c r="R790" s="575"/>
      <c r="S790" s="575"/>
      <c r="T790" s="575"/>
      <c r="U790" s="575"/>
      <c r="V790" s="575"/>
      <c r="W790" s="575"/>
      <c r="X790" s="575"/>
      <c r="Y790" s="575"/>
      <c r="Z790" s="575"/>
      <c r="AA790" s="575"/>
      <c r="AB790" s="575"/>
      <c r="AC790" s="575"/>
      <c r="AD790" s="575"/>
      <c r="AE790" s="575"/>
      <c r="AF790" s="575"/>
      <c r="AG790" s="575"/>
      <c r="AH790" s="575"/>
      <c r="AI790" s="575"/>
    </row>
    <row r="791" spans="1:35" x14ac:dyDescent="0.35">
      <c r="A791" s="575"/>
      <c r="B791" s="575"/>
      <c r="C791" s="575"/>
      <c r="D791" s="575"/>
      <c r="E791" s="575"/>
      <c r="F791" s="575"/>
      <c r="G791" s="575"/>
      <c r="H791" s="575"/>
      <c r="I791" s="575"/>
      <c r="J791" s="575"/>
      <c r="K791" s="575"/>
      <c r="L791" s="575"/>
      <c r="M791" s="575"/>
      <c r="N791" s="575"/>
      <c r="O791" s="575"/>
      <c r="P791" s="575"/>
      <c r="Q791" s="575"/>
      <c r="R791" s="575"/>
      <c r="S791" s="575"/>
      <c r="T791" s="575"/>
      <c r="U791" s="575"/>
      <c r="V791" s="575"/>
      <c r="W791" s="575"/>
      <c r="X791" s="575"/>
      <c r="Y791" s="575"/>
      <c r="Z791" s="575"/>
      <c r="AA791" s="575"/>
      <c r="AB791" s="575"/>
      <c r="AC791" s="575"/>
      <c r="AD791" s="575"/>
      <c r="AE791" s="575"/>
      <c r="AF791" s="575"/>
      <c r="AG791" s="575"/>
      <c r="AH791" s="575"/>
      <c r="AI791" s="575"/>
    </row>
    <row r="792" spans="1:35" x14ac:dyDescent="0.35">
      <c r="A792" s="575"/>
      <c r="B792" s="575"/>
      <c r="C792" s="575"/>
      <c r="D792" s="575"/>
      <c r="E792" s="575"/>
      <c r="F792" s="575"/>
      <c r="G792" s="575"/>
      <c r="H792" s="575"/>
      <c r="I792" s="575"/>
      <c r="J792" s="575"/>
      <c r="K792" s="575"/>
      <c r="L792" s="575"/>
      <c r="M792" s="575"/>
      <c r="N792" s="575"/>
      <c r="O792" s="575"/>
      <c r="P792" s="575"/>
      <c r="Q792" s="575"/>
      <c r="R792" s="575"/>
      <c r="S792" s="575"/>
      <c r="T792" s="575"/>
      <c r="U792" s="575"/>
      <c r="V792" s="575"/>
      <c r="W792" s="575"/>
      <c r="X792" s="575"/>
      <c r="Y792" s="575"/>
      <c r="Z792" s="575"/>
      <c r="AA792" s="575"/>
      <c r="AB792" s="575"/>
      <c r="AC792" s="575"/>
      <c r="AD792" s="575"/>
      <c r="AE792" s="575"/>
      <c r="AF792" s="575"/>
      <c r="AG792" s="575"/>
      <c r="AH792" s="575"/>
      <c r="AI792" s="575"/>
    </row>
    <row r="793" spans="1:35" x14ac:dyDescent="0.35">
      <c r="A793" s="575"/>
      <c r="B793" s="575"/>
      <c r="C793" s="575"/>
      <c r="D793" s="575"/>
      <c r="E793" s="575"/>
      <c r="F793" s="575"/>
      <c r="G793" s="575"/>
      <c r="H793" s="575"/>
      <c r="I793" s="575"/>
      <c r="J793" s="575"/>
      <c r="K793" s="575"/>
      <c r="L793" s="575"/>
      <c r="M793" s="575"/>
      <c r="N793" s="575"/>
      <c r="O793" s="575"/>
      <c r="P793" s="575"/>
      <c r="Q793" s="575"/>
      <c r="R793" s="575"/>
      <c r="S793" s="575"/>
      <c r="T793" s="575"/>
      <c r="U793" s="575"/>
      <c r="V793" s="575"/>
      <c r="W793" s="575"/>
      <c r="X793" s="575"/>
      <c r="Y793" s="575"/>
      <c r="Z793" s="575"/>
      <c r="AA793" s="575"/>
      <c r="AB793" s="575"/>
      <c r="AC793" s="575"/>
      <c r="AD793" s="575"/>
      <c r="AE793" s="575"/>
      <c r="AF793" s="575"/>
      <c r="AG793" s="575"/>
      <c r="AH793" s="575"/>
      <c r="AI793" s="575"/>
    </row>
    <row r="794" spans="1:35" x14ac:dyDescent="0.35">
      <c r="A794" s="575"/>
      <c r="B794" s="575"/>
      <c r="C794" s="575"/>
      <c r="D794" s="575"/>
      <c r="E794" s="575"/>
      <c r="F794" s="575"/>
      <c r="G794" s="575"/>
      <c r="H794" s="575"/>
      <c r="I794" s="575"/>
      <c r="J794" s="575"/>
      <c r="K794" s="575"/>
      <c r="L794" s="575"/>
      <c r="M794" s="575"/>
      <c r="N794" s="575"/>
      <c r="O794" s="575"/>
      <c r="P794" s="575"/>
      <c r="Q794" s="575"/>
      <c r="R794" s="575"/>
      <c r="S794" s="575"/>
      <c r="T794" s="575"/>
      <c r="U794" s="575"/>
      <c r="V794" s="575"/>
      <c r="W794" s="575"/>
      <c r="X794" s="575"/>
      <c r="Y794" s="575"/>
      <c r="Z794" s="575"/>
      <c r="AA794" s="575"/>
      <c r="AB794" s="575"/>
      <c r="AC794" s="575"/>
      <c r="AD794" s="575"/>
      <c r="AE794" s="575"/>
      <c r="AF794" s="575"/>
      <c r="AG794" s="575"/>
      <c r="AH794" s="575"/>
      <c r="AI794" s="575"/>
    </row>
    <row r="795" spans="1:35" x14ac:dyDescent="0.35">
      <c r="A795" s="575"/>
      <c r="B795" s="575"/>
      <c r="C795" s="575"/>
      <c r="D795" s="575"/>
      <c r="E795" s="575"/>
      <c r="F795" s="575"/>
      <c r="G795" s="575"/>
      <c r="H795" s="575"/>
      <c r="I795" s="575"/>
      <c r="J795" s="575"/>
      <c r="K795" s="575"/>
      <c r="L795" s="575"/>
      <c r="M795" s="575"/>
      <c r="N795" s="575"/>
      <c r="O795" s="575"/>
      <c r="P795" s="575"/>
      <c r="Q795" s="575"/>
      <c r="R795" s="575"/>
      <c r="S795" s="575"/>
      <c r="T795" s="575"/>
      <c r="U795" s="575"/>
      <c r="V795" s="575"/>
      <c r="W795" s="575"/>
      <c r="X795" s="575"/>
      <c r="Y795" s="575"/>
      <c r="Z795" s="575"/>
      <c r="AA795" s="575"/>
      <c r="AB795" s="575"/>
      <c r="AC795" s="575"/>
      <c r="AD795" s="575"/>
      <c r="AE795" s="575"/>
      <c r="AF795" s="575"/>
      <c r="AG795" s="575"/>
      <c r="AH795" s="575"/>
      <c r="AI795" s="575"/>
    </row>
    <row r="796" spans="1:35" x14ac:dyDescent="0.35">
      <c r="A796" s="575"/>
      <c r="B796" s="575"/>
      <c r="C796" s="575"/>
      <c r="D796" s="575"/>
      <c r="E796" s="575"/>
      <c r="F796" s="575"/>
      <c r="G796" s="575"/>
      <c r="H796" s="575"/>
      <c r="I796" s="575"/>
      <c r="J796" s="575"/>
      <c r="K796" s="575"/>
      <c r="L796" s="575"/>
      <c r="M796" s="575"/>
      <c r="N796" s="575"/>
      <c r="O796" s="575"/>
      <c r="P796" s="575"/>
      <c r="Q796" s="575"/>
      <c r="R796" s="575"/>
      <c r="S796" s="575"/>
      <c r="T796" s="575"/>
      <c r="U796" s="575"/>
      <c r="V796" s="575"/>
      <c r="W796" s="575"/>
      <c r="X796" s="575"/>
      <c r="Y796" s="575"/>
      <c r="Z796" s="575"/>
      <c r="AA796" s="575"/>
      <c r="AB796" s="575"/>
      <c r="AC796" s="575"/>
      <c r="AD796" s="575"/>
      <c r="AE796" s="575"/>
      <c r="AF796" s="575"/>
      <c r="AG796" s="575"/>
      <c r="AH796" s="575"/>
      <c r="AI796" s="575"/>
    </row>
    <row r="797" spans="1:35" x14ac:dyDescent="0.35">
      <c r="A797" s="575"/>
      <c r="B797" s="575"/>
      <c r="C797" s="575"/>
      <c r="D797" s="575"/>
      <c r="E797" s="575"/>
      <c r="F797" s="575"/>
      <c r="G797" s="575"/>
      <c r="H797" s="575"/>
      <c r="I797" s="575"/>
      <c r="J797" s="575"/>
      <c r="K797" s="575"/>
      <c r="L797" s="575"/>
      <c r="M797" s="575"/>
      <c r="N797" s="575"/>
      <c r="O797" s="575"/>
      <c r="P797" s="575"/>
      <c r="Q797" s="575"/>
      <c r="R797" s="575"/>
      <c r="S797" s="575"/>
      <c r="T797" s="575"/>
      <c r="U797" s="575"/>
      <c r="V797" s="575"/>
      <c r="W797" s="575"/>
      <c r="X797" s="575"/>
      <c r="Y797" s="575"/>
      <c r="Z797" s="575"/>
      <c r="AA797" s="575"/>
      <c r="AB797" s="575"/>
      <c r="AC797" s="575"/>
      <c r="AD797" s="575"/>
      <c r="AE797" s="575"/>
      <c r="AF797" s="575"/>
      <c r="AG797" s="575"/>
      <c r="AH797" s="575"/>
      <c r="AI797" s="575"/>
    </row>
    <row r="798" spans="1:35" x14ac:dyDescent="0.35">
      <c r="A798" s="575"/>
      <c r="B798" s="575"/>
      <c r="C798" s="575"/>
      <c r="D798" s="575"/>
      <c r="E798" s="575"/>
      <c r="F798" s="575"/>
      <c r="G798" s="575"/>
      <c r="H798" s="575"/>
      <c r="I798" s="575"/>
      <c r="J798" s="575"/>
      <c r="K798" s="575"/>
      <c r="L798" s="575"/>
      <c r="M798" s="575"/>
      <c r="N798" s="575"/>
      <c r="O798" s="575"/>
      <c r="P798" s="575"/>
      <c r="Q798" s="575"/>
      <c r="R798" s="575"/>
      <c r="S798" s="575"/>
      <c r="T798" s="575"/>
      <c r="U798" s="575"/>
      <c r="V798" s="575"/>
      <c r="W798" s="575"/>
      <c r="X798" s="575"/>
      <c r="Y798" s="575"/>
      <c r="Z798" s="575"/>
      <c r="AA798" s="575"/>
      <c r="AB798" s="575"/>
      <c r="AC798" s="575"/>
      <c r="AD798" s="575"/>
      <c r="AE798" s="575"/>
      <c r="AF798" s="575"/>
      <c r="AG798" s="575"/>
      <c r="AH798" s="575"/>
      <c r="AI798" s="575"/>
    </row>
    <row r="799" spans="1:35" x14ac:dyDescent="0.35">
      <c r="A799" s="575"/>
      <c r="B799" s="575"/>
      <c r="C799" s="575"/>
      <c r="D799" s="575"/>
      <c r="E799" s="575"/>
      <c r="F799" s="575"/>
      <c r="G799" s="575"/>
      <c r="H799" s="575"/>
      <c r="I799" s="575"/>
      <c r="J799" s="575"/>
      <c r="K799" s="575"/>
      <c r="L799" s="575"/>
      <c r="M799" s="575"/>
      <c r="N799" s="575"/>
      <c r="O799" s="575"/>
      <c r="P799" s="575"/>
      <c r="Q799" s="575"/>
      <c r="R799" s="575"/>
      <c r="S799" s="575"/>
      <c r="T799" s="575"/>
      <c r="U799" s="575"/>
      <c r="V799" s="575"/>
      <c r="W799" s="575"/>
      <c r="X799" s="575"/>
      <c r="Y799" s="575"/>
      <c r="Z799" s="575"/>
      <c r="AA799" s="575"/>
      <c r="AB799" s="575"/>
      <c r="AC799" s="575"/>
      <c r="AD799" s="575"/>
      <c r="AE799" s="575"/>
      <c r="AF799" s="575"/>
      <c r="AG799" s="575"/>
      <c r="AH799" s="575"/>
      <c r="AI799" s="575"/>
    </row>
    <row r="800" spans="1:35" x14ac:dyDescent="0.35">
      <c r="A800" s="575"/>
      <c r="B800" s="575"/>
      <c r="C800" s="575"/>
      <c r="D800" s="575"/>
      <c r="E800" s="575"/>
      <c r="F800" s="575"/>
      <c r="G800" s="575"/>
      <c r="H800" s="575"/>
      <c r="I800" s="575"/>
      <c r="J800" s="575"/>
      <c r="K800" s="575"/>
      <c r="L800" s="575"/>
      <c r="M800" s="575"/>
      <c r="N800" s="575"/>
      <c r="O800" s="575"/>
      <c r="P800" s="575"/>
      <c r="Q800" s="575"/>
      <c r="R800" s="575"/>
      <c r="S800" s="575"/>
      <c r="T800" s="575"/>
      <c r="U800" s="575"/>
      <c r="V800" s="575"/>
      <c r="W800" s="575"/>
      <c r="X800" s="575"/>
      <c r="Y800" s="575"/>
      <c r="Z800" s="575"/>
      <c r="AA800" s="575"/>
      <c r="AB800" s="575"/>
      <c r="AC800" s="575"/>
      <c r="AD800" s="575"/>
      <c r="AE800" s="575"/>
      <c r="AF800" s="575"/>
      <c r="AG800" s="575"/>
      <c r="AH800" s="575"/>
      <c r="AI800" s="575"/>
    </row>
    <row r="801" spans="3:24" x14ac:dyDescent="0.35">
      <c r="C801" s="575"/>
      <c r="D801" s="575"/>
      <c r="E801" s="575"/>
      <c r="F801" s="575"/>
      <c r="G801" s="575"/>
      <c r="H801" s="575"/>
      <c r="I801" s="575"/>
      <c r="J801" s="575"/>
      <c r="K801" s="575"/>
      <c r="L801" s="575"/>
      <c r="M801" s="575"/>
      <c r="N801" s="575"/>
      <c r="O801" s="575"/>
      <c r="P801" s="575"/>
      <c r="Q801" s="575"/>
      <c r="R801" s="575"/>
      <c r="S801" s="575"/>
      <c r="T801" s="575"/>
      <c r="U801" s="575"/>
      <c r="V801" s="575"/>
      <c r="W801" s="575"/>
      <c r="X801" s="575"/>
    </row>
    <row r="802" spans="3:24" x14ac:dyDescent="0.35">
      <c r="C802" s="575"/>
      <c r="D802" s="575"/>
      <c r="E802" s="575"/>
      <c r="F802" s="575"/>
      <c r="G802" s="575"/>
      <c r="H802" s="575"/>
      <c r="I802" s="575"/>
      <c r="J802" s="575"/>
      <c r="K802" s="575"/>
      <c r="L802" s="575"/>
      <c r="M802" s="575"/>
      <c r="N802" s="575"/>
      <c r="O802" s="575"/>
      <c r="P802" s="575"/>
      <c r="Q802" s="575"/>
      <c r="R802" s="575"/>
      <c r="S802" s="575"/>
      <c r="T802" s="575"/>
      <c r="U802" s="575"/>
      <c r="V802" s="575"/>
      <c r="W802" s="575"/>
      <c r="X802" s="575"/>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40" zoomScale="70" zoomScaleNormal="70" zoomScalePageLayoutView="115" workbookViewId="0">
      <selection activeCell="F76" sqref="F76"/>
    </sheetView>
  </sheetViews>
  <sheetFormatPr defaultColWidth="9.109375" defaultRowHeight="15" x14ac:dyDescent="0.35"/>
  <cols>
    <col min="1" max="1" width="4.77734375" style="88" customWidth="1"/>
    <col min="2" max="2" width="17.77734375" style="88" customWidth="1"/>
    <col min="3" max="6" width="13.109375" style="88" customWidth="1"/>
    <col min="7" max="7" width="8.44140625" style="88" customWidth="1"/>
    <col min="8" max="8" width="7.6640625" style="88" customWidth="1"/>
    <col min="9" max="9" width="7.77734375" style="88" customWidth="1"/>
    <col min="10" max="10" width="14.77734375" style="88" customWidth="1"/>
    <col min="11" max="11" width="7" style="88" customWidth="1"/>
    <col min="12" max="12" width="7.44140625" style="88" customWidth="1"/>
    <col min="13" max="13" width="6.77734375" style="88" customWidth="1"/>
    <col min="14" max="14" width="6.44140625" style="88" customWidth="1"/>
    <col min="15" max="15" width="12.6640625" style="88" customWidth="1"/>
    <col min="16" max="18" width="6.44140625" style="88" customWidth="1"/>
    <col min="19" max="19" width="6.6640625" style="88" customWidth="1"/>
    <col min="20" max="20" width="7" style="88" customWidth="1"/>
    <col min="21" max="21" width="6.44140625" style="88" customWidth="1"/>
    <col min="22" max="23" width="6.6640625" style="88" customWidth="1"/>
    <col min="24" max="24" width="6.77734375" style="88" customWidth="1"/>
    <col min="25" max="25" width="6.6640625" style="88" customWidth="1"/>
    <col min="26" max="26" width="6.44140625" style="88" customWidth="1"/>
    <col min="27" max="27" width="18.77734375" style="88" customWidth="1"/>
    <col min="28" max="28" width="70" style="88" customWidth="1"/>
    <col min="29" max="29" width="6.33203125" style="88" customWidth="1"/>
    <col min="30" max="30" width="12.109375" style="88" customWidth="1"/>
    <col min="31" max="31" width="11.77734375" style="88" customWidth="1"/>
    <col min="32" max="34" width="6.109375" style="88" bestFit="1" customWidth="1"/>
    <col min="35" max="39" width="6.44140625" style="88" bestFit="1" customWidth="1"/>
    <col min="40" max="40" width="6.77734375" style="88" customWidth="1"/>
    <col min="41" max="41" width="6.44140625" style="88" customWidth="1"/>
    <col min="42" max="46" width="6.44140625" style="88" bestFit="1" customWidth="1"/>
    <col min="47" max="50" width="6.44140625" style="96" bestFit="1" customWidth="1"/>
    <col min="51" max="51" width="14.109375" style="88" customWidth="1"/>
    <col min="52" max="52" width="18.33203125" style="88" customWidth="1"/>
    <col min="53" max="53" width="16.77734375" style="88" customWidth="1"/>
    <col min="54" max="58" width="9.109375" style="88"/>
    <col min="59" max="121" width="9.109375" style="195"/>
    <col min="122" max="16384" width="9.109375" style="88"/>
  </cols>
  <sheetData>
    <row r="1" spans="1:58" x14ac:dyDescent="0.35">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x14ac:dyDescent="0.55000000000000004">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42" t="s">
        <v>359</v>
      </c>
      <c r="AO2" s="86"/>
      <c r="AP2" s="86"/>
      <c r="AQ2" s="86"/>
      <c r="AR2" s="86"/>
      <c r="AS2" s="86"/>
      <c r="AT2" s="86"/>
      <c r="AU2" s="87"/>
      <c r="AV2" s="87"/>
      <c r="AW2" s="87"/>
      <c r="AX2" s="87"/>
      <c r="AY2" s="86"/>
      <c r="AZ2" s="86"/>
      <c r="BA2" s="86"/>
      <c r="BB2" s="86"/>
      <c r="BC2" s="86"/>
      <c r="BD2" s="86"/>
      <c r="BE2" s="86"/>
      <c r="BF2" s="86"/>
    </row>
    <row r="3" spans="1:58" ht="29.25" customHeight="1" thickBot="1" x14ac:dyDescent="0.45">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80"/>
      <c r="AF3" s="480"/>
      <c r="AG3" s="480"/>
      <c r="AH3" s="480"/>
      <c r="AI3" s="480"/>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x14ac:dyDescent="0.45">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399999999999999" thickTop="1" thickBot="1" x14ac:dyDescent="0.4">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123">
        <v>1</v>
      </c>
      <c r="AG5" s="123">
        <v>1</v>
      </c>
      <c r="AH5" s="123">
        <v>1</v>
      </c>
      <c r="AI5" s="123">
        <v>1</v>
      </c>
      <c r="AJ5" s="123">
        <v>1</v>
      </c>
      <c r="AK5" s="123">
        <v>1</v>
      </c>
      <c r="AL5" s="123">
        <v>1</v>
      </c>
      <c r="AM5" s="123">
        <v>1</v>
      </c>
      <c r="AN5" s="123">
        <v>1</v>
      </c>
      <c r="AO5" s="123">
        <v>1</v>
      </c>
      <c r="AP5" s="123">
        <v>1</v>
      </c>
      <c r="AQ5" s="123">
        <v>1</v>
      </c>
      <c r="AR5" s="123">
        <v>1</v>
      </c>
      <c r="AS5" s="123">
        <v>1</v>
      </c>
      <c r="AT5" s="123">
        <v>1</v>
      </c>
      <c r="AU5" s="123">
        <v>1</v>
      </c>
      <c r="AV5" s="123">
        <v>1</v>
      </c>
      <c r="AW5" s="123">
        <v>1</v>
      </c>
      <c r="AX5" s="123">
        <v>1</v>
      </c>
      <c r="AY5" s="85"/>
      <c r="AZ5" s="85"/>
      <c r="BA5" s="85"/>
      <c r="BB5" s="85"/>
      <c r="BC5" s="86"/>
      <c r="BD5" s="86"/>
      <c r="BE5" s="86"/>
      <c r="BF5" s="86"/>
    </row>
    <row r="6" spans="1:58" ht="21.6" thickTop="1" thickBot="1" x14ac:dyDescent="0.4">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123">
        <v>1</v>
      </c>
      <c r="AG6" s="123">
        <v>1</v>
      </c>
      <c r="AH6" s="123">
        <v>1</v>
      </c>
      <c r="AI6" s="123">
        <v>1</v>
      </c>
      <c r="AJ6" s="123">
        <v>1</v>
      </c>
      <c r="AK6" s="123">
        <v>1</v>
      </c>
      <c r="AL6" s="123">
        <v>1</v>
      </c>
      <c r="AM6" s="123">
        <v>1</v>
      </c>
      <c r="AN6" s="123">
        <v>1</v>
      </c>
      <c r="AO6" s="123">
        <v>1</v>
      </c>
      <c r="AP6" s="123">
        <v>1</v>
      </c>
      <c r="AQ6" s="123">
        <v>1</v>
      </c>
      <c r="AR6" s="123">
        <v>1</v>
      </c>
      <c r="AS6" s="123">
        <v>1</v>
      </c>
      <c r="AT6" s="123">
        <v>1</v>
      </c>
      <c r="AU6" s="123">
        <v>1</v>
      </c>
      <c r="AV6" s="123">
        <v>1</v>
      </c>
      <c r="AW6" s="123">
        <v>1</v>
      </c>
      <c r="AX6" s="123">
        <v>1</v>
      </c>
      <c r="AY6" s="85"/>
      <c r="AZ6" s="85"/>
      <c r="BA6" s="85"/>
      <c r="BB6" s="85"/>
      <c r="BC6" s="86"/>
      <c r="BD6" s="86"/>
      <c r="BE6" s="86"/>
      <c r="BF6" s="86"/>
    </row>
    <row r="7" spans="1:58" ht="17.399999999999999" thickTop="1" thickBot="1" x14ac:dyDescent="0.4">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123">
        <v>1</v>
      </c>
      <c r="AG7" s="123">
        <v>1</v>
      </c>
      <c r="AH7" s="123">
        <v>1</v>
      </c>
      <c r="AI7" s="123">
        <v>1</v>
      </c>
      <c r="AJ7" s="123">
        <v>1</v>
      </c>
      <c r="AK7" s="123">
        <v>1</v>
      </c>
      <c r="AL7" s="123">
        <v>1</v>
      </c>
      <c r="AM7" s="123">
        <v>1</v>
      </c>
      <c r="AN7" s="123">
        <v>1</v>
      </c>
      <c r="AO7" s="123">
        <v>1</v>
      </c>
      <c r="AP7" s="123">
        <v>1</v>
      </c>
      <c r="AQ7" s="123">
        <v>1</v>
      </c>
      <c r="AR7" s="123">
        <v>1</v>
      </c>
      <c r="AS7" s="123">
        <v>1</v>
      </c>
      <c r="AT7" s="123">
        <v>1</v>
      </c>
      <c r="AU7" s="123">
        <v>1</v>
      </c>
      <c r="AV7" s="123">
        <v>1</v>
      </c>
      <c r="AW7" s="123">
        <v>1</v>
      </c>
      <c r="AX7" s="123">
        <v>1</v>
      </c>
      <c r="AY7" s="85"/>
      <c r="AZ7" s="85"/>
      <c r="BA7" s="85"/>
      <c r="BB7" s="85"/>
      <c r="BC7" s="86"/>
      <c r="BD7" s="86"/>
      <c r="BE7" s="86"/>
      <c r="BF7" s="86"/>
    </row>
    <row r="8" spans="1:58" ht="17.399999999999999" thickTop="1" thickBot="1" x14ac:dyDescent="0.4">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529" t="s">
        <v>280</v>
      </c>
      <c r="Z8" s="314"/>
      <c r="AA8" s="314"/>
      <c r="AB8" s="315"/>
      <c r="AC8" s="85"/>
      <c r="AD8" s="254" t="s">
        <v>130</v>
      </c>
      <c r="AE8" s="259" t="s">
        <v>137</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85"/>
      <c r="AZ8" s="85"/>
      <c r="BA8" s="85"/>
      <c r="BB8" s="85"/>
      <c r="BC8" s="86"/>
      <c r="BD8" s="86"/>
      <c r="BE8" s="86"/>
      <c r="BF8" s="86"/>
    </row>
    <row r="9" spans="1:58" ht="16.8" thickTop="1" x14ac:dyDescent="0.35">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123">
        <v>2</v>
      </c>
      <c r="AG9" s="123">
        <v>2</v>
      </c>
      <c r="AH9" s="123">
        <v>2</v>
      </c>
      <c r="AI9" s="123">
        <v>2</v>
      </c>
      <c r="AJ9" s="123">
        <v>2</v>
      </c>
      <c r="AK9" s="123">
        <v>2</v>
      </c>
      <c r="AL9" s="123">
        <v>2</v>
      </c>
      <c r="AM9" s="123">
        <v>2</v>
      </c>
      <c r="AN9" s="123">
        <v>2</v>
      </c>
      <c r="AO9" s="123">
        <v>2</v>
      </c>
      <c r="AP9" s="123">
        <v>2</v>
      </c>
      <c r="AQ9" s="123">
        <v>2</v>
      </c>
      <c r="AR9" s="123">
        <v>2</v>
      </c>
      <c r="AS9" s="123">
        <v>2</v>
      </c>
      <c r="AT9" s="123">
        <v>2</v>
      </c>
      <c r="AU9" s="123">
        <v>2</v>
      </c>
      <c r="AV9" s="123">
        <v>2</v>
      </c>
      <c r="AW9" s="123">
        <v>2</v>
      </c>
      <c r="AX9" s="123">
        <v>2</v>
      </c>
      <c r="AY9" s="85"/>
      <c r="AZ9" s="85"/>
      <c r="BA9" s="85"/>
      <c r="BB9" s="85"/>
      <c r="BC9" s="86"/>
      <c r="BD9" s="86"/>
      <c r="BE9" s="86"/>
      <c r="BF9" s="86"/>
    </row>
    <row r="10" spans="1:58" ht="16.2" x14ac:dyDescent="0.3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123">
        <v>2</v>
      </c>
      <c r="AG10" s="123">
        <v>2</v>
      </c>
      <c r="AH10" s="123">
        <v>2</v>
      </c>
      <c r="AI10" s="123">
        <v>2</v>
      </c>
      <c r="AJ10" s="123">
        <v>2</v>
      </c>
      <c r="AK10" s="123">
        <v>2</v>
      </c>
      <c r="AL10" s="123">
        <v>2</v>
      </c>
      <c r="AM10" s="123">
        <v>2</v>
      </c>
      <c r="AN10" s="123">
        <v>2</v>
      </c>
      <c r="AO10" s="123">
        <v>2</v>
      </c>
      <c r="AP10" s="123">
        <v>2</v>
      </c>
      <c r="AQ10" s="123">
        <v>2</v>
      </c>
      <c r="AR10" s="123">
        <v>2</v>
      </c>
      <c r="AS10" s="123">
        <v>2</v>
      </c>
      <c r="AT10" s="123">
        <v>2</v>
      </c>
      <c r="AU10" s="123">
        <v>2</v>
      </c>
      <c r="AV10" s="123">
        <v>2</v>
      </c>
      <c r="AW10" s="123">
        <v>2</v>
      </c>
      <c r="AX10" s="123">
        <v>2</v>
      </c>
      <c r="AY10" s="85"/>
      <c r="AZ10" s="85"/>
      <c r="BA10" s="85"/>
      <c r="BB10" s="85"/>
      <c r="BC10" s="86"/>
      <c r="BD10" s="86"/>
      <c r="BE10" s="86"/>
      <c r="BF10" s="86"/>
    </row>
    <row r="11" spans="1:58" ht="16.2" x14ac:dyDescent="0.3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123">
        <v>3</v>
      </c>
      <c r="AG11" s="123">
        <v>3</v>
      </c>
      <c r="AH11" s="123">
        <v>3</v>
      </c>
      <c r="AI11" s="123">
        <v>3</v>
      </c>
      <c r="AJ11" s="123">
        <v>3</v>
      </c>
      <c r="AK11" s="123">
        <v>3</v>
      </c>
      <c r="AL11" s="123">
        <v>3</v>
      </c>
      <c r="AM11" s="123">
        <v>3</v>
      </c>
      <c r="AN11" s="123">
        <v>3</v>
      </c>
      <c r="AO11" s="123">
        <v>3</v>
      </c>
      <c r="AP11" s="123">
        <v>3</v>
      </c>
      <c r="AQ11" s="123">
        <v>3</v>
      </c>
      <c r="AR11" s="123">
        <v>3</v>
      </c>
      <c r="AS11" s="123">
        <v>3</v>
      </c>
      <c r="AT11" s="123">
        <v>3</v>
      </c>
      <c r="AU11" s="123">
        <v>3</v>
      </c>
      <c r="AV11" s="123">
        <v>3</v>
      </c>
      <c r="AW11" s="123">
        <v>3</v>
      </c>
      <c r="AX11" s="123">
        <v>3</v>
      </c>
      <c r="AY11" s="85"/>
      <c r="AZ11" s="85"/>
      <c r="BA11" s="85"/>
      <c r="BB11" s="85"/>
      <c r="BC11" s="86"/>
      <c r="BD11" s="86"/>
      <c r="BE11" s="86"/>
      <c r="BF11" s="86"/>
    </row>
    <row r="12" spans="1:58" ht="16.2" x14ac:dyDescent="0.35">
      <c r="A12" s="97"/>
      <c r="B12" s="254" t="s">
        <v>132</v>
      </c>
      <c r="C12" s="259" t="s">
        <v>137</v>
      </c>
      <c r="D12" s="123">
        <v>2</v>
      </c>
      <c r="E12" s="123">
        <v>2</v>
      </c>
      <c r="F12" s="123">
        <v>2</v>
      </c>
      <c r="G12" s="123">
        <v>4</v>
      </c>
      <c r="H12" s="123">
        <v>4</v>
      </c>
      <c r="I12" s="123">
        <v>4</v>
      </c>
      <c r="J12" s="123">
        <v>4</v>
      </c>
      <c r="K12" s="123">
        <v>6</v>
      </c>
      <c r="L12" s="123">
        <v>6</v>
      </c>
      <c r="M12" s="123">
        <v>6</v>
      </c>
      <c r="N12" s="123">
        <v>6</v>
      </c>
      <c r="O12" s="123">
        <v>6</v>
      </c>
      <c r="P12" s="123">
        <v>6</v>
      </c>
      <c r="Q12" s="123">
        <v>6</v>
      </c>
      <c r="R12" s="123">
        <v>6</v>
      </c>
      <c r="S12" s="123">
        <v>6</v>
      </c>
      <c r="T12" s="123">
        <v>6</v>
      </c>
      <c r="U12" s="123">
        <v>6</v>
      </c>
      <c r="V12" s="253">
        <v>6</v>
      </c>
      <c r="W12" s="85"/>
      <c r="X12" s="320">
        <v>5</v>
      </c>
      <c r="Y12" s="317" t="s">
        <v>284</v>
      </c>
      <c r="Z12" s="318"/>
      <c r="AA12" s="321"/>
      <c r="AB12" s="322"/>
      <c r="AC12" s="85"/>
      <c r="AD12" s="254" t="s">
        <v>134</v>
      </c>
      <c r="AE12" s="259" t="s">
        <v>137</v>
      </c>
      <c r="AF12" s="123">
        <v>3</v>
      </c>
      <c r="AG12" s="123">
        <v>3</v>
      </c>
      <c r="AH12" s="123">
        <v>3</v>
      </c>
      <c r="AI12" s="123">
        <v>3</v>
      </c>
      <c r="AJ12" s="123">
        <v>3</v>
      </c>
      <c r="AK12" s="123">
        <v>3</v>
      </c>
      <c r="AL12" s="123">
        <v>3</v>
      </c>
      <c r="AM12" s="123">
        <v>3</v>
      </c>
      <c r="AN12" s="123">
        <v>3</v>
      </c>
      <c r="AO12" s="123">
        <v>3</v>
      </c>
      <c r="AP12" s="123">
        <v>3</v>
      </c>
      <c r="AQ12" s="123">
        <v>3</v>
      </c>
      <c r="AR12" s="123">
        <v>3</v>
      </c>
      <c r="AS12" s="123">
        <v>3</v>
      </c>
      <c r="AT12" s="123">
        <v>3</v>
      </c>
      <c r="AU12" s="123">
        <v>3</v>
      </c>
      <c r="AV12" s="123">
        <v>3</v>
      </c>
      <c r="AW12" s="123">
        <v>3</v>
      </c>
      <c r="AX12" s="123">
        <v>3</v>
      </c>
      <c r="AY12" s="85"/>
      <c r="AZ12" s="85"/>
      <c r="BA12" s="85"/>
      <c r="BB12" s="85"/>
      <c r="BC12" s="86"/>
      <c r="BD12" s="86"/>
      <c r="BE12" s="86"/>
      <c r="BF12" s="86"/>
    </row>
    <row r="13" spans="1:58" ht="16.2" x14ac:dyDescent="0.35">
      <c r="A13" s="97"/>
      <c r="B13" s="254" t="s">
        <v>133</v>
      </c>
      <c r="C13" s="259" t="s">
        <v>137</v>
      </c>
      <c r="D13" s="123">
        <v>2</v>
      </c>
      <c r="E13" s="123">
        <v>2</v>
      </c>
      <c r="F13" s="123">
        <v>2</v>
      </c>
      <c r="G13" s="123">
        <v>4</v>
      </c>
      <c r="H13" s="123">
        <v>4</v>
      </c>
      <c r="I13" s="123">
        <v>4</v>
      </c>
      <c r="J13" s="123">
        <v>4</v>
      </c>
      <c r="K13" s="123">
        <v>6</v>
      </c>
      <c r="L13" s="123">
        <v>6</v>
      </c>
      <c r="M13" s="123">
        <v>6</v>
      </c>
      <c r="N13" s="123">
        <v>6</v>
      </c>
      <c r="O13" s="123">
        <v>6</v>
      </c>
      <c r="P13" s="123">
        <v>6</v>
      </c>
      <c r="Q13" s="123">
        <v>6</v>
      </c>
      <c r="R13" s="123">
        <v>6</v>
      </c>
      <c r="S13" s="123">
        <v>6</v>
      </c>
      <c r="T13" s="123">
        <v>6</v>
      </c>
      <c r="U13" s="123">
        <v>6</v>
      </c>
      <c r="V13" s="253">
        <v>6</v>
      </c>
      <c r="W13" s="85"/>
      <c r="X13" s="320">
        <v>6</v>
      </c>
      <c r="Y13" s="317" t="s">
        <v>285</v>
      </c>
      <c r="Z13" s="318"/>
      <c r="AA13" s="321"/>
      <c r="AB13" s="322"/>
      <c r="AC13" s="85"/>
      <c r="AD13" s="254" t="s">
        <v>165</v>
      </c>
      <c r="AE13" s="259" t="s">
        <v>137</v>
      </c>
      <c r="AF13" s="123">
        <v>3</v>
      </c>
      <c r="AG13" s="123">
        <v>3</v>
      </c>
      <c r="AH13" s="123">
        <v>3</v>
      </c>
      <c r="AI13" s="123">
        <v>3</v>
      </c>
      <c r="AJ13" s="123">
        <v>3</v>
      </c>
      <c r="AK13" s="123">
        <v>3</v>
      </c>
      <c r="AL13" s="123">
        <v>3</v>
      </c>
      <c r="AM13" s="123">
        <v>3</v>
      </c>
      <c r="AN13" s="123">
        <v>3</v>
      </c>
      <c r="AO13" s="123">
        <v>3</v>
      </c>
      <c r="AP13" s="123">
        <v>3</v>
      </c>
      <c r="AQ13" s="123">
        <v>3</v>
      </c>
      <c r="AR13" s="123">
        <v>3</v>
      </c>
      <c r="AS13" s="123">
        <v>3</v>
      </c>
      <c r="AT13" s="123">
        <v>3</v>
      </c>
      <c r="AU13" s="123">
        <v>3</v>
      </c>
      <c r="AV13" s="123">
        <v>3</v>
      </c>
      <c r="AW13" s="123">
        <v>3</v>
      </c>
      <c r="AX13" s="123">
        <v>3</v>
      </c>
      <c r="AY13" s="85"/>
      <c r="AZ13" s="85"/>
      <c r="BA13" s="85"/>
      <c r="BB13" s="85"/>
      <c r="BC13" s="86"/>
      <c r="BD13" s="86"/>
      <c r="BE13" s="86"/>
      <c r="BF13" s="86"/>
    </row>
    <row r="14" spans="1:58" ht="16.2" x14ac:dyDescent="0.3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286</v>
      </c>
      <c r="Z14" s="318"/>
      <c r="AA14" s="321"/>
      <c r="AB14" s="322"/>
      <c r="AC14" s="85"/>
      <c r="AD14" s="254" t="s">
        <v>166</v>
      </c>
      <c r="AE14" s="259" t="s">
        <v>137</v>
      </c>
      <c r="AF14" s="123">
        <v>3</v>
      </c>
      <c r="AG14" s="123">
        <v>3</v>
      </c>
      <c r="AH14" s="123">
        <v>3</v>
      </c>
      <c r="AI14" s="123">
        <v>3</v>
      </c>
      <c r="AJ14" s="123">
        <v>3</v>
      </c>
      <c r="AK14" s="123">
        <v>3</v>
      </c>
      <c r="AL14" s="123">
        <v>3</v>
      </c>
      <c r="AM14" s="123">
        <v>3</v>
      </c>
      <c r="AN14" s="123">
        <v>3</v>
      </c>
      <c r="AO14" s="123">
        <v>3</v>
      </c>
      <c r="AP14" s="123">
        <v>3</v>
      </c>
      <c r="AQ14" s="123">
        <v>3</v>
      </c>
      <c r="AR14" s="123">
        <v>3</v>
      </c>
      <c r="AS14" s="123">
        <v>3</v>
      </c>
      <c r="AT14" s="123">
        <v>3</v>
      </c>
      <c r="AU14" s="123">
        <v>3</v>
      </c>
      <c r="AV14" s="123">
        <v>3</v>
      </c>
      <c r="AW14" s="123">
        <v>3</v>
      </c>
      <c r="AX14" s="123">
        <v>3</v>
      </c>
      <c r="AY14" s="85"/>
      <c r="AZ14" s="85"/>
      <c r="BA14" s="85"/>
      <c r="BB14" s="85"/>
      <c r="BC14" s="86"/>
      <c r="BD14" s="86"/>
      <c r="BE14" s="86"/>
      <c r="BF14" s="86"/>
    </row>
    <row r="15" spans="1:58" ht="16.8" thickBot="1" x14ac:dyDescent="0.4">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530" t="s">
        <v>287</v>
      </c>
      <c r="Z15" s="531"/>
      <c r="AA15" s="324"/>
      <c r="AB15" s="325"/>
      <c r="AC15" s="85"/>
      <c r="AD15" s="255" t="s">
        <v>167</v>
      </c>
      <c r="AE15" s="260" t="s">
        <v>137</v>
      </c>
      <c r="AF15" s="256">
        <v>4</v>
      </c>
      <c r="AG15" s="256">
        <v>4</v>
      </c>
      <c r="AH15" s="256">
        <v>4</v>
      </c>
      <c r="AI15" s="256">
        <v>4</v>
      </c>
      <c r="AJ15" s="256">
        <v>4</v>
      </c>
      <c r="AK15" s="256">
        <v>4</v>
      </c>
      <c r="AL15" s="256">
        <v>4</v>
      </c>
      <c r="AM15" s="256">
        <v>4</v>
      </c>
      <c r="AN15" s="256">
        <v>4</v>
      </c>
      <c r="AO15" s="256">
        <v>4</v>
      </c>
      <c r="AP15" s="256">
        <v>4</v>
      </c>
      <c r="AQ15" s="256">
        <v>4</v>
      </c>
      <c r="AR15" s="256">
        <v>4</v>
      </c>
      <c r="AS15" s="256">
        <v>4</v>
      </c>
      <c r="AT15" s="256">
        <v>4</v>
      </c>
      <c r="AU15" s="256">
        <v>4</v>
      </c>
      <c r="AV15" s="256">
        <v>4</v>
      </c>
      <c r="AW15" s="256">
        <v>4</v>
      </c>
      <c r="AX15" s="256">
        <v>4</v>
      </c>
      <c r="AY15" s="85"/>
      <c r="AZ15" s="85"/>
      <c r="BA15" s="85"/>
      <c r="BB15" s="85"/>
      <c r="BC15" s="86"/>
      <c r="BD15" s="86"/>
      <c r="BE15" s="86"/>
      <c r="BF15" s="86"/>
    </row>
    <row r="16" spans="1:58" ht="21" customHeight="1" thickTop="1" thickBot="1" x14ac:dyDescent="0.4">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x14ac:dyDescent="0.6">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32" t="s">
        <v>270</v>
      </c>
      <c r="Y17" s="533"/>
      <c r="Z17" s="533"/>
      <c r="AA17" s="533"/>
      <c r="AB17" s="534" t="s">
        <v>357</v>
      </c>
      <c r="AC17" s="194"/>
      <c r="AD17" s="85"/>
      <c r="AE17" s="85"/>
      <c r="AF17" s="85"/>
      <c r="AG17" s="85"/>
      <c r="AH17" s="85"/>
      <c r="AI17" s="85"/>
      <c r="AJ17" s="86"/>
      <c r="AK17" s="86"/>
      <c r="AL17" s="86"/>
      <c r="AM17" s="86"/>
      <c r="AN17" s="542" t="s">
        <v>360</v>
      </c>
      <c r="AO17" s="86"/>
      <c r="AP17" s="86"/>
      <c r="AQ17" s="86"/>
      <c r="AR17" s="86"/>
      <c r="AS17" s="86"/>
      <c r="AT17" s="86"/>
      <c r="AU17" s="87"/>
      <c r="AV17" s="87"/>
      <c r="AW17" s="87"/>
      <c r="AX17" s="87"/>
      <c r="AY17" s="85"/>
      <c r="AZ17" s="85"/>
      <c r="BA17" s="85"/>
      <c r="BB17" s="85"/>
      <c r="BC17" s="86"/>
      <c r="BD17" s="86"/>
      <c r="BE17" s="86"/>
      <c r="BF17" s="86"/>
    </row>
    <row r="18" spans="1:121" ht="16.8" thickBot="1" x14ac:dyDescent="0.4">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80"/>
      <c r="AF18" s="480"/>
      <c r="AG18" s="480"/>
      <c r="AH18" s="480"/>
      <c r="AI18" s="480"/>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2" thickTop="1" thickBot="1" x14ac:dyDescent="0.4">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x14ac:dyDescent="0.4">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123">
        <v>1</v>
      </c>
      <c r="AG20" s="123">
        <v>1</v>
      </c>
      <c r="AH20" s="123">
        <v>1</v>
      </c>
      <c r="AI20" s="123">
        <v>5</v>
      </c>
      <c r="AJ20" s="123">
        <v>5</v>
      </c>
      <c r="AK20" s="123">
        <v>5</v>
      </c>
      <c r="AL20" s="123">
        <v>5</v>
      </c>
      <c r="AM20" s="123">
        <v>5</v>
      </c>
      <c r="AN20" s="123">
        <v>5</v>
      </c>
      <c r="AO20" s="123">
        <v>5</v>
      </c>
      <c r="AP20" s="123">
        <v>5</v>
      </c>
      <c r="AQ20" s="123">
        <v>5</v>
      </c>
      <c r="AR20" s="123">
        <v>5</v>
      </c>
      <c r="AS20" s="123">
        <v>6</v>
      </c>
      <c r="AT20" s="123">
        <v>6</v>
      </c>
      <c r="AU20" s="123">
        <v>6</v>
      </c>
      <c r="AV20" s="123">
        <v>6</v>
      </c>
      <c r="AW20" s="123">
        <v>6</v>
      </c>
      <c r="AX20" s="253">
        <v>6</v>
      </c>
      <c r="AY20" s="85"/>
      <c r="AZ20" s="85"/>
      <c r="BA20" s="85"/>
      <c r="BB20" s="85"/>
      <c r="BC20" s="178"/>
      <c r="BD20" s="177"/>
      <c r="BE20" s="177"/>
      <c r="BF20" s="177"/>
      <c r="BG20" s="545"/>
      <c r="BH20" s="545"/>
      <c r="BI20" s="545"/>
      <c r="BJ20" s="545"/>
      <c r="BK20" s="545"/>
      <c r="BL20" s="545"/>
      <c r="BM20" s="545"/>
      <c r="BN20" s="545"/>
      <c r="BO20" s="545"/>
      <c r="BP20" s="545"/>
      <c r="BQ20" s="545"/>
      <c r="BR20" s="545"/>
      <c r="BS20" s="545"/>
      <c r="BT20" s="545"/>
      <c r="BU20" s="545"/>
      <c r="BV20" s="545"/>
      <c r="BW20" s="545"/>
      <c r="BX20" s="545"/>
      <c r="BY20" s="545"/>
      <c r="BZ20" s="545"/>
      <c r="CA20" s="545"/>
      <c r="CB20" s="545"/>
      <c r="CC20" s="545"/>
      <c r="CD20" s="545"/>
      <c r="CE20" s="545"/>
      <c r="CF20" s="545"/>
      <c r="CG20" s="545"/>
      <c r="CH20" s="545"/>
      <c r="CI20" s="545"/>
      <c r="CJ20" s="545"/>
      <c r="CK20" s="545"/>
      <c r="CL20" s="545"/>
      <c r="CM20" s="545"/>
      <c r="CN20" s="545"/>
      <c r="CO20" s="545"/>
      <c r="CP20" s="545"/>
      <c r="CQ20" s="545"/>
      <c r="CR20" s="545"/>
      <c r="CS20" s="545"/>
      <c r="CT20" s="545"/>
      <c r="CU20" s="545"/>
      <c r="CV20" s="545"/>
      <c r="CW20" s="545"/>
      <c r="CX20" s="545"/>
      <c r="CY20" s="545"/>
      <c r="CZ20" s="545"/>
      <c r="DA20" s="545"/>
      <c r="DB20" s="545"/>
      <c r="DC20" s="545"/>
      <c r="DD20" s="545"/>
      <c r="DE20" s="545"/>
      <c r="DF20" s="545"/>
      <c r="DG20" s="545"/>
      <c r="DH20" s="545"/>
      <c r="DI20" s="545"/>
      <c r="DJ20" s="545"/>
      <c r="DK20" s="545"/>
      <c r="DL20" s="545"/>
      <c r="DM20" s="545"/>
      <c r="DN20" s="545"/>
      <c r="DO20" s="545"/>
      <c r="DP20" s="545"/>
      <c r="DQ20" s="545"/>
    </row>
    <row r="21" spans="1:121" ht="27.75" customHeight="1" thickTop="1" x14ac:dyDescent="0.35">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123">
        <v>1</v>
      </c>
      <c r="AG21" s="123">
        <v>1</v>
      </c>
      <c r="AH21" s="123">
        <v>1</v>
      </c>
      <c r="AI21" s="123">
        <v>5</v>
      </c>
      <c r="AJ21" s="123">
        <v>5</v>
      </c>
      <c r="AK21" s="123">
        <v>5</v>
      </c>
      <c r="AL21" s="123">
        <v>5</v>
      </c>
      <c r="AM21" s="123">
        <v>5</v>
      </c>
      <c r="AN21" s="123">
        <v>5</v>
      </c>
      <c r="AO21" s="123">
        <v>5</v>
      </c>
      <c r="AP21" s="123">
        <v>5</v>
      </c>
      <c r="AQ21" s="123">
        <v>5</v>
      </c>
      <c r="AR21" s="123">
        <v>5</v>
      </c>
      <c r="AS21" s="123">
        <v>6</v>
      </c>
      <c r="AT21" s="123">
        <v>6</v>
      </c>
      <c r="AU21" s="123">
        <v>6</v>
      </c>
      <c r="AV21" s="123">
        <v>6</v>
      </c>
      <c r="AW21" s="123">
        <v>6</v>
      </c>
      <c r="AX21" s="253">
        <v>6</v>
      </c>
      <c r="AY21" s="85"/>
      <c r="AZ21" s="85"/>
      <c r="BA21" s="85"/>
      <c r="BB21" s="85"/>
      <c r="BC21" s="92"/>
      <c r="BD21" s="93"/>
      <c r="BE21" s="90"/>
      <c r="BF21" s="86"/>
    </row>
    <row r="22" spans="1:121" ht="24" customHeight="1" thickBot="1" x14ac:dyDescent="0.4">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123">
        <v>1</v>
      </c>
      <c r="AG22" s="123">
        <v>1</v>
      </c>
      <c r="AH22" s="123">
        <v>1</v>
      </c>
      <c r="AI22" s="123">
        <v>5</v>
      </c>
      <c r="AJ22" s="123">
        <v>5</v>
      </c>
      <c r="AK22" s="123">
        <v>5</v>
      </c>
      <c r="AL22" s="123">
        <v>5</v>
      </c>
      <c r="AM22" s="123">
        <v>5</v>
      </c>
      <c r="AN22" s="123">
        <v>5</v>
      </c>
      <c r="AO22" s="123">
        <v>5</v>
      </c>
      <c r="AP22" s="123">
        <v>5</v>
      </c>
      <c r="AQ22" s="123">
        <v>5</v>
      </c>
      <c r="AR22" s="123">
        <v>5</v>
      </c>
      <c r="AS22" s="123">
        <v>6</v>
      </c>
      <c r="AT22" s="123">
        <v>6</v>
      </c>
      <c r="AU22" s="123">
        <v>6</v>
      </c>
      <c r="AV22" s="123">
        <v>6</v>
      </c>
      <c r="AW22" s="123">
        <v>6</v>
      </c>
      <c r="AX22" s="253">
        <v>6</v>
      </c>
      <c r="AY22" s="85"/>
      <c r="AZ22" s="85"/>
      <c r="BA22" s="85"/>
      <c r="BB22" s="85"/>
      <c r="BC22" s="93"/>
      <c r="BD22" s="90"/>
      <c r="BE22" s="86"/>
      <c r="BF22" s="86"/>
    </row>
    <row r="23" spans="1:121" ht="33" customHeight="1" thickTop="1" thickBot="1" x14ac:dyDescent="0.4">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123">
        <v>1</v>
      </c>
      <c r="AG23" s="123">
        <v>1</v>
      </c>
      <c r="AH23" s="123">
        <v>1</v>
      </c>
      <c r="AI23" s="123">
        <v>5</v>
      </c>
      <c r="AJ23" s="123">
        <v>5</v>
      </c>
      <c r="AK23" s="123">
        <v>5</v>
      </c>
      <c r="AL23" s="123">
        <v>5</v>
      </c>
      <c r="AM23" s="123">
        <v>5</v>
      </c>
      <c r="AN23" s="123">
        <v>5</v>
      </c>
      <c r="AO23" s="123">
        <v>5</v>
      </c>
      <c r="AP23" s="123">
        <v>5</v>
      </c>
      <c r="AQ23" s="123">
        <v>5</v>
      </c>
      <c r="AR23" s="123">
        <v>5</v>
      </c>
      <c r="AS23" s="123">
        <v>6</v>
      </c>
      <c r="AT23" s="159">
        <v>6</v>
      </c>
      <c r="AU23" s="123">
        <v>6</v>
      </c>
      <c r="AV23" s="123">
        <v>6</v>
      </c>
      <c r="AW23" s="123">
        <v>6</v>
      </c>
      <c r="AX23" s="253">
        <v>6</v>
      </c>
      <c r="AY23" s="85"/>
      <c r="AZ23" s="85"/>
      <c r="BA23" s="85"/>
      <c r="BB23" s="85"/>
      <c r="BC23" s="93"/>
      <c r="BD23" s="90"/>
      <c r="BE23" s="86"/>
      <c r="BF23" s="86"/>
    </row>
    <row r="24" spans="1:121" ht="63.6" thickBot="1" x14ac:dyDescent="0.4">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123">
        <v>2</v>
      </c>
      <c r="AG24" s="123">
        <v>2</v>
      </c>
      <c r="AH24" s="123">
        <v>2</v>
      </c>
      <c r="AI24" s="123">
        <v>4</v>
      </c>
      <c r="AJ24" s="123">
        <v>4</v>
      </c>
      <c r="AK24" s="123">
        <v>4</v>
      </c>
      <c r="AL24" s="123">
        <v>4</v>
      </c>
      <c r="AM24" s="123">
        <v>4</v>
      </c>
      <c r="AN24" s="123">
        <v>4</v>
      </c>
      <c r="AO24" s="123">
        <v>4</v>
      </c>
      <c r="AP24" s="123">
        <v>4</v>
      </c>
      <c r="AQ24" s="123">
        <v>4</v>
      </c>
      <c r="AR24" s="123">
        <v>4</v>
      </c>
      <c r="AS24" s="123">
        <v>6</v>
      </c>
      <c r="AT24" s="123">
        <v>6</v>
      </c>
      <c r="AU24" s="123">
        <v>6</v>
      </c>
      <c r="AV24" s="123">
        <v>6</v>
      </c>
      <c r="AW24" s="123">
        <v>6</v>
      </c>
      <c r="AX24" s="123">
        <v>6</v>
      </c>
      <c r="AY24" s="85"/>
      <c r="AZ24" s="85"/>
      <c r="BA24" s="85"/>
      <c r="BB24" s="85"/>
      <c r="BC24" s="93"/>
      <c r="BD24" s="90"/>
      <c r="BE24" s="86"/>
      <c r="BF24" s="86"/>
    </row>
    <row r="25" spans="1:121" ht="16.8" thickTop="1" x14ac:dyDescent="0.35">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123">
        <v>2</v>
      </c>
      <c r="AG25" s="123">
        <v>2</v>
      </c>
      <c r="AH25" s="123">
        <v>2</v>
      </c>
      <c r="AI25" s="123">
        <v>4</v>
      </c>
      <c r="AJ25" s="123">
        <v>4</v>
      </c>
      <c r="AK25" s="123">
        <v>4</v>
      </c>
      <c r="AL25" s="123">
        <v>4</v>
      </c>
      <c r="AM25" s="123">
        <v>4</v>
      </c>
      <c r="AN25" s="123">
        <v>4</v>
      </c>
      <c r="AO25" s="123">
        <v>4</v>
      </c>
      <c r="AP25" s="123">
        <v>4</v>
      </c>
      <c r="AQ25" s="123">
        <v>4</v>
      </c>
      <c r="AR25" s="123">
        <v>4</v>
      </c>
      <c r="AS25" s="123">
        <v>6</v>
      </c>
      <c r="AT25" s="123">
        <v>6</v>
      </c>
      <c r="AU25" s="123">
        <v>6</v>
      </c>
      <c r="AV25" s="123">
        <v>6</v>
      </c>
      <c r="AW25" s="123">
        <v>6</v>
      </c>
      <c r="AX25" s="123">
        <v>6</v>
      </c>
      <c r="AY25" s="85"/>
      <c r="AZ25" s="85"/>
      <c r="BA25" s="85"/>
      <c r="BB25" s="85"/>
      <c r="BC25" s="93"/>
      <c r="BD25" s="90"/>
      <c r="BE25" s="86"/>
      <c r="BF25" s="86"/>
    </row>
    <row r="26" spans="1:121" ht="16.2" x14ac:dyDescent="0.3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123">
        <v>3</v>
      </c>
      <c r="AG26" s="123">
        <v>3</v>
      </c>
      <c r="AH26" s="123">
        <v>3</v>
      </c>
      <c r="AI26" s="123">
        <v>7</v>
      </c>
      <c r="AJ26" s="123">
        <v>7</v>
      </c>
      <c r="AK26" s="123">
        <v>7</v>
      </c>
      <c r="AL26" s="123">
        <v>7</v>
      </c>
      <c r="AM26" s="123">
        <v>7</v>
      </c>
      <c r="AN26" s="123">
        <v>7</v>
      </c>
      <c r="AO26" s="123">
        <v>7</v>
      </c>
      <c r="AP26" s="123">
        <v>7</v>
      </c>
      <c r="AQ26" s="123">
        <v>7</v>
      </c>
      <c r="AR26" s="123">
        <v>7</v>
      </c>
      <c r="AS26" s="123">
        <v>8</v>
      </c>
      <c r="AT26" s="123">
        <v>8</v>
      </c>
      <c r="AU26" s="123">
        <v>8</v>
      </c>
      <c r="AV26" s="123">
        <v>8</v>
      </c>
      <c r="AW26" s="123">
        <v>8</v>
      </c>
      <c r="AX26" s="253">
        <v>8</v>
      </c>
      <c r="AY26" s="85"/>
      <c r="AZ26" s="85"/>
      <c r="BA26" s="85"/>
      <c r="BB26" s="85"/>
      <c r="BC26" s="93"/>
      <c r="BD26" s="90"/>
      <c r="BE26" s="86"/>
      <c r="BF26" s="86"/>
    </row>
    <row r="27" spans="1:121" ht="16.2" x14ac:dyDescent="0.3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123">
        <v>3</v>
      </c>
      <c r="AG27" s="123">
        <v>3</v>
      </c>
      <c r="AH27" s="123">
        <v>3</v>
      </c>
      <c r="AI27" s="123">
        <v>7</v>
      </c>
      <c r="AJ27" s="123">
        <v>7</v>
      </c>
      <c r="AK27" s="123">
        <v>7</v>
      </c>
      <c r="AL27" s="123">
        <v>7</v>
      </c>
      <c r="AM27" s="123">
        <v>7</v>
      </c>
      <c r="AN27" s="123">
        <v>7</v>
      </c>
      <c r="AO27" s="123">
        <v>7</v>
      </c>
      <c r="AP27" s="123">
        <v>7</v>
      </c>
      <c r="AQ27" s="123">
        <v>7</v>
      </c>
      <c r="AR27" s="123">
        <v>7</v>
      </c>
      <c r="AS27" s="123">
        <v>8</v>
      </c>
      <c r="AT27" s="123">
        <v>8</v>
      </c>
      <c r="AU27" s="123">
        <v>8</v>
      </c>
      <c r="AV27" s="123">
        <v>8</v>
      </c>
      <c r="AW27" s="123">
        <v>8</v>
      </c>
      <c r="AX27" s="253">
        <v>8</v>
      </c>
      <c r="AY27" s="85"/>
      <c r="AZ27" s="93"/>
      <c r="BA27" s="91"/>
      <c r="BB27" s="92"/>
      <c r="BC27" s="93"/>
      <c r="BD27" s="90"/>
      <c r="BE27" s="86"/>
      <c r="BF27" s="86"/>
    </row>
    <row r="28" spans="1:121" ht="16.2" x14ac:dyDescent="0.3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123">
        <v>3</v>
      </c>
      <c r="AG28" s="123">
        <v>3</v>
      </c>
      <c r="AH28" s="123">
        <v>3</v>
      </c>
      <c r="AI28" s="123">
        <v>7</v>
      </c>
      <c r="AJ28" s="123">
        <v>7</v>
      </c>
      <c r="AK28" s="123">
        <v>7</v>
      </c>
      <c r="AL28" s="123">
        <v>7</v>
      </c>
      <c r="AM28" s="123">
        <v>7</v>
      </c>
      <c r="AN28" s="123">
        <v>7</v>
      </c>
      <c r="AO28" s="123">
        <v>7</v>
      </c>
      <c r="AP28" s="123">
        <v>7</v>
      </c>
      <c r="AQ28" s="123">
        <v>7</v>
      </c>
      <c r="AR28" s="123">
        <v>7</v>
      </c>
      <c r="AS28" s="123">
        <v>8</v>
      </c>
      <c r="AT28" s="123">
        <v>8</v>
      </c>
      <c r="AU28" s="123">
        <v>8</v>
      </c>
      <c r="AV28" s="123">
        <v>8</v>
      </c>
      <c r="AW28" s="123">
        <v>8</v>
      </c>
      <c r="AX28" s="253">
        <v>8</v>
      </c>
      <c r="AY28" s="85"/>
      <c r="AZ28" s="93"/>
      <c r="BA28" s="91"/>
      <c r="BB28" s="92"/>
      <c r="BC28" s="93"/>
      <c r="BD28" s="90"/>
      <c r="BE28" s="86"/>
      <c r="BF28" s="86"/>
    </row>
    <row r="29" spans="1:121" ht="16.2" x14ac:dyDescent="0.3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123">
        <v>3</v>
      </c>
      <c r="AG29" s="123">
        <v>3</v>
      </c>
      <c r="AH29" s="123">
        <v>3</v>
      </c>
      <c r="AI29" s="123">
        <v>7</v>
      </c>
      <c r="AJ29" s="356">
        <v>7</v>
      </c>
      <c r="AK29" s="123">
        <v>7</v>
      </c>
      <c r="AL29" s="123">
        <v>7</v>
      </c>
      <c r="AM29" s="123">
        <v>7</v>
      </c>
      <c r="AN29" s="123">
        <v>7</v>
      </c>
      <c r="AO29" s="123">
        <v>7</v>
      </c>
      <c r="AP29" s="123">
        <v>7</v>
      </c>
      <c r="AQ29" s="123">
        <v>7</v>
      </c>
      <c r="AR29" s="123">
        <v>7</v>
      </c>
      <c r="AS29" s="159">
        <v>8</v>
      </c>
      <c r="AT29" s="159">
        <v>8</v>
      </c>
      <c r="AU29" s="159">
        <v>8</v>
      </c>
      <c r="AV29" s="159">
        <v>8</v>
      </c>
      <c r="AW29" s="159">
        <v>8</v>
      </c>
      <c r="AX29" s="159">
        <v>8</v>
      </c>
      <c r="AY29" s="85"/>
      <c r="AZ29" s="93"/>
      <c r="BA29" s="91"/>
      <c r="BB29" s="92"/>
      <c r="BC29" s="93"/>
      <c r="BD29" s="90"/>
      <c r="BE29" s="86"/>
      <c r="BF29" s="86"/>
    </row>
    <row r="30" spans="1:121" ht="16.8" thickBot="1" x14ac:dyDescent="0.4">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256">
        <v>4</v>
      </c>
      <c r="AG30" s="256">
        <v>4</v>
      </c>
      <c r="AH30" s="256">
        <v>4</v>
      </c>
      <c r="AI30" s="123">
        <v>7</v>
      </c>
      <c r="AJ30" s="356">
        <v>7</v>
      </c>
      <c r="AK30" s="123">
        <v>7</v>
      </c>
      <c r="AL30" s="123">
        <v>7</v>
      </c>
      <c r="AM30" s="123">
        <v>7</v>
      </c>
      <c r="AN30" s="123">
        <v>7</v>
      </c>
      <c r="AO30" s="123">
        <v>7</v>
      </c>
      <c r="AP30" s="123">
        <v>7</v>
      </c>
      <c r="AQ30" s="123">
        <v>7</v>
      </c>
      <c r="AR30" s="123">
        <v>7</v>
      </c>
      <c r="AS30" s="159">
        <v>8</v>
      </c>
      <c r="AT30" s="159">
        <v>8</v>
      </c>
      <c r="AU30" s="159">
        <v>8</v>
      </c>
      <c r="AV30" s="159">
        <v>8</v>
      </c>
      <c r="AW30" s="159">
        <v>8</v>
      </c>
      <c r="AX30" s="159">
        <v>8</v>
      </c>
      <c r="AY30" s="85"/>
      <c r="AZ30" s="93"/>
      <c r="BA30" s="91"/>
      <c r="BB30" s="92"/>
      <c r="BC30" s="93"/>
      <c r="BD30" s="90"/>
      <c r="BE30" s="86"/>
      <c r="BF30" s="86"/>
    </row>
    <row r="31" spans="1:121" x14ac:dyDescent="0.35">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21" x14ac:dyDescent="0.4">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80"/>
      <c r="AF32" s="480"/>
      <c r="AG32" s="480"/>
      <c r="AH32" s="480"/>
      <c r="AI32" s="480"/>
      <c r="AJ32" s="480"/>
      <c r="AK32" s="480"/>
      <c r="AL32" s="480"/>
      <c r="AM32" s="85"/>
      <c r="AN32" s="85"/>
      <c r="AO32" s="541" t="s">
        <v>358</v>
      </c>
      <c r="AP32" s="85"/>
      <c r="AQ32" s="85"/>
      <c r="AR32" s="85"/>
      <c r="AS32" s="85"/>
      <c r="AT32" s="85"/>
      <c r="AU32" s="85"/>
      <c r="AV32" s="85"/>
      <c r="AW32" s="85"/>
      <c r="AX32" s="85"/>
      <c r="AY32" s="85"/>
      <c r="AZ32" s="93"/>
      <c r="BA32" s="91"/>
      <c r="BB32" s="92"/>
      <c r="BC32" s="93"/>
      <c r="BD32" s="90"/>
      <c r="BE32" s="86"/>
      <c r="BF32" s="86"/>
    </row>
    <row r="33" spans="1:58" ht="15.6" thickBot="1" x14ac:dyDescent="0.4">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2" thickTop="1" thickBot="1" x14ac:dyDescent="0.4">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399999999999999" thickTop="1" thickBot="1" x14ac:dyDescent="0.4">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123">
        <v>1</v>
      </c>
      <c r="AG35" s="123">
        <v>1</v>
      </c>
      <c r="AH35" s="123">
        <v>5</v>
      </c>
      <c r="AI35" s="123">
        <v>5</v>
      </c>
      <c r="AJ35" s="123">
        <v>5</v>
      </c>
      <c r="AK35" s="123">
        <v>6</v>
      </c>
      <c r="AL35" s="123">
        <v>6</v>
      </c>
      <c r="AM35" s="123">
        <v>6</v>
      </c>
      <c r="AN35" s="123">
        <v>6</v>
      </c>
      <c r="AO35" s="123">
        <v>6</v>
      </c>
      <c r="AP35" s="123">
        <v>6</v>
      </c>
      <c r="AQ35" s="123">
        <v>6</v>
      </c>
      <c r="AR35" s="123">
        <v>6</v>
      </c>
      <c r="AS35" s="123">
        <v>6</v>
      </c>
      <c r="AT35" s="123">
        <v>6</v>
      </c>
      <c r="AU35" s="123">
        <v>6</v>
      </c>
      <c r="AV35" s="123">
        <v>6</v>
      </c>
      <c r="AW35" s="123">
        <v>6</v>
      </c>
      <c r="AX35" s="253">
        <v>6</v>
      </c>
      <c r="AY35" s="91"/>
      <c r="AZ35" s="93"/>
      <c r="BA35" s="91"/>
      <c r="BB35" s="94"/>
      <c r="BC35" s="93"/>
      <c r="BD35" s="90"/>
      <c r="BE35" s="86"/>
      <c r="BF35" s="86"/>
    </row>
    <row r="36" spans="1:58" ht="16.8" thickTop="1" x14ac:dyDescent="0.35">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123">
        <v>1</v>
      </c>
      <c r="AG36" s="123">
        <v>1</v>
      </c>
      <c r="AH36" s="123">
        <v>5</v>
      </c>
      <c r="AI36" s="123">
        <v>5</v>
      </c>
      <c r="AJ36" s="123">
        <v>5</v>
      </c>
      <c r="AK36" s="123">
        <v>6</v>
      </c>
      <c r="AL36" s="123">
        <v>6</v>
      </c>
      <c r="AM36" s="123">
        <v>6</v>
      </c>
      <c r="AN36" s="123">
        <v>6</v>
      </c>
      <c r="AO36" s="123">
        <v>6</v>
      </c>
      <c r="AP36" s="123">
        <v>6</v>
      </c>
      <c r="AQ36" s="123">
        <v>6</v>
      </c>
      <c r="AR36" s="123">
        <v>6</v>
      </c>
      <c r="AS36" s="123">
        <v>6</v>
      </c>
      <c r="AT36" s="123">
        <v>6</v>
      </c>
      <c r="AU36" s="123">
        <v>6</v>
      </c>
      <c r="AV36" s="123">
        <v>6</v>
      </c>
      <c r="AW36" s="123">
        <v>6</v>
      </c>
      <c r="AX36" s="253">
        <v>6</v>
      </c>
      <c r="AY36" s="91"/>
      <c r="AZ36" s="93"/>
      <c r="BA36" s="91"/>
      <c r="BB36" s="94"/>
      <c r="BC36" s="93"/>
      <c r="BD36" s="90"/>
      <c r="BE36" s="86"/>
      <c r="BF36" s="86"/>
    </row>
    <row r="37" spans="1:58" ht="16.2" x14ac:dyDescent="0.3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123">
        <v>1</v>
      </c>
      <c r="AG37" s="123">
        <v>1</v>
      </c>
      <c r="AH37" s="123">
        <v>5</v>
      </c>
      <c r="AI37" s="123">
        <v>5</v>
      </c>
      <c r="AJ37" s="123">
        <v>5</v>
      </c>
      <c r="AK37" s="123">
        <v>6</v>
      </c>
      <c r="AL37" s="123">
        <v>6</v>
      </c>
      <c r="AM37" s="123">
        <v>6</v>
      </c>
      <c r="AN37" s="123">
        <v>6</v>
      </c>
      <c r="AO37" s="123">
        <v>6</v>
      </c>
      <c r="AP37" s="123">
        <v>6</v>
      </c>
      <c r="AQ37" s="123">
        <v>6</v>
      </c>
      <c r="AR37" s="123">
        <v>6</v>
      </c>
      <c r="AS37" s="123">
        <v>6</v>
      </c>
      <c r="AT37" s="123">
        <v>6</v>
      </c>
      <c r="AU37" s="123">
        <v>6</v>
      </c>
      <c r="AV37" s="123">
        <v>6</v>
      </c>
      <c r="AW37" s="123">
        <v>6</v>
      </c>
      <c r="AX37" s="253">
        <v>6</v>
      </c>
      <c r="AY37" s="91"/>
      <c r="AZ37" s="93"/>
      <c r="BA37" s="91"/>
      <c r="BB37" s="92"/>
      <c r="BC37" s="93"/>
      <c r="BD37" s="90"/>
      <c r="BE37" s="86"/>
      <c r="BF37" s="86"/>
    </row>
    <row r="38" spans="1:58" ht="16.2" x14ac:dyDescent="0.3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123">
        <v>1</v>
      </c>
      <c r="AG38" s="123">
        <v>1</v>
      </c>
      <c r="AH38" s="123">
        <v>5</v>
      </c>
      <c r="AI38" s="123">
        <v>5</v>
      </c>
      <c r="AJ38" s="123">
        <v>5</v>
      </c>
      <c r="AK38" s="123">
        <v>6</v>
      </c>
      <c r="AL38" s="123">
        <v>6</v>
      </c>
      <c r="AM38" s="123">
        <v>6</v>
      </c>
      <c r="AN38" s="123">
        <v>6</v>
      </c>
      <c r="AO38" s="123">
        <v>6</v>
      </c>
      <c r="AP38" s="123">
        <v>6</v>
      </c>
      <c r="AQ38" s="123">
        <v>6</v>
      </c>
      <c r="AR38" s="123">
        <v>6</v>
      </c>
      <c r="AS38" s="123">
        <v>6</v>
      </c>
      <c r="AT38" s="159">
        <v>6</v>
      </c>
      <c r="AU38" s="123">
        <v>6</v>
      </c>
      <c r="AV38" s="123">
        <v>6</v>
      </c>
      <c r="AW38" s="123">
        <v>6</v>
      </c>
      <c r="AX38" s="253">
        <v>6</v>
      </c>
      <c r="AY38" s="91"/>
      <c r="AZ38" s="93"/>
      <c r="BA38" s="91"/>
      <c r="BB38" s="92"/>
      <c r="BC38" s="93"/>
      <c r="BD38" s="90"/>
      <c r="BE38" s="86"/>
      <c r="BF38" s="86"/>
    </row>
    <row r="39" spans="1:58" ht="16.2" x14ac:dyDescent="0.3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123">
        <v>2</v>
      </c>
      <c r="AG39" s="123">
        <v>2</v>
      </c>
      <c r="AH39" s="123">
        <v>2</v>
      </c>
      <c r="AI39" s="123">
        <v>4</v>
      </c>
      <c r="AJ39" s="123">
        <v>4</v>
      </c>
      <c r="AK39" s="123">
        <v>4</v>
      </c>
      <c r="AL39" s="123">
        <v>4</v>
      </c>
      <c r="AM39" s="123">
        <v>6</v>
      </c>
      <c r="AN39" s="123">
        <v>6</v>
      </c>
      <c r="AO39" s="123">
        <v>6</v>
      </c>
      <c r="AP39" s="123">
        <v>6</v>
      </c>
      <c r="AQ39" s="123">
        <v>6</v>
      </c>
      <c r="AR39" s="123">
        <v>6</v>
      </c>
      <c r="AS39" s="123">
        <v>6</v>
      </c>
      <c r="AT39" s="123">
        <v>6</v>
      </c>
      <c r="AU39" s="123">
        <v>6</v>
      </c>
      <c r="AV39" s="123">
        <v>6</v>
      </c>
      <c r="AW39" s="123">
        <v>6</v>
      </c>
      <c r="AX39" s="123">
        <v>6</v>
      </c>
      <c r="AY39" s="91"/>
      <c r="AZ39" s="93"/>
      <c r="BA39" s="91"/>
      <c r="BB39" s="92"/>
      <c r="BC39" s="93"/>
      <c r="BD39" s="90"/>
      <c r="BE39" s="86"/>
      <c r="BF39" s="86"/>
    </row>
    <row r="40" spans="1:58" ht="16.2" x14ac:dyDescent="0.3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123">
        <v>2</v>
      </c>
      <c r="AG40" s="123">
        <v>2</v>
      </c>
      <c r="AH40" s="123">
        <v>2</v>
      </c>
      <c r="AI40" s="123">
        <v>4</v>
      </c>
      <c r="AJ40" s="123">
        <v>4</v>
      </c>
      <c r="AK40" s="123">
        <v>4</v>
      </c>
      <c r="AL40" s="123">
        <v>4</v>
      </c>
      <c r="AM40" s="123">
        <v>6</v>
      </c>
      <c r="AN40" s="123">
        <v>6</v>
      </c>
      <c r="AO40" s="123">
        <v>6</v>
      </c>
      <c r="AP40" s="123">
        <v>6</v>
      </c>
      <c r="AQ40" s="123">
        <v>6</v>
      </c>
      <c r="AR40" s="123">
        <v>6</v>
      </c>
      <c r="AS40" s="123">
        <v>6</v>
      </c>
      <c r="AT40" s="123">
        <v>6</v>
      </c>
      <c r="AU40" s="123">
        <v>6</v>
      </c>
      <c r="AV40" s="123">
        <v>6</v>
      </c>
      <c r="AW40" s="123">
        <v>6</v>
      </c>
      <c r="AX40" s="123">
        <v>6</v>
      </c>
      <c r="AY40" s="91"/>
      <c r="AZ40" s="93"/>
      <c r="BA40" s="91"/>
      <c r="BB40" s="92"/>
      <c r="BC40" s="93"/>
      <c r="BD40" s="90"/>
      <c r="BE40" s="86"/>
      <c r="BF40" s="86"/>
    </row>
    <row r="41" spans="1:58" ht="16.2" x14ac:dyDescent="0.3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123">
        <v>3</v>
      </c>
      <c r="AG41" s="123">
        <v>3</v>
      </c>
      <c r="AH41" s="123">
        <v>7</v>
      </c>
      <c r="AI41" s="123">
        <v>7</v>
      </c>
      <c r="AJ41" s="123">
        <v>7</v>
      </c>
      <c r="AK41" s="123">
        <v>7</v>
      </c>
      <c r="AL41" s="123">
        <v>7</v>
      </c>
      <c r="AM41" s="123">
        <v>7</v>
      </c>
      <c r="AN41" s="123">
        <v>8</v>
      </c>
      <c r="AO41" s="123">
        <v>8</v>
      </c>
      <c r="AP41" s="123">
        <v>8</v>
      </c>
      <c r="AQ41" s="123">
        <v>8</v>
      </c>
      <c r="AR41" s="123">
        <v>8</v>
      </c>
      <c r="AS41" s="123">
        <v>8</v>
      </c>
      <c r="AT41" s="123">
        <v>8</v>
      </c>
      <c r="AU41" s="123">
        <v>8</v>
      </c>
      <c r="AV41" s="123">
        <v>8</v>
      </c>
      <c r="AW41" s="123">
        <v>8</v>
      </c>
      <c r="AX41" s="253">
        <v>8</v>
      </c>
      <c r="AY41" s="91"/>
      <c r="AZ41" s="93"/>
      <c r="BA41" s="91"/>
      <c r="BB41" s="92"/>
      <c r="BC41" s="93"/>
      <c r="BD41" s="90"/>
      <c r="BE41" s="86"/>
      <c r="BF41" s="86"/>
    </row>
    <row r="42" spans="1:58" ht="16.8" thickBot="1" x14ac:dyDescent="0.4">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123">
        <v>3</v>
      </c>
      <c r="AG42" s="123">
        <v>3</v>
      </c>
      <c r="AH42" s="123">
        <v>7</v>
      </c>
      <c r="AI42" s="123">
        <v>7</v>
      </c>
      <c r="AJ42" s="123">
        <v>7</v>
      </c>
      <c r="AK42" s="123">
        <v>7</v>
      </c>
      <c r="AL42" s="123">
        <v>7</v>
      </c>
      <c r="AM42" s="123">
        <v>7</v>
      </c>
      <c r="AN42" s="123">
        <v>8</v>
      </c>
      <c r="AO42" s="123">
        <v>8</v>
      </c>
      <c r="AP42" s="123">
        <v>8</v>
      </c>
      <c r="AQ42" s="123">
        <v>8</v>
      </c>
      <c r="AR42" s="123">
        <v>8</v>
      </c>
      <c r="AS42" s="123">
        <v>8</v>
      </c>
      <c r="AT42" s="123">
        <v>8</v>
      </c>
      <c r="AU42" s="123">
        <v>8</v>
      </c>
      <c r="AV42" s="123">
        <v>8</v>
      </c>
      <c r="AW42" s="123">
        <v>8</v>
      </c>
      <c r="AX42" s="253">
        <v>8</v>
      </c>
      <c r="AY42" s="91"/>
      <c r="AZ42" s="93"/>
      <c r="BA42" s="91"/>
      <c r="BB42" s="92"/>
      <c r="BC42" s="93"/>
      <c r="BD42" s="90"/>
      <c r="BE42" s="86"/>
      <c r="BF42" s="86"/>
    </row>
    <row r="43" spans="1:58" ht="16.2" x14ac:dyDescent="0.3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123">
        <v>3</v>
      </c>
      <c r="AG43" s="123">
        <v>3</v>
      </c>
      <c r="AH43" s="123">
        <v>7</v>
      </c>
      <c r="AI43" s="123">
        <v>7</v>
      </c>
      <c r="AJ43" s="123">
        <v>7</v>
      </c>
      <c r="AK43" s="123">
        <v>7</v>
      </c>
      <c r="AL43" s="123">
        <v>7</v>
      </c>
      <c r="AM43" s="123">
        <v>7</v>
      </c>
      <c r="AN43" s="123">
        <v>8</v>
      </c>
      <c r="AO43" s="123">
        <v>8</v>
      </c>
      <c r="AP43" s="123">
        <v>8</v>
      </c>
      <c r="AQ43" s="123">
        <v>8</v>
      </c>
      <c r="AR43" s="123">
        <v>8</v>
      </c>
      <c r="AS43" s="123">
        <v>8</v>
      </c>
      <c r="AT43" s="123">
        <v>8</v>
      </c>
      <c r="AU43" s="123">
        <v>8</v>
      </c>
      <c r="AV43" s="123">
        <v>8</v>
      </c>
      <c r="AW43" s="123">
        <v>8</v>
      </c>
      <c r="AX43" s="253">
        <v>8</v>
      </c>
      <c r="AY43" s="91"/>
      <c r="AZ43" s="93"/>
      <c r="BA43" s="91"/>
      <c r="BB43" s="92"/>
      <c r="BC43" s="93"/>
      <c r="BD43" s="90"/>
      <c r="BE43" s="86"/>
      <c r="BF43" s="86"/>
    </row>
    <row r="44" spans="1:58" ht="16.2" x14ac:dyDescent="0.3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80"/>
      <c r="Z44" s="497"/>
      <c r="AA44" s="497"/>
      <c r="AB44" s="497"/>
      <c r="AC44" s="497"/>
      <c r="AD44" s="254" t="s">
        <v>166</v>
      </c>
      <c r="AE44" s="259" t="s">
        <v>137</v>
      </c>
      <c r="AF44" s="123">
        <v>3</v>
      </c>
      <c r="AG44" s="123">
        <v>3</v>
      </c>
      <c r="AH44" s="123">
        <v>3</v>
      </c>
      <c r="AI44" s="123">
        <v>7</v>
      </c>
      <c r="AJ44" s="356">
        <v>7</v>
      </c>
      <c r="AK44" s="123">
        <v>7</v>
      </c>
      <c r="AL44" s="123">
        <v>7</v>
      </c>
      <c r="AM44" s="123">
        <v>7</v>
      </c>
      <c r="AN44" s="159">
        <v>8</v>
      </c>
      <c r="AO44" s="159">
        <v>8</v>
      </c>
      <c r="AP44" s="159">
        <v>8</v>
      </c>
      <c r="AQ44" s="159">
        <v>8</v>
      </c>
      <c r="AR44" s="159">
        <v>8</v>
      </c>
      <c r="AS44" s="159">
        <v>8</v>
      </c>
      <c r="AT44" s="159">
        <v>8</v>
      </c>
      <c r="AU44" s="159">
        <v>8</v>
      </c>
      <c r="AV44" s="159">
        <v>8</v>
      </c>
      <c r="AW44" s="159">
        <v>8</v>
      </c>
      <c r="AX44" s="159">
        <v>8</v>
      </c>
      <c r="AY44" s="91"/>
      <c r="AZ44" s="92"/>
      <c r="BA44" s="91"/>
      <c r="BB44" s="93"/>
      <c r="BC44" s="91"/>
      <c r="BD44" s="92"/>
      <c r="BE44" s="93"/>
      <c r="BF44" s="90"/>
    </row>
    <row r="45" spans="1:58" ht="21" thickBot="1" x14ac:dyDescent="0.4">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80"/>
      <c r="Z45" s="498"/>
      <c r="AA45" s="498"/>
      <c r="AB45" s="498"/>
      <c r="AC45" s="498"/>
      <c r="AD45" s="255" t="s">
        <v>167</v>
      </c>
      <c r="AE45" s="260" t="s">
        <v>137</v>
      </c>
      <c r="AF45" s="256">
        <v>4</v>
      </c>
      <c r="AG45" s="256">
        <v>4</v>
      </c>
      <c r="AH45" s="256">
        <v>4</v>
      </c>
      <c r="AI45" s="256">
        <v>4</v>
      </c>
      <c r="AJ45" s="159">
        <v>8</v>
      </c>
      <c r="AK45" s="159">
        <v>8</v>
      </c>
      <c r="AL45" s="159">
        <v>8</v>
      </c>
      <c r="AM45" s="159">
        <v>8</v>
      </c>
      <c r="AN45" s="159">
        <v>8</v>
      </c>
      <c r="AO45" s="159">
        <v>8</v>
      </c>
      <c r="AP45" s="159">
        <v>8</v>
      </c>
      <c r="AQ45" s="159">
        <v>8</v>
      </c>
      <c r="AR45" s="159">
        <v>8</v>
      </c>
      <c r="AS45" s="159">
        <v>8</v>
      </c>
      <c r="AT45" s="159">
        <v>8</v>
      </c>
      <c r="AU45" s="159">
        <v>8</v>
      </c>
      <c r="AV45" s="159">
        <v>8</v>
      </c>
      <c r="AW45" s="159">
        <v>8</v>
      </c>
      <c r="AX45" s="159">
        <v>8</v>
      </c>
      <c r="AY45" s="91"/>
      <c r="AZ45" s="93"/>
      <c r="BA45" s="91"/>
      <c r="BB45" s="94"/>
      <c r="BC45" s="93"/>
      <c r="BD45" s="90"/>
      <c r="BE45" s="86"/>
      <c r="BF45" s="86"/>
    </row>
    <row r="46" spans="1:58" ht="15.6" thickBot="1" x14ac:dyDescent="0.4">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80"/>
      <c r="Z46" s="498"/>
      <c r="AA46" s="498"/>
      <c r="AB46" s="498"/>
      <c r="AC46" s="498"/>
      <c r="AD46" s="195"/>
      <c r="AE46" s="195"/>
      <c r="AF46" s="195"/>
      <c r="AG46" s="195"/>
      <c r="AH46" s="195"/>
      <c r="AI46" s="195"/>
      <c r="AJ46" s="195"/>
      <c r="AK46" s="195"/>
      <c r="AL46" s="195"/>
      <c r="AM46" s="195"/>
      <c r="AN46" s="195"/>
      <c r="AO46" s="195"/>
      <c r="AP46" s="195"/>
      <c r="AQ46" s="195"/>
      <c r="AR46" s="195"/>
      <c r="AS46" s="195"/>
      <c r="AT46" s="195"/>
      <c r="AU46" s="543"/>
      <c r="AV46" s="543"/>
      <c r="AW46" s="543"/>
      <c r="AX46" s="543"/>
      <c r="AY46" s="92"/>
      <c r="AZ46" s="91"/>
      <c r="BA46" s="93"/>
      <c r="BB46" s="91"/>
      <c r="BC46" s="94"/>
      <c r="BD46" s="93"/>
      <c r="BE46" s="90"/>
      <c r="BF46" s="86"/>
    </row>
    <row r="47" spans="1:58" ht="22.2" thickTop="1" thickBot="1" x14ac:dyDescent="0.45">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80"/>
      <c r="Z47" s="498"/>
      <c r="AA47" s="498"/>
      <c r="AB47" s="498"/>
      <c r="AC47" s="498"/>
      <c r="AD47" s="85"/>
      <c r="AE47" s="480"/>
      <c r="AF47" s="480"/>
      <c r="AG47" s="480"/>
      <c r="AH47" s="480"/>
      <c r="AI47" s="480"/>
      <c r="AJ47" s="480"/>
      <c r="AK47" s="480"/>
      <c r="AL47" s="480"/>
      <c r="AM47" s="85"/>
      <c r="AN47" s="85"/>
      <c r="AO47" s="541" t="s">
        <v>361</v>
      </c>
      <c r="AP47" s="85"/>
      <c r="AQ47" s="85"/>
      <c r="AR47" s="85"/>
      <c r="AS47" s="85"/>
      <c r="AT47" s="85"/>
      <c r="AU47" s="85"/>
      <c r="AV47" s="85"/>
      <c r="AW47" s="85"/>
      <c r="AX47" s="85"/>
      <c r="AY47" s="91"/>
      <c r="AZ47" s="92"/>
      <c r="BA47" s="93"/>
      <c r="BB47" s="90"/>
      <c r="BC47" s="86"/>
      <c r="BD47" s="86"/>
      <c r="BE47" s="86"/>
      <c r="BF47" s="86"/>
    </row>
    <row r="48" spans="1:58" ht="17.399999999999999" thickTop="1" thickBot="1" x14ac:dyDescent="0.4">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80"/>
      <c r="Z48" s="498"/>
      <c r="AA48" s="498"/>
      <c r="AB48" s="498"/>
      <c r="AC48" s="498"/>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399999999999999" thickTop="1" thickBot="1" x14ac:dyDescent="0.4">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80"/>
      <c r="Z49" s="498"/>
      <c r="AA49" s="498"/>
      <c r="AB49" s="498"/>
      <c r="AC49" s="498"/>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399999999999999" thickTop="1" thickBot="1" x14ac:dyDescent="0.4">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80"/>
      <c r="Z50" s="498"/>
      <c r="AA50" s="498"/>
      <c r="AB50" s="498"/>
      <c r="AC50" s="498"/>
      <c r="AD50" s="252" t="s">
        <v>163</v>
      </c>
      <c r="AE50" s="258" t="s">
        <v>137</v>
      </c>
      <c r="AF50" s="123">
        <v>1</v>
      </c>
      <c r="AG50" s="123">
        <v>1</v>
      </c>
      <c r="AH50" s="123">
        <v>5</v>
      </c>
      <c r="AI50" s="123">
        <v>6</v>
      </c>
      <c r="AJ50" s="123">
        <v>6</v>
      </c>
      <c r="AK50" s="123">
        <v>6</v>
      </c>
      <c r="AL50" s="123">
        <v>6</v>
      </c>
      <c r="AM50" s="123">
        <v>6</v>
      </c>
      <c r="AN50" s="123">
        <v>6</v>
      </c>
      <c r="AO50" s="123">
        <v>6</v>
      </c>
      <c r="AP50" s="123">
        <v>6</v>
      </c>
      <c r="AQ50" s="123">
        <v>6</v>
      </c>
      <c r="AR50" s="123">
        <v>6</v>
      </c>
      <c r="AS50" s="123">
        <v>6</v>
      </c>
      <c r="AT50" s="123">
        <v>6</v>
      </c>
      <c r="AU50" s="123">
        <v>6</v>
      </c>
      <c r="AV50" s="123">
        <v>6</v>
      </c>
      <c r="AW50" s="123">
        <v>6</v>
      </c>
      <c r="AX50" s="253">
        <v>6</v>
      </c>
      <c r="AY50" s="92"/>
      <c r="AZ50" s="93"/>
      <c r="BA50" s="90"/>
      <c r="BB50" s="86"/>
      <c r="BC50" s="86"/>
      <c r="BD50" s="86"/>
      <c r="BE50" s="86"/>
      <c r="BF50" s="86"/>
    </row>
    <row r="51" spans="1:58" ht="16.8" thickTop="1" x14ac:dyDescent="0.35">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80"/>
      <c r="Z51" s="498"/>
      <c r="AA51" s="498"/>
      <c r="AB51" s="498"/>
      <c r="AC51" s="498"/>
      <c r="AD51" s="252" t="s">
        <v>112</v>
      </c>
      <c r="AE51" s="258" t="s">
        <v>137</v>
      </c>
      <c r="AF51" s="123">
        <v>1</v>
      </c>
      <c r="AG51" s="123">
        <v>1</v>
      </c>
      <c r="AH51" s="123">
        <v>5</v>
      </c>
      <c r="AI51" s="123">
        <v>6</v>
      </c>
      <c r="AJ51" s="123">
        <v>6</v>
      </c>
      <c r="AK51" s="123">
        <v>6</v>
      </c>
      <c r="AL51" s="123">
        <v>6</v>
      </c>
      <c r="AM51" s="123">
        <v>6</v>
      </c>
      <c r="AN51" s="123">
        <v>6</v>
      </c>
      <c r="AO51" s="123">
        <v>6</v>
      </c>
      <c r="AP51" s="123">
        <v>6</v>
      </c>
      <c r="AQ51" s="123">
        <v>6</v>
      </c>
      <c r="AR51" s="123">
        <v>6</v>
      </c>
      <c r="AS51" s="123">
        <v>6</v>
      </c>
      <c r="AT51" s="123">
        <v>6</v>
      </c>
      <c r="AU51" s="123">
        <v>6</v>
      </c>
      <c r="AV51" s="123">
        <v>6</v>
      </c>
      <c r="AW51" s="123">
        <v>6</v>
      </c>
      <c r="AX51" s="253">
        <v>6</v>
      </c>
      <c r="AY51" s="92"/>
      <c r="AZ51" s="93"/>
      <c r="BA51" s="90"/>
      <c r="BB51" s="86"/>
      <c r="BC51" s="86"/>
      <c r="BD51" s="86"/>
      <c r="BE51" s="86"/>
      <c r="BF51" s="86"/>
    </row>
    <row r="52" spans="1:58" ht="16.2" x14ac:dyDescent="0.3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80"/>
      <c r="Z52" s="498"/>
      <c r="AA52" s="498"/>
      <c r="AB52" s="498"/>
      <c r="AC52" s="498"/>
      <c r="AD52" s="254" t="s">
        <v>131</v>
      </c>
      <c r="AE52" s="259" t="s">
        <v>137</v>
      </c>
      <c r="AF52" s="123">
        <v>1</v>
      </c>
      <c r="AG52" s="123">
        <v>1</v>
      </c>
      <c r="AH52" s="123">
        <v>5</v>
      </c>
      <c r="AI52" s="123">
        <v>6</v>
      </c>
      <c r="AJ52" s="123">
        <v>6</v>
      </c>
      <c r="AK52" s="123">
        <v>6</v>
      </c>
      <c r="AL52" s="123">
        <v>6</v>
      </c>
      <c r="AM52" s="123">
        <v>6</v>
      </c>
      <c r="AN52" s="123">
        <v>6</v>
      </c>
      <c r="AO52" s="123">
        <v>6</v>
      </c>
      <c r="AP52" s="123">
        <v>6</v>
      </c>
      <c r="AQ52" s="123">
        <v>6</v>
      </c>
      <c r="AR52" s="123">
        <v>6</v>
      </c>
      <c r="AS52" s="123">
        <v>6</v>
      </c>
      <c r="AT52" s="123">
        <v>6</v>
      </c>
      <c r="AU52" s="123">
        <v>6</v>
      </c>
      <c r="AV52" s="123">
        <v>6</v>
      </c>
      <c r="AW52" s="123">
        <v>6</v>
      </c>
      <c r="AX52" s="253">
        <v>6</v>
      </c>
      <c r="AY52" s="92"/>
      <c r="AZ52" s="93"/>
      <c r="BA52" s="90"/>
      <c r="BB52" s="86"/>
      <c r="BC52" s="86"/>
      <c r="BD52" s="86"/>
      <c r="BE52" s="86"/>
      <c r="BF52" s="86"/>
    </row>
    <row r="53" spans="1:58" ht="16.2" x14ac:dyDescent="0.3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80"/>
      <c r="Z53" s="498"/>
      <c r="AA53" s="498"/>
      <c r="AB53" s="498"/>
      <c r="AC53" s="498"/>
      <c r="AD53" s="254" t="s">
        <v>130</v>
      </c>
      <c r="AE53" s="259" t="s">
        <v>137</v>
      </c>
      <c r="AF53" s="123">
        <v>1</v>
      </c>
      <c r="AG53" s="123">
        <v>1</v>
      </c>
      <c r="AH53" s="123">
        <v>5</v>
      </c>
      <c r="AI53" s="123">
        <v>6</v>
      </c>
      <c r="AJ53" s="123">
        <v>6</v>
      </c>
      <c r="AK53" s="123">
        <v>6</v>
      </c>
      <c r="AL53" s="123">
        <v>6</v>
      </c>
      <c r="AM53" s="123">
        <v>6</v>
      </c>
      <c r="AN53" s="123">
        <v>6</v>
      </c>
      <c r="AO53" s="123">
        <v>6</v>
      </c>
      <c r="AP53" s="123">
        <v>6</v>
      </c>
      <c r="AQ53" s="123">
        <v>6</v>
      </c>
      <c r="AR53" s="123">
        <v>6</v>
      </c>
      <c r="AS53" s="123">
        <v>6</v>
      </c>
      <c r="AT53" s="159">
        <v>6</v>
      </c>
      <c r="AU53" s="123">
        <v>6</v>
      </c>
      <c r="AV53" s="123">
        <v>6</v>
      </c>
      <c r="AW53" s="123">
        <v>6</v>
      </c>
      <c r="AX53" s="253">
        <v>6</v>
      </c>
      <c r="AY53" s="92"/>
      <c r="AZ53" s="93"/>
      <c r="BA53" s="90"/>
      <c r="BB53" s="86"/>
      <c r="BC53" s="86"/>
      <c r="BD53" s="86"/>
      <c r="BE53" s="86"/>
      <c r="BF53" s="86"/>
    </row>
    <row r="54" spans="1:58" ht="16.2" x14ac:dyDescent="0.3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80"/>
      <c r="Z54" s="497"/>
      <c r="AA54" s="497"/>
      <c r="AB54" s="497"/>
      <c r="AC54" s="497"/>
      <c r="AD54" s="254" t="s">
        <v>132</v>
      </c>
      <c r="AE54" s="259" t="s">
        <v>137</v>
      </c>
      <c r="AF54" s="123">
        <v>2</v>
      </c>
      <c r="AG54" s="123">
        <v>2</v>
      </c>
      <c r="AH54" s="123">
        <v>2</v>
      </c>
      <c r="AI54" s="123">
        <v>6</v>
      </c>
      <c r="AJ54" s="123">
        <v>6</v>
      </c>
      <c r="AK54" s="123">
        <v>6</v>
      </c>
      <c r="AL54" s="123">
        <v>6</v>
      </c>
      <c r="AM54" s="123">
        <v>6</v>
      </c>
      <c r="AN54" s="123">
        <v>6</v>
      </c>
      <c r="AO54" s="123">
        <v>6</v>
      </c>
      <c r="AP54" s="123">
        <v>6</v>
      </c>
      <c r="AQ54" s="123">
        <v>6</v>
      </c>
      <c r="AR54" s="123">
        <v>6</v>
      </c>
      <c r="AS54" s="123">
        <v>6</v>
      </c>
      <c r="AT54" s="123">
        <v>6</v>
      </c>
      <c r="AU54" s="123">
        <v>6</v>
      </c>
      <c r="AV54" s="123">
        <v>6</v>
      </c>
      <c r="AW54" s="123">
        <v>6</v>
      </c>
      <c r="AX54" s="123">
        <v>6</v>
      </c>
      <c r="AY54" s="92"/>
      <c r="AZ54" s="93"/>
      <c r="BA54" s="90"/>
      <c r="BB54" s="86"/>
      <c r="BC54" s="86"/>
      <c r="BD54" s="86"/>
      <c r="BE54" s="86"/>
      <c r="BF54" s="86"/>
    </row>
    <row r="55" spans="1:58" ht="16.2" x14ac:dyDescent="0.3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80"/>
      <c r="Z55" s="497"/>
      <c r="AA55" s="497"/>
      <c r="AB55" s="497"/>
      <c r="AC55" s="497"/>
      <c r="AD55" s="254" t="s">
        <v>133</v>
      </c>
      <c r="AE55" s="259" t="s">
        <v>137</v>
      </c>
      <c r="AF55" s="123">
        <v>2</v>
      </c>
      <c r="AG55" s="123">
        <v>2</v>
      </c>
      <c r="AH55" s="123">
        <v>2</v>
      </c>
      <c r="AI55" s="123">
        <v>6</v>
      </c>
      <c r="AJ55" s="123">
        <v>6</v>
      </c>
      <c r="AK55" s="123">
        <v>6</v>
      </c>
      <c r="AL55" s="123">
        <v>6</v>
      </c>
      <c r="AM55" s="123">
        <v>6</v>
      </c>
      <c r="AN55" s="123">
        <v>6</v>
      </c>
      <c r="AO55" s="123">
        <v>6</v>
      </c>
      <c r="AP55" s="123">
        <v>6</v>
      </c>
      <c r="AQ55" s="123">
        <v>6</v>
      </c>
      <c r="AR55" s="123">
        <v>6</v>
      </c>
      <c r="AS55" s="123">
        <v>6</v>
      </c>
      <c r="AT55" s="123">
        <v>6</v>
      </c>
      <c r="AU55" s="123">
        <v>6</v>
      </c>
      <c r="AV55" s="123">
        <v>6</v>
      </c>
      <c r="AW55" s="123">
        <v>6</v>
      </c>
      <c r="AX55" s="123">
        <v>6</v>
      </c>
      <c r="AY55" s="92"/>
      <c r="AZ55" s="93"/>
      <c r="BA55" s="90"/>
      <c r="BB55" s="86"/>
      <c r="BC55" s="86"/>
      <c r="BD55" s="86"/>
      <c r="BE55" s="86"/>
      <c r="BF55" s="86"/>
    </row>
    <row r="56" spans="1:58" ht="16.2" x14ac:dyDescent="0.3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80"/>
      <c r="Z56" s="497"/>
      <c r="AA56" s="497"/>
      <c r="AB56" s="497"/>
      <c r="AC56" s="497"/>
      <c r="AD56" s="254" t="s">
        <v>164</v>
      </c>
      <c r="AE56" s="259" t="s">
        <v>137</v>
      </c>
      <c r="AF56" s="123">
        <v>3</v>
      </c>
      <c r="AG56" s="123">
        <v>3</v>
      </c>
      <c r="AH56" s="123">
        <v>7</v>
      </c>
      <c r="AI56" s="123">
        <v>8</v>
      </c>
      <c r="AJ56" s="123">
        <v>8</v>
      </c>
      <c r="AK56" s="123">
        <v>8</v>
      </c>
      <c r="AL56" s="123">
        <v>8</v>
      </c>
      <c r="AM56" s="123">
        <v>8</v>
      </c>
      <c r="AN56" s="123">
        <v>8</v>
      </c>
      <c r="AO56" s="123">
        <v>8</v>
      </c>
      <c r="AP56" s="123">
        <v>8</v>
      </c>
      <c r="AQ56" s="123">
        <v>8</v>
      </c>
      <c r="AR56" s="123">
        <v>8</v>
      </c>
      <c r="AS56" s="123">
        <v>8</v>
      </c>
      <c r="AT56" s="123">
        <v>8</v>
      </c>
      <c r="AU56" s="123">
        <v>8</v>
      </c>
      <c r="AV56" s="123">
        <v>8</v>
      </c>
      <c r="AW56" s="123">
        <v>8</v>
      </c>
      <c r="AX56" s="253">
        <v>8</v>
      </c>
      <c r="AY56" s="92"/>
      <c r="AZ56" s="93"/>
      <c r="BA56" s="90"/>
      <c r="BB56" s="86"/>
      <c r="BC56" s="86"/>
      <c r="BD56" s="86"/>
      <c r="BE56" s="86"/>
      <c r="BF56" s="86"/>
    </row>
    <row r="57" spans="1:58" ht="16.8" thickBot="1" x14ac:dyDescent="0.4">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80"/>
      <c r="Z57" s="497"/>
      <c r="AA57" s="497"/>
      <c r="AB57" s="497"/>
      <c r="AC57" s="497"/>
      <c r="AD57" s="254" t="s">
        <v>134</v>
      </c>
      <c r="AE57" s="259" t="s">
        <v>137</v>
      </c>
      <c r="AF57" s="123">
        <v>3</v>
      </c>
      <c r="AG57" s="123">
        <v>3</v>
      </c>
      <c r="AH57" s="123">
        <v>7</v>
      </c>
      <c r="AI57" s="123">
        <v>8</v>
      </c>
      <c r="AJ57" s="123">
        <v>8</v>
      </c>
      <c r="AK57" s="123">
        <v>8</v>
      </c>
      <c r="AL57" s="123">
        <v>8</v>
      </c>
      <c r="AM57" s="123">
        <v>8</v>
      </c>
      <c r="AN57" s="123">
        <v>8</v>
      </c>
      <c r="AO57" s="123">
        <v>8</v>
      </c>
      <c r="AP57" s="123">
        <v>8</v>
      </c>
      <c r="AQ57" s="123">
        <v>8</v>
      </c>
      <c r="AR57" s="123">
        <v>8</v>
      </c>
      <c r="AS57" s="123">
        <v>8</v>
      </c>
      <c r="AT57" s="123">
        <v>8</v>
      </c>
      <c r="AU57" s="123">
        <v>8</v>
      </c>
      <c r="AV57" s="123">
        <v>8</v>
      </c>
      <c r="AW57" s="123">
        <v>8</v>
      </c>
      <c r="AX57" s="253">
        <v>8</v>
      </c>
      <c r="AY57" s="92"/>
      <c r="AZ57" s="93"/>
      <c r="BA57" s="90"/>
      <c r="BB57" s="86"/>
      <c r="BC57" s="86"/>
      <c r="BD57" s="86"/>
      <c r="BE57" s="86"/>
      <c r="BF57" s="86"/>
    </row>
    <row r="58" spans="1:58" ht="16.2" x14ac:dyDescent="0.35">
      <c r="A58" s="85"/>
      <c r="B58" s="85"/>
      <c r="C58" s="85"/>
      <c r="D58" s="85"/>
      <c r="E58" s="85"/>
      <c r="F58" s="85"/>
      <c r="G58" s="85"/>
      <c r="H58" s="85"/>
      <c r="I58" s="85"/>
      <c r="J58" s="85"/>
      <c r="K58" s="85"/>
      <c r="L58" s="85"/>
      <c r="M58" s="85"/>
      <c r="N58" s="85"/>
      <c r="O58" s="85"/>
      <c r="P58" s="85"/>
      <c r="Q58" s="85"/>
      <c r="R58" s="85"/>
      <c r="S58" s="85"/>
      <c r="T58" s="85"/>
      <c r="U58" s="85"/>
      <c r="V58" s="85"/>
      <c r="W58" s="85"/>
      <c r="X58" s="85"/>
      <c r="Y58" s="480"/>
      <c r="Z58" s="497"/>
      <c r="AA58" s="497"/>
      <c r="AB58" s="497"/>
      <c r="AC58" s="497"/>
      <c r="AD58" s="254" t="s">
        <v>165</v>
      </c>
      <c r="AE58" s="259" t="s">
        <v>137</v>
      </c>
      <c r="AF58" s="123">
        <v>3</v>
      </c>
      <c r="AG58" s="123">
        <v>3</v>
      </c>
      <c r="AH58" s="123">
        <v>7</v>
      </c>
      <c r="AI58" s="123">
        <v>8</v>
      </c>
      <c r="AJ58" s="123">
        <v>8</v>
      </c>
      <c r="AK58" s="123">
        <v>8</v>
      </c>
      <c r="AL58" s="123">
        <v>8</v>
      </c>
      <c r="AM58" s="123">
        <v>8</v>
      </c>
      <c r="AN58" s="123">
        <v>8</v>
      </c>
      <c r="AO58" s="123">
        <v>8</v>
      </c>
      <c r="AP58" s="123">
        <v>8</v>
      </c>
      <c r="AQ58" s="123">
        <v>8</v>
      </c>
      <c r="AR58" s="123">
        <v>8</v>
      </c>
      <c r="AS58" s="123">
        <v>8</v>
      </c>
      <c r="AT58" s="123">
        <v>8</v>
      </c>
      <c r="AU58" s="123">
        <v>8</v>
      </c>
      <c r="AV58" s="123">
        <v>8</v>
      </c>
      <c r="AW58" s="123">
        <v>8</v>
      </c>
      <c r="AX58" s="253">
        <v>8</v>
      </c>
      <c r="AY58" s="92"/>
      <c r="AZ58" s="93"/>
      <c r="BA58" s="90"/>
      <c r="BB58" s="86"/>
      <c r="BC58" s="86"/>
      <c r="BD58" s="86"/>
      <c r="BE58" s="86"/>
      <c r="BF58" s="86"/>
    </row>
    <row r="59" spans="1:58" ht="16.2" x14ac:dyDescent="0.35">
      <c r="A59" s="85"/>
      <c r="B59" s="85"/>
      <c r="C59" s="85"/>
      <c r="D59" s="85"/>
      <c r="E59" s="85"/>
      <c r="F59" s="85"/>
      <c r="G59" s="85"/>
      <c r="H59" s="85"/>
      <c r="I59" s="85"/>
      <c r="J59" s="85"/>
      <c r="K59" s="85"/>
      <c r="L59" s="85"/>
      <c r="M59" s="85"/>
      <c r="N59" s="85"/>
      <c r="O59" s="85"/>
      <c r="P59" s="85"/>
      <c r="Q59" s="85"/>
      <c r="R59" s="85"/>
      <c r="S59" s="85"/>
      <c r="T59" s="85"/>
      <c r="U59" s="85"/>
      <c r="V59" s="85"/>
      <c r="W59" s="85"/>
      <c r="X59" s="85"/>
      <c r="Y59" s="480"/>
      <c r="Z59" s="497"/>
      <c r="AA59" s="497"/>
      <c r="AB59" s="497"/>
      <c r="AC59" s="497"/>
      <c r="AD59" s="254" t="s">
        <v>166</v>
      </c>
      <c r="AE59" s="259" t="s">
        <v>137</v>
      </c>
      <c r="AF59" s="123">
        <v>3</v>
      </c>
      <c r="AG59" s="123">
        <v>3</v>
      </c>
      <c r="AH59" s="123">
        <v>3</v>
      </c>
      <c r="AI59" s="159">
        <v>8</v>
      </c>
      <c r="AJ59" s="159">
        <v>8</v>
      </c>
      <c r="AK59" s="159">
        <v>8</v>
      </c>
      <c r="AL59" s="159">
        <v>8</v>
      </c>
      <c r="AM59" s="159">
        <v>8</v>
      </c>
      <c r="AN59" s="159">
        <v>8</v>
      </c>
      <c r="AO59" s="159">
        <v>8</v>
      </c>
      <c r="AP59" s="159">
        <v>8</v>
      </c>
      <c r="AQ59" s="159">
        <v>8</v>
      </c>
      <c r="AR59" s="159">
        <v>8</v>
      </c>
      <c r="AS59" s="159">
        <v>8</v>
      </c>
      <c r="AT59" s="159">
        <v>8</v>
      </c>
      <c r="AU59" s="159">
        <v>8</v>
      </c>
      <c r="AV59" s="159">
        <v>8</v>
      </c>
      <c r="AW59" s="159">
        <v>8</v>
      </c>
      <c r="AX59" s="159">
        <v>8</v>
      </c>
      <c r="AY59" s="92"/>
      <c r="AZ59" s="93"/>
      <c r="BA59" s="90"/>
      <c r="BB59" s="86"/>
      <c r="BC59" s="86"/>
      <c r="BD59" s="86"/>
      <c r="BE59" s="86"/>
      <c r="BF59" s="86"/>
    </row>
    <row r="60" spans="1:58" ht="21" thickBot="1" x14ac:dyDescent="0.4">
      <c r="A60" s="85"/>
      <c r="B60" s="157" t="s">
        <v>329</v>
      </c>
      <c r="C60" s="85"/>
      <c r="D60" s="85"/>
      <c r="E60" s="195"/>
      <c r="F60" s="195"/>
      <c r="G60" s="85"/>
      <c r="H60" s="85"/>
      <c r="I60" s="85"/>
      <c r="J60" s="85"/>
      <c r="K60" s="85"/>
      <c r="L60" s="85"/>
      <c r="M60" s="85"/>
      <c r="N60" s="85"/>
      <c r="O60" s="85"/>
      <c r="P60" s="85"/>
      <c r="Q60" s="85"/>
      <c r="R60" s="85"/>
      <c r="S60" s="85"/>
      <c r="T60" s="85"/>
      <c r="U60" s="85"/>
      <c r="V60" s="85"/>
      <c r="W60" s="85"/>
      <c r="X60" s="85"/>
      <c r="Y60" s="85"/>
      <c r="Z60" s="495"/>
      <c r="AA60" s="495"/>
      <c r="AB60" s="495"/>
      <c r="AC60" s="495"/>
      <c r="AD60" s="255" t="s">
        <v>167</v>
      </c>
      <c r="AE60" s="260" t="s">
        <v>137</v>
      </c>
      <c r="AF60" s="256">
        <v>4</v>
      </c>
      <c r="AG60" s="256">
        <v>4</v>
      </c>
      <c r="AH60" s="256">
        <v>4</v>
      </c>
      <c r="AI60" s="159">
        <v>8</v>
      </c>
      <c r="AJ60" s="159">
        <v>8</v>
      </c>
      <c r="AK60" s="159">
        <v>8</v>
      </c>
      <c r="AL60" s="159">
        <v>8</v>
      </c>
      <c r="AM60" s="159">
        <v>8</v>
      </c>
      <c r="AN60" s="159">
        <v>8</v>
      </c>
      <c r="AO60" s="159">
        <v>8</v>
      </c>
      <c r="AP60" s="159">
        <v>8</v>
      </c>
      <c r="AQ60" s="159">
        <v>8</v>
      </c>
      <c r="AR60" s="159">
        <v>8</v>
      </c>
      <c r="AS60" s="159">
        <v>8</v>
      </c>
      <c r="AT60" s="159">
        <v>8</v>
      </c>
      <c r="AU60" s="159">
        <v>8</v>
      </c>
      <c r="AV60" s="159">
        <v>8</v>
      </c>
      <c r="AW60" s="159">
        <v>8</v>
      </c>
      <c r="AX60" s="159">
        <v>8</v>
      </c>
      <c r="AY60" s="92"/>
      <c r="AZ60" s="93"/>
      <c r="BA60" s="90"/>
      <c r="BB60" s="86"/>
      <c r="BC60" s="86"/>
      <c r="BD60" s="86"/>
      <c r="BE60" s="86"/>
      <c r="BF60" s="86"/>
    </row>
    <row r="61" spans="1:58" ht="15.6" thickBot="1" x14ac:dyDescent="0.4">
      <c r="A61" s="480"/>
      <c r="B61" s="195"/>
      <c r="C61" s="195"/>
      <c r="D61" s="195"/>
      <c r="E61" s="195"/>
      <c r="F61" s="195"/>
      <c r="G61" s="480"/>
      <c r="H61" s="480"/>
      <c r="I61" s="480"/>
      <c r="J61" s="480"/>
      <c r="K61" s="480"/>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43"/>
      <c r="AV61" s="543"/>
      <c r="AW61" s="543"/>
      <c r="AX61" s="543"/>
      <c r="AY61" s="92"/>
      <c r="AZ61" s="93"/>
      <c r="BA61" s="90"/>
      <c r="BB61" s="86"/>
      <c r="BC61" s="86"/>
      <c r="BD61" s="86"/>
      <c r="BE61" s="86"/>
      <c r="BF61" s="86"/>
    </row>
    <row r="62" spans="1:58" ht="13.95" customHeight="1" x14ac:dyDescent="0.35">
      <c r="A62" s="85"/>
      <c r="B62" s="195"/>
      <c r="C62" s="598" t="s">
        <v>331</v>
      </c>
      <c r="D62" s="599"/>
      <c r="E62" s="599" t="s">
        <v>332</v>
      </c>
      <c r="F62" s="600"/>
      <c r="G62" s="480"/>
      <c r="H62" s="601" t="s">
        <v>330</v>
      </c>
      <c r="I62" s="601"/>
      <c r="J62" s="601"/>
      <c r="K62" s="601"/>
      <c r="L62" s="601"/>
      <c r="M62" s="601"/>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43"/>
      <c r="AV62" s="543"/>
      <c r="AW62" s="543"/>
      <c r="AX62" s="543"/>
      <c r="AY62" s="92"/>
      <c r="AZ62" s="93"/>
      <c r="BA62" s="90"/>
      <c r="BB62" s="86"/>
      <c r="BC62" s="86"/>
      <c r="BD62" s="86"/>
      <c r="BE62" s="86"/>
      <c r="BF62" s="86"/>
    </row>
    <row r="63" spans="1:58" ht="15" customHeight="1" thickBot="1" x14ac:dyDescent="0.4">
      <c r="A63" s="85"/>
      <c r="B63" s="85"/>
      <c r="C63" s="492" t="s">
        <v>333</v>
      </c>
      <c r="D63" s="493" t="s">
        <v>334</v>
      </c>
      <c r="E63" s="492" t="s">
        <v>333</v>
      </c>
      <c r="F63" s="494" t="s">
        <v>334</v>
      </c>
      <c r="G63" s="195"/>
      <c r="H63" s="601"/>
      <c r="I63" s="601"/>
      <c r="J63" s="601"/>
      <c r="K63" s="601"/>
      <c r="L63" s="601"/>
      <c r="M63" s="601"/>
      <c r="N63" s="500"/>
      <c r="O63" s="500"/>
      <c r="P63" s="500"/>
      <c r="Q63" s="500"/>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6.2" x14ac:dyDescent="0.35">
      <c r="A64" s="85"/>
      <c r="B64" s="487" t="s">
        <v>123</v>
      </c>
      <c r="C64" s="489">
        <v>0.75</v>
      </c>
      <c r="D64" s="490">
        <v>1.05</v>
      </c>
      <c r="E64" s="490">
        <v>0.5</v>
      </c>
      <c r="F64" s="491">
        <v>1</v>
      </c>
      <c r="G64" s="195"/>
      <c r="H64" s="601"/>
      <c r="I64" s="601"/>
      <c r="J64" s="601"/>
      <c r="K64" s="601"/>
      <c r="L64" s="601"/>
      <c r="M64" s="601"/>
      <c r="N64" s="500"/>
      <c r="O64" s="500"/>
      <c r="P64" s="500"/>
      <c r="Q64" s="500"/>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6.2" x14ac:dyDescent="0.35">
      <c r="A65" s="85"/>
      <c r="B65" s="380" t="s">
        <v>124</v>
      </c>
      <c r="C65" s="481">
        <v>0.75</v>
      </c>
      <c r="D65" s="482">
        <v>1.05</v>
      </c>
      <c r="E65" s="482">
        <v>0.5</v>
      </c>
      <c r="F65" s="483">
        <v>1</v>
      </c>
      <c r="G65" s="195"/>
      <c r="H65" s="601"/>
      <c r="I65" s="601"/>
      <c r="J65" s="601"/>
      <c r="K65" s="601"/>
      <c r="L65" s="601"/>
      <c r="M65" s="601"/>
      <c r="N65" s="500"/>
      <c r="O65" s="500"/>
      <c r="P65" s="500"/>
      <c r="Q65" s="500"/>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8" thickBot="1" x14ac:dyDescent="0.4">
      <c r="A66" s="85"/>
      <c r="B66" s="488" t="s">
        <v>125</v>
      </c>
      <c r="C66" s="484">
        <v>0.75</v>
      </c>
      <c r="D66" s="485">
        <v>1.05</v>
      </c>
      <c r="E66" s="485">
        <v>0.5</v>
      </c>
      <c r="F66" s="486">
        <v>1</v>
      </c>
      <c r="G66" s="195"/>
      <c r="H66" s="601"/>
      <c r="I66" s="601"/>
      <c r="J66" s="601"/>
      <c r="K66" s="601"/>
      <c r="L66" s="601"/>
      <c r="M66" s="601"/>
      <c r="N66" s="500"/>
      <c r="O66" s="500"/>
      <c r="P66" s="500"/>
      <c r="Q66" s="500"/>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x14ac:dyDescent="0.35">
      <c r="A67" s="350"/>
      <c r="B67" s="350"/>
      <c r="C67" s="350"/>
      <c r="D67" s="350"/>
      <c r="E67" s="350"/>
      <c r="F67" s="195"/>
      <c r="G67" s="195"/>
      <c r="H67" s="601"/>
      <c r="I67" s="601"/>
      <c r="J67" s="601"/>
      <c r="K67" s="601"/>
      <c r="L67" s="601"/>
      <c r="M67" s="601"/>
      <c r="N67" s="500"/>
      <c r="O67" s="500"/>
      <c r="P67" s="500"/>
      <c r="Q67" s="500"/>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x14ac:dyDescent="0.35">
      <c r="A68" s="350"/>
      <c r="B68" s="350"/>
      <c r="C68" s="350"/>
      <c r="D68" s="350"/>
      <c r="E68" s="350"/>
      <c r="F68" s="195"/>
      <c r="G68" s="195"/>
      <c r="H68" s="601"/>
      <c r="I68" s="601"/>
      <c r="J68" s="601"/>
      <c r="K68" s="601"/>
      <c r="L68" s="601"/>
      <c r="M68" s="601"/>
      <c r="N68" s="500"/>
      <c r="O68" s="500"/>
      <c r="P68" s="500"/>
      <c r="Q68" s="500"/>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x14ac:dyDescent="0.35">
      <c r="A69" s="496"/>
      <c r="B69" s="496"/>
      <c r="C69" s="496"/>
      <c r="D69" s="496"/>
      <c r="E69" s="496"/>
      <c r="F69" s="497"/>
      <c r="G69" s="498"/>
      <c r="H69" s="499"/>
      <c r="I69" s="499"/>
      <c r="J69" s="499"/>
      <c r="K69" s="499"/>
      <c r="L69" s="500"/>
      <c r="M69" s="500"/>
      <c r="N69" s="500"/>
      <c r="O69" s="500"/>
      <c r="P69" s="500"/>
      <c r="Q69" s="500"/>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x14ac:dyDescent="0.35">
      <c r="A70" s="496"/>
      <c r="B70" s="496"/>
      <c r="C70" s="496"/>
      <c r="D70" s="496"/>
      <c r="E70" s="496"/>
      <c r="F70" s="497"/>
      <c r="G70" s="498"/>
      <c r="H70" s="499"/>
      <c r="I70" s="499"/>
      <c r="J70" s="499"/>
      <c r="K70" s="499"/>
      <c r="L70" s="500"/>
      <c r="M70" s="500"/>
      <c r="N70" s="500"/>
      <c r="O70" s="500"/>
      <c r="P70" s="500"/>
      <c r="Q70" s="500"/>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x14ac:dyDescent="0.35">
      <c r="A71" s="498"/>
      <c r="B71" s="498"/>
      <c r="C71" s="498"/>
      <c r="D71" s="498"/>
      <c r="E71" s="498"/>
      <c r="F71" s="498"/>
      <c r="G71" s="498"/>
      <c r="H71" s="499"/>
      <c r="I71" s="499"/>
      <c r="J71" s="499"/>
      <c r="K71" s="499"/>
      <c r="L71" s="500"/>
      <c r="M71" s="500"/>
      <c r="N71" s="500"/>
      <c r="O71" s="500"/>
      <c r="P71" s="500"/>
      <c r="Q71" s="500"/>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x14ac:dyDescent="0.35">
      <c r="A72" s="498"/>
      <c r="B72" s="498"/>
      <c r="C72" s="498"/>
      <c r="D72" s="498"/>
      <c r="E72" s="498"/>
      <c r="F72" s="498"/>
      <c r="G72" s="497"/>
      <c r="H72" s="480"/>
      <c r="I72" s="480"/>
      <c r="J72" s="480"/>
      <c r="K72" s="480"/>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x14ac:dyDescent="0.35">
      <c r="A73" s="498"/>
      <c r="B73" s="498"/>
      <c r="C73" s="498"/>
      <c r="D73" s="498"/>
      <c r="E73" s="498"/>
      <c r="F73" s="498"/>
      <c r="G73" s="497"/>
      <c r="H73" s="480"/>
      <c r="I73" s="480"/>
      <c r="J73" s="480"/>
      <c r="K73" s="480"/>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x14ac:dyDescent="0.35">
      <c r="A74" s="497"/>
      <c r="B74" s="497"/>
      <c r="C74" s="497"/>
      <c r="D74" s="497"/>
      <c r="E74" s="497"/>
      <c r="F74" s="497"/>
      <c r="G74" s="497"/>
      <c r="H74" s="480"/>
      <c r="I74" s="480"/>
      <c r="J74" s="480"/>
      <c r="K74" s="480"/>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x14ac:dyDescent="0.35">
      <c r="A75" s="497"/>
      <c r="B75" s="497"/>
      <c r="C75" s="497"/>
      <c r="D75" s="497"/>
      <c r="E75" s="497"/>
      <c r="F75" s="497"/>
      <c r="G75" s="497"/>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x14ac:dyDescent="0.35">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x14ac:dyDescent="0.35">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x14ac:dyDescent="0.35">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x14ac:dyDescent="0.35">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x14ac:dyDescent="0.35">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x14ac:dyDescent="0.35">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x14ac:dyDescent="0.35">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x14ac:dyDescent="0.35">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x14ac:dyDescent="0.35">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x14ac:dyDescent="0.35">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x14ac:dyDescent="0.35">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x14ac:dyDescent="0.35">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x14ac:dyDescent="0.35">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x14ac:dyDescent="0.35">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x14ac:dyDescent="0.35">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x14ac:dyDescent="0.35">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x14ac:dyDescent="0.35">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x14ac:dyDescent="0.35">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x14ac:dyDescent="0.35">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x14ac:dyDescent="0.35">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x14ac:dyDescent="0.35">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x14ac:dyDescent="0.35">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x14ac:dyDescent="0.35">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x14ac:dyDescent="0.35">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x14ac:dyDescent="0.35">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x14ac:dyDescent="0.35">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x14ac:dyDescent="0.35">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x14ac:dyDescent="0.35">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x14ac:dyDescent="0.35">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x14ac:dyDescent="0.35">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x14ac:dyDescent="0.35">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x14ac:dyDescent="0.35">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x14ac:dyDescent="0.35">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x14ac:dyDescent="0.35">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x14ac:dyDescent="0.35">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x14ac:dyDescent="0.35">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x14ac:dyDescent="0.35">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x14ac:dyDescent="0.35">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x14ac:dyDescent="0.35">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x14ac:dyDescent="0.35">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x14ac:dyDescent="0.35">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x14ac:dyDescent="0.35">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x14ac:dyDescent="0.35">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x14ac:dyDescent="0.35">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x14ac:dyDescent="0.35">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x14ac:dyDescent="0.35">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x14ac:dyDescent="0.35">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x14ac:dyDescent="0.35">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x14ac:dyDescent="0.35">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x14ac:dyDescent="0.35">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x14ac:dyDescent="0.35">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x14ac:dyDescent="0.35">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x14ac:dyDescent="0.35">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x14ac:dyDescent="0.35">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x14ac:dyDescent="0.35">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x14ac:dyDescent="0.35">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x14ac:dyDescent="0.35">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x14ac:dyDescent="0.35">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x14ac:dyDescent="0.35">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x14ac:dyDescent="0.35">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x14ac:dyDescent="0.35">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x14ac:dyDescent="0.35">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x14ac:dyDescent="0.35">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x14ac:dyDescent="0.35">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x14ac:dyDescent="0.35">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x14ac:dyDescent="0.35">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x14ac:dyDescent="0.35">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x14ac:dyDescent="0.35">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x14ac:dyDescent="0.35">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x14ac:dyDescent="0.35">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x14ac:dyDescent="0.35">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x14ac:dyDescent="0.35">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x14ac:dyDescent="0.35">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x14ac:dyDescent="0.35">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x14ac:dyDescent="0.35">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x14ac:dyDescent="0.35">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x14ac:dyDescent="0.35">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x14ac:dyDescent="0.35">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x14ac:dyDescent="0.35">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x14ac:dyDescent="0.35">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x14ac:dyDescent="0.35">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x14ac:dyDescent="0.35">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x14ac:dyDescent="0.35">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x14ac:dyDescent="0.35">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x14ac:dyDescent="0.35">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x14ac:dyDescent="0.35">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x14ac:dyDescent="0.35">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x14ac:dyDescent="0.35">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x14ac:dyDescent="0.35">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x14ac:dyDescent="0.35">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x14ac:dyDescent="0.35">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x14ac:dyDescent="0.35">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x14ac:dyDescent="0.35">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x14ac:dyDescent="0.35">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x14ac:dyDescent="0.35">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x14ac:dyDescent="0.35">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x14ac:dyDescent="0.35">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x14ac:dyDescent="0.35">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x14ac:dyDescent="0.35">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x14ac:dyDescent="0.35">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x14ac:dyDescent="0.35">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x14ac:dyDescent="0.35">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x14ac:dyDescent="0.35">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x14ac:dyDescent="0.35">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x14ac:dyDescent="0.35">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x14ac:dyDescent="0.35">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x14ac:dyDescent="0.35">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x14ac:dyDescent="0.35">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x14ac:dyDescent="0.35">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x14ac:dyDescent="0.35">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x14ac:dyDescent="0.35">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x14ac:dyDescent="0.35">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x14ac:dyDescent="0.35">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x14ac:dyDescent="0.35">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x14ac:dyDescent="0.35">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x14ac:dyDescent="0.35">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x14ac:dyDescent="0.35">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x14ac:dyDescent="0.35">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x14ac:dyDescent="0.35">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x14ac:dyDescent="0.35">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x14ac:dyDescent="0.35">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x14ac:dyDescent="0.35">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x14ac:dyDescent="0.35">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x14ac:dyDescent="0.35">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x14ac:dyDescent="0.35">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x14ac:dyDescent="0.35">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x14ac:dyDescent="0.35">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x14ac:dyDescent="0.35">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x14ac:dyDescent="0.35">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x14ac:dyDescent="0.35">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x14ac:dyDescent="0.35">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x14ac:dyDescent="0.35">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x14ac:dyDescent="0.35">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x14ac:dyDescent="0.35">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x14ac:dyDescent="0.35">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x14ac:dyDescent="0.35">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x14ac:dyDescent="0.35">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x14ac:dyDescent="0.35">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x14ac:dyDescent="0.35">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x14ac:dyDescent="0.35">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x14ac:dyDescent="0.35">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x14ac:dyDescent="0.35">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x14ac:dyDescent="0.35">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x14ac:dyDescent="0.35">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x14ac:dyDescent="0.35">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x14ac:dyDescent="0.35">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x14ac:dyDescent="0.35">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x14ac:dyDescent="0.35">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x14ac:dyDescent="0.35">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x14ac:dyDescent="0.35">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x14ac:dyDescent="0.35">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x14ac:dyDescent="0.35">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x14ac:dyDescent="0.35">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x14ac:dyDescent="0.35">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x14ac:dyDescent="0.35">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x14ac:dyDescent="0.35">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x14ac:dyDescent="0.35">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x14ac:dyDescent="0.35">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x14ac:dyDescent="0.35">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x14ac:dyDescent="0.35">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x14ac:dyDescent="0.35">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x14ac:dyDescent="0.35">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x14ac:dyDescent="0.35">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x14ac:dyDescent="0.35">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x14ac:dyDescent="0.35">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x14ac:dyDescent="0.35">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x14ac:dyDescent="0.35">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x14ac:dyDescent="0.35">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x14ac:dyDescent="0.35">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x14ac:dyDescent="0.35">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x14ac:dyDescent="0.35">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x14ac:dyDescent="0.35">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x14ac:dyDescent="0.35">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x14ac:dyDescent="0.35">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x14ac:dyDescent="0.35">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x14ac:dyDescent="0.35">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x14ac:dyDescent="0.35">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x14ac:dyDescent="0.35">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x14ac:dyDescent="0.35">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x14ac:dyDescent="0.35">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x14ac:dyDescent="0.35">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x14ac:dyDescent="0.35">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x14ac:dyDescent="0.35">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x14ac:dyDescent="0.35">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x14ac:dyDescent="0.35">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x14ac:dyDescent="0.35">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x14ac:dyDescent="0.35">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x14ac:dyDescent="0.35">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x14ac:dyDescent="0.35">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x14ac:dyDescent="0.35">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x14ac:dyDescent="0.35">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x14ac:dyDescent="0.35">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x14ac:dyDescent="0.35">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x14ac:dyDescent="0.35">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x14ac:dyDescent="0.35">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x14ac:dyDescent="0.35">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x14ac:dyDescent="0.35">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x14ac:dyDescent="0.35">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x14ac:dyDescent="0.35">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x14ac:dyDescent="0.35">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x14ac:dyDescent="0.35">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x14ac:dyDescent="0.35">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x14ac:dyDescent="0.35">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x14ac:dyDescent="0.35">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x14ac:dyDescent="0.35">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x14ac:dyDescent="0.35">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x14ac:dyDescent="0.35">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x14ac:dyDescent="0.35">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x14ac:dyDescent="0.35">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x14ac:dyDescent="0.35">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x14ac:dyDescent="0.35">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x14ac:dyDescent="0.35">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x14ac:dyDescent="0.35">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x14ac:dyDescent="0.35">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x14ac:dyDescent="0.35">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x14ac:dyDescent="0.35">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x14ac:dyDescent="0.35">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x14ac:dyDescent="0.35">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x14ac:dyDescent="0.35">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x14ac:dyDescent="0.35">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x14ac:dyDescent="0.35">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x14ac:dyDescent="0.35">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x14ac:dyDescent="0.35">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x14ac:dyDescent="0.35">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x14ac:dyDescent="0.35">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x14ac:dyDescent="0.35">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x14ac:dyDescent="0.35">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x14ac:dyDescent="0.35">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x14ac:dyDescent="0.35">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x14ac:dyDescent="0.35">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x14ac:dyDescent="0.35">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x14ac:dyDescent="0.35">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x14ac:dyDescent="0.35">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x14ac:dyDescent="0.35">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x14ac:dyDescent="0.35">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x14ac:dyDescent="0.35">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x14ac:dyDescent="0.35">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x14ac:dyDescent="0.35">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x14ac:dyDescent="0.35">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x14ac:dyDescent="0.35">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x14ac:dyDescent="0.35">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x14ac:dyDescent="0.35">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x14ac:dyDescent="0.35">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x14ac:dyDescent="0.35">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x14ac:dyDescent="0.35">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x14ac:dyDescent="0.35">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x14ac:dyDescent="0.35">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x14ac:dyDescent="0.35">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x14ac:dyDescent="0.35">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x14ac:dyDescent="0.35">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x14ac:dyDescent="0.35">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x14ac:dyDescent="0.35">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x14ac:dyDescent="0.35">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x14ac:dyDescent="0.35">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x14ac:dyDescent="0.35">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x14ac:dyDescent="0.35">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x14ac:dyDescent="0.35">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x14ac:dyDescent="0.35">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x14ac:dyDescent="0.35">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x14ac:dyDescent="0.35">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x14ac:dyDescent="0.35">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x14ac:dyDescent="0.35">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x14ac:dyDescent="0.35">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x14ac:dyDescent="0.35">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x14ac:dyDescent="0.35">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x14ac:dyDescent="0.35">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x14ac:dyDescent="0.35">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x14ac:dyDescent="0.35">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x14ac:dyDescent="0.35">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x14ac:dyDescent="0.35">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x14ac:dyDescent="0.35">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x14ac:dyDescent="0.35">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x14ac:dyDescent="0.35">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x14ac:dyDescent="0.35">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x14ac:dyDescent="0.35">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x14ac:dyDescent="0.35">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x14ac:dyDescent="0.35">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x14ac:dyDescent="0.35">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x14ac:dyDescent="0.35">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x14ac:dyDescent="0.35">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x14ac:dyDescent="0.35">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x14ac:dyDescent="0.35">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x14ac:dyDescent="0.35">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x14ac:dyDescent="0.35">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x14ac:dyDescent="0.35">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x14ac:dyDescent="0.35">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x14ac:dyDescent="0.35">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x14ac:dyDescent="0.35">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x14ac:dyDescent="0.35">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x14ac:dyDescent="0.35">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x14ac:dyDescent="0.35">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x14ac:dyDescent="0.35">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x14ac:dyDescent="0.35">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x14ac:dyDescent="0.35">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x14ac:dyDescent="0.35">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x14ac:dyDescent="0.35">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x14ac:dyDescent="0.35">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x14ac:dyDescent="0.35">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x14ac:dyDescent="0.35">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x14ac:dyDescent="0.35">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x14ac:dyDescent="0.35">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x14ac:dyDescent="0.35">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x14ac:dyDescent="0.35">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x14ac:dyDescent="0.35">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x14ac:dyDescent="0.35">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x14ac:dyDescent="0.35">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x14ac:dyDescent="0.35">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x14ac:dyDescent="0.35">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x14ac:dyDescent="0.35">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x14ac:dyDescent="0.35">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x14ac:dyDescent="0.35">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x14ac:dyDescent="0.35">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x14ac:dyDescent="0.35">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x14ac:dyDescent="0.35">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x14ac:dyDescent="0.35">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x14ac:dyDescent="0.35">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x14ac:dyDescent="0.35">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x14ac:dyDescent="0.35">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x14ac:dyDescent="0.35">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x14ac:dyDescent="0.35">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x14ac:dyDescent="0.35">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x14ac:dyDescent="0.35">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x14ac:dyDescent="0.35">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x14ac:dyDescent="0.35">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x14ac:dyDescent="0.35">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x14ac:dyDescent="0.35">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x14ac:dyDescent="0.35">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x14ac:dyDescent="0.35">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x14ac:dyDescent="0.35">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x14ac:dyDescent="0.35">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x14ac:dyDescent="0.35">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x14ac:dyDescent="0.35">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x14ac:dyDescent="0.35">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x14ac:dyDescent="0.35">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x14ac:dyDescent="0.35">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x14ac:dyDescent="0.35">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x14ac:dyDescent="0.35">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x14ac:dyDescent="0.35">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x14ac:dyDescent="0.35">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x14ac:dyDescent="0.35">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x14ac:dyDescent="0.35">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x14ac:dyDescent="0.35">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x14ac:dyDescent="0.35">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x14ac:dyDescent="0.35">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x14ac:dyDescent="0.35">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x14ac:dyDescent="0.35">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x14ac:dyDescent="0.35">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x14ac:dyDescent="0.35">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x14ac:dyDescent="0.35">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x14ac:dyDescent="0.35">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x14ac:dyDescent="0.35">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x14ac:dyDescent="0.35">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x14ac:dyDescent="0.35">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x14ac:dyDescent="0.35">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x14ac:dyDescent="0.35">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x14ac:dyDescent="0.35">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x14ac:dyDescent="0.35">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x14ac:dyDescent="0.35">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x14ac:dyDescent="0.35">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x14ac:dyDescent="0.35">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x14ac:dyDescent="0.35">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x14ac:dyDescent="0.35">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x14ac:dyDescent="0.35">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x14ac:dyDescent="0.35">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x14ac:dyDescent="0.35">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x14ac:dyDescent="0.35">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x14ac:dyDescent="0.35">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x14ac:dyDescent="0.35">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x14ac:dyDescent="0.35">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x14ac:dyDescent="0.35">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x14ac:dyDescent="0.35">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x14ac:dyDescent="0.35">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x14ac:dyDescent="0.35">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x14ac:dyDescent="0.35">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x14ac:dyDescent="0.35">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x14ac:dyDescent="0.35">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x14ac:dyDescent="0.35">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x14ac:dyDescent="0.35">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x14ac:dyDescent="0.35">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x14ac:dyDescent="0.35">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x14ac:dyDescent="0.35">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x14ac:dyDescent="0.35">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x14ac:dyDescent="0.35">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x14ac:dyDescent="0.35">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x14ac:dyDescent="0.35">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x14ac:dyDescent="0.35">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x14ac:dyDescent="0.35">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x14ac:dyDescent="0.35">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x14ac:dyDescent="0.35">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x14ac:dyDescent="0.35">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x14ac:dyDescent="0.35">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x14ac:dyDescent="0.35">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x14ac:dyDescent="0.35">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x14ac:dyDescent="0.35">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x14ac:dyDescent="0.35">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x14ac:dyDescent="0.35">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x14ac:dyDescent="0.35">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x14ac:dyDescent="0.35">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x14ac:dyDescent="0.35">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x14ac:dyDescent="0.35">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x14ac:dyDescent="0.35">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x14ac:dyDescent="0.35">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x14ac:dyDescent="0.35">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x14ac:dyDescent="0.35">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x14ac:dyDescent="0.35">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x14ac:dyDescent="0.35">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x14ac:dyDescent="0.35">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x14ac:dyDescent="0.35">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x14ac:dyDescent="0.35">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x14ac:dyDescent="0.35">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x14ac:dyDescent="0.35">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x14ac:dyDescent="0.35">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x14ac:dyDescent="0.35">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x14ac:dyDescent="0.35">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x14ac:dyDescent="0.35">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x14ac:dyDescent="0.35">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x14ac:dyDescent="0.35">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x14ac:dyDescent="0.35">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x14ac:dyDescent="0.35">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x14ac:dyDescent="0.35">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x14ac:dyDescent="0.35">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x14ac:dyDescent="0.35">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x14ac:dyDescent="0.35">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x14ac:dyDescent="0.35">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x14ac:dyDescent="0.35">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x14ac:dyDescent="0.35">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x14ac:dyDescent="0.35">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x14ac:dyDescent="0.35">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x14ac:dyDescent="0.35">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x14ac:dyDescent="0.35">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x14ac:dyDescent="0.35">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x14ac:dyDescent="0.35">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x14ac:dyDescent="0.35">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x14ac:dyDescent="0.35">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x14ac:dyDescent="0.35">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x14ac:dyDescent="0.35">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x14ac:dyDescent="0.35">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x14ac:dyDescent="0.35">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x14ac:dyDescent="0.35">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x14ac:dyDescent="0.35">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x14ac:dyDescent="0.35">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x14ac:dyDescent="0.35">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x14ac:dyDescent="0.35">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x14ac:dyDescent="0.35">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x14ac:dyDescent="0.35">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x14ac:dyDescent="0.35">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x14ac:dyDescent="0.35">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x14ac:dyDescent="0.35">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x14ac:dyDescent="0.35">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x14ac:dyDescent="0.35">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x14ac:dyDescent="0.35">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x14ac:dyDescent="0.35">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x14ac:dyDescent="0.35">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x14ac:dyDescent="0.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x14ac:dyDescent="0.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x14ac:dyDescent="0.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x14ac:dyDescent="0.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x14ac:dyDescent="0.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x14ac:dyDescent="0.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x14ac:dyDescent="0.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x14ac:dyDescent="0.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x14ac:dyDescent="0.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x14ac:dyDescent="0.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x14ac:dyDescent="0.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x14ac:dyDescent="0.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x14ac:dyDescent="0.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x14ac:dyDescent="0.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x14ac:dyDescent="0.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x14ac:dyDescent="0.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x14ac:dyDescent="0.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x14ac:dyDescent="0.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x14ac:dyDescent="0.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x14ac:dyDescent="0.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x14ac:dyDescent="0.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x14ac:dyDescent="0.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x14ac:dyDescent="0.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x14ac:dyDescent="0.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x14ac:dyDescent="0.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x14ac:dyDescent="0.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x14ac:dyDescent="0.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x14ac:dyDescent="0.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x14ac:dyDescent="0.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x14ac:dyDescent="0.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x14ac:dyDescent="0.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x14ac:dyDescent="0.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x14ac:dyDescent="0.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x14ac:dyDescent="0.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x14ac:dyDescent="0.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x14ac:dyDescent="0.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x14ac:dyDescent="0.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x14ac:dyDescent="0.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x14ac:dyDescent="0.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x14ac:dyDescent="0.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x14ac:dyDescent="0.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x14ac:dyDescent="0.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x14ac:dyDescent="0.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x14ac:dyDescent="0.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x14ac:dyDescent="0.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x14ac:dyDescent="0.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x14ac:dyDescent="0.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x14ac:dyDescent="0.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x14ac:dyDescent="0.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x14ac:dyDescent="0.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x14ac:dyDescent="0.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x14ac:dyDescent="0.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x14ac:dyDescent="0.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x14ac:dyDescent="0.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x14ac:dyDescent="0.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x14ac:dyDescent="0.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x14ac:dyDescent="0.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x14ac:dyDescent="0.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x14ac:dyDescent="0.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x14ac:dyDescent="0.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x14ac:dyDescent="0.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x14ac:dyDescent="0.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x14ac:dyDescent="0.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x14ac:dyDescent="0.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x14ac:dyDescent="0.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x14ac:dyDescent="0.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x14ac:dyDescent="0.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x14ac:dyDescent="0.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x14ac:dyDescent="0.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x14ac:dyDescent="0.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x14ac:dyDescent="0.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x14ac:dyDescent="0.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x14ac:dyDescent="0.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x14ac:dyDescent="0.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x14ac:dyDescent="0.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x14ac:dyDescent="0.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x14ac:dyDescent="0.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x14ac:dyDescent="0.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x14ac:dyDescent="0.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x14ac:dyDescent="0.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x14ac:dyDescent="0.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x14ac:dyDescent="0.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x14ac:dyDescent="0.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x14ac:dyDescent="0.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x14ac:dyDescent="0.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x14ac:dyDescent="0.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x14ac:dyDescent="0.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x14ac:dyDescent="0.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x14ac:dyDescent="0.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x14ac:dyDescent="0.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x14ac:dyDescent="0.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x14ac:dyDescent="0.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x14ac:dyDescent="0.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x14ac:dyDescent="0.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x14ac:dyDescent="0.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x14ac:dyDescent="0.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x14ac:dyDescent="0.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x14ac:dyDescent="0.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x14ac:dyDescent="0.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x14ac:dyDescent="0.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x14ac:dyDescent="0.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x14ac:dyDescent="0.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x14ac:dyDescent="0.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x14ac:dyDescent="0.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x14ac:dyDescent="0.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x14ac:dyDescent="0.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x14ac:dyDescent="0.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x14ac:dyDescent="0.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x14ac:dyDescent="0.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x14ac:dyDescent="0.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x14ac:dyDescent="0.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x14ac:dyDescent="0.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x14ac:dyDescent="0.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x14ac:dyDescent="0.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x14ac:dyDescent="0.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x14ac:dyDescent="0.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x14ac:dyDescent="0.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x14ac:dyDescent="0.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x14ac:dyDescent="0.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x14ac:dyDescent="0.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x14ac:dyDescent="0.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x14ac:dyDescent="0.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x14ac:dyDescent="0.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x14ac:dyDescent="0.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x14ac:dyDescent="0.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x14ac:dyDescent="0.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x14ac:dyDescent="0.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x14ac:dyDescent="0.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x14ac:dyDescent="0.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x14ac:dyDescent="0.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x14ac:dyDescent="0.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x14ac:dyDescent="0.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x14ac:dyDescent="0.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x14ac:dyDescent="0.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x14ac:dyDescent="0.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x14ac:dyDescent="0.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x14ac:dyDescent="0.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x14ac:dyDescent="0.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x14ac:dyDescent="0.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x14ac:dyDescent="0.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x14ac:dyDescent="0.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x14ac:dyDescent="0.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x14ac:dyDescent="0.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x14ac:dyDescent="0.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x14ac:dyDescent="0.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x14ac:dyDescent="0.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x14ac:dyDescent="0.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x14ac:dyDescent="0.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x14ac:dyDescent="0.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x14ac:dyDescent="0.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x14ac:dyDescent="0.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x14ac:dyDescent="0.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x14ac:dyDescent="0.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x14ac:dyDescent="0.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x14ac:dyDescent="0.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x14ac:dyDescent="0.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x14ac:dyDescent="0.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x14ac:dyDescent="0.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x14ac:dyDescent="0.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x14ac:dyDescent="0.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x14ac:dyDescent="0.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x14ac:dyDescent="0.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x14ac:dyDescent="0.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x14ac:dyDescent="0.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x14ac:dyDescent="0.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x14ac:dyDescent="0.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x14ac:dyDescent="0.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x14ac:dyDescent="0.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x14ac:dyDescent="0.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x14ac:dyDescent="0.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x14ac:dyDescent="0.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x14ac:dyDescent="0.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x14ac:dyDescent="0.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x14ac:dyDescent="0.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x14ac:dyDescent="0.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x14ac:dyDescent="0.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x14ac:dyDescent="0.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x14ac:dyDescent="0.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x14ac:dyDescent="0.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x14ac:dyDescent="0.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x14ac:dyDescent="0.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x14ac:dyDescent="0.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x14ac:dyDescent="0.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x14ac:dyDescent="0.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x14ac:dyDescent="0.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x14ac:dyDescent="0.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x14ac:dyDescent="0.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x14ac:dyDescent="0.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x14ac:dyDescent="0.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x14ac:dyDescent="0.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x14ac:dyDescent="0.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x14ac:dyDescent="0.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x14ac:dyDescent="0.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x14ac:dyDescent="0.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x14ac:dyDescent="0.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x14ac:dyDescent="0.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x14ac:dyDescent="0.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x14ac:dyDescent="0.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x14ac:dyDescent="0.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x14ac:dyDescent="0.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x14ac:dyDescent="0.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x14ac:dyDescent="0.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x14ac:dyDescent="0.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x14ac:dyDescent="0.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x14ac:dyDescent="0.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x14ac:dyDescent="0.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x14ac:dyDescent="0.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x14ac:dyDescent="0.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x14ac:dyDescent="0.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x14ac:dyDescent="0.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x14ac:dyDescent="0.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x14ac:dyDescent="0.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x14ac:dyDescent="0.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x14ac:dyDescent="0.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x14ac:dyDescent="0.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x14ac:dyDescent="0.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x14ac:dyDescent="0.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x14ac:dyDescent="0.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x14ac:dyDescent="0.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x14ac:dyDescent="0.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x14ac:dyDescent="0.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x14ac:dyDescent="0.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x14ac:dyDescent="0.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x14ac:dyDescent="0.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x14ac:dyDescent="0.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x14ac:dyDescent="0.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x14ac:dyDescent="0.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x14ac:dyDescent="0.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x14ac:dyDescent="0.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x14ac:dyDescent="0.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x14ac:dyDescent="0.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x14ac:dyDescent="0.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x14ac:dyDescent="0.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x14ac:dyDescent="0.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x14ac:dyDescent="0.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x14ac:dyDescent="0.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x14ac:dyDescent="0.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x14ac:dyDescent="0.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x14ac:dyDescent="0.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x14ac:dyDescent="0.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x14ac:dyDescent="0.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x14ac:dyDescent="0.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x14ac:dyDescent="0.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x14ac:dyDescent="0.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x14ac:dyDescent="0.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x14ac:dyDescent="0.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x14ac:dyDescent="0.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x14ac:dyDescent="0.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x14ac:dyDescent="0.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x14ac:dyDescent="0.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x14ac:dyDescent="0.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x14ac:dyDescent="0.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x14ac:dyDescent="0.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x14ac:dyDescent="0.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x14ac:dyDescent="0.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x14ac:dyDescent="0.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x14ac:dyDescent="0.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x14ac:dyDescent="0.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x14ac:dyDescent="0.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x14ac:dyDescent="0.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x14ac:dyDescent="0.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x14ac:dyDescent="0.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x14ac:dyDescent="0.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x14ac:dyDescent="0.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x14ac:dyDescent="0.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x14ac:dyDescent="0.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x14ac:dyDescent="0.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x14ac:dyDescent="0.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16" workbookViewId="0">
      <selection activeCell="E19" sqref="E19"/>
    </sheetView>
  </sheetViews>
  <sheetFormatPr defaultColWidth="10.77734375" defaultRowHeight="13.2" x14ac:dyDescent="0.25"/>
  <cols>
    <col min="1" max="1" width="10.77734375" style="350"/>
    <col min="2" max="2" width="23.77734375" style="350" customWidth="1"/>
    <col min="3" max="3" width="30.77734375" style="350" bestFit="1" customWidth="1"/>
    <col min="4" max="4" width="20.109375" style="350" bestFit="1" customWidth="1"/>
    <col min="5" max="5" width="10.77734375" style="350"/>
    <col min="6" max="6" width="25.33203125" style="350" customWidth="1"/>
    <col min="7" max="7" width="80.44140625" style="350" customWidth="1"/>
    <col min="8" max="8" width="23.109375" style="350" customWidth="1"/>
    <col min="9" max="9" width="36.44140625" style="350" customWidth="1"/>
    <col min="10" max="14" width="10.77734375" style="350"/>
    <col min="15" max="15" width="22.44140625" style="350" customWidth="1"/>
    <col min="16" max="16" width="21.6640625" style="350" bestFit="1" customWidth="1"/>
    <col min="17" max="17" width="23.77734375" style="350" bestFit="1" customWidth="1"/>
    <col min="18" max="16384" width="10.77734375" style="350"/>
  </cols>
  <sheetData>
    <row r="3" spans="1:7" ht="27.6" x14ac:dyDescent="0.45">
      <c r="B3" s="192" t="s">
        <v>352</v>
      </c>
    </row>
    <row r="7" spans="1:7" ht="25.95" customHeight="1" thickBot="1" x14ac:dyDescent="0.3">
      <c r="B7" s="602" t="s">
        <v>337</v>
      </c>
      <c r="C7" s="602"/>
    </row>
    <row r="8" spans="1:7" ht="14.4" thickTop="1" thickBot="1" x14ac:dyDescent="0.3">
      <c r="B8" s="503" t="s">
        <v>353</v>
      </c>
      <c r="C8" s="526" t="b">
        <v>1</v>
      </c>
      <c r="E8" s="527"/>
      <c r="F8" s="527"/>
      <c r="G8" s="527"/>
    </row>
    <row r="9" spans="1:7" ht="14.4" thickTop="1" thickBot="1" x14ac:dyDescent="0.3">
      <c r="E9" s="527"/>
      <c r="F9" s="527"/>
      <c r="G9" s="527"/>
    </row>
    <row r="10" spans="1:7" ht="14.4" thickTop="1" thickBot="1" x14ac:dyDescent="0.3">
      <c r="B10" s="503" t="s">
        <v>339</v>
      </c>
      <c r="C10" s="502" t="s">
        <v>340</v>
      </c>
      <c r="E10" s="605" t="s">
        <v>350</v>
      </c>
      <c r="F10" s="605"/>
      <c r="G10" s="605"/>
    </row>
    <row r="11" spans="1:7" ht="16.2" thickTop="1" x14ac:dyDescent="0.3">
      <c r="B11" s="507" t="s">
        <v>341</v>
      </c>
      <c r="C11" s="523">
        <v>0.5</v>
      </c>
      <c r="E11" s="605"/>
      <c r="F11" s="605"/>
      <c r="G11" s="605"/>
    </row>
    <row r="12" spans="1:7" ht="15.6" x14ac:dyDescent="0.3">
      <c r="B12" s="507" t="s">
        <v>342</v>
      </c>
      <c r="C12" s="504">
        <v>1</v>
      </c>
      <c r="E12" s="605"/>
      <c r="F12" s="605"/>
      <c r="G12" s="605"/>
    </row>
    <row r="13" spans="1:7" ht="15.6" x14ac:dyDescent="0.3">
      <c r="B13" s="507" t="s">
        <v>343</v>
      </c>
      <c r="C13" s="504">
        <v>2</v>
      </c>
      <c r="E13" s="605"/>
      <c r="F13" s="605"/>
      <c r="G13" s="605"/>
    </row>
    <row r="14" spans="1:7" ht="15.6" x14ac:dyDescent="0.3">
      <c r="A14"/>
      <c r="B14" s="507" t="s">
        <v>344</v>
      </c>
      <c r="C14" s="505">
        <v>3</v>
      </c>
      <c r="E14" s="605"/>
      <c r="F14" s="605"/>
      <c r="G14" s="605"/>
    </row>
    <row r="15" spans="1:7" ht="16.2" thickBot="1" x14ac:dyDescent="0.35">
      <c r="B15" s="508" t="s">
        <v>345</v>
      </c>
      <c r="C15" s="506">
        <v>4</v>
      </c>
      <c r="E15" s="605"/>
      <c r="F15" s="605"/>
      <c r="G15" s="605"/>
    </row>
    <row r="18" spans="2:17" x14ac:dyDescent="0.25">
      <c r="E18" s="528"/>
      <c r="F18" s="528"/>
      <c r="G18" s="528"/>
    </row>
    <row r="19" spans="2:17" ht="25.95" customHeight="1" thickBot="1" x14ac:dyDescent="0.3">
      <c r="B19" s="602" t="s">
        <v>354</v>
      </c>
      <c r="C19" s="602"/>
      <c r="E19" s="528"/>
      <c r="F19" s="528"/>
      <c r="G19" s="528"/>
    </row>
    <row r="20" spans="2:17" ht="14.4" thickTop="1" thickBot="1" x14ac:dyDescent="0.3">
      <c r="B20" s="503" t="s">
        <v>353</v>
      </c>
      <c r="C20" s="526" t="b">
        <v>1</v>
      </c>
      <c r="E20" s="528"/>
      <c r="F20" s="528"/>
      <c r="G20" s="528"/>
    </row>
    <row r="21" spans="2:17" ht="19.95" customHeight="1" thickTop="1" thickBot="1" x14ac:dyDescent="0.4">
      <c r="B21" s="157"/>
      <c r="E21" s="527" t="s">
        <v>355</v>
      </c>
      <c r="F21" s="527"/>
      <c r="G21" s="527"/>
    </row>
    <row r="22" spans="2:17" ht="14.4" thickTop="1" thickBot="1" x14ac:dyDescent="0.3">
      <c r="B22" s="503" t="s">
        <v>339</v>
      </c>
      <c r="C22" s="502" t="s">
        <v>346</v>
      </c>
      <c r="E22" s="605" t="s">
        <v>356</v>
      </c>
      <c r="F22" s="605"/>
      <c r="G22" s="605"/>
    </row>
    <row r="23" spans="2:17" ht="16.2" thickTop="1" x14ac:dyDescent="0.3">
      <c r="B23" s="507" t="s">
        <v>341</v>
      </c>
      <c r="C23" s="524">
        <v>0.96</v>
      </c>
      <c r="E23" s="605"/>
      <c r="F23" s="605"/>
      <c r="G23" s="605"/>
    </row>
    <row r="24" spans="2:17" ht="15.6" x14ac:dyDescent="0.3">
      <c r="B24" s="507" t="s">
        <v>342</v>
      </c>
      <c r="C24" s="509">
        <v>0.91</v>
      </c>
      <c r="E24" s="605"/>
      <c r="F24" s="605"/>
      <c r="G24" s="605"/>
      <c r="Q24" s="522"/>
    </row>
    <row r="25" spans="2:17" ht="15.6" x14ac:dyDescent="0.3">
      <c r="B25" s="507" t="s">
        <v>343</v>
      </c>
      <c r="C25" s="509">
        <v>0.84</v>
      </c>
      <c r="E25" s="605"/>
      <c r="F25" s="605"/>
      <c r="G25" s="605"/>
      <c r="Q25" s="522"/>
    </row>
    <row r="26" spans="2:17" ht="15.6" x14ac:dyDescent="0.3">
      <c r="B26" s="507" t="s">
        <v>344</v>
      </c>
      <c r="C26" s="510">
        <v>0.75</v>
      </c>
      <c r="E26" s="605"/>
      <c r="F26" s="605"/>
      <c r="G26" s="605"/>
      <c r="Q26" s="522"/>
    </row>
    <row r="27" spans="2:17" ht="16.2" thickBot="1" x14ac:dyDescent="0.35">
      <c r="B27" s="508" t="s">
        <v>345</v>
      </c>
      <c r="C27" s="511">
        <v>0.26</v>
      </c>
      <c r="E27" s="605"/>
      <c r="F27" s="605"/>
      <c r="G27" s="605"/>
      <c r="Q27" s="522"/>
    </row>
    <row r="28" spans="2:17" x14ac:dyDescent="0.25">
      <c r="E28" s="605"/>
      <c r="F28" s="605"/>
      <c r="G28" s="605"/>
      <c r="Q28" s="522"/>
    </row>
    <row r="29" spans="2:17" x14ac:dyDescent="0.25">
      <c r="F29" s="527"/>
      <c r="G29" s="527"/>
      <c r="Q29" s="522"/>
    </row>
    <row r="30" spans="2:17" x14ac:dyDescent="0.25">
      <c r="F30" s="527"/>
      <c r="G30" s="527"/>
      <c r="Q30" s="522"/>
    </row>
    <row r="31" spans="2:17" ht="25.95" customHeight="1" thickBot="1" x14ac:dyDescent="0.3">
      <c r="B31" s="602" t="s">
        <v>338</v>
      </c>
      <c r="C31" s="602"/>
      <c r="D31" s="602"/>
      <c r="F31" s="527"/>
      <c r="G31" s="527"/>
      <c r="Q31" s="522"/>
    </row>
    <row r="32" spans="2:17" ht="14.4" thickTop="1" thickBot="1" x14ac:dyDescent="0.3">
      <c r="B32" s="603" t="s">
        <v>353</v>
      </c>
      <c r="C32" s="604"/>
      <c r="D32" s="526" t="b">
        <v>1</v>
      </c>
      <c r="F32" s="527"/>
      <c r="G32" s="527"/>
      <c r="Q32" s="522"/>
    </row>
    <row r="33" spans="2:17" ht="21.6" thickTop="1" thickBot="1" x14ac:dyDescent="0.4">
      <c r="B33" s="157"/>
      <c r="F33" s="527"/>
      <c r="G33" s="527"/>
      <c r="Q33" s="522"/>
    </row>
    <row r="34" spans="2:17" ht="14.4" thickTop="1" thickBot="1" x14ac:dyDescent="0.3">
      <c r="B34" s="503" t="s">
        <v>347</v>
      </c>
      <c r="C34" s="503" t="s">
        <v>348</v>
      </c>
      <c r="D34" s="502" t="s">
        <v>349</v>
      </c>
      <c r="F34" s="605" t="s">
        <v>351</v>
      </c>
      <c r="G34" s="605"/>
      <c r="Q34" s="522"/>
    </row>
    <row r="35" spans="2:17" ht="16.2" thickTop="1" x14ac:dyDescent="0.3">
      <c r="B35" s="512" t="s">
        <v>163</v>
      </c>
      <c r="C35" s="515">
        <v>2.2000000000000002</v>
      </c>
      <c r="D35" s="518">
        <v>17.399999999999999</v>
      </c>
      <c r="F35" s="605"/>
      <c r="G35" s="605"/>
      <c r="Q35" s="522"/>
    </row>
    <row r="36" spans="2:17" ht="15.6" x14ac:dyDescent="0.3">
      <c r="B36" s="513" t="s">
        <v>112</v>
      </c>
      <c r="C36" s="516">
        <v>3.1</v>
      </c>
      <c r="D36" s="519">
        <v>18.399999999999999</v>
      </c>
      <c r="F36" s="605"/>
      <c r="G36" s="605"/>
      <c r="Q36" s="522"/>
    </row>
    <row r="37" spans="2:17" ht="15.6" x14ac:dyDescent="0.3">
      <c r="B37" s="513" t="s">
        <v>131</v>
      </c>
      <c r="C37" s="516">
        <v>4.4000000000000004</v>
      </c>
      <c r="D37" s="519">
        <v>19.8</v>
      </c>
      <c r="F37" s="605"/>
      <c r="G37" s="605"/>
      <c r="Q37" s="522"/>
    </row>
    <row r="38" spans="2:17" ht="15.6" x14ac:dyDescent="0.3">
      <c r="B38" s="513" t="s">
        <v>130</v>
      </c>
      <c r="C38" s="516">
        <v>6.2</v>
      </c>
      <c r="D38" s="520">
        <v>21.8</v>
      </c>
      <c r="F38" s="605"/>
      <c r="G38" s="605"/>
      <c r="Q38" s="522"/>
    </row>
    <row r="39" spans="2:17" ht="15.6" x14ac:dyDescent="0.3">
      <c r="B39" s="513" t="s">
        <v>132</v>
      </c>
      <c r="C39" s="516">
        <v>9.8000000000000007</v>
      </c>
      <c r="D39" s="520">
        <v>25.7</v>
      </c>
      <c r="F39" s="605"/>
      <c r="G39" s="605"/>
      <c r="Q39" s="522"/>
    </row>
    <row r="40" spans="2:17" ht="15.6" x14ac:dyDescent="0.3">
      <c r="B40" s="513" t="s">
        <v>133</v>
      </c>
      <c r="C40" s="516">
        <v>13.8</v>
      </c>
      <c r="D40" s="519">
        <v>30.2</v>
      </c>
      <c r="F40" s="605"/>
      <c r="G40" s="605"/>
      <c r="Q40" s="522"/>
    </row>
    <row r="41" spans="2:17" ht="15.6" x14ac:dyDescent="0.3">
      <c r="B41" s="513" t="s">
        <v>164</v>
      </c>
      <c r="C41" s="516">
        <v>21.9</v>
      </c>
      <c r="D41" s="519">
        <v>39</v>
      </c>
      <c r="F41" s="605"/>
      <c r="G41" s="605"/>
      <c r="Q41" s="522"/>
    </row>
    <row r="42" spans="2:17" ht="15.6" x14ac:dyDescent="0.3">
      <c r="B42" s="513" t="s">
        <v>134</v>
      </c>
      <c r="C42" s="516">
        <v>30.9</v>
      </c>
      <c r="D42" s="519">
        <v>49</v>
      </c>
      <c r="F42" s="605"/>
      <c r="G42" s="605"/>
      <c r="Q42" s="522"/>
    </row>
    <row r="43" spans="2:17" ht="15.6" x14ac:dyDescent="0.3">
      <c r="B43" s="513" t="s">
        <v>165</v>
      </c>
      <c r="C43" s="516">
        <v>37.799999999999997</v>
      </c>
      <c r="D43" s="520">
        <v>56.6</v>
      </c>
      <c r="F43" s="605"/>
      <c r="G43" s="605"/>
    </row>
    <row r="44" spans="2:17" ht="15.6" x14ac:dyDescent="0.3">
      <c r="B44" s="513" t="s">
        <v>166</v>
      </c>
      <c r="C44" s="516">
        <v>43.7</v>
      </c>
      <c r="D44" s="520">
        <v>63.1</v>
      </c>
      <c r="F44" s="605"/>
      <c r="G44" s="605"/>
    </row>
    <row r="45" spans="2:17" ht="16.2" thickBot="1" x14ac:dyDescent="0.35">
      <c r="B45" s="514" t="s">
        <v>167</v>
      </c>
      <c r="C45" s="517">
        <v>53.5</v>
      </c>
      <c r="D45" s="521">
        <v>73.900000000000006</v>
      </c>
      <c r="F45" s="605"/>
      <c r="G45" s="605"/>
    </row>
    <row r="174" spans="3:3" x14ac:dyDescent="0.25">
      <c r="C174" s="525" t="b">
        <v>1</v>
      </c>
    </row>
    <row r="175" spans="3:3" x14ac:dyDescent="0.25">
      <c r="C175" s="525"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G28" sqref="G28"/>
    </sheetView>
  </sheetViews>
  <sheetFormatPr defaultColWidth="9.109375" defaultRowHeight="15" x14ac:dyDescent="0.35"/>
  <cols>
    <col min="1" max="2" width="4.44140625" style="1" customWidth="1"/>
    <col min="3" max="3" width="31.33203125" style="1" customWidth="1"/>
    <col min="4" max="4" width="20.6640625"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615" t="s">
        <v>53</v>
      </c>
      <c r="D9" s="616"/>
      <c r="E9" s="352" t="s">
        <v>158</v>
      </c>
      <c r="F9" s="221" t="s">
        <v>159</v>
      </c>
      <c r="G9" s="151"/>
      <c r="H9" s="309"/>
      <c r="I9" s="309"/>
      <c r="J9" s="606" t="s">
        <v>142</v>
      </c>
      <c r="K9" s="607"/>
      <c r="L9" s="608"/>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17" t="s">
        <v>369</v>
      </c>
      <c r="D11" s="217"/>
      <c r="E11" s="568">
        <v>0.06</v>
      </c>
      <c r="F11" s="569">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17" t="s">
        <v>140</v>
      </c>
      <c r="D12" s="217"/>
      <c r="E12" s="568">
        <v>0.2</v>
      </c>
      <c r="F12" s="569">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17" t="s">
        <v>368</v>
      </c>
      <c r="D13" s="217"/>
      <c r="E13" s="568">
        <v>7.0000000000000007E-2</v>
      </c>
      <c r="F13" s="569">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17" t="s">
        <v>55</v>
      </c>
      <c r="D14" s="218"/>
      <c r="E14" s="570">
        <v>0.33</v>
      </c>
      <c r="F14" s="571">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1"/>
      <c r="C17" s="617" t="s">
        <v>54</v>
      </c>
      <c r="D17" s="618"/>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1"/>
      <c r="C19" s="217" t="s">
        <v>369</v>
      </c>
      <c r="D19" s="219"/>
      <c r="E19" s="572">
        <v>0.06</v>
      </c>
      <c r="F19" s="569">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1"/>
      <c r="C20" s="219" t="s">
        <v>140</v>
      </c>
      <c r="D20" s="220"/>
      <c r="E20" s="572">
        <v>0.2</v>
      </c>
      <c r="F20" s="569">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1"/>
      <c r="C21" s="217" t="s">
        <v>368</v>
      </c>
      <c r="D21" s="220"/>
      <c r="E21" s="572">
        <v>7.0000000000000007E-2</v>
      </c>
      <c r="F21" s="569">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1"/>
      <c r="C22" s="219" t="s">
        <v>55</v>
      </c>
      <c r="D22" s="220"/>
      <c r="E22" s="573">
        <v>0.35</v>
      </c>
      <c r="F22" s="574">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0"/>
      <c r="C26" s="619" t="s">
        <v>143</v>
      </c>
      <c r="D26" s="620"/>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17" t="s">
        <v>369</v>
      </c>
      <c r="D28" s="219"/>
      <c r="E28" s="572">
        <v>0.06</v>
      </c>
      <c r="F28" s="569">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19" t="s">
        <v>140</v>
      </c>
      <c r="D29" s="220"/>
      <c r="E29" s="572">
        <v>0.2</v>
      </c>
      <c r="F29" s="569">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17" t="s">
        <v>368</v>
      </c>
      <c r="D30" s="220"/>
      <c r="E30" s="572">
        <v>7.0000000000000007E-2</v>
      </c>
      <c r="F30" s="569">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19" t="s">
        <v>55</v>
      </c>
      <c r="D31" s="220"/>
      <c r="E31" s="573">
        <v>0.35</v>
      </c>
      <c r="F31" s="574">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99"/>
      <c r="D35" s="609" t="s">
        <v>123</v>
      </c>
      <c r="E35" s="610"/>
      <c r="F35" s="611" t="s">
        <v>124</v>
      </c>
      <c r="G35" s="612"/>
      <c r="H35" s="613" t="s">
        <v>125</v>
      </c>
      <c r="I35" s="61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4"/>
  <sheetViews>
    <sheetView topLeftCell="A49" workbookViewId="0">
      <selection activeCell="B124" sqref="B124"/>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200" t="s">
        <v>375</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x14ac:dyDescent="0.35">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x14ac:dyDescent="0.35">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x14ac:dyDescent="0.35">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x14ac:dyDescent="0.35">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8" thickBot="1" x14ac:dyDescent="0.4">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6" thickBot="1" x14ac:dyDescent="0.4">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x14ac:dyDescent="0.55000000000000004">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6" thickBot="1" x14ac:dyDescent="0.4">
      <c r="A16" s="21"/>
      <c r="B16" s="114"/>
      <c r="C16" s="621" t="s">
        <v>279</v>
      </c>
      <c r="D16" s="621"/>
      <c r="E16" s="621"/>
      <c r="F16" s="622"/>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6" thickBot="1" x14ac:dyDescent="0.4">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x14ac:dyDescent="0.35">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x14ac:dyDescent="0.35">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x14ac:dyDescent="0.35">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x14ac:dyDescent="0.35">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x14ac:dyDescent="0.35">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x14ac:dyDescent="0.35">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x14ac:dyDescent="0.35">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x14ac:dyDescent="0.35">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x14ac:dyDescent="0.35">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x14ac:dyDescent="0.3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x14ac:dyDescent="0.3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x14ac:dyDescent="0.35">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x14ac:dyDescent="0.35">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x14ac:dyDescent="0.35">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x14ac:dyDescent="0.35">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81" x14ac:dyDescent="0.35">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81" x14ac:dyDescent="0.35">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ht="15.6" thickBot="1" x14ac:dyDescent="0.4">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589"/>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589"/>
      <c r="C69" s="151"/>
      <c r="D69" s="151"/>
      <c r="E69" s="151"/>
      <c r="F69" s="151"/>
      <c r="G69" s="151"/>
      <c r="H69" s="151"/>
      <c r="I69" s="151"/>
      <c r="J69" s="151"/>
      <c r="K69" s="151"/>
      <c r="L69" s="151"/>
      <c r="M69" s="151"/>
      <c r="N69" s="151"/>
      <c r="O69" s="151"/>
      <c r="P69" s="151"/>
      <c r="Q69" s="151"/>
      <c r="R69" s="151"/>
      <c r="S69" s="151"/>
      <c r="T69" s="151"/>
      <c r="U69" s="151"/>
      <c r="V69" s="151"/>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c r="AX69" s="2"/>
      <c r="AY69" s="2"/>
      <c r="AZ69" s="2"/>
      <c r="BA69" s="2"/>
    </row>
    <row r="70" spans="1:81" x14ac:dyDescent="0.35">
      <c r="A70" s="21"/>
      <c r="B70" s="589"/>
      <c r="C70" s="151"/>
      <c r="D70" s="151"/>
      <c r="E70" s="151"/>
      <c r="F70" s="151"/>
      <c r="G70" s="151"/>
      <c r="H70" s="151"/>
      <c r="I70" s="151"/>
      <c r="J70" s="151"/>
      <c r="K70" s="151"/>
      <c r="L70" s="151"/>
      <c r="M70" s="151"/>
      <c r="N70" s="151"/>
      <c r="O70" s="151"/>
      <c r="P70" s="151"/>
      <c r="Q70" s="151"/>
      <c r="R70" s="151"/>
      <c r="S70" s="151"/>
      <c r="T70" s="151"/>
      <c r="U70" s="151"/>
      <c r="V70" s="151"/>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9"/>
      <c r="AY70" s="9"/>
      <c r="AZ70" s="9"/>
      <c r="BA70" s="2"/>
    </row>
    <row r="71" spans="1:81" ht="28.2" x14ac:dyDescent="0.5">
      <c r="A71" s="21"/>
      <c r="B71" s="589"/>
      <c r="C71" s="590" t="s">
        <v>291</v>
      </c>
      <c r="D71" s="151"/>
      <c r="E71" s="151"/>
      <c r="F71" s="151"/>
      <c r="G71" s="151"/>
      <c r="H71" s="151"/>
      <c r="I71" s="151"/>
      <c r="J71" s="31" t="s">
        <v>296</v>
      </c>
      <c r="K71" s="330"/>
      <c r="L71" s="330"/>
      <c r="M71" s="151"/>
      <c r="N71" s="151"/>
      <c r="O71" s="151"/>
      <c r="P71" s="151"/>
      <c r="Q71" s="151"/>
      <c r="R71" s="151"/>
      <c r="S71" s="151"/>
      <c r="T71" s="151"/>
      <c r="U71" s="151"/>
      <c r="V71" s="151"/>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10"/>
      <c r="AY71" s="10"/>
      <c r="AZ71" s="10"/>
      <c r="BA71" s="2"/>
    </row>
    <row r="72" spans="1:81" s="4" customFormat="1" ht="34.049999999999997" customHeight="1" thickBot="1" x14ac:dyDescent="0.4">
      <c r="A72" s="21"/>
      <c r="B72" s="589"/>
      <c r="C72" s="403" t="s">
        <v>292</v>
      </c>
      <c r="D72" s="404" t="s">
        <v>293</v>
      </c>
      <c r="E72" s="404" t="s">
        <v>294</v>
      </c>
      <c r="F72" s="404" t="s">
        <v>295</v>
      </c>
      <c r="G72" s="151"/>
      <c r="H72" s="151"/>
      <c r="I72" s="151"/>
      <c r="J72" s="414"/>
      <c r="K72" s="415" t="s">
        <v>123</v>
      </c>
      <c r="L72" s="416" t="s">
        <v>297</v>
      </c>
      <c r="M72" s="151"/>
      <c r="N72" s="151"/>
      <c r="O72" s="151"/>
      <c r="P72" s="151"/>
      <c r="Q72" s="151"/>
      <c r="R72" s="151"/>
      <c r="S72" s="151"/>
      <c r="T72" s="151"/>
      <c r="U72" s="151"/>
      <c r="V72" s="151"/>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9"/>
      <c r="AY72" s="11"/>
      <c r="AZ72" s="12"/>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x14ac:dyDescent="0.35">
      <c r="A73" s="21"/>
      <c r="B73" s="589"/>
      <c r="C73" s="405" t="s">
        <v>195</v>
      </c>
      <c r="D73" s="406">
        <v>0.18</v>
      </c>
      <c r="E73" s="406">
        <v>0.15</v>
      </c>
      <c r="F73" s="407">
        <v>0.17</v>
      </c>
      <c r="G73" s="151"/>
      <c r="H73" s="151"/>
      <c r="I73" s="151"/>
      <c r="J73" s="417" t="s">
        <v>298</v>
      </c>
      <c r="K73" s="418">
        <v>0.2</v>
      </c>
      <c r="L73" s="419">
        <v>0.05</v>
      </c>
      <c r="M73" s="151"/>
      <c r="N73" s="151"/>
      <c r="O73" s="151"/>
      <c r="P73" s="151"/>
      <c r="Q73" s="151"/>
      <c r="R73" s="151"/>
      <c r="S73" s="151"/>
      <c r="T73" s="151"/>
      <c r="U73" s="151"/>
      <c r="V73" s="151"/>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589"/>
      <c r="C74" s="408" t="s">
        <v>194</v>
      </c>
      <c r="D74" s="409">
        <v>0.11</v>
      </c>
      <c r="E74" s="409">
        <v>0.11</v>
      </c>
      <c r="F74" s="410">
        <v>0.06</v>
      </c>
      <c r="G74" s="151"/>
      <c r="H74" s="151"/>
      <c r="I74" s="151"/>
      <c r="J74" s="417" t="s">
        <v>299</v>
      </c>
      <c r="K74" s="418">
        <v>0</v>
      </c>
      <c r="L74" s="419">
        <v>0.2</v>
      </c>
      <c r="M74" s="151"/>
      <c r="N74" s="151"/>
      <c r="O74" s="151"/>
      <c r="P74" s="151"/>
      <c r="Q74" s="151"/>
      <c r="R74" s="151"/>
      <c r="S74" s="151"/>
      <c r="T74" s="151"/>
      <c r="U74" s="151"/>
      <c r="V74" s="151"/>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589"/>
      <c r="C75" s="408" t="s">
        <v>197</v>
      </c>
      <c r="D75" s="409">
        <v>0.09</v>
      </c>
      <c r="E75" s="409">
        <v>0.08</v>
      </c>
      <c r="F75" s="410">
        <v>0.06</v>
      </c>
      <c r="G75" s="151"/>
      <c r="H75" s="151"/>
      <c r="I75" s="151"/>
      <c r="J75" s="417" t="s">
        <v>300</v>
      </c>
      <c r="K75" s="418">
        <v>0.2</v>
      </c>
      <c r="L75" s="419">
        <v>0.05</v>
      </c>
      <c r="M75" s="151"/>
      <c r="N75" s="151"/>
      <c r="O75" s="151"/>
      <c r="P75" s="151"/>
      <c r="Q75" s="151"/>
      <c r="R75" s="151"/>
      <c r="S75" s="151"/>
      <c r="T75" s="151"/>
      <c r="U75" s="151"/>
      <c r="V75" s="151"/>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591"/>
      <c r="C76" s="408" t="s">
        <v>196</v>
      </c>
      <c r="D76" s="409">
        <v>0.11</v>
      </c>
      <c r="E76" s="409">
        <v>0.1</v>
      </c>
      <c r="F76" s="410">
        <v>7.0000000000000007E-2</v>
      </c>
      <c r="G76" s="151"/>
      <c r="H76" s="151"/>
      <c r="I76" s="151"/>
      <c r="J76" s="417" t="s">
        <v>301</v>
      </c>
      <c r="K76" s="418">
        <v>0.2</v>
      </c>
      <c r="L76" s="419">
        <v>0.05</v>
      </c>
      <c r="M76" s="151"/>
      <c r="N76" s="151"/>
      <c r="O76" s="151"/>
      <c r="P76" s="151"/>
      <c r="Q76" s="151"/>
      <c r="R76" s="151"/>
      <c r="S76" s="151"/>
      <c r="T76" s="151"/>
      <c r="U76" s="151"/>
      <c r="V76" s="151"/>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591"/>
      <c r="C77" s="408" t="s">
        <v>198</v>
      </c>
      <c r="D77" s="409">
        <v>0.15</v>
      </c>
      <c r="E77" s="409">
        <v>0.13</v>
      </c>
      <c r="F77" s="410">
        <v>0.1</v>
      </c>
      <c r="G77" s="151"/>
      <c r="H77" s="151"/>
      <c r="I77" s="151"/>
      <c r="J77" s="417" t="s">
        <v>302</v>
      </c>
      <c r="K77" s="418">
        <v>0.15</v>
      </c>
      <c r="L77" s="419">
        <v>0.1</v>
      </c>
      <c r="M77" s="151"/>
      <c r="N77" s="151"/>
      <c r="O77" s="151"/>
      <c r="P77" s="151"/>
      <c r="Q77" s="151"/>
      <c r="R77" s="151"/>
      <c r="S77" s="151"/>
      <c r="T77" s="151"/>
      <c r="U77" s="151"/>
      <c r="V77" s="151"/>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591"/>
      <c r="C78" s="408" t="s">
        <v>199</v>
      </c>
      <c r="D78" s="409">
        <v>0.11</v>
      </c>
      <c r="E78" s="409">
        <v>0.09</v>
      </c>
      <c r="F78" s="410">
        <v>7.0000000000000007E-2</v>
      </c>
      <c r="G78" s="151"/>
      <c r="H78" s="151"/>
      <c r="I78" s="151"/>
      <c r="J78" s="417" t="s">
        <v>303</v>
      </c>
      <c r="K78" s="418">
        <v>0</v>
      </c>
      <c r="L78" s="419">
        <v>0.3</v>
      </c>
      <c r="M78" s="151"/>
      <c r="N78" s="151"/>
      <c r="O78" s="151"/>
      <c r="P78" s="151"/>
      <c r="Q78" s="151"/>
      <c r="R78" s="151"/>
      <c r="S78" s="151"/>
      <c r="T78" s="151"/>
      <c r="U78" s="151"/>
      <c r="V78" s="151"/>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591"/>
      <c r="C79" s="408" t="s">
        <v>200</v>
      </c>
      <c r="D79" s="409">
        <v>0.17</v>
      </c>
      <c r="E79" s="409">
        <v>0.15</v>
      </c>
      <c r="F79" s="410">
        <v>0.13</v>
      </c>
      <c r="G79" s="151"/>
      <c r="H79" s="151"/>
      <c r="I79" s="151"/>
      <c r="J79" s="417" t="s">
        <v>304</v>
      </c>
      <c r="K79" s="418">
        <v>0.2</v>
      </c>
      <c r="L79" s="419">
        <v>0.05</v>
      </c>
      <c r="M79" s="151"/>
      <c r="N79" s="151"/>
      <c r="O79" s="151"/>
      <c r="P79" s="151"/>
      <c r="Q79" s="151"/>
      <c r="R79" s="151"/>
      <c r="S79" s="151"/>
      <c r="T79" s="151"/>
      <c r="U79" s="151"/>
      <c r="V79" s="151"/>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591"/>
      <c r="C80" s="408" t="s">
        <v>11</v>
      </c>
      <c r="D80" s="409">
        <v>0.12</v>
      </c>
      <c r="E80" s="409">
        <v>0.12</v>
      </c>
      <c r="F80" s="410">
        <v>0.05</v>
      </c>
      <c r="G80" s="151"/>
      <c r="H80" s="151"/>
      <c r="I80" s="151"/>
      <c r="J80" s="417" t="s">
        <v>305</v>
      </c>
      <c r="K80" s="418">
        <v>0</v>
      </c>
      <c r="L80" s="419">
        <v>0.15</v>
      </c>
      <c r="M80" s="151"/>
      <c r="N80" s="151"/>
      <c r="O80" s="151"/>
      <c r="P80" s="151"/>
      <c r="Q80" s="151"/>
      <c r="R80" s="151"/>
      <c r="S80" s="151"/>
      <c r="T80" s="151"/>
      <c r="U80" s="151"/>
      <c r="V80" s="151"/>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ht="15.6" thickBot="1" x14ac:dyDescent="0.4">
      <c r="A81" s="21"/>
      <c r="B81" s="591"/>
      <c r="C81" s="408" t="s">
        <v>201</v>
      </c>
      <c r="D81" s="409">
        <v>0.14000000000000001</v>
      </c>
      <c r="E81" s="409">
        <v>0.1</v>
      </c>
      <c r="F81" s="410">
        <v>0.08</v>
      </c>
      <c r="G81" s="151"/>
      <c r="H81" s="151"/>
      <c r="I81" s="151"/>
      <c r="J81" s="420" t="s">
        <v>307</v>
      </c>
      <c r="K81" s="421">
        <v>0.05</v>
      </c>
      <c r="L81" s="422">
        <v>0.05</v>
      </c>
      <c r="M81" s="151"/>
      <c r="N81" s="151"/>
      <c r="O81" s="151"/>
      <c r="P81" s="151"/>
      <c r="Q81" s="151"/>
      <c r="R81" s="151"/>
      <c r="S81" s="151"/>
      <c r="T81" s="151"/>
      <c r="U81" s="151"/>
      <c r="V81" s="151"/>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x14ac:dyDescent="0.35">
      <c r="A82" s="21"/>
      <c r="B82" s="591"/>
      <c r="C82" s="408" t="s">
        <v>202</v>
      </c>
      <c r="D82" s="409">
        <v>0.11</v>
      </c>
      <c r="E82" s="409">
        <v>0.1</v>
      </c>
      <c r="F82" s="410">
        <v>0.08</v>
      </c>
      <c r="G82" s="151"/>
      <c r="H82" s="151"/>
      <c r="I82" s="151"/>
      <c r="J82" s="423" t="s">
        <v>306</v>
      </c>
      <c r="K82" s="424">
        <v>1</v>
      </c>
      <c r="L82" s="424">
        <v>1</v>
      </c>
      <c r="M82" s="151"/>
      <c r="N82" s="151"/>
      <c r="O82" s="151"/>
      <c r="P82" s="151"/>
      <c r="Q82" s="151"/>
      <c r="R82" s="151"/>
      <c r="S82" s="151"/>
      <c r="T82" s="151"/>
      <c r="U82" s="151"/>
      <c r="V82" s="151"/>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row>
    <row r="83" spans="1:81" x14ac:dyDescent="0.35">
      <c r="A83" s="21"/>
      <c r="B83" s="591"/>
      <c r="C83" s="408" t="s">
        <v>203</v>
      </c>
      <c r="D83" s="409">
        <v>0.11</v>
      </c>
      <c r="E83" s="409">
        <v>0.1</v>
      </c>
      <c r="F83" s="410">
        <v>0.06</v>
      </c>
      <c r="G83" s="591"/>
      <c r="H83" s="591"/>
      <c r="I83" s="591"/>
      <c r="J83" s="591"/>
      <c r="K83" s="591"/>
      <c r="L83" s="591"/>
      <c r="M83" s="591"/>
      <c r="N83" s="591"/>
      <c r="O83" s="591"/>
      <c r="P83" s="591"/>
      <c r="Q83" s="591"/>
      <c r="R83" s="591"/>
      <c r="S83" s="591"/>
      <c r="T83" s="591"/>
      <c r="U83" s="591"/>
      <c r="V83" s="591"/>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408" t="s">
        <v>204</v>
      </c>
      <c r="D84" s="409">
        <v>0.37</v>
      </c>
      <c r="E84" s="409">
        <v>0.35</v>
      </c>
      <c r="F84" s="410">
        <v>0.31</v>
      </c>
      <c r="G84" s="35"/>
      <c r="H84" s="591"/>
      <c r="I84" s="591"/>
      <c r="J84" s="591"/>
      <c r="K84" s="591"/>
      <c r="L84" s="591"/>
      <c r="M84" s="591"/>
      <c r="N84" s="591"/>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408" t="s">
        <v>208</v>
      </c>
      <c r="D85" s="409">
        <v>0.11</v>
      </c>
      <c r="E85" s="409">
        <v>0.08</v>
      </c>
      <c r="F85" s="410">
        <v>0.05</v>
      </c>
      <c r="G85" s="35"/>
      <c r="H85" s="591"/>
      <c r="I85" s="591"/>
      <c r="J85" s="151"/>
      <c r="K85" s="151"/>
      <c r="L85" s="151"/>
      <c r="M85" s="591"/>
      <c r="N85" s="591"/>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s="4" customFormat="1" x14ac:dyDescent="0.35">
      <c r="A86" s="21"/>
      <c r="B86" s="35"/>
      <c r="C86" s="408" t="s">
        <v>205</v>
      </c>
      <c r="D86" s="409">
        <v>0.09</v>
      </c>
      <c r="E86" s="409">
        <v>7.0000000000000007E-2</v>
      </c>
      <c r="F86" s="410">
        <v>0.05</v>
      </c>
      <c r="G86" s="35"/>
      <c r="H86" s="591"/>
      <c r="I86" s="591"/>
      <c r="J86" s="151"/>
      <c r="K86" s="151"/>
      <c r="L86" s="151"/>
      <c r="M86" s="591"/>
      <c r="N86" s="591"/>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x14ac:dyDescent="0.35">
      <c r="A87" s="21"/>
      <c r="B87" s="35"/>
      <c r="C87" s="408" t="s">
        <v>206</v>
      </c>
      <c r="D87" s="409">
        <v>0.11</v>
      </c>
      <c r="E87" s="409">
        <v>0.08</v>
      </c>
      <c r="F87" s="410">
        <v>0.06</v>
      </c>
      <c r="G87" s="35"/>
      <c r="H87" s="591"/>
      <c r="I87" s="591"/>
      <c r="J87" s="151"/>
      <c r="K87" s="151"/>
      <c r="L87" s="151"/>
      <c r="M87" s="591"/>
      <c r="N87" s="591"/>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08" t="s">
        <v>207</v>
      </c>
      <c r="D88" s="409">
        <v>0.11</v>
      </c>
      <c r="E88" s="409">
        <v>0.09</v>
      </c>
      <c r="F88" s="410">
        <v>0.06</v>
      </c>
      <c r="G88" s="35"/>
      <c r="H88" s="591"/>
      <c r="I88" s="591"/>
      <c r="J88" s="151"/>
      <c r="K88" s="151"/>
      <c r="L88" s="151"/>
      <c r="M88" s="591"/>
      <c r="N88" s="591"/>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08" t="s">
        <v>209</v>
      </c>
      <c r="D89" s="409">
        <v>0.11</v>
      </c>
      <c r="E89" s="409">
        <v>0.09</v>
      </c>
      <c r="F89" s="410">
        <v>7.0000000000000007E-2</v>
      </c>
      <c r="G89" s="35"/>
      <c r="H89" s="591"/>
      <c r="I89" s="591"/>
      <c r="J89" s="151"/>
      <c r="K89" s="151"/>
      <c r="L89" s="151"/>
      <c r="M89" s="591"/>
      <c r="N89" s="591"/>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08" t="s">
        <v>210</v>
      </c>
      <c r="D90" s="409">
        <v>0.09</v>
      </c>
      <c r="E90" s="409">
        <v>0.09</v>
      </c>
      <c r="F90" s="410">
        <v>0.05</v>
      </c>
      <c r="G90" s="35"/>
      <c r="H90" s="591"/>
      <c r="I90" s="591"/>
      <c r="J90" s="151"/>
      <c r="K90" s="151"/>
      <c r="L90" s="151"/>
      <c r="M90" s="591"/>
      <c r="N90" s="591"/>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08" t="s">
        <v>211</v>
      </c>
      <c r="D91" s="409">
        <v>0.08</v>
      </c>
      <c r="E91" s="409">
        <v>0.08</v>
      </c>
      <c r="F91" s="410">
        <v>0.05</v>
      </c>
      <c r="G91" s="35"/>
      <c r="H91" s="591"/>
      <c r="I91" s="591"/>
      <c r="J91" s="151"/>
      <c r="K91" s="151"/>
      <c r="L91" s="151"/>
      <c r="M91" s="591"/>
      <c r="N91" s="591"/>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08" t="s">
        <v>214</v>
      </c>
      <c r="D92" s="409">
        <v>0.15</v>
      </c>
      <c r="E92" s="409">
        <v>0.14000000000000001</v>
      </c>
      <c r="F92" s="410">
        <v>0.13</v>
      </c>
      <c r="G92" s="35"/>
      <c r="H92" s="591"/>
      <c r="I92" s="591"/>
      <c r="J92" s="151"/>
      <c r="K92" s="151"/>
      <c r="L92" s="151"/>
      <c r="M92" s="591"/>
      <c r="N92" s="591"/>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08" t="s">
        <v>213</v>
      </c>
      <c r="D93" s="409">
        <v>0.13</v>
      </c>
      <c r="E93" s="409">
        <v>0.1</v>
      </c>
      <c r="F93" s="410">
        <v>0.08</v>
      </c>
      <c r="G93" s="35"/>
      <c r="H93" s="591"/>
      <c r="I93" s="591"/>
      <c r="J93" s="151"/>
      <c r="K93" s="151"/>
      <c r="L93" s="151"/>
      <c r="M93" s="591"/>
      <c r="N93" s="591"/>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08" t="s">
        <v>212</v>
      </c>
      <c r="D94" s="409">
        <v>0.15</v>
      </c>
      <c r="E94" s="409">
        <v>0.12</v>
      </c>
      <c r="F94" s="410">
        <v>0.08</v>
      </c>
      <c r="G94" s="35"/>
      <c r="H94" s="591"/>
      <c r="I94" s="591"/>
      <c r="J94" s="151"/>
      <c r="K94" s="151"/>
      <c r="L94" s="151"/>
      <c r="M94" s="591"/>
      <c r="N94" s="591"/>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4"/>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08" t="s">
        <v>215</v>
      </c>
      <c r="D95" s="409">
        <v>0.14000000000000001</v>
      </c>
      <c r="E95" s="409">
        <v>0.11</v>
      </c>
      <c r="F95" s="410">
        <v>0.08</v>
      </c>
      <c r="G95" s="35"/>
      <c r="H95" s="591"/>
      <c r="I95" s="591"/>
      <c r="J95" s="151"/>
      <c r="K95" s="151"/>
      <c r="L95" s="151"/>
      <c r="M95" s="591"/>
      <c r="N95" s="591"/>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x14ac:dyDescent="0.35">
      <c r="A96" s="21"/>
      <c r="B96" s="35"/>
      <c r="C96" s="408" t="s">
        <v>216</v>
      </c>
      <c r="D96" s="409">
        <v>0.11</v>
      </c>
      <c r="E96" s="409">
        <v>0.09</v>
      </c>
      <c r="F96" s="410">
        <v>7.0000000000000007E-2</v>
      </c>
      <c r="G96" s="35"/>
      <c r="H96" s="591"/>
      <c r="I96" s="591"/>
      <c r="J96" s="151"/>
      <c r="K96" s="151"/>
      <c r="L96" s="151"/>
      <c r="M96" s="591"/>
      <c r="N96" s="591"/>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1"/>
      <c r="AV96" s="9"/>
      <c r="AW96" s="12"/>
      <c r="AX96" s="9"/>
      <c r="AY96" s="11"/>
      <c r="AZ96" s="12"/>
      <c r="BA96" s="2"/>
    </row>
    <row r="97" spans="1:53" x14ac:dyDescent="0.35">
      <c r="A97" s="21"/>
      <c r="B97" s="35"/>
      <c r="C97" s="408" t="s">
        <v>218</v>
      </c>
      <c r="D97" s="409">
        <v>0.1</v>
      </c>
      <c r="E97" s="409">
        <v>0.08</v>
      </c>
      <c r="F97" s="410">
        <v>0.06</v>
      </c>
      <c r="G97" s="35"/>
      <c r="H97" s="591"/>
      <c r="I97" s="591"/>
      <c r="J97" s="591"/>
      <c r="K97" s="591"/>
      <c r="L97" s="591"/>
      <c r="M97" s="591"/>
      <c r="N97" s="591"/>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08" t="s">
        <v>217</v>
      </c>
      <c r="D98" s="409">
        <v>0.1</v>
      </c>
      <c r="E98" s="409">
        <v>0.09</v>
      </c>
      <c r="F98" s="410">
        <v>0.06</v>
      </c>
      <c r="G98" s="35"/>
      <c r="H98" s="591"/>
      <c r="I98" s="591"/>
      <c r="J98" s="591"/>
      <c r="K98" s="591"/>
      <c r="L98" s="591"/>
      <c r="M98" s="591"/>
      <c r="N98" s="591"/>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08" t="s">
        <v>219</v>
      </c>
      <c r="D99" s="409">
        <v>0.1</v>
      </c>
      <c r="E99" s="409">
        <v>0.09</v>
      </c>
      <c r="F99" s="410">
        <v>0.05</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08" t="s">
        <v>226</v>
      </c>
      <c r="D100" s="409">
        <v>0.11</v>
      </c>
      <c r="E100" s="409">
        <v>0.09</v>
      </c>
      <c r="F100" s="410">
        <v>0.06</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08" t="s">
        <v>227</v>
      </c>
      <c r="D101" s="409">
        <v>0.09</v>
      </c>
      <c r="E101" s="409">
        <v>0.08</v>
      </c>
      <c r="F101" s="410">
        <v>7.0000000000000007E-2</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08" t="s">
        <v>220</v>
      </c>
      <c r="D102" s="409">
        <v>0.1</v>
      </c>
      <c r="E102" s="409">
        <v>0.08</v>
      </c>
      <c r="F102" s="410">
        <v>7.0000000000000007E-2</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3"/>
      <c r="AV102" s="9"/>
      <c r="AW102" s="12"/>
      <c r="AX102" s="9"/>
      <c r="AY102" s="11"/>
      <c r="AZ102" s="12"/>
      <c r="BA102" s="2"/>
    </row>
    <row r="103" spans="1:53" x14ac:dyDescent="0.35">
      <c r="A103" s="21"/>
      <c r="B103" s="35"/>
      <c r="C103" s="408" t="s">
        <v>222</v>
      </c>
      <c r="D103" s="409">
        <v>0.16</v>
      </c>
      <c r="E103" s="409">
        <v>0.13</v>
      </c>
      <c r="F103" s="410">
        <v>0.12</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1"/>
      <c r="AV103" s="9"/>
      <c r="AW103" s="12"/>
      <c r="AX103" s="9"/>
      <c r="AY103" s="11"/>
      <c r="AZ103" s="12"/>
      <c r="BA103" s="2"/>
    </row>
    <row r="104" spans="1:53" x14ac:dyDescent="0.35">
      <c r="A104" s="21"/>
      <c r="B104" s="35"/>
      <c r="C104" s="408" t="s">
        <v>223</v>
      </c>
      <c r="D104" s="409">
        <v>0.16</v>
      </c>
      <c r="E104" s="409">
        <v>0.13</v>
      </c>
      <c r="F104" s="410">
        <v>0.11</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08" t="s">
        <v>224</v>
      </c>
      <c r="D105" s="409">
        <v>0.11</v>
      </c>
      <c r="E105" s="409">
        <v>0.09</v>
      </c>
      <c r="F105" s="410">
        <v>0.06</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08" t="s">
        <v>221</v>
      </c>
      <c r="D106" s="409">
        <v>0.12</v>
      </c>
      <c r="E106" s="409">
        <v>0.09</v>
      </c>
      <c r="F106" s="410">
        <v>0.06</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08" t="s">
        <v>225</v>
      </c>
      <c r="D107" s="409">
        <v>0.18</v>
      </c>
      <c r="E107" s="409">
        <v>0.15</v>
      </c>
      <c r="F107" s="410">
        <v>7.0000000000000007E-2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08" t="s">
        <v>228</v>
      </c>
      <c r="D108" s="409">
        <v>0.12</v>
      </c>
      <c r="E108" s="409">
        <v>0.09</v>
      </c>
      <c r="F108" s="410">
        <v>0.06</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08" t="s">
        <v>229</v>
      </c>
      <c r="D109" s="409">
        <v>0.1</v>
      </c>
      <c r="E109" s="409">
        <v>7.0000000000000007E-2</v>
      </c>
      <c r="F109" s="410">
        <v>0.05</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08" t="s">
        <v>230</v>
      </c>
      <c r="D110" s="409">
        <v>0.1</v>
      </c>
      <c r="E110" s="409">
        <v>0.08</v>
      </c>
      <c r="F110" s="410">
        <v>0.06</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08" t="s">
        <v>231</v>
      </c>
      <c r="D111" s="409">
        <v>0.13</v>
      </c>
      <c r="E111" s="409">
        <v>0.09</v>
      </c>
      <c r="F111" s="41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08" t="s">
        <v>232</v>
      </c>
      <c r="D112" s="409">
        <v>0.14000000000000001</v>
      </c>
      <c r="E112" s="409">
        <v>0.12</v>
      </c>
      <c r="F112" s="410">
        <v>0.11</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08" t="s">
        <v>233</v>
      </c>
      <c r="D113" s="409">
        <v>0.12</v>
      </c>
      <c r="E113" s="409">
        <v>0.1</v>
      </c>
      <c r="F113" s="41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3"/>
      <c r="AV113" s="9"/>
      <c r="AW113" s="12"/>
      <c r="AX113" s="9"/>
      <c r="AY113" s="11"/>
      <c r="AZ113" s="12"/>
      <c r="BA113" s="2"/>
    </row>
    <row r="114" spans="1:53" x14ac:dyDescent="0.35">
      <c r="A114" s="21"/>
      <c r="B114" s="35"/>
      <c r="C114" s="408" t="s">
        <v>234</v>
      </c>
      <c r="D114" s="409">
        <v>0.1</v>
      </c>
      <c r="E114" s="409">
        <v>0.08</v>
      </c>
      <c r="F114" s="410">
        <v>7.0000000000000007E-2</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08" t="s">
        <v>235</v>
      </c>
      <c r="D115" s="409">
        <v>0.1</v>
      </c>
      <c r="E115" s="409">
        <v>0.1</v>
      </c>
      <c r="F115" s="410">
        <v>7.0000000000000007E-2</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1"/>
      <c r="AV115" s="9"/>
      <c r="AW115" s="12"/>
      <c r="AX115" s="9"/>
      <c r="AY115" s="11"/>
      <c r="AZ115" s="12"/>
      <c r="BA115" s="2"/>
    </row>
    <row r="116" spans="1:53" x14ac:dyDescent="0.35">
      <c r="A116" s="21"/>
      <c r="B116" s="35"/>
      <c r="C116" s="408" t="s">
        <v>236</v>
      </c>
      <c r="D116" s="409">
        <v>0.11</v>
      </c>
      <c r="E116" s="409">
        <v>0.08</v>
      </c>
      <c r="F116" s="410">
        <v>0.06</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3"/>
      <c r="AV116" s="9"/>
      <c r="AW116" s="12"/>
      <c r="AX116" s="9"/>
      <c r="AY116" s="11"/>
      <c r="AZ116" s="12"/>
      <c r="BA116" s="2"/>
    </row>
    <row r="117" spans="1:53" x14ac:dyDescent="0.35">
      <c r="A117" s="21"/>
      <c r="B117" s="35"/>
      <c r="C117" s="408" t="s">
        <v>237</v>
      </c>
      <c r="D117" s="409">
        <v>0.1</v>
      </c>
      <c r="E117" s="409">
        <v>0.08</v>
      </c>
      <c r="F117" s="410">
        <v>0.06</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1"/>
      <c r="AV117" s="9"/>
      <c r="AW117" s="12"/>
      <c r="AX117" s="9"/>
      <c r="AY117" s="11"/>
      <c r="AZ117" s="12"/>
      <c r="BA117" s="2"/>
    </row>
    <row r="118" spans="1:53" x14ac:dyDescent="0.35">
      <c r="A118" s="21"/>
      <c r="B118" s="35"/>
      <c r="C118" s="408" t="s">
        <v>239</v>
      </c>
      <c r="D118" s="409">
        <v>0.11</v>
      </c>
      <c r="E118" s="409">
        <v>0.08</v>
      </c>
      <c r="F118" s="410">
        <v>7.0000000000000007E-2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08" t="s">
        <v>238</v>
      </c>
      <c r="D119" s="409">
        <v>0.17</v>
      </c>
      <c r="E119" s="409">
        <v>0.14000000000000001</v>
      </c>
      <c r="F119" s="410">
        <v>0.1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08" t="s">
        <v>240</v>
      </c>
      <c r="D120" s="409">
        <v>0.09</v>
      </c>
      <c r="E120" s="409">
        <v>0.08</v>
      </c>
      <c r="F120" s="410">
        <v>0.04</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08" t="s">
        <v>242</v>
      </c>
      <c r="D121" s="409">
        <v>0.13</v>
      </c>
      <c r="E121" s="409">
        <v>0.11</v>
      </c>
      <c r="F121" s="410">
        <v>7.0000000000000007E-2</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08" t="s">
        <v>241</v>
      </c>
      <c r="D122" s="409">
        <v>0.1</v>
      </c>
      <c r="E122" s="409">
        <v>0.08</v>
      </c>
      <c r="F122" s="410">
        <v>0.06</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ht="15.6" thickBot="1" x14ac:dyDescent="0.4">
      <c r="A123" s="21"/>
      <c r="B123" s="35"/>
      <c r="C123" s="411" t="s">
        <v>243</v>
      </c>
      <c r="D123" s="412">
        <v>0.1</v>
      </c>
      <c r="E123" s="412">
        <v>0.08</v>
      </c>
      <c r="F123" s="413">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591"/>
      <c r="C124" s="151"/>
      <c r="D124" s="151"/>
      <c r="E124" s="151"/>
      <c r="F124" s="151"/>
      <c r="G124" s="591"/>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591"/>
      <c r="C125" s="151"/>
      <c r="D125" s="151"/>
      <c r="E125" s="151"/>
      <c r="F125" s="151"/>
      <c r="G125" s="591"/>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3"/>
      <c r="AV125" s="9"/>
      <c r="AW125" s="12"/>
      <c r="AX125" s="9"/>
      <c r="AY125" s="11"/>
      <c r="AZ125" s="12"/>
      <c r="BA125" s="2"/>
    </row>
    <row r="126" spans="1:53" x14ac:dyDescent="0.35">
      <c r="A126" s="21"/>
      <c r="B126" s="591"/>
      <c r="C126" s="151"/>
      <c r="D126" s="151"/>
      <c r="E126" s="151"/>
      <c r="F126" s="151"/>
      <c r="G126" s="591"/>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591"/>
      <c r="C127" s="151"/>
      <c r="D127" s="151"/>
      <c r="E127" s="151"/>
      <c r="F127" s="151"/>
      <c r="G127" s="591"/>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row>
    <row r="128" spans="1:53" x14ac:dyDescent="0.35">
      <c r="A128" s="21"/>
      <c r="B128" s="591"/>
      <c r="C128" s="151"/>
      <c r="D128" s="151"/>
      <c r="E128" s="151"/>
      <c r="F128" s="151"/>
      <c r="G128" s="591"/>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3"/>
      <c r="AZ128" s="12"/>
      <c r="BA128" s="2"/>
    </row>
    <row r="129" spans="1:53" x14ac:dyDescent="0.35">
      <c r="A129" s="21"/>
      <c r="B129" s="591"/>
      <c r="C129" s="151"/>
      <c r="D129" s="151"/>
      <c r="E129" s="151"/>
      <c r="F129" s="151"/>
      <c r="G129" s="591"/>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591"/>
      <c r="C130" s="151"/>
      <c r="D130" s="151"/>
      <c r="E130" s="151"/>
      <c r="F130" s="151"/>
      <c r="G130" s="591"/>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591"/>
      <c r="C131" s="151"/>
      <c r="D131" s="151"/>
      <c r="E131" s="151"/>
      <c r="F131" s="151"/>
      <c r="G131" s="591"/>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591"/>
      <c r="C132" s="151"/>
      <c r="D132" s="151"/>
      <c r="E132" s="151"/>
      <c r="F132" s="151"/>
      <c r="G132" s="591"/>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row>
    <row r="133" spans="1:53" x14ac:dyDescent="0.35">
      <c r="A133" s="21"/>
      <c r="B133" s="591"/>
      <c r="C133" s="151"/>
      <c r="D133" s="151"/>
      <c r="E133" s="151"/>
      <c r="F133" s="151"/>
      <c r="G133" s="591"/>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591"/>
      <c r="C134" s="151"/>
      <c r="D134" s="151"/>
      <c r="E134" s="151"/>
      <c r="F134" s="151"/>
      <c r="G134" s="591"/>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591"/>
      <c r="C135" s="151"/>
      <c r="D135" s="151"/>
      <c r="E135" s="151"/>
      <c r="F135" s="151"/>
      <c r="G135" s="591"/>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591"/>
      <c r="C136" s="151"/>
      <c r="D136" s="151"/>
      <c r="E136" s="151"/>
      <c r="F136" s="151"/>
      <c r="G136" s="591"/>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591"/>
      <c r="C137" s="151"/>
      <c r="D137" s="151"/>
      <c r="E137" s="151"/>
      <c r="F137" s="151"/>
      <c r="G137" s="591"/>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5">
      <c r="A138" s="21"/>
      <c r="B138" s="591"/>
      <c r="C138" s="591"/>
      <c r="D138" s="591"/>
      <c r="E138" s="591"/>
      <c r="F138" s="591"/>
      <c r="G138" s="591"/>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591"/>
      <c r="C139" s="591"/>
      <c r="D139" s="591"/>
      <c r="E139" s="591"/>
      <c r="F139" s="591"/>
      <c r="G139" s="591"/>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591"/>
      <c r="C140" s="591"/>
      <c r="D140" s="591"/>
      <c r="E140" s="591"/>
      <c r="F140" s="591"/>
      <c r="G140" s="591"/>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3"/>
      <c r="AZ140" s="12"/>
      <c r="BA140" s="2"/>
    </row>
    <row r="141" spans="1:53" x14ac:dyDescent="0.35">
      <c r="A141" s="21"/>
      <c r="B141" s="591"/>
      <c r="C141" s="591"/>
      <c r="D141" s="591"/>
      <c r="E141" s="591"/>
      <c r="F141" s="591"/>
      <c r="G141" s="591"/>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591"/>
      <c r="C142" s="591"/>
      <c r="D142" s="591"/>
      <c r="E142" s="591"/>
      <c r="F142" s="591"/>
      <c r="G142" s="591"/>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row>
    <row r="143" spans="1:53" x14ac:dyDescent="0.35">
      <c r="A143" s="21"/>
      <c r="B143" s="591"/>
      <c r="C143" s="591"/>
      <c r="D143" s="591"/>
      <c r="E143" s="591"/>
      <c r="F143" s="591"/>
      <c r="G143" s="591"/>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591"/>
      <c r="C144" s="591"/>
      <c r="D144" s="591"/>
      <c r="E144" s="591"/>
      <c r="F144" s="591"/>
      <c r="G144" s="591"/>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21"/>
      <c r="E146" s="21"/>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21"/>
      <c r="C147" s="21"/>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9"/>
      <c r="AV155" s="9"/>
      <c r="AW155" s="9"/>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5"/>
      <c r="AT162" s="22"/>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2"/>
      <c r="AY170" s="2"/>
      <c r="AZ170" s="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15"/>
      <c r="E177" s="15"/>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row>
    <row r="178" spans="1:81" x14ac:dyDescent="0.35">
      <c r="A178" s="21"/>
      <c r="B178" s="15"/>
      <c r="C178" s="15"/>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s="6" customFormat="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
      <c r="E225" s="1"/>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
      <c r="C226" s="1"/>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14</xdr:row>
                    <xdr:rowOff>60960</xdr:rowOff>
                  </from>
                  <to>
                    <xdr:col>11</xdr:col>
                    <xdr:colOff>228600</xdr:colOff>
                    <xdr:row>14</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15</xdr:row>
                    <xdr:rowOff>0</xdr:rowOff>
                  </from>
                  <to>
                    <xdr:col>11</xdr:col>
                    <xdr:colOff>243840</xdr:colOff>
                    <xdr:row>16</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24"/>
      <c r="B6" s="33"/>
      <c r="C6" s="182" t="s">
        <v>273</v>
      </c>
      <c r="D6" s="33"/>
      <c r="E6" s="124"/>
      <c r="F6" s="33"/>
      <c r="G6" s="124"/>
      <c r="H6" s="124"/>
      <c r="I6" s="124"/>
      <c r="J6" s="124"/>
      <c r="K6" s="33"/>
      <c r="L6" s="151"/>
      <c r="M6" s="151"/>
      <c r="N6" s="478"/>
      <c r="O6" s="478"/>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5" customHeight="1" thickBot="1" x14ac:dyDescent="0.55000000000000004">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x14ac:dyDescent="0.4">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77"/>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24"/>
      <c r="B15" s="336"/>
      <c r="C15" s="625" t="s">
        <v>123</v>
      </c>
      <c r="D15" s="623"/>
      <c r="E15" s="623"/>
      <c r="F15" s="623" t="s">
        <v>124</v>
      </c>
      <c r="G15" s="623"/>
      <c r="H15" s="623"/>
      <c r="I15" s="623" t="s">
        <v>125</v>
      </c>
      <c r="J15" s="626"/>
      <c r="K15" s="626"/>
      <c r="L15" s="625" t="s">
        <v>123</v>
      </c>
      <c r="M15" s="623"/>
      <c r="N15" s="623"/>
      <c r="O15" s="623" t="s">
        <v>124</v>
      </c>
      <c r="P15" s="623"/>
      <c r="Q15" s="623"/>
      <c r="R15" s="623" t="s">
        <v>125</v>
      </c>
      <c r="S15" s="626"/>
      <c r="T15" s="626"/>
      <c r="U15" s="625" t="s">
        <v>123</v>
      </c>
      <c r="V15" s="623"/>
      <c r="W15" s="623"/>
      <c r="X15" s="623" t="s">
        <v>124</v>
      </c>
      <c r="Y15" s="623"/>
      <c r="Z15" s="623"/>
      <c r="AA15" s="623" t="s">
        <v>125</v>
      </c>
      <c r="AB15" s="623"/>
      <c r="AC15" s="624"/>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72"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73"/>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76"/>
      <c r="AH24" s="476"/>
      <c r="AI24" s="476"/>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76"/>
      <c r="AH25" s="476"/>
      <c r="AI25" s="476"/>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76"/>
      <c r="AH26" s="476"/>
      <c r="AI26" s="476"/>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76"/>
      <c r="AH27" s="476"/>
      <c r="AI27" s="476"/>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76"/>
      <c r="AH28" s="476"/>
      <c r="AI28" s="476"/>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76"/>
      <c r="AH29" s="476"/>
      <c r="AI29" s="476"/>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76"/>
      <c r="AH30" s="476"/>
      <c r="AI30" s="476"/>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79"/>
      <c r="AH31" s="476"/>
      <c r="AI31" s="476"/>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76"/>
      <c r="AH32" s="476"/>
      <c r="AI32" s="476"/>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76"/>
      <c r="AH33" s="476"/>
      <c r="AI33" s="476"/>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76"/>
      <c r="AH34" s="476"/>
      <c r="AI34" s="476"/>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27"/>
      <c r="B67" s="340" t="s">
        <v>243</v>
      </c>
      <c r="C67" s="469"/>
      <c r="D67" s="341"/>
      <c r="E67" s="470"/>
      <c r="F67" s="471"/>
      <c r="G67" s="341"/>
      <c r="H67" s="470"/>
      <c r="I67" s="471"/>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24"/>
      <c r="B172" s="134"/>
      <c r="C172" s="134"/>
      <c r="D172" s="134"/>
      <c r="E172" s="134"/>
      <c r="F172" s="474"/>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24"/>
      <c r="B173" s="134"/>
      <c r="C173" s="134"/>
      <c r="D173" s="134"/>
      <c r="E173" s="475" t="b">
        <v>1</v>
      </c>
      <c r="F173" s="474"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27"/>
      <c r="B174" s="134"/>
      <c r="C174" s="134"/>
      <c r="D174" s="134"/>
      <c r="E174" s="475" t="b">
        <v>0</v>
      </c>
      <c r="F174" s="474"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24"/>
      <c r="B175" s="134"/>
      <c r="C175" s="134"/>
      <c r="D175" s="134"/>
      <c r="E175" s="475"/>
      <c r="F175" s="474"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24"/>
      <c r="B176" s="134"/>
      <c r="C176" s="134"/>
      <c r="D176" s="134"/>
      <c r="E176" s="134"/>
      <c r="F176" s="474"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24"/>
      <c r="B177" s="134"/>
      <c r="C177" s="134"/>
      <c r="D177" s="134"/>
      <c r="E177" s="134"/>
      <c r="F177" s="474"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24"/>
      <c r="B178" s="134"/>
      <c r="C178" s="134"/>
      <c r="D178" s="134"/>
      <c r="E178" s="134"/>
      <c r="F178" s="474"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24"/>
      <c r="B179" s="134"/>
      <c r="C179" s="134"/>
      <c r="D179" s="134"/>
      <c r="E179" s="134"/>
      <c r="F179" s="474"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27"/>
      <c r="B180" s="134"/>
      <c r="C180" s="134"/>
      <c r="D180" s="134"/>
      <c r="E180" s="134"/>
      <c r="F180" s="474"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24"/>
      <c r="B181" s="134"/>
      <c r="C181" s="134"/>
      <c r="D181" s="134"/>
      <c r="E181" s="134"/>
      <c r="F181" s="474"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24"/>
      <c r="B182" s="134"/>
      <c r="C182" s="134"/>
      <c r="D182" s="134"/>
      <c r="E182" s="134"/>
      <c r="F182" s="474"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24"/>
      <c r="B183" s="134"/>
      <c r="C183" s="134"/>
      <c r="D183" s="134"/>
      <c r="E183" s="134"/>
      <c r="F183" s="474"/>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24"/>
      <c r="B184" s="134"/>
      <c r="C184" s="134"/>
      <c r="D184" s="134"/>
      <c r="E184" s="134"/>
      <c r="F184" s="474"/>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24"/>
      <c r="B185" s="134"/>
      <c r="C185" s="134"/>
      <c r="D185" s="134"/>
      <c r="E185" s="134"/>
      <c r="F185" s="474"/>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27"/>
      <c r="B186" s="134"/>
      <c r="C186" s="134"/>
      <c r="D186" s="134"/>
      <c r="E186" s="134"/>
      <c r="F186" s="474"/>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24"/>
      <c r="B187" s="134"/>
      <c r="C187" s="134"/>
      <c r="D187" s="134"/>
      <c r="E187" s="134"/>
      <c r="F187" s="474"/>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24"/>
      <c r="B188" s="134"/>
      <c r="C188" s="134"/>
      <c r="D188" s="134"/>
      <c r="E188" s="134"/>
      <c r="F188" s="474"/>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24"/>
      <c r="B189" s="134"/>
      <c r="C189" s="134"/>
      <c r="D189" s="134"/>
      <c r="E189" s="134"/>
      <c r="F189" s="474"/>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24"/>
      <c r="B190" s="134"/>
      <c r="C190" s="134"/>
      <c r="D190" s="134"/>
      <c r="E190" s="134"/>
      <c r="F190" s="474"/>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24"/>
      <c r="B191" s="134"/>
      <c r="C191" s="134"/>
      <c r="D191" s="134"/>
      <c r="E191" s="134"/>
      <c r="F191" s="474"/>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F5" sqref="F5"/>
    </sheetView>
  </sheetViews>
  <sheetFormatPr defaultColWidth="10.77734375" defaultRowHeight="13.2" x14ac:dyDescent="0.25"/>
  <cols>
    <col min="1" max="1" width="10.77734375" style="366"/>
    <col min="2" max="2" width="15.109375" style="366" customWidth="1"/>
    <col min="3" max="3" width="32.44140625" style="366" customWidth="1"/>
    <col min="4" max="4" width="10.77734375" style="366"/>
    <col min="5" max="5" width="6.109375" style="366" bestFit="1" customWidth="1"/>
    <col min="6" max="9" width="15.44140625" style="366" customWidth="1"/>
    <col min="10" max="10" width="14.6640625" style="366" customWidth="1"/>
    <col min="11" max="17" width="15.44140625" style="366" customWidth="1"/>
    <col min="18" max="18" width="15" style="366" customWidth="1"/>
    <col min="19" max="19" width="15.33203125" style="366" customWidth="1"/>
    <col min="20" max="20" width="7.109375" style="366" customWidth="1"/>
    <col min="21" max="21" width="47.33203125" style="366" customWidth="1"/>
    <col min="22" max="23" width="20.33203125" style="366" customWidth="1"/>
    <col min="24" max="16384" width="10.77734375" style="366"/>
  </cols>
  <sheetData>
    <row r="2" spans="2:19" ht="35.4" x14ac:dyDescent="0.6">
      <c r="B2" s="425" t="s">
        <v>308</v>
      </c>
    </row>
    <row r="5" spans="2:19" ht="18" customHeight="1" x14ac:dyDescent="0.4">
      <c r="B5" s="426" t="s">
        <v>309</v>
      </c>
      <c r="C5" s="427" t="s">
        <v>322</v>
      </c>
      <c r="H5" s="428"/>
    </row>
    <row r="6" spans="2:19" ht="21" x14ac:dyDescent="0.4">
      <c r="E6" s="426" t="str">
        <f>C5 &amp; " Scenario"</f>
        <v>BAU Scenario</v>
      </c>
    </row>
    <row r="7" spans="2:19" ht="28.8" thickBot="1" x14ac:dyDescent="0.55000000000000004">
      <c r="B7" s="426" t="s">
        <v>311</v>
      </c>
      <c r="C7" s="429"/>
      <c r="F7" s="628" t="s">
        <v>123</v>
      </c>
      <c r="G7" s="629"/>
      <c r="H7" s="629"/>
      <c r="I7" s="630"/>
      <c r="J7" s="628" t="s">
        <v>124</v>
      </c>
      <c r="K7" s="629"/>
      <c r="L7" s="629"/>
      <c r="M7" s="630"/>
      <c r="N7" s="628" t="s">
        <v>125</v>
      </c>
      <c r="O7" s="629"/>
      <c r="P7" s="629"/>
      <c r="Q7" s="630"/>
    </row>
    <row r="8" spans="2:19" ht="49.95" customHeight="1" thickTop="1" thickBot="1" x14ac:dyDescent="0.5">
      <c r="B8" s="430" t="s">
        <v>127</v>
      </c>
      <c r="C8" s="431" t="s">
        <v>312</v>
      </c>
      <c r="E8" s="432" t="s">
        <v>292</v>
      </c>
      <c r="F8" s="432" t="s">
        <v>313</v>
      </c>
      <c r="G8" s="433" t="s">
        <v>314</v>
      </c>
      <c r="H8" s="433" t="s">
        <v>315</v>
      </c>
      <c r="I8" s="434" t="s">
        <v>316</v>
      </c>
      <c r="J8" s="432" t="s">
        <v>313</v>
      </c>
      <c r="K8" s="433" t="s">
        <v>314</v>
      </c>
      <c r="L8" s="433" t="s">
        <v>315</v>
      </c>
      <c r="M8" s="434" t="s">
        <v>316</v>
      </c>
      <c r="N8" s="432" t="s">
        <v>313</v>
      </c>
      <c r="O8" s="433" t="s">
        <v>314</v>
      </c>
      <c r="P8" s="433" t="s">
        <v>315</v>
      </c>
      <c r="Q8" s="434" t="s">
        <v>316</v>
      </c>
      <c r="R8" s="432" t="s">
        <v>317</v>
      </c>
      <c r="S8" s="434" t="s">
        <v>318</v>
      </c>
    </row>
    <row r="9" spans="2:19" ht="17.399999999999999" x14ac:dyDescent="0.4">
      <c r="B9" s="435" t="s">
        <v>128</v>
      </c>
      <c r="C9" s="436" t="b">
        <v>1</v>
      </c>
      <c r="E9" s="437" t="s">
        <v>195</v>
      </c>
      <c r="F9" s="438">
        <v>25</v>
      </c>
      <c r="G9" s="439">
        <v>0</v>
      </c>
      <c r="H9" s="592">
        <v>0</v>
      </c>
      <c r="I9" s="440">
        <v>0</v>
      </c>
      <c r="J9" s="438">
        <v>25</v>
      </c>
      <c r="K9" s="439">
        <v>0</v>
      </c>
      <c r="L9" s="592">
        <v>0</v>
      </c>
      <c r="M9" s="441">
        <v>0</v>
      </c>
      <c r="N9" s="442">
        <v>25</v>
      </c>
      <c r="O9" s="439">
        <v>0</v>
      </c>
      <c r="P9" s="592">
        <v>0</v>
      </c>
      <c r="Q9" s="441">
        <v>0</v>
      </c>
      <c r="R9" s="443">
        <v>2014</v>
      </c>
      <c r="S9" s="444">
        <v>2050</v>
      </c>
    </row>
    <row r="10" spans="2:19" ht="17.399999999999999" x14ac:dyDescent="0.4">
      <c r="B10" s="445" t="s">
        <v>129</v>
      </c>
      <c r="C10" s="446" t="b">
        <v>1</v>
      </c>
      <c r="E10" s="447" t="s">
        <v>194</v>
      </c>
      <c r="F10" s="448">
        <v>0</v>
      </c>
      <c r="G10" s="449">
        <v>0</v>
      </c>
      <c r="H10" s="449">
        <v>0</v>
      </c>
      <c r="I10" s="595">
        <v>0</v>
      </c>
      <c r="J10" s="448">
        <v>0</v>
      </c>
      <c r="K10" s="449">
        <v>0</v>
      </c>
      <c r="L10" s="449">
        <v>0</v>
      </c>
      <c r="M10" s="596">
        <v>0</v>
      </c>
      <c r="N10" s="452">
        <v>0</v>
      </c>
      <c r="O10" s="449">
        <v>0</v>
      </c>
      <c r="P10" s="449">
        <v>0</v>
      </c>
      <c r="Q10" s="596">
        <v>0</v>
      </c>
      <c r="R10" s="453">
        <v>2014</v>
      </c>
      <c r="S10" s="454">
        <v>2050</v>
      </c>
    </row>
    <row r="11" spans="2:19" ht="17.399999999999999" x14ac:dyDescent="0.4">
      <c r="B11" s="445" t="s">
        <v>335</v>
      </c>
      <c r="C11" s="446" t="b">
        <v>1</v>
      </c>
      <c r="E11" s="447" t="s">
        <v>197</v>
      </c>
      <c r="F11" s="448">
        <v>25</v>
      </c>
      <c r="G11" s="449">
        <v>0</v>
      </c>
      <c r="H11" s="593">
        <v>0</v>
      </c>
      <c r="I11" s="450">
        <v>0</v>
      </c>
      <c r="J11" s="448">
        <v>300</v>
      </c>
      <c r="K11" s="449">
        <v>0</v>
      </c>
      <c r="L11" s="593">
        <v>0</v>
      </c>
      <c r="M11" s="451">
        <v>0</v>
      </c>
      <c r="N11" s="452">
        <v>300</v>
      </c>
      <c r="O11" s="449">
        <v>0</v>
      </c>
      <c r="P11" s="593">
        <v>0</v>
      </c>
      <c r="Q11" s="451">
        <v>0</v>
      </c>
      <c r="R11" s="453">
        <v>2014</v>
      </c>
      <c r="S11" s="454">
        <v>2050</v>
      </c>
    </row>
    <row r="12" spans="2:19" ht="18" thickBot="1" x14ac:dyDescent="0.45">
      <c r="B12" s="455" t="s">
        <v>146</v>
      </c>
      <c r="C12" s="456" t="b">
        <v>1</v>
      </c>
      <c r="E12" s="447" t="s">
        <v>196</v>
      </c>
      <c r="F12" s="448" t="s">
        <v>319</v>
      </c>
      <c r="G12" s="449">
        <v>0</v>
      </c>
      <c r="H12" s="593">
        <v>0</v>
      </c>
      <c r="I12" s="450">
        <v>0</v>
      </c>
      <c r="J12" s="448" t="s">
        <v>319</v>
      </c>
      <c r="K12" s="449">
        <v>0</v>
      </c>
      <c r="L12" s="593">
        <v>0</v>
      </c>
      <c r="M12" s="451">
        <v>0</v>
      </c>
      <c r="N12" s="452" t="s">
        <v>319</v>
      </c>
      <c r="O12" s="449">
        <v>0</v>
      </c>
      <c r="P12" s="593">
        <v>0</v>
      </c>
      <c r="Q12" s="451">
        <v>0</v>
      </c>
      <c r="R12" s="453">
        <v>2014</v>
      </c>
      <c r="S12" s="454">
        <v>2050</v>
      </c>
    </row>
    <row r="13" spans="2:19" ht="13.8" thickTop="1" x14ac:dyDescent="0.25">
      <c r="E13" s="447" t="s">
        <v>198</v>
      </c>
      <c r="F13" s="448">
        <v>1000</v>
      </c>
      <c r="G13" s="449">
        <v>0</v>
      </c>
      <c r="H13" s="593">
        <v>0</v>
      </c>
      <c r="I13" s="450">
        <v>0</v>
      </c>
      <c r="J13" s="448">
        <v>1000</v>
      </c>
      <c r="K13" s="449">
        <v>0</v>
      </c>
      <c r="L13" s="593">
        <v>0</v>
      </c>
      <c r="M13" s="451">
        <v>0</v>
      </c>
      <c r="N13" s="452">
        <v>1000</v>
      </c>
      <c r="O13" s="449">
        <v>0</v>
      </c>
      <c r="P13" s="593">
        <v>0</v>
      </c>
      <c r="Q13" s="451">
        <v>0</v>
      </c>
      <c r="R13" s="453">
        <v>2014</v>
      </c>
      <c r="S13" s="454">
        <v>2050</v>
      </c>
    </row>
    <row r="14" spans="2:19" ht="12" customHeight="1" x14ac:dyDescent="0.25">
      <c r="B14" s="631" t="s">
        <v>377</v>
      </c>
      <c r="C14" s="631"/>
      <c r="E14" s="447" t="s">
        <v>199</v>
      </c>
      <c r="F14" s="448" t="s">
        <v>319</v>
      </c>
      <c r="G14" s="449">
        <v>0</v>
      </c>
      <c r="H14" s="593">
        <v>0</v>
      </c>
      <c r="I14" s="450">
        <v>0</v>
      </c>
      <c r="J14" s="448" t="s">
        <v>319</v>
      </c>
      <c r="K14" s="449">
        <v>0</v>
      </c>
      <c r="L14" s="593">
        <v>0</v>
      </c>
      <c r="M14" s="451">
        <v>0</v>
      </c>
      <c r="N14" s="452" t="s">
        <v>319</v>
      </c>
      <c r="O14" s="449">
        <v>0</v>
      </c>
      <c r="P14" s="593">
        <v>0</v>
      </c>
      <c r="Q14" s="451">
        <v>0</v>
      </c>
      <c r="R14" s="453">
        <v>2014</v>
      </c>
      <c r="S14" s="454">
        <v>2050</v>
      </c>
    </row>
    <row r="15" spans="2:19" ht="12" customHeight="1" x14ac:dyDescent="0.25">
      <c r="B15" s="631"/>
      <c r="C15" s="631"/>
      <c r="E15" s="447" t="s">
        <v>200</v>
      </c>
      <c r="F15" s="448">
        <v>2000</v>
      </c>
      <c r="G15" s="449">
        <v>0</v>
      </c>
      <c r="H15" s="593">
        <v>0</v>
      </c>
      <c r="I15" s="450">
        <v>0</v>
      </c>
      <c r="J15" s="448">
        <v>2000</v>
      </c>
      <c r="K15" s="449">
        <v>0</v>
      </c>
      <c r="L15" s="593">
        <v>0</v>
      </c>
      <c r="M15" s="451">
        <v>0</v>
      </c>
      <c r="N15" s="452">
        <v>2000</v>
      </c>
      <c r="O15" s="449">
        <v>0</v>
      </c>
      <c r="P15" s="593">
        <v>0</v>
      </c>
      <c r="Q15" s="451">
        <v>0</v>
      </c>
      <c r="R15" s="453">
        <v>2014</v>
      </c>
      <c r="S15" s="454">
        <v>2050</v>
      </c>
    </row>
    <row r="16" spans="2:19" ht="12" customHeight="1" x14ac:dyDescent="0.25">
      <c r="B16" s="631"/>
      <c r="C16" s="631"/>
      <c r="E16" s="447" t="s">
        <v>11</v>
      </c>
      <c r="F16" s="448">
        <v>1000</v>
      </c>
      <c r="G16" s="449">
        <v>0</v>
      </c>
      <c r="H16" s="593">
        <v>0</v>
      </c>
      <c r="I16" s="450">
        <v>0</v>
      </c>
      <c r="J16" s="448">
        <v>1000</v>
      </c>
      <c r="K16" s="449">
        <v>0</v>
      </c>
      <c r="L16" s="593">
        <v>0</v>
      </c>
      <c r="M16" s="451">
        <v>0</v>
      </c>
      <c r="N16" s="452">
        <v>0</v>
      </c>
      <c r="O16" s="449">
        <v>0</v>
      </c>
      <c r="P16" s="449">
        <v>0</v>
      </c>
      <c r="Q16" s="596">
        <v>0</v>
      </c>
      <c r="R16" s="453">
        <v>2014</v>
      </c>
      <c r="S16" s="454">
        <v>2050</v>
      </c>
    </row>
    <row r="17" spans="2:19" ht="12" customHeight="1" x14ac:dyDescent="0.25">
      <c r="B17" s="631"/>
      <c r="C17" s="631"/>
      <c r="E17" s="447" t="s">
        <v>201</v>
      </c>
      <c r="F17" s="448">
        <v>25</v>
      </c>
      <c r="G17" s="449">
        <v>0</v>
      </c>
      <c r="H17" s="593">
        <v>0</v>
      </c>
      <c r="I17" s="450">
        <v>0</v>
      </c>
      <c r="J17" s="448">
        <v>2000</v>
      </c>
      <c r="K17" s="449">
        <v>0</v>
      </c>
      <c r="L17" s="593">
        <v>0</v>
      </c>
      <c r="M17" s="451">
        <v>0</v>
      </c>
      <c r="N17" s="452">
        <v>2000</v>
      </c>
      <c r="O17" s="449">
        <v>0</v>
      </c>
      <c r="P17" s="593">
        <v>0</v>
      </c>
      <c r="Q17" s="451">
        <v>0</v>
      </c>
      <c r="R17" s="453">
        <v>2014</v>
      </c>
      <c r="S17" s="454">
        <v>2050</v>
      </c>
    </row>
    <row r="18" spans="2:19" ht="13.05" customHeight="1" x14ac:dyDescent="0.25">
      <c r="B18" s="631"/>
      <c r="C18" s="631"/>
      <c r="E18" s="447" t="s">
        <v>202</v>
      </c>
      <c r="F18" s="448">
        <v>2000</v>
      </c>
      <c r="G18" s="449">
        <v>0</v>
      </c>
      <c r="H18" s="593">
        <v>0</v>
      </c>
      <c r="I18" s="450">
        <v>0</v>
      </c>
      <c r="J18" s="448">
        <v>2000</v>
      </c>
      <c r="K18" s="449">
        <v>0</v>
      </c>
      <c r="L18" s="593">
        <v>0</v>
      </c>
      <c r="M18" s="451">
        <v>0</v>
      </c>
      <c r="N18" s="452">
        <v>2000</v>
      </c>
      <c r="O18" s="449">
        <v>0</v>
      </c>
      <c r="P18" s="593">
        <v>0</v>
      </c>
      <c r="Q18" s="451">
        <v>0</v>
      </c>
      <c r="R18" s="453">
        <v>2014</v>
      </c>
      <c r="S18" s="454">
        <v>2050</v>
      </c>
    </row>
    <row r="19" spans="2:19" ht="12" customHeight="1" x14ac:dyDescent="0.25">
      <c r="B19" s="631"/>
      <c r="C19" s="631"/>
      <c r="E19" s="447" t="s">
        <v>203</v>
      </c>
      <c r="F19" s="448">
        <v>10</v>
      </c>
      <c r="G19" s="449">
        <v>0</v>
      </c>
      <c r="H19" s="593">
        <v>0</v>
      </c>
      <c r="I19" s="450">
        <v>0</v>
      </c>
      <c r="J19" s="448">
        <v>100</v>
      </c>
      <c r="K19" s="449">
        <v>0</v>
      </c>
      <c r="L19" s="593">
        <v>0</v>
      </c>
      <c r="M19" s="451">
        <v>0</v>
      </c>
      <c r="N19" s="452">
        <v>100</v>
      </c>
      <c r="O19" s="449">
        <v>0</v>
      </c>
      <c r="P19" s="593">
        <v>0</v>
      </c>
      <c r="Q19" s="451">
        <v>0</v>
      </c>
      <c r="R19" s="453">
        <v>2014</v>
      </c>
      <c r="S19" s="454">
        <v>2050</v>
      </c>
    </row>
    <row r="20" spans="2:19" ht="12" customHeight="1" x14ac:dyDescent="0.25">
      <c r="B20" s="631"/>
      <c r="C20" s="631"/>
      <c r="E20" s="447" t="s">
        <v>204</v>
      </c>
      <c r="F20" s="448">
        <v>100</v>
      </c>
      <c r="G20" s="449">
        <v>0</v>
      </c>
      <c r="H20" s="593">
        <v>0</v>
      </c>
      <c r="I20" s="450">
        <v>0</v>
      </c>
      <c r="J20" s="448">
        <v>100</v>
      </c>
      <c r="K20" s="449">
        <v>0</v>
      </c>
      <c r="L20" s="593">
        <v>0</v>
      </c>
      <c r="M20" s="451">
        <v>0</v>
      </c>
      <c r="N20" s="452">
        <v>100</v>
      </c>
      <c r="O20" s="449">
        <v>0</v>
      </c>
      <c r="P20" s="593">
        <v>0</v>
      </c>
      <c r="Q20" s="451">
        <v>0</v>
      </c>
      <c r="R20" s="453">
        <v>2014</v>
      </c>
      <c r="S20" s="454">
        <v>2050</v>
      </c>
    </row>
    <row r="21" spans="2:19" ht="12" customHeight="1" x14ac:dyDescent="0.25">
      <c r="B21" s="631"/>
      <c r="C21" s="631"/>
      <c r="E21" s="447" t="s">
        <v>208</v>
      </c>
      <c r="F21" s="448">
        <v>500</v>
      </c>
      <c r="G21" s="449">
        <v>0</v>
      </c>
      <c r="H21" s="593">
        <v>0</v>
      </c>
      <c r="I21" s="450">
        <v>0</v>
      </c>
      <c r="J21" s="448">
        <v>500</v>
      </c>
      <c r="K21" s="449">
        <v>0</v>
      </c>
      <c r="L21" s="593">
        <v>0</v>
      </c>
      <c r="M21" s="451">
        <v>0</v>
      </c>
      <c r="N21" s="452">
        <v>500</v>
      </c>
      <c r="O21" s="449">
        <v>0</v>
      </c>
      <c r="P21" s="593">
        <v>0</v>
      </c>
      <c r="Q21" s="451">
        <v>0</v>
      </c>
      <c r="R21" s="453">
        <v>2014</v>
      </c>
      <c r="S21" s="454">
        <v>2050</v>
      </c>
    </row>
    <row r="22" spans="2:19" ht="12" customHeight="1" x14ac:dyDescent="0.25">
      <c r="B22" s="631"/>
      <c r="C22" s="631"/>
      <c r="E22" s="447" t="s">
        <v>205</v>
      </c>
      <c r="F22" s="448">
        <v>0</v>
      </c>
      <c r="G22" s="449">
        <v>0</v>
      </c>
      <c r="H22" s="449">
        <v>0</v>
      </c>
      <c r="I22" s="595">
        <v>0</v>
      </c>
      <c r="J22" s="448">
        <v>0</v>
      </c>
      <c r="K22" s="449">
        <v>0</v>
      </c>
      <c r="L22" s="449">
        <v>0</v>
      </c>
      <c r="M22" s="596">
        <v>0</v>
      </c>
      <c r="N22" s="452">
        <v>0</v>
      </c>
      <c r="O22" s="449">
        <v>0</v>
      </c>
      <c r="P22" s="449">
        <v>0</v>
      </c>
      <c r="Q22" s="596">
        <v>0</v>
      </c>
      <c r="R22" s="453">
        <v>2014</v>
      </c>
      <c r="S22" s="454">
        <v>2050</v>
      </c>
    </row>
    <row r="23" spans="2:19" ht="12" customHeight="1" x14ac:dyDescent="0.25">
      <c r="B23" s="631"/>
      <c r="C23" s="631"/>
      <c r="E23" s="447" t="s">
        <v>206</v>
      </c>
      <c r="F23" s="448">
        <v>40</v>
      </c>
      <c r="G23" s="449">
        <v>0</v>
      </c>
      <c r="H23" s="593">
        <v>0</v>
      </c>
      <c r="I23" s="450">
        <v>0</v>
      </c>
      <c r="J23" s="448">
        <v>40</v>
      </c>
      <c r="K23" s="449">
        <v>0</v>
      </c>
      <c r="L23" s="593">
        <v>0</v>
      </c>
      <c r="M23" s="451">
        <v>0</v>
      </c>
      <c r="N23" s="452">
        <v>40</v>
      </c>
      <c r="O23" s="449">
        <v>0</v>
      </c>
      <c r="P23" s="593">
        <v>0</v>
      </c>
      <c r="Q23" s="451">
        <v>0</v>
      </c>
      <c r="R23" s="453">
        <v>2014</v>
      </c>
      <c r="S23" s="454">
        <v>2050</v>
      </c>
    </row>
    <row r="24" spans="2:19" ht="12" customHeight="1" x14ac:dyDescent="0.25">
      <c r="B24" s="631"/>
      <c r="C24" s="631"/>
      <c r="E24" s="447" t="s">
        <v>207</v>
      </c>
      <c r="F24" s="448">
        <v>1000</v>
      </c>
      <c r="G24" s="449">
        <v>0</v>
      </c>
      <c r="H24" s="593">
        <v>0</v>
      </c>
      <c r="I24" s="450">
        <v>0</v>
      </c>
      <c r="J24" s="448">
        <v>1000</v>
      </c>
      <c r="K24" s="449">
        <v>0</v>
      </c>
      <c r="L24" s="593">
        <v>0</v>
      </c>
      <c r="M24" s="451">
        <v>0</v>
      </c>
      <c r="N24" s="452">
        <v>1000</v>
      </c>
      <c r="O24" s="449">
        <v>0</v>
      </c>
      <c r="P24" s="593">
        <v>0</v>
      </c>
      <c r="Q24" s="451">
        <v>0</v>
      </c>
      <c r="R24" s="453">
        <v>2014</v>
      </c>
      <c r="S24" s="454">
        <v>2050</v>
      </c>
    </row>
    <row r="25" spans="2:19" ht="12" customHeight="1" x14ac:dyDescent="0.25">
      <c r="B25" s="631"/>
      <c r="C25" s="631"/>
      <c r="E25" s="447" t="s">
        <v>209</v>
      </c>
      <c r="F25" s="448">
        <v>25</v>
      </c>
      <c r="G25" s="449">
        <v>0</v>
      </c>
      <c r="H25" s="593">
        <v>0</v>
      </c>
      <c r="I25" s="450">
        <v>0</v>
      </c>
      <c r="J25" s="448">
        <v>200</v>
      </c>
      <c r="K25" s="449">
        <v>0</v>
      </c>
      <c r="L25" s="593">
        <v>0</v>
      </c>
      <c r="M25" s="451">
        <v>0</v>
      </c>
      <c r="N25" s="452">
        <v>200</v>
      </c>
      <c r="O25" s="449">
        <v>0</v>
      </c>
      <c r="P25" s="593">
        <v>0</v>
      </c>
      <c r="Q25" s="451">
        <v>0</v>
      </c>
      <c r="R25" s="453">
        <v>2014</v>
      </c>
      <c r="S25" s="454">
        <v>2050</v>
      </c>
    </row>
    <row r="26" spans="2:19" ht="12" customHeight="1" x14ac:dyDescent="0.25">
      <c r="B26" s="631"/>
      <c r="C26" s="631"/>
      <c r="E26" s="447" t="s">
        <v>210</v>
      </c>
      <c r="F26" s="448">
        <v>30</v>
      </c>
      <c r="G26" s="449">
        <v>0</v>
      </c>
      <c r="H26" s="593">
        <v>0</v>
      </c>
      <c r="I26" s="450">
        <v>0</v>
      </c>
      <c r="J26" s="448">
        <v>30</v>
      </c>
      <c r="K26" s="449">
        <v>0</v>
      </c>
      <c r="L26" s="593">
        <v>0</v>
      </c>
      <c r="M26" s="451">
        <v>0</v>
      </c>
      <c r="N26" s="452">
        <v>30</v>
      </c>
      <c r="O26" s="449">
        <v>0</v>
      </c>
      <c r="P26" s="593">
        <v>0</v>
      </c>
      <c r="Q26" s="451">
        <v>0</v>
      </c>
      <c r="R26" s="453">
        <v>2014</v>
      </c>
      <c r="S26" s="454">
        <v>2050</v>
      </c>
    </row>
    <row r="27" spans="2:19" ht="12" customHeight="1" x14ac:dyDescent="0.25">
      <c r="B27" s="631"/>
      <c r="C27" s="631"/>
      <c r="E27" s="447" t="s">
        <v>211</v>
      </c>
      <c r="F27" s="448">
        <v>25</v>
      </c>
      <c r="G27" s="449">
        <v>0</v>
      </c>
      <c r="H27" s="593">
        <v>0</v>
      </c>
      <c r="I27" s="450">
        <v>0</v>
      </c>
      <c r="J27" s="448">
        <v>300</v>
      </c>
      <c r="K27" s="449">
        <v>0</v>
      </c>
      <c r="L27" s="593">
        <v>0</v>
      </c>
      <c r="M27" s="451">
        <v>0</v>
      </c>
      <c r="N27" s="452">
        <v>0</v>
      </c>
      <c r="O27" s="449">
        <v>0</v>
      </c>
      <c r="P27" s="449">
        <v>0</v>
      </c>
      <c r="Q27" s="596">
        <v>0</v>
      </c>
      <c r="R27" s="453">
        <v>2014</v>
      </c>
      <c r="S27" s="454">
        <v>2050</v>
      </c>
    </row>
    <row r="28" spans="2:19" ht="12" customHeight="1" x14ac:dyDescent="0.25">
      <c r="B28" s="631"/>
      <c r="C28" s="631"/>
      <c r="E28" s="447" t="s">
        <v>214</v>
      </c>
      <c r="F28" s="448">
        <v>2000</v>
      </c>
      <c r="G28" s="449">
        <v>0</v>
      </c>
      <c r="H28" s="593">
        <v>0</v>
      </c>
      <c r="I28" s="450">
        <v>0</v>
      </c>
      <c r="J28" s="448">
        <v>2000</v>
      </c>
      <c r="K28" s="449">
        <v>0</v>
      </c>
      <c r="L28" s="593">
        <v>0</v>
      </c>
      <c r="M28" s="451">
        <v>0</v>
      </c>
      <c r="N28" s="452">
        <v>2000</v>
      </c>
      <c r="O28" s="449">
        <v>0</v>
      </c>
      <c r="P28" s="593">
        <v>0</v>
      </c>
      <c r="Q28" s="451">
        <v>0</v>
      </c>
      <c r="R28" s="453">
        <v>2014</v>
      </c>
      <c r="S28" s="454">
        <v>2050</v>
      </c>
    </row>
    <row r="29" spans="2:19" ht="12" customHeight="1" x14ac:dyDescent="0.25">
      <c r="B29" s="631"/>
      <c r="C29" s="631"/>
      <c r="E29" s="447" t="s">
        <v>213</v>
      </c>
      <c r="F29" s="448">
        <v>2000</v>
      </c>
      <c r="G29" s="449">
        <v>0</v>
      </c>
      <c r="H29" s="593">
        <v>0</v>
      </c>
      <c r="I29" s="450">
        <v>0</v>
      </c>
      <c r="J29" s="448">
        <v>2000</v>
      </c>
      <c r="K29" s="449">
        <v>0</v>
      </c>
      <c r="L29" s="593">
        <v>0</v>
      </c>
      <c r="M29" s="451">
        <v>0</v>
      </c>
      <c r="N29" s="452">
        <v>2000</v>
      </c>
      <c r="O29" s="449">
        <v>0</v>
      </c>
      <c r="P29" s="593">
        <v>0</v>
      </c>
      <c r="Q29" s="451">
        <v>0</v>
      </c>
      <c r="R29" s="453">
        <v>2014</v>
      </c>
      <c r="S29" s="454">
        <v>2050</v>
      </c>
    </row>
    <row r="30" spans="2:19" ht="12" customHeight="1" x14ac:dyDescent="0.25">
      <c r="B30" s="631"/>
      <c r="C30" s="631"/>
      <c r="E30" s="447" t="s">
        <v>212</v>
      </c>
      <c r="F30" s="448">
        <v>660</v>
      </c>
      <c r="G30" s="449">
        <v>0</v>
      </c>
      <c r="H30" s="593">
        <v>0</v>
      </c>
      <c r="I30" s="450">
        <v>0</v>
      </c>
      <c r="J30" s="448">
        <v>660</v>
      </c>
      <c r="K30" s="449">
        <v>0</v>
      </c>
      <c r="L30" s="593">
        <v>0</v>
      </c>
      <c r="M30" s="451">
        <v>0</v>
      </c>
      <c r="N30" s="452">
        <v>660</v>
      </c>
      <c r="O30" s="449">
        <v>0</v>
      </c>
      <c r="P30" s="593">
        <v>0</v>
      </c>
      <c r="Q30" s="451">
        <v>0</v>
      </c>
      <c r="R30" s="453">
        <v>2014</v>
      </c>
      <c r="S30" s="454">
        <v>2050</v>
      </c>
    </row>
    <row r="31" spans="2:19" ht="12" customHeight="1" x14ac:dyDescent="0.25">
      <c r="B31" s="631"/>
      <c r="C31" s="631"/>
      <c r="E31" s="447" t="s">
        <v>215</v>
      </c>
      <c r="F31" s="448">
        <v>150</v>
      </c>
      <c r="G31" s="449">
        <v>0</v>
      </c>
      <c r="H31" s="593">
        <v>0</v>
      </c>
      <c r="I31" s="450">
        <v>0</v>
      </c>
      <c r="J31" s="448">
        <v>150</v>
      </c>
      <c r="K31" s="449">
        <v>0</v>
      </c>
      <c r="L31" s="593">
        <v>0</v>
      </c>
      <c r="M31" s="451">
        <v>0</v>
      </c>
      <c r="N31" s="452">
        <v>150</v>
      </c>
      <c r="O31" s="449">
        <v>0</v>
      </c>
      <c r="P31" s="593">
        <v>0</v>
      </c>
      <c r="Q31" s="451">
        <v>0</v>
      </c>
      <c r="R31" s="453">
        <v>2014</v>
      </c>
      <c r="S31" s="454">
        <v>2050</v>
      </c>
    </row>
    <row r="32" spans="2:19" ht="12" customHeight="1" x14ac:dyDescent="0.25">
      <c r="B32" s="631"/>
      <c r="C32" s="631"/>
      <c r="E32" s="447" t="s">
        <v>216</v>
      </c>
      <c r="F32" s="448">
        <v>1000</v>
      </c>
      <c r="G32" s="449">
        <v>0</v>
      </c>
      <c r="H32" s="593">
        <v>0</v>
      </c>
      <c r="I32" s="450">
        <v>0</v>
      </c>
      <c r="J32" s="448">
        <v>1000</v>
      </c>
      <c r="K32" s="449">
        <v>0</v>
      </c>
      <c r="L32" s="593">
        <v>0</v>
      </c>
      <c r="M32" s="451">
        <v>0</v>
      </c>
      <c r="N32" s="452">
        <v>1000</v>
      </c>
      <c r="O32" s="449">
        <v>0</v>
      </c>
      <c r="P32" s="593">
        <v>0</v>
      </c>
      <c r="Q32" s="451">
        <v>0</v>
      </c>
      <c r="R32" s="453">
        <v>2014</v>
      </c>
      <c r="S32" s="454">
        <v>2050</v>
      </c>
    </row>
    <row r="33" spans="2:19" ht="12" customHeight="1" x14ac:dyDescent="0.25">
      <c r="B33" s="631"/>
      <c r="C33" s="631"/>
      <c r="E33" s="447" t="s">
        <v>218</v>
      </c>
      <c r="F33" s="448">
        <v>100</v>
      </c>
      <c r="G33" s="449">
        <v>0</v>
      </c>
      <c r="H33" s="593">
        <v>0</v>
      </c>
      <c r="I33" s="450">
        <v>0</v>
      </c>
      <c r="J33" s="448">
        <v>100</v>
      </c>
      <c r="K33" s="449">
        <v>0</v>
      </c>
      <c r="L33" s="593">
        <v>0</v>
      </c>
      <c r="M33" s="451">
        <v>0</v>
      </c>
      <c r="N33" s="452">
        <v>100</v>
      </c>
      <c r="O33" s="449">
        <v>0</v>
      </c>
      <c r="P33" s="593">
        <v>0</v>
      </c>
      <c r="Q33" s="451">
        <v>0</v>
      </c>
      <c r="R33" s="453">
        <v>2014</v>
      </c>
      <c r="S33" s="454">
        <v>2050</v>
      </c>
    </row>
    <row r="34" spans="2:19" ht="12" customHeight="1" x14ac:dyDescent="0.25">
      <c r="B34" s="631"/>
      <c r="C34" s="631"/>
      <c r="E34" s="447" t="s">
        <v>217</v>
      </c>
      <c r="F34" s="448">
        <v>0</v>
      </c>
      <c r="G34" s="449">
        <v>0</v>
      </c>
      <c r="H34" s="449">
        <v>0</v>
      </c>
      <c r="I34" s="595">
        <v>0</v>
      </c>
      <c r="J34" s="448">
        <v>0</v>
      </c>
      <c r="K34" s="449">
        <v>0</v>
      </c>
      <c r="L34" s="449">
        <v>0</v>
      </c>
      <c r="M34" s="596">
        <v>0</v>
      </c>
      <c r="N34" s="452">
        <v>0</v>
      </c>
      <c r="O34" s="449">
        <v>0</v>
      </c>
      <c r="P34" s="449">
        <v>0</v>
      </c>
      <c r="Q34" s="596">
        <v>0</v>
      </c>
      <c r="R34" s="453">
        <v>2014</v>
      </c>
      <c r="S34" s="454">
        <v>2050</v>
      </c>
    </row>
    <row r="35" spans="2:19" ht="12" customHeight="1" x14ac:dyDescent="0.25">
      <c r="B35" s="631"/>
      <c r="C35" s="631"/>
      <c r="E35" s="447" t="s">
        <v>219</v>
      </c>
      <c r="F35" s="448">
        <v>50</v>
      </c>
      <c r="G35" s="449">
        <v>0</v>
      </c>
      <c r="H35" s="593">
        <v>0</v>
      </c>
      <c r="I35" s="450">
        <v>0</v>
      </c>
      <c r="J35" s="448">
        <v>50</v>
      </c>
      <c r="K35" s="449">
        <v>0</v>
      </c>
      <c r="L35" s="593">
        <v>0</v>
      </c>
      <c r="M35" s="451">
        <v>0</v>
      </c>
      <c r="N35" s="452">
        <v>50</v>
      </c>
      <c r="O35" s="449">
        <v>0</v>
      </c>
      <c r="P35" s="593">
        <v>0</v>
      </c>
      <c r="Q35" s="451">
        <v>0</v>
      </c>
      <c r="R35" s="453">
        <v>2014</v>
      </c>
      <c r="S35" s="454">
        <v>2050</v>
      </c>
    </row>
    <row r="36" spans="2:19" ht="12" customHeight="1" x14ac:dyDescent="0.25">
      <c r="B36" s="631"/>
      <c r="C36" s="631"/>
      <c r="E36" s="447" t="s">
        <v>226</v>
      </c>
      <c r="F36" s="448">
        <v>1000</v>
      </c>
      <c r="G36" s="449">
        <v>0</v>
      </c>
      <c r="H36" s="593">
        <v>0</v>
      </c>
      <c r="I36" s="450">
        <v>0</v>
      </c>
      <c r="J36" s="448">
        <v>1000</v>
      </c>
      <c r="K36" s="449">
        <v>0</v>
      </c>
      <c r="L36" s="593">
        <v>0</v>
      </c>
      <c r="M36" s="451">
        <v>0</v>
      </c>
      <c r="N36" s="452">
        <v>1000</v>
      </c>
      <c r="O36" s="449">
        <v>0</v>
      </c>
      <c r="P36" s="593">
        <v>0</v>
      </c>
      <c r="Q36" s="451">
        <v>0</v>
      </c>
      <c r="R36" s="453">
        <v>2014</v>
      </c>
      <c r="S36" s="454">
        <v>2050</v>
      </c>
    </row>
    <row r="37" spans="2:19" ht="12" customHeight="1" x14ac:dyDescent="0.25">
      <c r="B37" s="631"/>
      <c r="C37" s="631"/>
      <c r="E37" s="447" t="s">
        <v>227</v>
      </c>
      <c r="F37" s="448">
        <v>100</v>
      </c>
      <c r="G37" s="449">
        <v>0</v>
      </c>
      <c r="H37" s="593">
        <v>0</v>
      </c>
      <c r="I37" s="450">
        <v>0</v>
      </c>
      <c r="J37" s="448">
        <v>100</v>
      </c>
      <c r="K37" s="449">
        <v>0</v>
      </c>
      <c r="L37" s="593">
        <v>0</v>
      </c>
      <c r="M37" s="451">
        <v>0</v>
      </c>
      <c r="N37" s="452">
        <v>100</v>
      </c>
      <c r="O37" s="449">
        <v>0</v>
      </c>
      <c r="P37" s="593">
        <v>0</v>
      </c>
      <c r="Q37" s="451">
        <v>0</v>
      </c>
      <c r="R37" s="453">
        <v>2014</v>
      </c>
      <c r="S37" s="454">
        <v>2050</v>
      </c>
    </row>
    <row r="38" spans="2:19" ht="12" customHeight="1" x14ac:dyDescent="0.25">
      <c r="B38" s="631"/>
      <c r="C38" s="631"/>
      <c r="E38" s="447" t="s">
        <v>220</v>
      </c>
      <c r="F38" s="448">
        <v>25</v>
      </c>
      <c r="G38" s="449">
        <v>0</v>
      </c>
      <c r="H38" s="593">
        <v>0</v>
      </c>
      <c r="I38" s="450">
        <v>0</v>
      </c>
      <c r="J38" s="448">
        <v>25</v>
      </c>
      <c r="K38" s="449">
        <v>0</v>
      </c>
      <c r="L38" s="593">
        <v>0</v>
      </c>
      <c r="M38" s="451">
        <v>0</v>
      </c>
      <c r="N38" s="452">
        <v>25</v>
      </c>
      <c r="O38" s="449">
        <v>0</v>
      </c>
      <c r="P38" s="593">
        <v>0</v>
      </c>
      <c r="Q38" s="451">
        <v>0</v>
      </c>
      <c r="R38" s="453">
        <v>2014</v>
      </c>
      <c r="S38" s="454">
        <v>2050</v>
      </c>
    </row>
    <row r="39" spans="2:19" x14ac:dyDescent="0.25">
      <c r="B39" s="631"/>
      <c r="C39" s="631"/>
      <c r="E39" s="447" t="s">
        <v>222</v>
      </c>
      <c r="F39" s="448">
        <v>100</v>
      </c>
      <c r="G39" s="449">
        <v>0</v>
      </c>
      <c r="H39" s="593">
        <v>0</v>
      </c>
      <c r="I39" s="450">
        <v>0</v>
      </c>
      <c r="J39" s="448">
        <v>100</v>
      </c>
      <c r="K39" s="449">
        <v>0</v>
      </c>
      <c r="L39" s="593">
        <v>0</v>
      </c>
      <c r="M39" s="451">
        <v>0</v>
      </c>
      <c r="N39" s="452">
        <v>100</v>
      </c>
      <c r="O39" s="449">
        <v>0</v>
      </c>
      <c r="P39" s="593">
        <v>0</v>
      </c>
      <c r="Q39" s="451">
        <v>0</v>
      </c>
      <c r="R39" s="453">
        <v>2014</v>
      </c>
      <c r="S39" s="454">
        <v>2050</v>
      </c>
    </row>
    <row r="40" spans="2:19" x14ac:dyDescent="0.25">
      <c r="B40" s="631"/>
      <c r="C40" s="631"/>
      <c r="E40" s="447" t="s">
        <v>223</v>
      </c>
      <c r="F40" s="448" t="s">
        <v>319</v>
      </c>
      <c r="G40" s="449">
        <v>0</v>
      </c>
      <c r="H40" s="593">
        <v>0</v>
      </c>
      <c r="I40" s="450">
        <v>0</v>
      </c>
      <c r="J40" s="448" t="s">
        <v>319</v>
      </c>
      <c r="K40" s="449">
        <v>0</v>
      </c>
      <c r="L40" s="593">
        <v>0</v>
      </c>
      <c r="M40" s="451">
        <v>0</v>
      </c>
      <c r="N40" s="452" t="s">
        <v>319</v>
      </c>
      <c r="O40" s="449">
        <v>0</v>
      </c>
      <c r="P40" s="593">
        <v>0</v>
      </c>
      <c r="Q40" s="451">
        <v>0</v>
      </c>
      <c r="R40" s="453">
        <v>2014</v>
      </c>
      <c r="S40" s="454">
        <v>2050</v>
      </c>
    </row>
    <row r="41" spans="2:19" x14ac:dyDescent="0.25">
      <c r="B41" s="631"/>
      <c r="C41" s="631"/>
      <c r="E41" s="447" t="s">
        <v>224</v>
      </c>
      <c r="F41" s="448">
        <v>80000</v>
      </c>
      <c r="G41" s="449">
        <v>0</v>
      </c>
      <c r="H41" s="593">
        <v>0</v>
      </c>
      <c r="I41" s="450">
        <v>0</v>
      </c>
      <c r="J41" s="448">
        <v>80000</v>
      </c>
      <c r="K41" s="449">
        <v>0</v>
      </c>
      <c r="L41" s="593">
        <v>0</v>
      </c>
      <c r="M41" s="451">
        <v>0</v>
      </c>
      <c r="N41" s="452">
        <v>80000</v>
      </c>
      <c r="O41" s="449">
        <v>0</v>
      </c>
      <c r="P41" s="593">
        <v>0</v>
      </c>
      <c r="Q41" s="451">
        <v>0</v>
      </c>
      <c r="R41" s="453">
        <v>2014</v>
      </c>
      <c r="S41" s="454">
        <v>2050</v>
      </c>
    </row>
    <row r="42" spans="2:19" x14ac:dyDescent="0.25">
      <c r="B42" s="631"/>
      <c r="C42" s="631"/>
      <c r="E42" s="447" t="s">
        <v>221</v>
      </c>
      <c r="F42" s="448">
        <v>1000</v>
      </c>
      <c r="G42" s="449">
        <v>0</v>
      </c>
      <c r="H42" s="593">
        <v>0</v>
      </c>
      <c r="I42" s="450">
        <v>0</v>
      </c>
      <c r="J42" s="448">
        <v>1000</v>
      </c>
      <c r="K42" s="449">
        <v>0</v>
      </c>
      <c r="L42" s="593">
        <v>0</v>
      </c>
      <c r="M42" s="451">
        <v>0</v>
      </c>
      <c r="N42" s="452">
        <v>1000</v>
      </c>
      <c r="O42" s="449">
        <v>0</v>
      </c>
      <c r="P42" s="593">
        <v>0</v>
      </c>
      <c r="Q42" s="451">
        <v>0</v>
      </c>
      <c r="R42" s="453">
        <v>2014</v>
      </c>
      <c r="S42" s="454">
        <v>2050</v>
      </c>
    </row>
    <row r="43" spans="2:19" x14ac:dyDescent="0.25">
      <c r="B43" s="631"/>
      <c r="C43" s="631"/>
      <c r="E43" s="447" t="s">
        <v>225</v>
      </c>
      <c r="F43" s="448">
        <v>25</v>
      </c>
      <c r="G43" s="449">
        <v>0</v>
      </c>
      <c r="H43" s="593">
        <v>0</v>
      </c>
      <c r="I43" s="450">
        <v>0</v>
      </c>
      <c r="J43" s="448">
        <v>2000</v>
      </c>
      <c r="K43" s="449">
        <v>0</v>
      </c>
      <c r="L43" s="593">
        <v>0</v>
      </c>
      <c r="M43" s="451">
        <v>0</v>
      </c>
      <c r="N43" s="452">
        <v>2000</v>
      </c>
      <c r="O43" s="449">
        <v>0</v>
      </c>
      <c r="P43" s="593">
        <v>0</v>
      </c>
      <c r="Q43" s="451">
        <v>0</v>
      </c>
      <c r="R43" s="453">
        <v>2014</v>
      </c>
      <c r="S43" s="454">
        <v>2050</v>
      </c>
    </row>
    <row r="44" spans="2:19" x14ac:dyDescent="0.25">
      <c r="B44" s="631"/>
      <c r="C44" s="631"/>
      <c r="E44" s="447" t="s">
        <v>228</v>
      </c>
      <c r="F44" s="448" t="s">
        <v>319</v>
      </c>
      <c r="G44" s="449">
        <v>0</v>
      </c>
      <c r="H44" s="593">
        <v>0</v>
      </c>
      <c r="I44" s="450">
        <v>0</v>
      </c>
      <c r="J44" s="448" t="s">
        <v>319</v>
      </c>
      <c r="K44" s="449">
        <v>0</v>
      </c>
      <c r="L44" s="593">
        <v>0</v>
      </c>
      <c r="M44" s="451">
        <v>0</v>
      </c>
      <c r="N44" s="452" t="s">
        <v>319</v>
      </c>
      <c r="O44" s="449">
        <v>0</v>
      </c>
      <c r="P44" s="593">
        <v>0</v>
      </c>
      <c r="Q44" s="451">
        <v>0</v>
      </c>
      <c r="R44" s="453">
        <v>2014</v>
      </c>
      <c r="S44" s="454">
        <v>2050</v>
      </c>
    </row>
    <row r="45" spans="2:19" x14ac:dyDescent="0.25">
      <c r="B45" s="631"/>
      <c r="C45" s="631"/>
      <c r="E45" s="447" t="s">
        <v>229</v>
      </c>
      <c r="F45" s="448">
        <v>15</v>
      </c>
      <c r="G45" s="449">
        <v>0</v>
      </c>
      <c r="H45" s="593">
        <v>0</v>
      </c>
      <c r="I45" s="450">
        <v>0</v>
      </c>
      <c r="J45" s="448">
        <v>15</v>
      </c>
      <c r="K45" s="449">
        <v>0</v>
      </c>
      <c r="L45" s="593">
        <v>0</v>
      </c>
      <c r="M45" s="451">
        <v>0</v>
      </c>
      <c r="N45" s="452">
        <v>15</v>
      </c>
      <c r="O45" s="449">
        <v>0</v>
      </c>
      <c r="P45" s="593">
        <v>0</v>
      </c>
      <c r="Q45" s="451">
        <v>0</v>
      </c>
      <c r="R45" s="453">
        <v>2014</v>
      </c>
      <c r="S45" s="454">
        <v>2050</v>
      </c>
    </row>
    <row r="46" spans="2:19" x14ac:dyDescent="0.25">
      <c r="B46" s="631"/>
      <c r="C46" s="631"/>
      <c r="E46" s="447" t="s">
        <v>230</v>
      </c>
      <c r="F46" s="448">
        <v>25</v>
      </c>
      <c r="G46" s="449">
        <v>0</v>
      </c>
      <c r="H46" s="593">
        <v>0</v>
      </c>
      <c r="I46" s="450">
        <v>0</v>
      </c>
      <c r="J46" s="448">
        <v>2000</v>
      </c>
      <c r="K46" s="449">
        <v>0</v>
      </c>
      <c r="L46" s="593">
        <v>0</v>
      </c>
      <c r="M46" s="451">
        <v>0</v>
      </c>
      <c r="N46" s="452">
        <v>2000</v>
      </c>
      <c r="O46" s="449">
        <v>0</v>
      </c>
      <c r="P46" s="593">
        <v>0</v>
      </c>
      <c r="Q46" s="451">
        <v>0</v>
      </c>
      <c r="R46" s="453">
        <v>2014</v>
      </c>
      <c r="S46" s="454">
        <v>2050</v>
      </c>
    </row>
    <row r="47" spans="2:19" x14ac:dyDescent="0.25">
      <c r="B47" s="631"/>
      <c r="C47" s="631"/>
      <c r="E47" s="447" t="s">
        <v>231</v>
      </c>
      <c r="F47" s="448">
        <v>50</v>
      </c>
      <c r="G47" s="449">
        <v>0</v>
      </c>
      <c r="H47" s="593">
        <v>0</v>
      </c>
      <c r="I47" s="450">
        <v>0</v>
      </c>
      <c r="J47" s="448">
        <v>3000</v>
      </c>
      <c r="K47" s="449">
        <v>0</v>
      </c>
      <c r="L47" s="593">
        <v>0</v>
      </c>
      <c r="M47" s="451">
        <v>0</v>
      </c>
      <c r="N47" s="452">
        <v>3000</v>
      </c>
      <c r="O47" s="449">
        <v>0</v>
      </c>
      <c r="P47" s="593">
        <v>0</v>
      </c>
      <c r="Q47" s="451">
        <v>0</v>
      </c>
      <c r="R47" s="453">
        <v>2014</v>
      </c>
      <c r="S47" s="454">
        <v>2050</v>
      </c>
    </row>
    <row r="48" spans="2:19" x14ac:dyDescent="0.25">
      <c r="B48" s="631"/>
      <c r="C48" s="631"/>
      <c r="E48" s="447" t="s">
        <v>232</v>
      </c>
      <c r="F48" s="448">
        <v>5000</v>
      </c>
      <c r="G48" s="449">
        <v>0</v>
      </c>
      <c r="H48" s="593">
        <v>0</v>
      </c>
      <c r="I48" s="450">
        <v>0</v>
      </c>
      <c r="J48" s="448">
        <v>5000</v>
      </c>
      <c r="K48" s="449">
        <v>0</v>
      </c>
      <c r="L48" s="593">
        <v>0</v>
      </c>
      <c r="M48" s="451">
        <v>0</v>
      </c>
      <c r="N48" s="452">
        <v>5000</v>
      </c>
      <c r="O48" s="449">
        <v>0</v>
      </c>
      <c r="P48" s="593">
        <v>0</v>
      </c>
      <c r="Q48" s="451">
        <v>0</v>
      </c>
      <c r="R48" s="453">
        <v>2014</v>
      </c>
      <c r="S48" s="454">
        <v>2050</v>
      </c>
    </row>
    <row r="49" spans="2:19" x14ac:dyDescent="0.25">
      <c r="B49" s="631"/>
      <c r="C49" s="631"/>
      <c r="E49" s="447" t="s">
        <v>233</v>
      </c>
      <c r="F49" s="448">
        <v>20</v>
      </c>
      <c r="G49" s="449">
        <v>0</v>
      </c>
      <c r="H49" s="593">
        <v>0</v>
      </c>
      <c r="I49" s="450">
        <v>0</v>
      </c>
      <c r="J49" s="448">
        <v>100</v>
      </c>
      <c r="K49" s="449">
        <v>0</v>
      </c>
      <c r="L49" s="593">
        <v>0</v>
      </c>
      <c r="M49" s="451">
        <v>0</v>
      </c>
      <c r="N49" s="452">
        <v>100</v>
      </c>
      <c r="O49" s="449">
        <v>0</v>
      </c>
      <c r="P49" s="593">
        <v>0</v>
      </c>
      <c r="Q49" s="451">
        <v>0</v>
      </c>
      <c r="R49" s="453">
        <v>2014</v>
      </c>
      <c r="S49" s="454">
        <v>2050</v>
      </c>
    </row>
    <row r="50" spans="2:19" x14ac:dyDescent="0.25">
      <c r="B50" s="631"/>
      <c r="C50" s="631"/>
      <c r="E50" s="447" t="s">
        <v>234</v>
      </c>
      <c r="F50" s="448">
        <v>0</v>
      </c>
      <c r="G50" s="449">
        <v>0</v>
      </c>
      <c r="H50" s="449">
        <v>0</v>
      </c>
      <c r="I50" s="595">
        <v>0</v>
      </c>
      <c r="J50" s="448">
        <v>0</v>
      </c>
      <c r="K50" s="449">
        <v>0</v>
      </c>
      <c r="L50" s="449">
        <v>0</v>
      </c>
      <c r="M50" s="596">
        <v>0</v>
      </c>
      <c r="N50" s="452">
        <v>0</v>
      </c>
      <c r="O50" s="449">
        <v>0</v>
      </c>
      <c r="P50" s="449">
        <v>0</v>
      </c>
      <c r="Q50" s="596">
        <v>0</v>
      </c>
      <c r="R50" s="453">
        <v>2014</v>
      </c>
      <c r="S50" s="454">
        <v>2050</v>
      </c>
    </row>
    <row r="51" spans="2:19" x14ac:dyDescent="0.25">
      <c r="B51" s="631"/>
      <c r="C51" s="631"/>
      <c r="E51" s="447" t="s">
        <v>235</v>
      </c>
      <c r="F51" s="448">
        <v>0</v>
      </c>
      <c r="G51" s="449">
        <v>0</v>
      </c>
      <c r="H51" s="449">
        <v>0</v>
      </c>
      <c r="I51" s="595">
        <v>0</v>
      </c>
      <c r="J51" s="448">
        <v>0</v>
      </c>
      <c r="K51" s="449">
        <v>0</v>
      </c>
      <c r="L51" s="449">
        <v>0</v>
      </c>
      <c r="M51" s="596">
        <v>0</v>
      </c>
      <c r="N51" s="452">
        <v>0</v>
      </c>
      <c r="O51" s="449">
        <v>0</v>
      </c>
      <c r="P51" s="449">
        <v>0</v>
      </c>
      <c r="Q51" s="596">
        <v>0</v>
      </c>
      <c r="R51" s="453">
        <v>2014</v>
      </c>
      <c r="S51" s="454">
        <v>2050</v>
      </c>
    </row>
    <row r="52" spans="2:19" x14ac:dyDescent="0.25">
      <c r="E52" s="447" t="s">
        <v>236</v>
      </c>
      <c r="F52" s="448">
        <v>0</v>
      </c>
      <c r="G52" s="449">
        <v>0</v>
      </c>
      <c r="H52" s="449">
        <v>0</v>
      </c>
      <c r="I52" s="595">
        <v>0</v>
      </c>
      <c r="J52" s="448">
        <v>0</v>
      </c>
      <c r="K52" s="449">
        <v>0</v>
      </c>
      <c r="L52" s="449">
        <v>0</v>
      </c>
      <c r="M52" s="596">
        <v>0</v>
      </c>
      <c r="N52" s="452">
        <v>0</v>
      </c>
      <c r="O52" s="449">
        <v>0</v>
      </c>
      <c r="P52" s="449">
        <v>0</v>
      </c>
      <c r="Q52" s="596">
        <v>0</v>
      </c>
      <c r="R52" s="453">
        <v>2014</v>
      </c>
      <c r="S52" s="454">
        <v>2050</v>
      </c>
    </row>
    <row r="53" spans="2:19" x14ac:dyDescent="0.25">
      <c r="B53" s="632" t="s">
        <v>320</v>
      </c>
      <c r="C53" s="632"/>
      <c r="E53" s="447" t="s">
        <v>237</v>
      </c>
      <c r="F53" s="448">
        <v>25</v>
      </c>
      <c r="G53" s="449">
        <v>0</v>
      </c>
      <c r="H53" s="593">
        <v>0</v>
      </c>
      <c r="I53" s="450">
        <v>0</v>
      </c>
      <c r="J53" s="448">
        <v>2000</v>
      </c>
      <c r="K53" s="449">
        <v>0</v>
      </c>
      <c r="L53" s="593">
        <v>0</v>
      </c>
      <c r="M53" s="451">
        <v>0</v>
      </c>
      <c r="N53" s="452">
        <v>2000</v>
      </c>
      <c r="O53" s="449">
        <v>0</v>
      </c>
      <c r="P53" s="593">
        <v>0</v>
      </c>
      <c r="Q53" s="451">
        <v>0</v>
      </c>
      <c r="R53" s="453">
        <v>2014</v>
      </c>
      <c r="S53" s="454">
        <v>2050</v>
      </c>
    </row>
    <row r="54" spans="2:19" x14ac:dyDescent="0.25">
      <c r="B54" s="632"/>
      <c r="C54" s="632"/>
      <c r="E54" s="447" t="s">
        <v>239</v>
      </c>
      <c r="F54" s="448">
        <v>10</v>
      </c>
      <c r="G54" s="449">
        <v>0</v>
      </c>
      <c r="H54" s="593">
        <v>0</v>
      </c>
      <c r="I54" s="450">
        <v>0</v>
      </c>
      <c r="J54" s="448">
        <v>500</v>
      </c>
      <c r="K54" s="449">
        <v>0</v>
      </c>
      <c r="L54" s="593">
        <v>0</v>
      </c>
      <c r="M54" s="451">
        <v>0</v>
      </c>
      <c r="N54" s="452">
        <v>500</v>
      </c>
      <c r="O54" s="449">
        <v>0</v>
      </c>
      <c r="P54" s="593">
        <v>0</v>
      </c>
      <c r="Q54" s="451">
        <v>0</v>
      </c>
      <c r="R54" s="453">
        <v>2014</v>
      </c>
      <c r="S54" s="454">
        <v>2050</v>
      </c>
    </row>
    <row r="55" spans="2:19" x14ac:dyDescent="0.25">
      <c r="B55" s="632"/>
      <c r="C55" s="632"/>
      <c r="E55" s="447" t="s">
        <v>238</v>
      </c>
      <c r="F55" s="448">
        <v>500</v>
      </c>
      <c r="G55" s="449">
        <v>0</v>
      </c>
      <c r="H55" s="593">
        <v>0</v>
      </c>
      <c r="I55" s="450">
        <v>0</v>
      </c>
      <c r="J55" s="448">
        <v>500</v>
      </c>
      <c r="K55" s="449">
        <v>0</v>
      </c>
      <c r="L55" s="593">
        <v>0</v>
      </c>
      <c r="M55" s="451">
        <v>0</v>
      </c>
      <c r="N55" s="452">
        <v>500</v>
      </c>
      <c r="O55" s="449">
        <v>0</v>
      </c>
      <c r="P55" s="593">
        <v>0</v>
      </c>
      <c r="Q55" s="451">
        <v>0</v>
      </c>
      <c r="R55" s="453">
        <v>2014</v>
      </c>
      <c r="S55" s="454">
        <v>2050</v>
      </c>
    </row>
    <row r="56" spans="2:19" x14ac:dyDescent="0.25">
      <c r="E56" s="447" t="s">
        <v>240</v>
      </c>
      <c r="F56" s="448">
        <v>100</v>
      </c>
      <c r="G56" s="449">
        <v>0</v>
      </c>
      <c r="H56" s="593">
        <v>0</v>
      </c>
      <c r="I56" s="450">
        <v>0</v>
      </c>
      <c r="J56" s="448">
        <v>100</v>
      </c>
      <c r="K56" s="449">
        <v>0</v>
      </c>
      <c r="L56" s="593">
        <v>0</v>
      </c>
      <c r="M56" s="451">
        <v>0</v>
      </c>
      <c r="N56" s="452">
        <v>100</v>
      </c>
      <c r="O56" s="449">
        <v>0</v>
      </c>
      <c r="P56" s="593">
        <v>0</v>
      </c>
      <c r="Q56" s="451">
        <v>0</v>
      </c>
      <c r="R56" s="453">
        <v>2014</v>
      </c>
      <c r="S56" s="454">
        <v>2050</v>
      </c>
    </row>
    <row r="57" spans="2:19" x14ac:dyDescent="0.25">
      <c r="B57" s="627" t="s">
        <v>321</v>
      </c>
      <c r="C57" s="627"/>
      <c r="E57" s="447" t="s">
        <v>242</v>
      </c>
      <c r="F57" s="448">
        <v>100</v>
      </c>
      <c r="G57" s="449">
        <v>0</v>
      </c>
      <c r="H57" s="593">
        <v>0</v>
      </c>
      <c r="I57" s="450">
        <v>0</v>
      </c>
      <c r="J57" s="448">
        <v>100</v>
      </c>
      <c r="K57" s="449">
        <v>0</v>
      </c>
      <c r="L57" s="593">
        <v>0</v>
      </c>
      <c r="M57" s="451">
        <v>0</v>
      </c>
      <c r="N57" s="452">
        <v>100</v>
      </c>
      <c r="O57" s="449">
        <v>0</v>
      </c>
      <c r="P57" s="593">
        <v>0</v>
      </c>
      <c r="Q57" s="451">
        <v>0</v>
      </c>
      <c r="R57" s="453">
        <v>2014</v>
      </c>
      <c r="S57" s="454">
        <v>2050</v>
      </c>
    </row>
    <row r="58" spans="2:19" x14ac:dyDescent="0.25">
      <c r="B58" s="627"/>
      <c r="C58" s="627"/>
      <c r="E58" s="447" t="s">
        <v>241</v>
      </c>
      <c r="F58" s="448">
        <v>25</v>
      </c>
      <c r="G58" s="449">
        <v>0</v>
      </c>
      <c r="H58" s="593">
        <v>0</v>
      </c>
      <c r="I58" s="450">
        <v>0</v>
      </c>
      <c r="J58" s="448">
        <v>500</v>
      </c>
      <c r="K58" s="449">
        <v>0</v>
      </c>
      <c r="L58" s="593">
        <v>0</v>
      </c>
      <c r="M58" s="451">
        <v>0</v>
      </c>
      <c r="N58" s="452">
        <v>2000</v>
      </c>
      <c r="O58" s="449">
        <v>0</v>
      </c>
      <c r="P58" s="593">
        <v>0</v>
      </c>
      <c r="Q58" s="451">
        <v>0</v>
      </c>
      <c r="R58" s="453">
        <v>2014</v>
      </c>
      <c r="S58" s="454">
        <v>2050</v>
      </c>
    </row>
    <row r="59" spans="2:19" ht="13.8" thickBot="1" x14ac:dyDescent="0.3">
      <c r="B59" s="627"/>
      <c r="C59" s="627"/>
      <c r="E59" s="457" t="s">
        <v>243</v>
      </c>
      <c r="F59" s="458">
        <v>25</v>
      </c>
      <c r="G59" s="459">
        <v>0</v>
      </c>
      <c r="H59" s="594">
        <v>0</v>
      </c>
      <c r="I59" s="460">
        <v>0</v>
      </c>
      <c r="J59" s="458">
        <v>25</v>
      </c>
      <c r="K59" s="459">
        <v>0</v>
      </c>
      <c r="L59" s="594">
        <v>0</v>
      </c>
      <c r="M59" s="461">
        <v>0</v>
      </c>
      <c r="N59" s="462">
        <v>25</v>
      </c>
      <c r="O59" s="459">
        <v>0</v>
      </c>
      <c r="P59" s="594">
        <v>0</v>
      </c>
      <c r="Q59" s="461">
        <v>0</v>
      </c>
      <c r="R59" s="463">
        <v>2014</v>
      </c>
      <c r="S59" s="464">
        <v>2050</v>
      </c>
    </row>
    <row r="60" spans="2:19" x14ac:dyDescent="0.25">
      <c r="B60" s="627"/>
      <c r="C60" s="627"/>
      <c r="M60" s="428"/>
    </row>
    <row r="125" spans="2:2" x14ac:dyDescent="0.25">
      <c r="B125" s="465" t="s">
        <v>322</v>
      </c>
    </row>
    <row r="126" spans="2:2" x14ac:dyDescent="0.25">
      <c r="B126" s="465" t="s">
        <v>310</v>
      </c>
    </row>
    <row r="127" spans="2:2" x14ac:dyDescent="0.25">
      <c r="B127" s="465" t="s">
        <v>323</v>
      </c>
    </row>
    <row r="128" spans="2:2" x14ac:dyDescent="0.25">
      <c r="B128" s="465" t="s">
        <v>324</v>
      </c>
    </row>
    <row r="129" spans="2:2" x14ac:dyDescent="0.25">
      <c r="B129" s="465" t="s">
        <v>325</v>
      </c>
    </row>
    <row r="132" spans="2:2" x14ac:dyDescent="0.25">
      <c r="B132" s="466">
        <v>2014</v>
      </c>
    </row>
    <row r="133" spans="2:2" x14ac:dyDescent="0.25">
      <c r="B133" s="466">
        <v>2016</v>
      </c>
    </row>
    <row r="134" spans="2:2" x14ac:dyDescent="0.25">
      <c r="B134" s="466">
        <v>2018</v>
      </c>
    </row>
    <row r="135" spans="2:2" x14ac:dyDescent="0.25">
      <c r="B135" s="466">
        <v>2020</v>
      </c>
    </row>
    <row r="136" spans="2:2" x14ac:dyDescent="0.25">
      <c r="B136" s="466">
        <v>2022</v>
      </c>
    </row>
    <row r="137" spans="2:2" x14ac:dyDescent="0.25">
      <c r="B137" s="466">
        <v>2024</v>
      </c>
    </row>
    <row r="138" spans="2:2" x14ac:dyDescent="0.25">
      <c r="B138" s="466">
        <v>2026</v>
      </c>
    </row>
    <row r="139" spans="2:2" x14ac:dyDescent="0.25">
      <c r="B139" s="466">
        <v>2028</v>
      </c>
    </row>
    <row r="140" spans="2:2" x14ac:dyDescent="0.25">
      <c r="B140" s="466">
        <v>2030</v>
      </c>
    </row>
    <row r="141" spans="2:2" x14ac:dyDescent="0.25">
      <c r="B141" s="466">
        <v>2032</v>
      </c>
    </row>
    <row r="142" spans="2:2" x14ac:dyDescent="0.25">
      <c r="B142" s="466">
        <v>2034</v>
      </c>
    </row>
    <row r="143" spans="2:2" x14ac:dyDescent="0.25">
      <c r="B143" s="466">
        <v>2036</v>
      </c>
    </row>
    <row r="144" spans="2:2" x14ac:dyDescent="0.25">
      <c r="B144" s="466">
        <v>2038</v>
      </c>
    </row>
    <row r="145" spans="2:2" x14ac:dyDescent="0.25">
      <c r="B145" s="466">
        <v>2040</v>
      </c>
    </row>
    <row r="146" spans="2:2" x14ac:dyDescent="0.25">
      <c r="B146" s="466">
        <v>2042</v>
      </c>
    </row>
    <row r="147" spans="2:2" x14ac:dyDescent="0.25">
      <c r="B147" s="466">
        <v>2044</v>
      </c>
    </row>
    <row r="148" spans="2:2" x14ac:dyDescent="0.25">
      <c r="B148" s="466">
        <v>2046</v>
      </c>
    </row>
    <row r="149" spans="2:2" x14ac:dyDescent="0.25">
      <c r="B149" s="466">
        <v>2048</v>
      </c>
    </row>
    <row r="150" spans="2:2" x14ac:dyDescent="0.25">
      <c r="B150" s="466">
        <v>2050</v>
      </c>
    </row>
    <row r="153" spans="2:2" x14ac:dyDescent="0.25">
      <c r="B153" s="467" t="b">
        <v>1</v>
      </c>
    </row>
    <row r="154" spans="2:2" x14ac:dyDescent="0.25">
      <c r="B154" s="467" t="b">
        <v>0</v>
      </c>
    </row>
    <row r="166" spans="1:4" x14ac:dyDescent="0.25">
      <c r="A166" s="466"/>
      <c r="B166" s="466" t="s">
        <v>326</v>
      </c>
      <c r="C166" s="466" t="s">
        <v>327</v>
      </c>
      <c r="D166" s="466" t="s">
        <v>328</v>
      </c>
    </row>
    <row r="167" spans="1:4" x14ac:dyDescent="0.25">
      <c r="A167" s="466" t="s">
        <v>195</v>
      </c>
      <c r="B167" s="466">
        <v>25</v>
      </c>
      <c r="C167" s="466">
        <v>25</v>
      </c>
      <c r="D167" s="466">
        <v>25</v>
      </c>
    </row>
    <row r="168" spans="1:4" x14ac:dyDescent="0.25">
      <c r="A168" s="466" t="s">
        <v>194</v>
      </c>
      <c r="B168" s="466">
        <v>0</v>
      </c>
      <c r="C168" s="466">
        <v>0</v>
      </c>
      <c r="D168" s="466">
        <v>0</v>
      </c>
    </row>
    <row r="169" spans="1:4" x14ac:dyDescent="0.25">
      <c r="A169" s="466" t="s">
        <v>197</v>
      </c>
      <c r="B169" s="466">
        <v>25</v>
      </c>
      <c r="C169" s="466">
        <v>300</v>
      </c>
      <c r="D169" s="466">
        <v>300</v>
      </c>
    </row>
    <row r="170" spans="1:4" x14ac:dyDescent="0.25">
      <c r="A170" s="466" t="s">
        <v>196</v>
      </c>
      <c r="B170" s="466" t="s">
        <v>319</v>
      </c>
      <c r="C170" s="466" t="s">
        <v>319</v>
      </c>
      <c r="D170" s="466" t="s">
        <v>319</v>
      </c>
    </row>
    <row r="171" spans="1:4" x14ac:dyDescent="0.25">
      <c r="A171" s="466" t="s">
        <v>198</v>
      </c>
      <c r="B171" s="466">
        <v>1000</v>
      </c>
      <c r="C171" s="466">
        <v>1000</v>
      </c>
      <c r="D171" s="466">
        <v>1000</v>
      </c>
    </row>
    <row r="172" spans="1:4" x14ac:dyDescent="0.25">
      <c r="A172" s="466" t="s">
        <v>199</v>
      </c>
      <c r="B172" s="466" t="s">
        <v>319</v>
      </c>
      <c r="C172" s="466" t="s">
        <v>319</v>
      </c>
      <c r="D172" s="466" t="s">
        <v>319</v>
      </c>
    </row>
    <row r="173" spans="1:4" x14ac:dyDescent="0.25">
      <c r="A173" s="466" t="s">
        <v>200</v>
      </c>
      <c r="B173" s="466">
        <v>2000</v>
      </c>
      <c r="C173" s="466">
        <v>2000</v>
      </c>
      <c r="D173" s="466">
        <v>2000</v>
      </c>
    </row>
    <row r="174" spans="1:4" x14ac:dyDescent="0.25">
      <c r="A174" s="466" t="s">
        <v>11</v>
      </c>
      <c r="B174" s="466">
        <v>1000</v>
      </c>
      <c r="C174" s="466">
        <v>1000</v>
      </c>
      <c r="D174" s="466">
        <v>0</v>
      </c>
    </row>
    <row r="175" spans="1:4" x14ac:dyDescent="0.25">
      <c r="A175" s="466" t="s">
        <v>201</v>
      </c>
      <c r="B175" s="466">
        <v>25</v>
      </c>
      <c r="C175" s="466">
        <v>2000</v>
      </c>
      <c r="D175" s="466">
        <v>2000</v>
      </c>
    </row>
    <row r="176" spans="1:4" x14ac:dyDescent="0.25">
      <c r="A176" s="466" t="s">
        <v>202</v>
      </c>
      <c r="B176" s="466">
        <v>2000</v>
      </c>
      <c r="C176" s="466">
        <v>2000</v>
      </c>
      <c r="D176" s="466">
        <v>2000</v>
      </c>
    </row>
    <row r="177" spans="1:4" x14ac:dyDescent="0.25">
      <c r="A177" s="466" t="s">
        <v>203</v>
      </c>
      <c r="B177" s="466">
        <v>10</v>
      </c>
      <c r="C177" s="466">
        <v>100</v>
      </c>
      <c r="D177" s="466">
        <v>100</v>
      </c>
    </row>
    <row r="178" spans="1:4" x14ac:dyDescent="0.25">
      <c r="A178" s="466" t="s">
        <v>204</v>
      </c>
      <c r="B178" s="466">
        <v>100</v>
      </c>
      <c r="C178" s="466">
        <v>100</v>
      </c>
      <c r="D178" s="466">
        <v>100</v>
      </c>
    </row>
    <row r="179" spans="1:4" x14ac:dyDescent="0.25">
      <c r="A179" s="466" t="s">
        <v>208</v>
      </c>
      <c r="B179" s="466">
        <v>500</v>
      </c>
      <c r="C179" s="466">
        <v>500</v>
      </c>
      <c r="D179" s="466">
        <v>500</v>
      </c>
    </row>
    <row r="180" spans="1:4" x14ac:dyDescent="0.25">
      <c r="A180" s="466" t="s">
        <v>205</v>
      </c>
      <c r="B180" s="466">
        <v>0</v>
      </c>
      <c r="C180" s="466">
        <v>0</v>
      </c>
      <c r="D180" s="466">
        <v>0</v>
      </c>
    </row>
    <row r="181" spans="1:4" x14ac:dyDescent="0.25">
      <c r="A181" s="466" t="s">
        <v>206</v>
      </c>
      <c r="B181" s="466">
        <v>40</v>
      </c>
      <c r="C181" s="466">
        <v>40</v>
      </c>
      <c r="D181" s="466">
        <v>40</v>
      </c>
    </row>
    <row r="182" spans="1:4" x14ac:dyDescent="0.25">
      <c r="A182" s="466" t="s">
        <v>207</v>
      </c>
      <c r="B182" s="466">
        <v>1000</v>
      </c>
      <c r="C182" s="466">
        <v>1000</v>
      </c>
      <c r="D182" s="466">
        <v>1000</v>
      </c>
    </row>
    <row r="183" spans="1:4" x14ac:dyDescent="0.25">
      <c r="A183" s="466" t="s">
        <v>209</v>
      </c>
      <c r="B183" s="466">
        <v>25</v>
      </c>
      <c r="C183" s="466">
        <v>200</v>
      </c>
      <c r="D183" s="466">
        <v>200</v>
      </c>
    </row>
    <row r="184" spans="1:4" x14ac:dyDescent="0.25">
      <c r="A184" s="466" t="s">
        <v>210</v>
      </c>
      <c r="B184" s="466">
        <v>30</v>
      </c>
      <c r="C184" s="466">
        <v>30</v>
      </c>
      <c r="D184" s="466">
        <v>30</v>
      </c>
    </row>
    <row r="185" spans="1:4" x14ac:dyDescent="0.25">
      <c r="A185" s="466" t="s">
        <v>211</v>
      </c>
      <c r="B185" s="466">
        <v>25</v>
      </c>
      <c r="C185" s="466">
        <v>300</v>
      </c>
      <c r="D185" s="466">
        <v>0</v>
      </c>
    </row>
    <row r="186" spans="1:4" x14ac:dyDescent="0.25">
      <c r="A186" s="466" t="s">
        <v>214</v>
      </c>
      <c r="B186" s="466">
        <v>2000</v>
      </c>
      <c r="C186" s="466">
        <v>2000</v>
      </c>
      <c r="D186" s="466">
        <v>2000</v>
      </c>
    </row>
    <row r="187" spans="1:4" x14ac:dyDescent="0.25">
      <c r="A187" s="466" t="s">
        <v>213</v>
      </c>
      <c r="B187" s="466">
        <v>2000</v>
      </c>
      <c r="C187" s="466">
        <v>2000</v>
      </c>
      <c r="D187" s="466">
        <v>2000</v>
      </c>
    </row>
    <row r="188" spans="1:4" x14ac:dyDescent="0.25">
      <c r="A188" s="466" t="s">
        <v>212</v>
      </c>
      <c r="B188" s="466">
        <v>660</v>
      </c>
      <c r="C188" s="466">
        <v>660</v>
      </c>
      <c r="D188" s="466">
        <v>660</v>
      </c>
    </row>
    <row r="189" spans="1:4" x14ac:dyDescent="0.25">
      <c r="A189" s="466" t="s">
        <v>215</v>
      </c>
      <c r="B189" s="466">
        <v>150</v>
      </c>
      <c r="C189" s="466">
        <v>150</v>
      </c>
      <c r="D189" s="466">
        <v>150</v>
      </c>
    </row>
    <row r="190" spans="1:4" x14ac:dyDescent="0.25">
      <c r="A190" s="466" t="s">
        <v>216</v>
      </c>
      <c r="B190" s="466">
        <v>1000</v>
      </c>
      <c r="C190" s="466">
        <v>1000</v>
      </c>
      <c r="D190" s="466">
        <v>1000</v>
      </c>
    </row>
    <row r="191" spans="1:4" x14ac:dyDescent="0.25">
      <c r="A191" s="466" t="s">
        <v>218</v>
      </c>
      <c r="B191" s="466">
        <v>100</v>
      </c>
      <c r="C191" s="466">
        <v>100</v>
      </c>
      <c r="D191" s="466">
        <v>100</v>
      </c>
    </row>
    <row r="192" spans="1:4" x14ac:dyDescent="0.25">
      <c r="A192" s="466" t="s">
        <v>217</v>
      </c>
      <c r="B192" s="466">
        <v>0</v>
      </c>
      <c r="C192" s="466">
        <v>0</v>
      </c>
      <c r="D192" s="466">
        <v>0</v>
      </c>
    </row>
    <row r="193" spans="1:4" x14ac:dyDescent="0.25">
      <c r="A193" s="466" t="s">
        <v>219</v>
      </c>
      <c r="B193" s="466">
        <v>50</v>
      </c>
      <c r="C193" s="466">
        <v>50</v>
      </c>
      <c r="D193" s="466">
        <v>50</v>
      </c>
    </row>
    <row r="194" spans="1:4" x14ac:dyDescent="0.25">
      <c r="A194" s="466" t="s">
        <v>226</v>
      </c>
      <c r="B194" s="466">
        <v>1000</v>
      </c>
      <c r="C194" s="466">
        <v>1000</v>
      </c>
      <c r="D194" s="466">
        <v>1000</v>
      </c>
    </row>
    <row r="195" spans="1:4" x14ac:dyDescent="0.25">
      <c r="A195" s="466" t="s">
        <v>227</v>
      </c>
      <c r="B195" s="466">
        <v>100</v>
      </c>
      <c r="C195" s="466">
        <v>100</v>
      </c>
      <c r="D195" s="466">
        <v>100</v>
      </c>
    </row>
    <row r="196" spans="1:4" x14ac:dyDescent="0.25">
      <c r="A196" s="466" t="s">
        <v>220</v>
      </c>
      <c r="B196" s="466">
        <v>25</v>
      </c>
      <c r="C196" s="466">
        <v>25</v>
      </c>
      <c r="D196" s="466">
        <v>25</v>
      </c>
    </row>
    <row r="197" spans="1:4" x14ac:dyDescent="0.25">
      <c r="A197" s="466" t="s">
        <v>222</v>
      </c>
      <c r="B197" s="466">
        <v>100</v>
      </c>
      <c r="C197" s="466">
        <v>100</v>
      </c>
      <c r="D197" s="466">
        <v>100</v>
      </c>
    </row>
    <row r="198" spans="1:4" x14ac:dyDescent="0.25">
      <c r="A198" s="466" t="s">
        <v>223</v>
      </c>
      <c r="B198" s="466" t="s">
        <v>319</v>
      </c>
      <c r="C198" s="466" t="s">
        <v>319</v>
      </c>
      <c r="D198" s="466" t="s">
        <v>319</v>
      </c>
    </row>
    <row r="199" spans="1:4" x14ac:dyDescent="0.25">
      <c r="A199" s="466" t="s">
        <v>224</v>
      </c>
      <c r="B199" s="466">
        <v>80000</v>
      </c>
      <c r="C199" s="466">
        <v>80000</v>
      </c>
      <c r="D199" s="466">
        <v>80000</v>
      </c>
    </row>
    <row r="200" spans="1:4" x14ac:dyDescent="0.25">
      <c r="A200" s="466" t="s">
        <v>221</v>
      </c>
      <c r="B200" s="466">
        <v>1000</v>
      </c>
      <c r="C200" s="466">
        <v>1000</v>
      </c>
      <c r="D200" s="466">
        <v>1000</v>
      </c>
    </row>
    <row r="201" spans="1:4" x14ac:dyDescent="0.25">
      <c r="A201" s="466" t="s">
        <v>225</v>
      </c>
      <c r="B201" s="466">
        <v>25</v>
      </c>
      <c r="C201" s="466">
        <v>2000</v>
      </c>
      <c r="D201" s="466">
        <v>2000</v>
      </c>
    </row>
    <row r="202" spans="1:4" x14ac:dyDescent="0.25">
      <c r="A202" s="466" t="s">
        <v>228</v>
      </c>
      <c r="B202" s="466" t="s">
        <v>319</v>
      </c>
      <c r="C202" s="466" t="s">
        <v>319</v>
      </c>
      <c r="D202" s="466" t="s">
        <v>319</v>
      </c>
    </row>
    <row r="203" spans="1:4" x14ac:dyDescent="0.25">
      <c r="A203" s="466" t="s">
        <v>229</v>
      </c>
      <c r="B203" s="466">
        <v>15</v>
      </c>
      <c r="C203" s="466">
        <v>15</v>
      </c>
      <c r="D203" s="466">
        <v>15</v>
      </c>
    </row>
    <row r="204" spans="1:4" x14ac:dyDescent="0.25">
      <c r="A204" s="466" t="s">
        <v>230</v>
      </c>
      <c r="B204" s="466">
        <v>25</v>
      </c>
      <c r="C204" s="466">
        <v>2000</v>
      </c>
      <c r="D204" s="466">
        <v>2000</v>
      </c>
    </row>
    <row r="205" spans="1:4" x14ac:dyDescent="0.25">
      <c r="A205" s="466" t="s">
        <v>231</v>
      </c>
      <c r="B205" s="466">
        <v>50</v>
      </c>
      <c r="C205" s="466">
        <v>3000</v>
      </c>
      <c r="D205" s="466">
        <v>3000</v>
      </c>
    </row>
    <row r="206" spans="1:4" x14ac:dyDescent="0.25">
      <c r="A206" s="466" t="s">
        <v>232</v>
      </c>
      <c r="B206" s="466">
        <v>5000</v>
      </c>
      <c r="C206" s="466">
        <v>5000</v>
      </c>
      <c r="D206" s="466">
        <v>5000</v>
      </c>
    </row>
    <row r="207" spans="1:4" x14ac:dyDescent="0.25">
      <c r="A207" s="466" t="s">
        <v>233</v>
      </c>
      <c r="B207" s="466">
        <v>20</v>
      </c>
      <c r="C207" s="466">
        <v>100</v>
      </c>
      <c r="D207" s="466">
        <v>100</v>
      </c>
    </row>
    <row r="208" spans="1:4" x14ac:dyDescent="0.25">
      <c r="A208" s="466" t="s">
        <v>234</v>
      </c>
      <c r="B208" s="466">
        <v>0</v>
      </c>
      <c r="C208" s="466">
        <v>0</v>
      </c>
      <c r="D208" s="466">
        <v>0</v>
      </c>
    </row>
    <row r="209" spans="1:4" x14ac:dyDescent="0.25">
      <c r="A209" s="466" t="s">
        <v>235</v>
      </c>
      <c r="B209" s="466">
        <v>0</v>
      </c>
      <c r="C209" s="466">
        <v>0</v>
      </c>
      <c r="D209" s="466">
        <v>0</v>
      </c>
    </row>
    <row r="210" spans="1:4" x14ac:dyDescent="0.25">
      <c r="A210" s="466" t="s">
        <v>236</v>
      </c>
      <c r="B210" s="466">
        <v>0</v>
      </c>
      <c r="C210" s="466">
        <v>0</v>
      </c>
      <c r="D210" s="466">
        <v>0</v>
      </c>
    </row>
    <row r="211" spans="1:4" x14ac:dyDescent="0.25">
      <c r="A211" s="466" t="s">
        <v>237</v>
      </c>
      <c r="B211" s="466">
        <v>25</v>
      </c>
      <c r="C211" s="466">
        <v>2000</v>
      </c>
      <c r="D211" s="466">
        <v>2000</v>
      </c>
    </row>
    <row r="212" spans="1:4" x14ac:dyDescent="0.25">
      <c r="A212" s="466" t="s">
        <v>239</v>
      </c>
      <c r="B212" s="466">
        <v>10</v>
      </c>
      <c r="C212" s="466">
        <v>500</v>
      </c>
      <c r="D212" s="466">
        <v>500</v>
      </c>
    </row>
    <row r="213" spans="1:4" x14ac:dyDescent="0.25">
      <c r="A213" s="466" t="s">
        <v>238</v>
      </c>
      <c r="B213" s="466">
        <v>500</v>
      </c>
      <c r="C213" s="466">
        <v>500</v>
      </c>
      <c r="D213" s="466">
        <v>500</v>
      </c>
    </row>
    <row r="214" spans="1:4" x14ac:dyDescent="0.25">
      <c r="A214" s="466" t="s">
        <v>240</v>
      </c>
      <c r="B214" s="466">
        <v>100</v>
      </c>
      <c r="C214" s="466">
        <v>100</v>
      </c>
      <c r="D214" s="466">
        <v>100</v>
      </c>
    </row>
    <row r="215" spans="1:4" x14ac:dyDescent="0.25">
      <c r="A215" s="466" t="s">
        <v>242</v>
      </c>
      <c r="B215" s="466">
        <v>100</v>
      </c>
      <c r="C215" s="466">
        <v>100</v>
      </c>
      <c r="D215" s="466">
        <v>100</v>
      </c>
    </row>
    <row r="216" spans="1:4" x14ac:dyDescent="0.25">
      <c r="A216" s="466" t="s">
        <v>241</v>
      </c>
      <c r="B216" s="466">
        <v>25</v>
      </c>
      <c r="C216" s="466">
        <v>500</v>
      </c>
      <c r="D216" s="466">
        <v>2000</v>
      </c>
    </row>
    <row r="217" spans="1:4" x14ac:dyDescent="0.25">
      <c r="A217" s="466" t="s">
        <v>243</v>
      </c>
      <c r="B217" s="466">
        <v>25</v>
      </c>
      <c r="C217" s="466">
        <v>25</v>
      </c>
      <c r="D217" s="466">
        <v>25</v>
      </c>
    </row>
    <row r="218" spans="1:4" x14ac:dyDescent="0.25">
      <c r="B218" s="46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71</vt:i4>
      </vt:variant>
    </vt:vector>
  </HeadingPairs>
  <TitlesOfParts>
    <vt:vector size="79" baseType="lpstr">
      <vt:lpstr>Main</vt:lpstr>
      <vt:lpstr>Wind Cost</vt:lpstr>
      <vt:lpstr>Wind Performance</vt:lpstr>
      <vt:lpstr>Turbine Siting</vt:lpstr>
      <vt:lpstr>Finance</vt:lpstr>
      <vt:lpstr>Market Projections</vt:lpstr>
      <vt:lpstr>Wind Policies</vt:lpstr>
      <vt:lpstr>Net Metering</vt:lpstr>
      <vt:lpstr>Analysis_End_Year</vt:lpstr>
      <vt:lpstr>Annual_Inflation</vt:lpstr>
      <vt:lpstr>apply_canopy_clearance</vt:lpstr>
      <vt:lpstr>apply_parcel_size</vt:lpstr>
      <vt:lpstr>apply_pct_hi_dev</vt:lpstr>
      <vt:lpstr>Building_Type_Run_Scenario</vt:lpstr>
      <vt:lpstr>canopy_clearance</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parcel_size</vt:lpstr>
      <vt:lpstr>pct_hi_dev</vt:lpstr>
      <vt:lpstr>rate_type_weights</vt:lpstr>
      <vt:lpstr>Region_Scenario</vt:lpstr>
      <vt:lpstr>Res_Max_Market</vt:lpstr>
      <vt:lpstr>Res_Rate_Escal</vt:lpstr>
      <vt:lpstr>Res_Rate_Scenario</vt:lpstr>
      <vt:lpstr>sys_sizing</vt:lpstr>
      <vt:lpstr>ud_rates</vt:lpstr>
      <vt:lpstr>user_defined_max_market_share</vt:lpstr>
      <vt:lpstr>'Wind Cost'!Wind_Cost_Projections_10_kw</vt:lpstr>
      <vt:lpstr>'Wind Cost'!Wind_Cost_Projections_100_kw</vt:lpstr>
      <vt:lpstr>'Wind Cost'!Wind_Cost_Projections_1000_kw</vt:lpstr>
      <vt:lpstr>'Wind Cost'!Wind_Cost_Projections_1500_kw</vt:lpstr>
      <vt:lpstr>'Wind Cost'!Wind_Cost_Projections_2.5_kw</vt:lpstr>
      <vt:lpstr>'Wind Cost'!Wind_Cost_Projections_20_kw</vt:lpstr>
      <vt:lpstr>'Wind Cost'!Wind_Cost_Projections_250_kw</vt:lpstr>
      <vt:lpstr>'Wind Cost'!Wind_Cost_Projections_5_kw</vt:lpstr>
      <vt:lpstr>'Wind Cost'!Wind_Cost_Projections_50_kw</vt:lpstr>
      <vt:lpstr>'Wind Cost'!Wind_Cost_Projections_500_kw</vt:lpstr>
      <vt:lpstr>'Wind Cost'!Wind_Cost_Projections_750_kw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bsigrin</cp:lastModifiedBy>
  <dcterms:created xsi:type="dcterms:W3CDTF">2008-07-10T16:47:42Z</dcterms:created>
  <dcterms:modified xsi:type="dcterms:W3CDTF">2015-08-14T19:42:57Z</dcterms:modified>
</cp:coreProperties>
</file>