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38400" windowHeight="13176" tabRatio="782" activeTab="1"/>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A12" i="34" l="1"/>
  <c r="AB12" i="34" s="1"/>
  <c r="E6" i="38" l="1"/>
  <c r="AA40" i="34"/>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c r="AC26" i="34" s="1"/>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s="1"/>
  <c r="AG19" i="34" s="1"/>
  <c r="AH19" i="34" s="1"/>
  <c r="AI19" i="34" s="1"/>
  <c r="AJ19" i="34" s="1"/>
  <c r="AK19" i="34" s="1"/>
  <c r="AL19" i="34" s="1"/>
  <c r="AM19" i="34" s="1"/>
  <c r="AN19" i="34" s="1"/>
  <c r="AO19" i="34" s="1"/>
  <c r="AP19" i="34" s="1"/>
  <c r="AQ19" i="34" s="1"/>
  <c r="AR19" i="34" s="1"/>
  <c r="AC12" i="34"/>
  <c r="AD12" i="34" s="1"/>
  <c r="AE12" i="34" s="1"/>
  <c r="AF12" i="34" s="1"/>
  <c r="AG12" i="34" s="1"/>
  <c r="AH12" i="34" s="1"/>
  <c r="AI12" i="34" s="1"/>
  <c r="AJ12" i="34" s="1"/>
  <c r="AK12" i="34" s="1"/>
  <c r="AL12" i="34" s="1"/>
  <c r="AM12" i="34" s="1"/>
  <c r="AN12" i="34" s="1"/>
  <c r="AO12" i="34" s="1"/>
  <c r="AP12" i="34" s="1"/>
  <c r="AQ12" i="34" s="1"/>
  <c r="AR12" i="34" s="1"/>
  <c r="E47" i="34"/>
  <c r="F47" i="34" s="1"/>
  <c r="G47" i="34" s="1"/>
  <c r="H47" i="34" s="1"/>
  <c r="I47" i="34" s="1"/>
  <c r="J47" i="34" s="1"/>
  <c r="K47" i="34" s="1"/>
  <c r="L47" i="34" s="1"/>
  <c r="M47" i="34" s="1"/>
  <c r="N47" i="34" s="1"/>
  <c r="O47" i="34" s="1"/>
  <c r="P47" i="34" s="1"/>
  <c r="Q47" i="34" s="1"/>
  <c r="R47" i="34" s="1"/>
  <c r="S47" i="34" s="1"/>
  <c r="T47" i="34" s="1"/>
  <c r="U47" i="34" s="1"/>
  <c r="V47" i="34" s="1"/>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c r="J26" i="34" s="1"/>
  <c r="K26" i="34" s="1"/>
  <c r="L26" i="34" s="1"/>
  <c r="M26" i="34" s="1"/>
  <c r="N26" i="34" s="1"/>
  <c r="O26" i="34" s="1"/>
  <c r="P26" i="34" s="1"/>
  <c r="Q26" i="34" s="1"/>
  <c r="R26" i="34" s="1"/>
  <c r="S26" i="34" s="1"/>
  <c r="T26" i="34" s="1"/>
  <c r="U26" i="34" s="1"/>
  <c r="V26" i="34" s="1"/>
  <c r="E19" i="34"/>
  <c r="F19" i="34" s="1"/>
  <c r="G19" i="34" s="1"/>
  <c r="H19" i="34" s="1"/>
  <c r="I19" i="34" s="1"/>
  <c r="J19" i="34" s="1"/>
  <c r="K19" i="34" s="1"/>
  <c r="L19" i="34" s="1"/>
  <c r="M19" i="34" s="1"/>
  <c r="N19" i="34" s="1"/>
  <c r="O19" i="34" s="1"/>
  <c r="P19" i="34" s="1"/>
  <c r="Q19" i="34" s="1"/>
  <c r="R19" i="34" s="1"/>
  <c r="S19" i="34" s="1"/>
  <c r="T19" i="34" s="1"/>
  <c r="U19" i="34" s="1"/>
  <c r="V19" i="34" s="1"/>
  <c r="E12" i="34"/>
  <c r="F12" i="34" s="1"/>
  <c r="G12" i="34" s="1"/>
  <c r="H12" i="34" s="1"/>
  <c r="I12" i="34" s="1"/>
  <c r="J12" i="34" s="1"/>
  <c r="K12" i="34" s="1"/>
  <c r="L12" i="34" s="1"/>
  <c r="M12" i="34" s="1"/>
  <c r="AA44" i="34"/>
  <c r="AB44" i="34" s="1"/>
  <c r="AC44" i="34" s="1"/>
  <c r="AD44" i="34" s="1"/>
  <c r="AE44" i="34" s="1"/>
  <c r="AF44" i="34" s="1"/>
  <c r="AG44" i="34" s="1"/>
  <c r="AH44" i="34" s="1"/>
  <c r="AI44" i="34" s="1"/>
  <c r="AJ44" i="34" s="1"/>
  <c r="AK44" i="34" s="1"/>
  <c r="AL44" i="34" s="1"/>
  <c r="AM44" i="34" s="1"/>
  <c r="AN44" i="34" s="1"/>
  <c r="AO44" i="34" s="1"/>
  <c r="AP44" i="34" s="1"/>
  <c r="AQ44" i="34" s="1"/>
  <c r="AR44" i="34" s="1"/>
  <c r="AA43" i="34"/>
  <c r="AB43" i="34" s="1"/>
  <c r="AC43" i="34" s="1"/>
  <c r="AD43" i="34" s="1"/>
  <c r="AE43" i="34" s="1"/>
  <c r="AF43" i="34" s="1"/>
  <c r="AG43" i="34" s="1"/>
  <c r="AH43" i="34" s="1"/>
  <c r="AI43" i="34" s="1"/>
  <c r="AJ43" i="34" s="1"/>
  <c r="AK43" i="34" s="1"/>
  <c r="AL43" i="34" s="1"/>
  <c r="AM43" i="34" s="1"/>
  <c r="AN43" i="34" s="1"/>
  <c r="AO43" i="34" s="1"/>
  <c r="AP43" i="34" s="1"/>
  <c r="AQ43" i="34" s="1"/>
  <c r="AR43" i="34" s="1"/>
  <c r="AA37" i="34"/>
  <c r="AB37" i="34" s="1"/>
  <c r="AC37" i="34" s="1"/>
  <c r="AD37" i="34" s="1"/>
  <c r="AE37" i="34" s="1"/>
  <c r="AF37" i="34" s="1"/>
  <c r="AG37" i="34" s="1"/>
  <c r="AH37" i="34" s="1"/>
  <c r="AI37" i="34" s="1"/>
  <c r="AJ37" i="34" s="1"/>
  <c r="AK37" i="34" s="1"/>
  <c r="AL37" i="34" s="1"/>
  <c r="AM37" i="34" s="1"/>
  <c r="AN37" i="34" s="1"/>
  <c r="AO37" i="34" s="1"/>
  <c r="AP37" i="34" s="1"/>
  <c r="AQ37" i="34" s="1"/>
  <c r="AR37" i="34" s="1"/>
  <c r="AA36" i="34"/>
  <c r="AB36" i="34" s="1"/>
  <c r="AC36" i="34" s="1"/>
  <c r="AD36" i="34" s="1"/>
  <c r="AE36" i="34" s="1"/>
  <c r="AF36" i="34" s="1"/>
  <c r="AG36" i="34" s="1"/>
  <c r="AH36" i="34" s="1"/>
  <c r="AI36" i="34" s="1"/>
  <c r="AJ36" i="34" s="1"/>
  <c r="AK36" i="34" s="1"/>
  <c r="AL36" i="34" s="1"/>
  <c r="AM36" i="34" s="1"/>
  <c r="AN36" i="34" s="1"/>
  <c r="AO36" i="34" s="1"/>
  <c r="AP36" i="34" s="1"/>
  <c r="AQ36" i="34" s="1"/>
  <c r="AR36" i="34" s="1"/>
  <c r="AA30" i="34"/>
  <c r="AB30" i="34" s="1"/>
  <c r="AC30" i="34" s="1"/>
  <c r="AD30" i="34" s="1"/>
  <c r="AE30" i="34" s="1"/>
  <c r="AF30" i="34" s="1"/>
  <c r="AG30" i="34" s="1"/>
  <c r="AH30" i="34" s="1"/>
  <c r="AI30" i="34" s="1"/>
  <c r="AJ30" i="34" s="1"/>
  <c r="AK30" i="34" s="1"/>
  <c r="AL30" i="34" s="1"/>
  <c r="AM30" i="34" s="1"/>
  <c r="AN30" i="34" s="1"/>
  <c r="AO30" i="34" s="1"/>
  <c r="AP30" i="34" s="1"/>
  <c r="AQ30" i="34" s="1"/>
  <c r="AR30" i="34" s="1"/>
  <c r="AA29" i="34"/>
  <c r="AB29" i="34" s="1"/>
  <c r="AC29" i="34" s="1"/>
  <c r="AD29" i="34" s="1"/>
  <c r="AE29" i="34" s="1"/>
  <c r="AF29" i="34" s="1"/>
  <c r="AG29" i="34" s="1"/>
  <c r="AH29" i="34" s="1"/>
  <c r="AI29" i="34" s="1"/>
  <c r="AJ29" i="34" s="1"/>
  <c r="AK29" i="34" s="1"/>
  <c r="AL29" i="34" s="1"/>
  <c r="AM29" i="34" s="1"/>
  <c r="AN29" i="34" s="1"/>
  <c r="AO29" i="34" s="1"/>
  <c r="AP29" i="34" s="1"/>
  <c r="AQ29" i="34" s="1"/>
  <c r="AR29" i="34" s="1"/>
  <c r="AA23" i="34"/>
  <c r="AB23" i="34" s="1"/>
  <c r="AC23" i="34" s="1"/>
  <c r="AD23" i="34" s="1"/>
  <c r="AE23" i="34" s="1"/>
  <c r="AF23" i="34" s="1"/>
  <c r="AG23" i="34" s="1"/>
  <c r="AH23" i="34" s="1"/>
  <c r="AI23" i="34" s="1"/>
  <c r="AJ23" i="34" s="1"/>
  <c r="AK23" i="34" s="1"/>
  <c r="AL23" i="34" s="1"/>
  <c r="AM23" i="34" s="1"/>
  <c r="AN23" i="34" s="1"/>
  <c r="AO23" i="34" s="1"/>
  <c r="AP23" i="34" s="1"/>
  <c r="AQ23" i="34" s="1"/>
  <c r="AR23" i="34" s="1"/>
  <c r="AA22" i="34"/>
  <c r="AB22" i="34" s="1"/>
  <c r="AC22" i="34" s="1"/>
  <c r="AD22" i="34" s="1"/>
  <c r="AE22" i="34" s="1"/>
  <c r="AF22" i="34" s="1"/>
  <c r="AG22" i="34" s="1"/>
  <c r="AH22" i="34" s="1"/>
  <c r="AI22" i="34" s="1"/>
  <c r="AJ22" i="34" s="1"/>
  <c r="AK22" i="34" s="1"/>
  <c r="AL22" i="34" s="1"/>
  <c r="AM22" i="34" s="1"/>
  <c r="AN22" i="34" s="1"/>
  <c r="AO22" i="34" s="1"/>
  <c r="AP22" i="34" s="1"/>
  <c r="AQ22" i="34" s="1"/>
  <c r="AR22" i="34" s="1"/>
  <c r="AA16" i="34"/>
  <c r="AB16" i="34" s="1"/>
  <c r="AC16" i="34" s="1"/>
  <c r="AD16" i="34" s="1"/>
  <c r="AE16" i="34" s="1"/>
  <c r="AF16" i="34" s="1"/>
  <c r="AG16" i="34" s="1"/>
  <c r="AH16" i="34" s="1"/>
  <c r="AI16" i="34" s="1"/>
  <c r="AJ16" i="34" s="1"/>
  <c r="AK16" i="34" s="1"/>
  <c r="AL16" i="34" s="1"/>
  <c r="AM16" i="34" s="1"/>
  <c r="AN16" i="34" s="1"/>
  <c r="AO16" i="34" s="1"/>
  <c r="AP16" i="34" s="1"/>
  <c r="AQ16" i="34" s="1"/>
  <c r="AR16" i="34" s="1"/>
  <c r="AA15" i="34"/>
  <c r="AB15" i="34" s="1"/>
  <c r="AC15" i="34" s="1"/>
  <c r="AD15" i="34" s="1"/>
  <c r="AE15" i="34" s="1"/>
  <c r="AF15" i="34" s="1"/>
  <c r="AG15" i="34" s="1"/>
  <c r="AH15" i="34" s="1"/>
  <c r="AI15" i="34" s="1"/>
  <c r="AJ15" i="34" s="1"/>
  <c r="AK15" i="34" s="1"/>
  <c r="AL15" i="34" s="1"/>
  <c r="AM15" i="34" s="1"/>
  <c r="AN15" i="34" s="1"/>
  <c r="AO15" i="34" s="1"/>
  <c r="AP15" i="34" s="1"/>
  <c r="AQ15" i="34" s="1"/>
  <c r="AR15" i="34" s="1"/>
  <c r="E51" i="34"/>
  <c r="F51" i="34" s="1"/>
  <c r="G51" i="34" s="1"/>
  <c r="H51" i="34" s="1"/>
  <c r="I51" i="34" s="1"/>
  <c r="J51" i="34" s="1"/>
  <c r="K51" i="34" s="1"/>
  <c r="L51" i="34" s="1"/>
  <c r="M51" i="34" s="1"/>
  <c r="N51" i="34" s="1"/>
  <c r="O51" i="34" s="1"/>
  <c r="P51" i="34" s="1"/>
  <c r="Q51" i="34" s="1"/>
  <c r="R51" i="34" s="1"/>
  <c r="S51" i="34" s="1"/>
  <c r="T51" i="34" s="1"/>
  <c r="U51" i="34" s="1"/>
  <c r="V51" i="34" s="1"/>
  <c r="E50" i="34"/>
  <c r="F50" i="34" s="1"/>
  <c r="G50" i="34" s="1"/>
  <c r="H50" i="34" s="1"/>
  <c r="I50" i="34" s="1"/>
  <c r="J50" i="34" s="1"/>
  <c r="K50" i="34" s="1"/>
  <c r="L50" i="34" s="1"/>
  <c r="M50" i="34" s="1"/>
  <c r="N50" i="34" s="1"/>
  <c r="O50" i="34" s="1"/>
  <c r="P50" i="34" s="1"/>
  <c r="Q50" i="34" s="1"/>
  <c r="R50" i="34" s="1"/>
  <c r="S50" i="34" s="1"/>
  <c r="T50" i="34" s="1"/>
  <c r="U50" i="34" s="1"/>
  <c r="V50" i="34" s="1"/>
  <c r="E44" i="34"/>
  <c r="F44" i="34" s="1"/>
  <c r="G44" i="34" s="1"/>
  <c r="H44" i="34" s="1"/>
  <c r="I44" i="34" s="1"/>
  <c r="J44" i="34" s="1"/>
  <c r="K44" i="34" s="1"/>
  <c r="L44" i="34" s="1"/>
  <c r="M44" i="34" s="1"/>
  <c r="N44" i="34" s="1"/>
  <c r="O44" i="34" s="1"/>
  <c r="P44" i="34" s="1"/>
  <c r="Q44" i="34" s="1"/>
  <c r="R44" i="34" s="1"/>
  <c r="S44" i="34" s="1"/>
  <c r="T44" i="34" s="1"/>
  <c r="U44" i="34" s="1"/>
  <c r="V44" i="34" s="1"/>
  <c r="E43" i="34"/>
  <c r="F43" i="34" s="1"/>
  <c r="G43" i="34" s="1"/>
  <c r="H43" i="34" s="1"/>
  <c r="I43" i="34" s="1"/>
  <c r="J43" i="34" s="1"/>
  <c r="K43" i="34" s="1"/>
  <c r="L43" i="34" s="1"/>
  <c r="M43" i="34" s="1"/>
  <c r="N43" i="34" s="1"/>
  <c r="O43" i="34" s="1"/>
  <c r="P43" i="34" s="1"/>
  <c r="Q43" i="34" s="1"/>
  <c r="R43" i="34" s="1"/>
  <c r="S43" i="34" s="1"/>
  <c r="T43" i="34" s="1"/>
  <c r="U43" i="34" s="1"/>
  <c r="V43" i="34" s="1"/>
  <c r="E37" i="34"/>
  <c r="F37" i="34" s="1"/>
  <c r="G37" i="34" s="1"/>
  <c r="H37" i="34" s="1"/>
  <c r="I37" i="34" s="1"/>
  <c r="J37" i="34" s="1"/>
  <c r="K37" i="34" s="1"/>
  <c r="L37" i="34" s="1"/>
  <c r="M37" i="34" s="1"/>
  <c r="N37" i="34" s="1"/>
  <c r="O37" i="34" s="1"/>
  <c r="P37" i="34" s="1"/>
  <c r="Q37" i="34" s="1"/>
  <c r="R37" i="34" s="1"/>
  <c r="S37" i="34" s="1"/>
  <c r="T37" i="34" s="1"/>
  <c r="U37" i="34" s="1"/>
  <c r="V37" i="34" s="1"/>
  <c r="E36" i="34"/>
  <c r="F36" i="34" s="1"/>
  <c r="G36" i="34" s="1"/>
  <c r="H36" i="34" s="1"/>
  <c r="I36" i="34" s="1"/>
  <c r="J36" i="34" s="1"/>
  <c r="K36" i="34" s="1"/>
  <c r="L36" i="34" s="1"/>
  <c r="M36" i="34" s="1"/>
  <c r="N36" i="34" s="1"/>
  <c r="O36" i="34" s="1"/>
  <c r="P36" i="34" s="1"/>
  <c r="Q36" i="34" s="1"/>
  <c r="R36" i="34" s="1"/>
  <c r="S36" i="34" s="1"/>
  <c r="T36" i="34" s="1"/>
  <c r="U36" i="34" s="1"/>
  <c r="V36" i="34" s="1"/>
  <c r="E30" i="34"/>
  <c r="F30" i="34" s="1"/>
  <c r="G30" i="34" s="1"/>
  <c r="H30" i="34" s="1"/>
  <c r="I30" i="34" s="1"/>
  <c r="J30" i="34" s="1"/>
  <c r="K30" i="34" s="1"/>
  <c r="L30" i="34" s="1"/>
  <c r="M30" i="34" s="1"/>
  <c r="N30" i="34" s="1"/>
  <c r="O30" i="34" s="1"/>
  <c r="P30" i="34" s="1"/>
  <c r="Q30" i="34" s="1"/>
  <c r="R30" i="34" s="1"/>
  <c r="S30" i="34" s="1"/>
  <c r="T30" i="34" s="1"/>
  <c r="U30" i="34" s="1"/>
  <c r="V30" i="34" s="1"/>
  <c r="E29" i="34"/>
  <c r="F29" i="34" s="1"/>
  <c r="G29" i="34" s="1"/>
  <c r="H29" i="34" s="1"/>
  <c r="I29" i="34" s="1"/>
  <c r="J29" i="34" s="1"/>
  <c r="K29" i="34" s="1"/>
  <c r="L29" i="34" s="1"/>
  <c r="M29" i="34" s="1"/>
  <c r="N29" i="34" s="1"/>
  <c r="O29" i="34" s="1"/>
  <c r="P29" i="34" s="1"/>
  <c r="Q29" i="34" s="1"/>
  <c r="R29" i="34" s="1"/>
  <c r="S29" i="34" s="1"/>
  <c r="T29" i="34" s="1"/>
  <c r="U29" i="34" s="1"/>
  <c r="V29" i="34" s="1"/>
  <c r="E23" i="34"/>
  <c r="F23" i="34" s="1"/>
  <c r="G23" i="34" s="1"/>
  <c r="H23" i="34" s="1"/>
  <c r="I23" i="34" s="1"/>
  <c r="J23" i="34" s="1"/>
  <c r="K23" i="34" s="1"/>
  <c r="L23" i="34" s="1"/>
  <c r="M23" i="34" s="1"/>
  <c r="N23" i="34" s="1"/>
  <c r="O23" i="34" s="1"/>
  <c r="P23" i="34" s="1"/>
  <c r="Q23" i="34" s="1"/>
  <c r="R23" i="34" s="1"/>
  <c r="S23" i="34" s="1"/>
  <c r="T23" i="34" s="1"/>
  <c r="U23" i="34" s="1"/>
  <c r="V23" i="34" s="1"/>
  <c r="E22" i="34"/>
  <c r="F22" i="34" s="1"/>
  <c r="G22" i="34" s="1"/>
  <c r="H22" i="34" s="1"/>
  <c r="I22" i="34" s="1"/>
  <c r="J22" i="34" s="1"/>
  <c r="K22" i="34" s="1"/>
  <c r="L22" i="34" s="1"/>
  <c r="M22" i="34" s="1"/>
  <c r="N22" i="34" s="1"/>
  <c r="O22" i="34" s="1"/>
  <c r="P22" i="34" s="1"/>
  <c r="Q22" i="34" s="1"/>
  <c r="R22" i="34" s="1"/>
  <c r="S22" i="34" s="1"/>
  <c r="T22" i="34" s="1"/>
  <c r="U22" i="34" s="1"/>
  <c r="V22" i="34" s="1"/>
  <c r="E16" i="34"/>
  <c r="F16" i="34"/>
  <c r="G16" i="34" s="1"/>
  <c r="H16" i="34" s="1"/>
  <c r="I16" i="34" s="1"/>
  <c r="J16" i="34" s="1"/>
  <c r="K16" i="34" s="1"/>
  <c r="L16" i="34" s="1"/>
  <c r="M16" i="34" s="1"/>
  <c r="N16" i="34" s="1"/>
  <c r="O16" i="34" s="1"/>
  <c r="P16" i="34" s="1"/>
  <c r="Q16" i="34" s="1"/>
  <c r="R16" i="34" s="1"/>
  <c r="S16" i="34" s="1"/>
  <c r="T16" i="34" s="1"/>
  <c r="U16" i="34" s="1"/>
  <c r="V16" i="34" s="1"/>
  <c r="E15" i="34"/>
  <c r="F15" i="34" s="1"/>
  <c r="G15" i="34" s="1"/>
  <c r="H15" i="34" s="1"/>
  <c r="I15" i="34" s="1"/>
  <c r="J15" i="34" s="1"/>
  <c r="K15" i="34" s="1"/>
  <c r="L15" i="34" s="1"/>
  <c r="M15" i="34" s="1"/>
  <c r="N15" i="34" s="1"/>
  <c r="O15" i="34" s="1"/>
  <c r="P15" i="34" s="1"/>
  <c r="Q15" i="34" s="1"/>
  <c r="R15" i="34" s="1"/>
  <c r="S15" i="34" s="1"/>
  <c r="T15" i="34" s="1"/>
  <c r="U15" i="34" s="1"/>
  <c r="V15" i="34" s="1"/>
  <c r="J203" i="8"/>
  <c r="J204" i="8"/>
  <c r="J205" i="8" s="1"/>
  <c r="J206" i="8" s="1"/>
  <c r="J207" i="8" s="1"/>
  <c r="J208" i="8" s="1"/>
  <c r="J209" i="8" s="1"/>
  <c r="J210" i="8" s="1"/>
  <c r="J211" i="8" s="1"/>
  <c r="J212" i="8" s="1"/>
  <c r="J213" i="8" s="1"/>
  <c r="J214" i="8" s="1"/>
  <c r="J215" i="8" s="1"/>
  <c r="J216" i="8" s="1"/>
  <c r="J217" i="8" s="1"/>
  <c r="J218" i="8" s="1"/>
  <c r="J219" i="8" s="1"/>
  <c r="J220" i="8" s="1"/>
  <c r="J221" i="8" s="1"/>
  <c r="J222" i="8" s="1"/>
  <c r="N12" i="34" l="1"/>
  <c r="O12" i="34" s="1"/>
  <c r="P12" i="34" s="1"/>
  <c r="Q12" i="34" s="1"/>
  <c r="R12" i="34" s="1"/>
  <c r="S12" i="34" s="1"/>
  <c r="T12" i="34" s="1"/>
  <c r="U12" i="34" s="1"/>
  <c r="V12" i="34"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<sst xmlns="http://schemas.openxmlformats.org/spreadsheetml/2006/main" count="1174" uniqueCount="360">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</sst>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
      <b/>
      <sz val="11"/>
      <color theme="0"/>
      <name val="Arial"/>
    </font>
    <font>
      <sz val="10"/>
      <color theme="0"/>
      <name val="Arial"/>
      <family val="2"/>
    </font>
    <font>
      <sz val="10"/>
      <color theme="0"/>
      <name val="Palatino Linotype"/>
      <family val="1"/>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8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54475776"/>
        <c:axId val="54486144"/>
      </c:scatterChart>
      <c:valAx>
        <c:axId val="54475776"/>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54486144"/>
        <c:crosses val="autoZero"/>
        <c:crossBetween val="midCat"/>
      </c:valAx>
      <c:valAx>
        <c:axId val="5448614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54475776"/>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54749440"/>
        <c:axId val="54751232"/>
      </c:scatterChart>
      <c:valAx>
        <c:axId val="547494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4751232"/>
        <c:crosses val="autoZero"/>
        <c:crossBetween val="midCat"/>
      </c:valAx>
      <c:valAx>
        <c:axId val="547512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47494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4775808"/>
        <c:axId val="54777344"/>
      </c:scatterChart>
      <c:valAx>
        <c:axId val="5477580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4777344"/>
        <c:crosses val="autoZero"/>
        <c:crossBetween val="midCat"/>
      </c:valAx>
      <c:valAx>
        <c:axId val="5477734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477580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D11" sqref="D11:D28"/>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407"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12" t="s">
        <v>69</v>
      </c>
      <c r="D11" s="241" t="s">
        <v>8</v>
      </c>
      <c r="E11" s="61"/>
      <c r="F11" s="131"/>
      <c r="G11" s="61"/>
      <c r="H11" s="37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13"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14" t="s">
        <v>65</v>
      </c>
      <c r="D16" s="242" t="s">
        <v>311</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14" t="s">
        <v>66</v>
      </c>
      <c r="D19" s="242" t="s">
        <v>311</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14" t="s">
        <v>183</v>
      </c>
      <c r="D22" s="242" t="s">
        <v>311</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15"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15"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315" t="s">
        <v>62</v>
      </c>
      <c r="D25" s="242"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14"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429"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8" thickBot="1" x14ac:dyDescent="0.4">
      <c r="A28" s="21"/>
      <c r="B28" s="21"/>
      <c r="C28" s="316" t="s">
        <v>299</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0.1</v>
      </c>
      <c r="F225" s="61"/>
      <c r="G225" s="61"/>
      <c r="H225" s="61"/>
      <c r="I225" s="61"/>
      <c r="J225" s="61" t="s">
        <v>311</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0.2</v>
      </c>
      <c r="F226" s="61"/>
      <c r="G226" s="61"/>
      <c r="H226" s="61"/>
      <c r="I226" s="61"/>
      <c r="J226" s="61" t="s">
        <v>312</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0.3</v>
      </c>
      <c r="F227" s="61"/>
      <c r="G227" s="61"/>
      <c r="H227" s="61"/>
      <c r="I227" s="61"/>
      <c r="J227" s="61" t="s">
        <v>313</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row>
    <row r="1244" spans="1:50" x14ac:dyDescent="0.35">
      <c r="A1244" s="1"/>
      <c r="E1244" s="1"/>
      <c r="G1244" s="33"/>
      <c r="H1244" s="33"/>
    </row>
    <row r="1245" spans="1:50" x14ac:dyDescent="0.35">
      <c r="A1245" s="1"/>
      <c r="E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abSelected="1" zoomScale="70" zoomScaleNormal="70" zoomScalePageLayoutView="70" workbookViewId="0">
      <selection activeCell="D15" sqref="D15"/>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6.44140625" style="9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37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72" t="s">
        <v>109</v>
      </c>
      <c r="D2" s="89"/>
      <c r="E2" s="88"/>
      <c r="F2" s="88"/>
      <c r="G2" s="88"/>
      <c r="H2" s="88"/>
      <c r="I2" s="88"/>
      <c r="J2" s="88"/>
      <c r="K2" s="88"/>
      <c r="L2" s="88"/>
      <c r="M2" s="88"/>
      <c r="N2" s="88"/>
      <c r="O2" s="88"/>
      <c r="P2" s="88"/>
      <c r="Q2" s="88"/>
      <c r="R2" s="88"/>
      <c r="S2" s="88"/>
      <c r="T2" s="88"/>
      <c r="U2" s="88"/>
      <c r="V2" s="88"/>
      <c r="W2" s="88"/>
      <c r="X2" s="88"/>
      <c r="Y2" s="421"/>
      <c r="Z2" s="421"/>
      <c r="AA2" s="421"/>
      <c r="AB2" s="421"/>
      <c r="AC2" s="421"/>
      <c r="AD2" s="421"/>
      <c r="AE2" s="421"/>
      <c r="AF2" s="421"/>
      <c r="AG2" s="421"/>
      <c r="AH2" s="421"/>
      <c r="AI2" s="421"/>
      <c r="AJ2" s="421"/>
      <c r="AK2" s="421"/>
      <c r="AL2" s="421"/>
      <c r="AM2" s="421"/>
      <c r="AN2" s="421"/>
      <c r="AO2" s="421"/>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88"/>
      <c r="P3" s="88"/>
      <c r="Q3" s="88"/>
      <c r="R3" s="88"/>
      <c r="S3" s="88"/>
      <c r="T3" s="88"/>
      <c r="U3" s="88"/>
      <c r="V3" s="88"/>
      <c r="W3" s="88"/>
      <c r="X3" s="88"/>
      <c r="Y3" s="421"/>
      <c r="Z3" s="421"/>
      <c r="AA3" s="421"/>
      <c r="AB3" s="421"/>
      <c r="AC3" s="421"/>
      <c r="AD3" s="421"/>
      <c r="AE3" s="421"/>
      <c r="AF3" s="421"/>
      <c r="AG3" s="421"/>
      <c r="AH3" s="421"/>
      <c r="AI3" s="421"/>
      <c r="AJ3" s="421"/>
      <c r="AK3" s="421"/>
      <c r="AL3" s="421"/>
      <c r="AM3" s="421"/>
      <c r="AN3" s="421"/>
      <c r="AO3" s="421"/>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409"/>
      <c r="D4" s="410"/>
      <c r="E4" s="410"/>
      <c r="F4" s="411"/>
      <c r="G4" s="412" t="s">
        <v>296</v>
      </c>
      <c r="H4" s="411"/>
      <c r="I4" s="410"/>
      <c r="J4" s="413"/>
      <c r="K4" s="88"/>
      <c r="L4" s="88"/>
      <c r="M4" s="88"/>
      <c r="N4" s="88"/>
      <c r="O4" s="88"/>
      <c r="P4" s="88"/>
      <c r="Q4" s="88"/>
      <c r="R4" s="88"/>
      <c r="S4" s="88"/>
      <c r="T4" s="88"/>
      <c r="U4" s="88"/>
      <c r="V4" s="88"/>
      <c r="W4" s="88"/>
      <c r="X4" s="88"/>
      <c r="Y4" s="421"/>
      <c r="Z4" s="421"/>
      <c r="AA4" s="421"/>
      <c r="AB4" s="421"/>
      <c r="AC4" s="421"/>
      <c r="AD4" s="421"/>
      <c r="AE4" s="421"/>
      <c r="AF4" s="421"/>
      <c r="AG4" s="421"/>
      <c r="AH4" s="421"/>
      <c r="AI4" s="421"/>
      <c r="AJ4" s="421"/>
      <c r="AK4" s="421"/>
      <c r="AL4" s="421"/>
      <c r="AM4" s="421"/>
      <c r="AN4" s="421"/>
      <c r="AO4" s="421"/>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25" t="s">
        <v>160</v>
      </c>
      <c r="D5" s="423">
        <v>0.03</v>
      </c>
      <c r="E5" s="414" t="s">
        <v>161</v>
      </c>
      <c r="F5" s="415"/>
      <c r="G5" s="416" t="s">
        <v>293</v>
      </c>
      <c r="H5" s="415"/>
      <c r="I5" s="422" t="s">
        <v>297</v>
      </c>
      <c r="J5" s="417"/>
      <c r="K5" s="88"/>
      <c r="L5" s="88"/>
      <c r="M5" s="88"/>
      <c r="N5" s="88"/>
      <c r="O5" s="88"/>
      <c r="P5" s="88"/>
      <c r="Q5" s="88"/>
      <c r="R5" s="88"/>
      <c r="S5" s="88"/>
      <c r="T5" s="88"/>
      <c r="U5" s="88"/>
      <c r="V5" s="88"/>
      <c r="W5" s="88"/>
      <c r="X5" s="88"/>
      <c r="Y5" s="421"/>
      <c r="Z5" s="421"/>
      <c r="AA5" s="421"/>
      <c r="AB5" s="421"/>
      <c r="AC5" s="421"/>
      <c r="AD5" s="421"/>
      <c r="AE5" s="421"/>
      <c r="AF5" s="421"/>
      <c r="AG5" s="421"/>
      <c r="AH5" s="421"/>
      <c r="AI5" s="421"/>
      <c r="AJ5" s="421"/>
      <c r="AK5" s="421"/>
      <c r="AL5" s="421"/>
      <c r="AM5" s="421"/>
      <c r="AN5" s="421"/>
      <c r="AO5" s="421"/>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24"/>
      <c r="C6" s="426"/>
      <c r="D6" s="423">
        <v>1.4999999999999999E-2</v>
      </c>
      <c r="E6" s="414" t="s">
        <v>161</v>
      </c>
      <c r="F6" s="415"/>
      <c r="G6" s="416" t="s">
        <v>294</v>
      </c>
      <c r="H6" s="418"/>
      <c r="I6" s="428" t="s">
        <v>298</v>
      </c>
      <c r="J6" s="417"/>
      <c r="K6" s="88"/>
      <c r="L6" s="88"/>
      <c r="M6" s="88"/>
      <c r="N6" s="88"/>
      <c r="O6" s="88"/>
      <c r="P6" s="88"/>
      <c r="Q6" s="88"/>
      <c r="R6" s="88"/>
      <c r="S6" s="88"/>
      <c r="T6" s="88"/>
      <c r="U6" s="88"/>
      <c r="V6" s="88"/>
      <c r="W6" s="88"/>
      <c r="X6" s="88"/>
      <c r="Y6" s="421"/>
      <c r="Z6" s="421"/>
      <c r="AA6" s="421"/>
      <c r="AB6" s="421"/>
      <c r="AC6" s="421"/>
      <c r="AD6" s="421"/>
      <c r="AE6" s="421"/>
      <c r="AF6" s="421"/>
      <c r="AG6" s="421"/>
      <c r="AH6" s="421"/>
      <c r="AI6" s="421"/>
      <c r="AJ6" s="421"/>
      <c r="AK6" s="421"/>
      <c r="AL6" s="421"/>
      <c r="AM6" s="421"/>
      <c r="AN6" s="421"/>
      <c r="AO6" s="421"/>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24"/>
      <c r="C7" s="426"/>
      <c r="D7" s="423">
        <v>8.9999999999999993E-3</v>
      </c>
      <c r="E7" s="414" t="s">
        <v>161</v>
      </c>
      <c r="F7" s="418"/>
      <c r="G7" s="416" t="s">
        <v>295</v>
      </c>
      <c r="H7" s="418"/>
      <c r="I7" s="254"/>
      <c r="J7" s="417"/>
      <c r="K7" s="88"/>
      <c r="L7" s="88"/>
      <c r="M7" s="88"/>
      <c r="N7" s="88"/>
      <c r="O7" s="88"/>
      <c r="P7" s="88"/>
      <c r="Q7" s="88"/>
      <c r="R7" s="88"/>
      <c r="S7" s="88"/>
      <c r="T7" s="88"/>
      <c r="U7" s="88"/>
      <c r="V7" s="88"/>
      <c r="W7" s="88"/>
      <c r="X7" s="88"/>
      <c r="Y7" s="88"/>
      <c r="Z7" s="88"/>
      <c r="AA7" s="88"/>
      <c r="AB7" s="88"/>
      <c r="AC7" s="88"/>
      <c r="AD7" s="88"/>
      <c r="AE7" s="88"/>
      <c r="AF7" s="88"/>
      <c r="AG7" s="397"/>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27"/>
      <c r="D8" s="419"/>
      <c r="E8" s="419"/>
      <c r="F8" s="419"/>
      <c r="G8" s="419"/>
      <c r="H8" s="419"/>
      <c r="I8" s="419"/>
      <c r="J8" s="420"/>
      <c r="K8" s="88"/>
      <c r="L8" s="88"/>
      <c r="M8" s="88"/>
      <c r="N8" s="202"/>
      <c r="O8" s="202"/>
      <c r="P8" s="202"/>
      <c r="Q8" s="202"/>
      <c r="R8" s="202"/>
      <c r="S8" s="202"/>
      <c r="T8" s="202"/>
      <c r="U8" s="202"/>
      <c r="V8" s="202"/>
      <c r="W8" s="397"/>
      <c r="X8" s="88"/>
      <c r="Y8" s="88"/>
      <c r="Z8" s="88"/>
      <c r="AA8" s="88"/>
      <c r="AB8" s="88"/>
      <c r="AC8" s="88"/>
      <c r="AD8" s="88"/>
      <c r="AE8" s="88"/>
      <c r="AF8" s="88"/>
      <c r="AG8" s="397"/>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408"/>
      <c r="D9" s="88"/>
      <c r="E9" s="88"/>
      <c r="F9" s="88"/>
      <c r="G9" s="88"/>
      <c r="H9" s="88"/>
      <c r="I9" s="88"/>
      <c r="J9" s="88"/>
      <c r="K9" s="88"/>
      <c r="L9" s="88"/>
      <c r="M9" s="88"/>
      <c r="N9" s="88"/>
      <c r="O9" s="88"/>
      <c r="P9" s="88"/>
      <c r="Q9" s="88"/>
      <c r="R9" s="88"/>
      <c r="S9" s="88"/>
      <c r="T9" s="88"/>
      <c r="U9" s="88"/>
      <c r="V9" s="88"/>
      <c r="W9" s="397"/>
      <c r="X9" s="88"/>
      <c r="Y9" s="88"/>
      <c r="Z9" s="88"/>
      <c r="AA9" s="88"/>
      <c r="AB9" s="88"/>
      <c r="AC9" s="88"/>
      <c r="AD9" s="88"/>
      <c r="AE9" s="88"/>
      <c r="AF9" s="88"/>
      <c r="AG9" s="397"/>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97"/>
      <c r="X10" s="88"/>
      <c r="Y10" s="88"/>
      <c r="Z10" s="88"/>
      <c r="AA10" s="88"/>
      <c r="AB10" s="88"/>
      <c r="AC10" s="88"/>
      <c r="AD10" s="88"/>
      <c r="AE10" s="88"/>
      <c r="AF10" s="88"/>
      <c r="AG10" s="397"/>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5">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7"/>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5">
      <c r="A12" s="100"/>
      <c r="B12" s="255"/>
      <c r="C12" s="256" t="s">
        <v>110</v>
      </c>
      <c r="D12" s="268">
        <v>10072</v>
      </c>
      <c r="E12" s="257">
        <f>D12*(1-$D$5)^2</f>
        <v>9476.7448000000004</v>
      </c>
      <c r="F12" s="257">
        <f>E12*(1-$D$5)^2</f>
        <v>8916.6691823199999</v>
      </c>
      <c r="G12" s="257">
        <f>F12*(1-$D$5)^2</f>
        <v>8389.6940336448879</v>
      </c>
      <c r="H12" s="257">
        <f>G12*(1-$D$5)^2</f>
        <v>7893.8631162564743</v>
      </c>
      <c r="I12" s="257">
        <f>H12*(1-$D$5)^2</f>
        <v>7427.3358060857163</v>
      </c>
      <c r="J12" s="257">
        <f>I12*(1-$D$5)^2</f>
        <v>6988.3802599460505</v>
      </c>
      <c r="K12" s="257">
        <f>J12*(1-$D$5)^2</f>
        <v>6575.3669865832389</v>
      </c>
      <c r="L12" s="257">
        <f>K12*(1-$D$5)^2</f>
        <v>6186.7627976761696</v>
      </c>
      <c r="M12" s="257">
        <f>L12*(1-$D$5)^2</f>
        <v>5821.1251163335073</v>
      </c>
      <c r="N12" s="257">
        <f>M12*(1-$D$5)^2</f>
        <v>5477.0966219581969</v>
      </c>
      <c r="O12" s="257">
        <f>N12*(1-$D$5)^2</f>
        <v>5153.4002116004676</v>
      </c>
      <c r="P12" s="257">
        <f>O12*(1-$D$5)^2</f>
        <v>4848.8342590948796</v>
      </c>
      <c r="Q12" s="257">
        <f>P12*(1-$D$5)^2</f>
        <v>4562.2681543823719</v>
      </c>
      <c r="R12" s="257">
        <f>Q12*(1-$D$5)^2</f>
        <v>4292.6381064583738</v>
      </c>
      <c r="S12" s="257">
        <f>R12*(1-$D$5)^2</f>
        <v>4038.9431943666837</v>
      </c>
      <c r="T12" s="257">
        <f>S12*(1-$D$5)^2</f>
        <v>3800.2416515796126</v>
      </c>
      <c r="U12" s="257">
        <f>T12*(1-$D$5)^2</f>
        <v>3575.6473699712574</v>
      </c>
      <c r="V12" s="257">
        <f>U12*(1-$D$5)^2</f>
        <v>3364.3266104059558</v>
      </c>
      <c r="W12" s="253"/>
      <c r="X12" s="255"/>
      <c r="Y12" s="256" t="s">
        <v>110</v>
      </c>
      <c r="Z12" s="268">
        <v>4449</v>
      </c>
      <c r="AA12" s="257">
        <f>Z12*(1-$D$6)^2</f>
        <v>4316.5310250000002</v>
      </c>
      <c r="AB12" s="257">
        <f>AA12*(1-$D$6)^2</f>
        <v>4188.0063137306252</v>
      </c>
      <c r="AC12" s="257">
        <f>AB12*(1-$D$6)^2</f>
        <v>4063.3084257392957</v>
      </c>
      <c r="AD12" s="257">
        <f>AC12*(1-$D$6)^2</f>
        <v>3942.323417362908</v>
      </c>
      <c r="AE12" s="257">
        <f>AD12*(1-$D$6)^2</f>
        <v>3824.9407376109275</v>
      </c>
      <c r="AF12" s="257">
        <f>AE12*(1-$D$6)^2</f>
        <v>3711.053127148562</v>
      </c>
      <c r="AG12" s="257">
        <f>AF12*(1-$D$6)^2</f>
        <v>3600.5565202877137</v>
      </c>
      <c r="AH12" s="257">
        <f>AG12*(1-$D$6)^2</f>
        <v>3493.3499498961469</v>
      </c>
      <c r="AI12" s="257">
        <f>AH12*(1-$D$6)^2</f>
        <v>3389.3354551379889</v>
      </c>
      <c r="AJ12" s="257">
        <f>AI12*(1-$D$6)^2</f>
        <v>3288.4179919612552</v>
      </c>
      <c r="AK12" s="257">
        <f>AJ12*(1-$D$6)^2</f>
        <v>3190.5053462506089</v>
      </c>
      <c r="AL12" s="257">
        <f>AK12*(1-$D$6)^2</f>
        <v>3095.5080495659972</v>
      </c>
      <c r="AM12" s="257">
        <f>AL12*(1-$D$6)^2</f>
        <v>3003.3392973901696</v>
      </c>
      <c r="AN12" s="257">
        <f>AM12*(1-$D$6)^2</f>
        <v>2913.9148698103772</v>
      </c>
      <c r="AO12" s="257">
        <f>AN12*(1-$D$6)^2</f>
        <v>2827.1530545617734</v>
      </c>
      <c r="AP12" s="257">
        <f>AO12*(1-$D$6)^2</f>
        <v>2742.9745723621968</v>
      </c>
      <c r="AQ12" s="257">
        <f>AP12*(1-$D$6)^2</f>
        <v>2661.3025044701126</v>
      </c>
      <c r="AR12" s="257">
        <f>AQ12*(1-$D$6)^2</f>
        <v>2582.0622223995151</v>
      </c>
      <c r="AS12" s="89"/>
      <c r="AT12" s="94"/>
      <c r="AU12" s="94"/>
      <c r="AV12" s="94"/>
      <c r="AW12" s="94"/>
      <c r="AX12" s="94"/>
      <c r="AY12" s="94"/>
      <c r="AZ12" s="89"/>
      <c r="BA12" s="89"/>
      <c r="BB12" s="89"/>
      <c r="BC12" s="89"/>
      <c r="BD12" s="89"/>
      <c r="BE12" s="89"/>
      <c r="BF12" s="89"/>
    </row>
    <row r="13" spans="1:121" ht="20.25" customHeight="1" x14ac:dyDescent="0.4">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4">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x14ac:dyDescent="0.35">
      <c r="A15" s="100"/>
      <c r="B15" s="261"/>
      <c r="C15" s="258" t="s">
        <v>111</v>
      </c>
      <c r="D15" s="273">
        <v>30</v>
      </c>
      <c r="E15" s="117">
        <f>D15</f>
        <v>30</v>
      </c>
      <c r="F15" s="117">
        <f t="shared" ref="F15:V15" si="0">E15</f>
        <v>30</v>
      </c>
      <c r="G15" s="117">
        <f t="shared" si="0"/>
        <v>30</v>
      </c>
      <c r="H15" s="117">
        <f t="shared" si="0"/>
        <v>30</v>
      </c>
      <c r="I15" s="117">
        <f t="shared" si="0"/>
        <v>30</v>
      </c>
      <c r="J15" s="117">
        <f t="shared" si="0"/>
        <v>30</v>
      </c>
      <c r="K15" s="117">
        <f t="shared" si="0"/>
        <v>30</v>
      </c>
      <c r="L15" s="117">
        <f t="shared" si="0"/>
        <v>30</v>
      </c>
      <c r="M15" s="117">
        <f t="shared" si="0"/>
        <v>30</v>
      </c>
      <c r="N15" s="117">
        <f t="shared" si="0"/>
        <v>30</v>
      </c>
      <c r="O15" s="117">
        <f t="shared" si="0"/>
        <v>30</v>
      </c>
      <c r="P15" s="117">
        <f t="shared" si="0"/>
        <v>30</v>
      </c>
      <c r="Q15" s="117">
        <f t="shared" si="0"/>
        <v>30</v>
      </c>
      <c r="R15" s="117">
        <f t="shared" si="0"/>
        <v>30</v>
      </c>
      <c r="S15" s="117">
        <f t="shared" si="0"/>
        <v>30</v>
      </c>
      <c r="T15" s="117">
        <f t="shared" si="0"/>
        <v>30</v>
      </c>
      <c r="U15" s="117">
        <f t="shared" si="0"/>
        <v>30</v>
      </c>
      <c r="V15" s="117">
        <f t="shared" si="0"/>
        <v>30</v>
      </c>
      <c r="W15" s="88"/>
      <c r="X15" s="261"/>
      <c r="Y15" s="258" t="s">
        <v>111</v>
      </c>
      <c r="Z15" s="273">
        <v>50</v>
      </c>
      <c r="AA15" s="117">
        <f>Z15</f>
        <v>50</v>
      </c>
      <c r="AB15" s="117">
        <f t="shared" ref="AB15:AR15" si="1">AA15</f>
        <v>50</v>
      </c>
      <c r="AC15" s="117">
        <f t="shared" si="1"/>
        <v>50</v>
      </c>
      <c r="AD15" s="117">
        <f t="shared" si="1"/>
        <v>50</v>
      </c>
      <c r="AE15" s="117">
        <f t="shared" si="1"/>
        <v>50</v>
      </c>
      <c r="AF15" s="117">
        <f t="shared" si="1"/>
        <v>50</v>
      </c>
      <c r="AG15" s="117">
        <f t="shared" si="1"/>
        <v>50</v>
      </c>
      <c r="AH15" s="117">
        <f t="shared" si="1"/>
        <v>50</v>
      </c>
      <c r="AI15" s="117">
        <f t="shared" si="1"/>
        <v>50</v>
      </c>
      <c r="AJ15" s="117">
        <f t="shared" si="1"/>
        <v>50</v>
      </c>
      <c r="AK15" s="117">
        <f t="shared" si="1"/>
        <v>50</v>
      </c>
      <c r="AL15" s="117">
        <f t="shared" si="1"/>
        <v>50</v>
      </c>
      <c r="AM15" s="117">
        <f t="shared" si="1"/>
        <v>50</v>
      </c>
      <c r="AN15" s="117">
        <f t="shared" si="1"/>
        <v>50</v>
      </c>
      <c r="AO15" s="117">
        <f t="shared" si="1"/>
        <v>50</v>
      </c>
      <c r="AP15" s="117">
        <f t="shared" si="1"/>
        <v>50</v>
      </c>
      <c r="AQ15" s="117">
        <f t="shared" si="1"/>
        <v>50</v>
      </c>
      <c r="AR15" s="117">
        <f t="shared" si="1"/>
        <v>50</v>
      </c>
      <c r="AS15" s="90"/>
      <c r="AT15" s="94"/>
      <c r="AU15" s="94"/>
      <c r="AV15" s="94"/>
      <c r="AW15" s="94"/>
      <c r="AX15" s="94"/>
      <c r="AY15" s="94"/>
      <c r="AZ15" s="89"/>
      <c r="BA15" s="89"/>
      <c r="BB15" s="89"/>
      <c r="BC15" s="89"/>
      <c r="BD15" s="89"/>
      <c r="BE15" s="89"/>
      <c r="BF15" s="89"/>
    </row>
    <row r="16" spans="1:121" ht="18.75" customHeight="1" thickBot="1" x14ac:dyDescent="0.4">
      <c r="A16" s="88"/>
      <c r="B16" s="129"/>
      <c r="C16" s="262" t="s">
        <v>194</v>
      </c>
      <c r="D16" s="274">
        <v>336</v>
      </c>
      <c r="E16" s="335">
        <f>D16</f>
        <v>336</v>
      </c>
      <c r="F16" s="335">
        <f t="shared" ref="F16:V16" si="2">E16</f>
        <v>336</v>
      </c>
      <c r="G16" s="335">
        <f t="shared" si="2"/>
        <v>336</v>
      </c>
      <c r="H16" s="335">
        <f t="shared" si="2"/>
        <v>336</v>
      </c>
      <c r="I16" s="335">
        <f t="shared" si="2"/>
        <v>336</v>
      </c>
      <c r="J16" s="335">
        <f t="shared" si="2"/>
        <v>336</v>
      </c>
      <c r="K16" s="335">
        <f t="shared" si="2"/>
        <v>336</v>
      </c>
      <c r="L16" s="335">
        <f t="shared" si="2"/>
        <v>336</v>
      </c>
      <c r="M16" s="335">
        <f t="shared" si="2"/>
        <v>336</v>
      </c>
      <c r="N16" s="335">
        <f t="shared" si="2"/>
        <v>336</v>
      </c>
      <c r="O16" s="335">
        <f t="shared" si="2"/>
        <v>336</v>
      </c>
      <c r="P16" s="335">
        <f t="shared" si="2"/>
        <v>336</v>
      </c>
      <c r="Q16" s="335">
        <f t="shared" si="2"/>
        <v>336</v>
      </c>
      <c r="R16" s="335">
        <f t="shared" si="2"/>
        <v>336</v>
      </c>
      <c r="S16" s="335">
        <f t="shared" si="2"/>
        <v>336</v>
      </c>
      <c r="T16" s="335">
        <f t="shared" si="2"/>
        <v>336</v>
      </c>
      <c r="U16" s="335">
        <f t="shared" si="2"/>
        <v>336</v>
      </c>
      <c r="V16" s="335">
        <f t="shared" si="2"/>
        <v>336</v>
      </c>
      <c r="W16" s="88"/>
      <c r="X16" s="129"/>
      <c r="Y16" s="262" t="s">
        <v>194</v>
      </c>
      <c r="Z16" s="274">
        <v>10.757999999999999</v>
      </c>
      <c r="AA16" s="275">
        <f>Z16</f>
        <v>10.757999999999999</v>
      </c>
      <c r="AB16" s="275">
        <f t="shared" ref="AB16:AR16" si="3">AA16</f>
        <v>10.757999999999999</v>
      </c>
      <c r="AC16" s="275">
        <f t="shared" si="3"/>
        <v>10.757999999999999</v>
      </c>
      <c r="AD16" s="275">
        <f t="shared" si="3"/>
        <v>10.757999999999999</v>
      </c>
      <c r="AE16" s="275">
        <f t="shared" si="3"/>
        <v>10.757999999999999</v>
      </c>
      <c r="AF16" s="275">
        <f t="shared" si="3"/>
        <v>10.757999999999999</v>
      </c>
      <c r="AG16" s="275">
        <f t="shared" si="3"/>
        <v>10.757999999999999</v>
      </c>
      <c r="AH16" s="275">
        <f t="shared" si="3"/>
        <v>10.757999999999999</v>
      </c>
      <c r="AI16" s="275">
        <f t="shared" si="3"/>
        <v>10.757999999999999</v>
      </c>
      <c r="AJ16" s="275">
        <f t="shared" si="3"/>
        <v>10.757999999999999</v>
      </c>
      <c r="AK16" s="275">
        <f t="shared" si="3"/>
        <v>10.757999999999999</v>
      </c>
      <c r="AL16" s="275">
        <f t="shared" si="3"/>
        <v>10.757999999999999</v>
      </c>
      <c r="AM16" s="275">
        <f t="shared" si="3"/>
        <v>10.757999999999999</v>
      </c>
      <c r="AN16" s="275">
        <f t="shared" si="3"/>
        <v>10.757999999999999</v>
      </c>
      <c r="AO16" s="275">
        <f t="shared" si="3"/>
        <v>10.757999999999999</v>
      </c>
      <c r="AP16" s="275">
        <f t="shared" si="3"/>
        <v>10.757999999999999</v>
      </c>
      <c r="AQ16" s="275">
        <f t="shared" si="3"/>
        <v>10.757999999999999</v>
      </c>
      <c r="AR16" s="275">
        <f t="shared" si="3"/>
        <v>10.757999999999999</v>
      </c>
      <c r="AS16" s="94"/>
      <c r="AT16" s="94"/>
      <c r="AU16" s="94"/>
      <c r="AV16" s="94"/>
      <c r="AW16" s="94"/>
      <c r="AX16" s="94"/>
      <c r="AY16" s="94"/>
      <c r="AZ16" s="93"/>
      <c r="BA16" s="89"/>
      <c r="BB16" s="89"/>
      <c r="BC16" s="89"/>
      <c r="BD16" s="89"/>
      <c r="BE16" s="89"/>
      <c r="BF16" s="89"/>
      <c r="BG16" s="89"/>
      <c r="BH16" s="89"/>
    </row>
    <row r="17" spans="1:62" ht="15.6" thickBot="1" x14ac:dyDescent="0.4">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x14ac:dyDescent="0.35">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110</v>
      </c>
      <c r="D19" s="270">
        <v>9226</v>
      </c>
      <c r="E19" s="257">
        <f>D19*(1-$D$5)^2</f>
        <v>8680.7433999999994</v>
      </c>
      <c r="F19" s="257">
        <f t="shared" ref="F19:V19" si="4">E19*(1-$D$5)^2</f>
        <v>8167.7114650599988</v>
      </c>
      <c r="G19" s="257">
        <f t="shared" si="4"/>
        <v>7684.9997174749524</v>
      </c>
      <c r="H19" s="257">
        <f t="shared" si="4"/>
        <v>7230.8162341721827</v>
      </c>
      <c r="I19" s="257">
        <f t="shared" si="4"/>
        <v>6803.4749947326063</v>
      </c>
      <c r="J19" s="257">
        <f t="shared" si="4"/>
        <v>6401.3896225439094</v>
      </c>
      <c r="K19" s="257">
        <f t="shared" si="4"/>
        <v>6023.0674958515638</v>
      </c>
      <c r="L19" s="257">
        <f t="shared" si="4"/>
        <v>5667.1042068467359</v>
      </c>
      <c r="M19" s="257">
        <f t="shared" si="4"/>
        <v>5332.1783482220935</v>
      </c>
      <c r="N19" s="257">
        <f t="shared" si="4"/>
        <v>5017.0466078421678</v>
      </c>
      <c r="O19" s="257">
        <f t="shared" si="4"/>
        <v>4720.5391533186958</v>
      </c>
      <c r="P19" s="257">
        <f t="shared" si="4"/>
        <v>4441.5552893575605</v>
      </c>
      <c r="Q19" s="257">
        <f t="shared" si="4"/>
        <v>4179.0593717565289</v>
      </c>
      <c r="R19" s="257">
        <f t="shared" si="4"/>
        <v>3932.0769628857179</v>
      </c>
      <c r="S19" s="257">
        <f t="shared" si="4"/>
        <v>3699.6912143791719</v>
      </c>
      <c r="T19" s="257">
        <f t="shared" si="4"/>
        <v>3481.0394636093629</v>
      </c>
      <c r="U19" s="257">
        <f t="shared" si="4"/>
        <v>3275.3100313100495</v>
      </c>
      <c r="V19" s="257">
        <f t="shared" si="4"/>
        <v>3081.7392084596254</v>
      </c>
      <c r="W19" s="88"/>
      <c r="X19" s="255"/>
      <c r="Y19" s="256" t="s">
        <v>110</v>
      </c>
      <c r="Z19" s="268">
        <v>3603</v>
      </c>
      <c r="AA19" s="257">
        <f>Z19*(1-$D$6)^2</f>
        <v>3495.720675</v>
      </c>
      <c r="AB19" s="257">
        <f t="shared" ref="AB19:AR19" si="5">AA19*(1-$D$6)^2</f>
        <v>3391.6355919018752</v>
      </c>
      <c r="AC19" s="257">
        <f t="shared" si="5"/>
        <v>3290.6496421529969</v>
      </c>
      <c r="AD19" s="257">
        <f t="shared" si="5"/>
        <v>3192.6705490578915</v>
      </c>
      <c r="AE19" s="257">
        <f t="shared" si="5"/>
        <v>3097.6087834596929</v>
      </c>
      <c r="AF19" s="257">
        <f t="shared" si="5"/>
        <v>3005.3774819321807</v>
      </c>
      <c r="AG19" s="257">
        <f t="shared" si="5"/>
        <v>2915.89236740765</v>
      </c>
      <c r="AH19" s="257">
        <f t="shared" si="5"/>
        <v>2829.0716721680874</v>
      </c>
      <c r="AI19" s="257">
        <f t="shared" si="5"/>
        <v>2744.8360631292826</v>
      </c>
      <c r="AJ19" s="257">
        <f t="shared" si="5"/>
        <v>2663.1085693496084</v>
      </c>
      <c r="AK19" s="257">
        <f t="shared" si="5"/>
        <v>2583.8145116972237</v>
      </c>
      <c r="AL19" s="257">
        <f t="shared" si="5"/>
        <v>2506.8814346114386</v>
      </c>
      <c r="AM19" s="257">
        <f t="shared" si="5"/>
        <v>2432.2390398958833</v>
      </c>
      <c r="AN19" s="257">
        <f t="shared" si="5"/>
        <v>2359.8191224829834</v>
      </c>
      <c r="AO19" s="257">
        <f t="shared" si="5"/>
        <v>2289.5555081110524</v>
      </c>
      <c r="AP19" s="257">
        <f t="shared" si="5"/>
        <v>2221.383992857046</v>
      </c>
      <c r="AQ19" s="257">
        <f t="shared" si="5"/>
        <v>2155.2422844697276</v>
      </c>
      <c r="AR19" s="257">
        <f t="shared" si="5"/>
        <v>2091.0699454496416</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1"/>
      <c r="C22" s="258" t="s">
        <v>111</v>
      </c>
      <c r="D22" s="273">
        <v>30</v>
      </c>
      <c r="E22" s="117">
        <f>D22</f>
        <v>30</v>
      </c>
      <c r="F22" s="117">
        <f t="shared" ref="F22:V22" si="6">E22</f>
        <v>30</v>
      </c>
      <c r="G22" s="117">
        <f t="shared" si="6"/>
        <v>30</v>
      </c>
      <c r="H22" s="117">
        <f t="shared" si="6"/>
        <v>30</v>
      </c>
      <c r="I22" s="117">
        <f t="shared" si="6"/>
        <v>30</v>
      </c>
      <c r="J22" s="117">
        <f t="shared" si="6"/>
        <v>30</v>
      </c>
      <c r="K22" s="117">
        <f t="shared" si="6"/>
        <v>30</v>
      </c>
      <c r="L22" s="117">
        <f t="shared" si="6"/>
        <v>30</v>
      </c>
      <c r="M22" s="117">
        <f t="shared" si="6"/>
        <v>30</v>
      </c>
      <c r="N22" s="117">
        <f t="shared" si="6"/>
        <v>30</v>
      </c>
      <c r="O22" s="117">
        <f t="shared" si="6"/>
        <v>30</v>
      </c>
      <c r="P22" s="117">
        <f t="shared" si="6"/>
        <v>30</v>
      </c>
      <c r="Q22" s="117">
        <f t="shared" si="6"/>
        <v>30</v>
      </c>
      <c r="R22" s="117">
        <f t="shared" si="6"/>
        <v>30</v>
      </c>
      <c r="S22" s="117">
        <f t="shared" si="6"/>
        <v>30</v>
      </c>
      <c r="T22" s="117">
        <f t="shared" si="6"/>
        <v>30</v>
      </c>
      <c r="U22" s="117">
        <f t="shared" si="6"/>
        <v>30</v>
      </c>
      <c r="V22" s="117">
        <f t="shared" si="6"/>
        <v>30</v>
      </c>
      <c r="W22" s="88"/>
      <c r="X22" s="261"/>
      <c r="Y22" s="258" t="s">
        <v>111</v>
      </c>
      <c r="Z22" s="273">
        <v>50</v>
      </c>
      <c r="AA22" s="117">
        <f>Z22</f>
        <v>50</v>
      </c>
      <c r="AB22" s="117">
        <f t="shared" ref="AB22:AR22" si="7">AA22</f>
        <v>50</v>
      </c>
      <c r="AC22" s="117">
        <f t="shared" si="7"/>
        <v>50</v>
      </c>
      <c r="AD22" s="117">
        <f t="shared" si="7"/>
        <v>50</v>
      </c>
      <c r="AE22" s="117">
        <f t="shared" si="7"/>
        <v>50</v>
      </c>
      <c r="AF22" s="117">
        <f t="shared" si="7"/>
        <v>50</v>
      </c>
      <c r="AG22" s="117">
        <f t="shared" si="7"/>
        <v>50</v>
      </c>
      <c r="AH22" s="117">
        <f t="shared" si="7"/>
        <v>50</v>
      </c>
      <c r="AI22" s="117">
        <f t="shared" si="7"/>
        <v>50</v>
      </c>
      <c r="AJ22" s="117">
        <f t="shared" si="7"/>
        <v>50</v>
      </c>
      <c r="AK22" s="117">
        <f t="shared" si="7"/>
        <v>50</v>
      </c>
      <c r="AL22" s="117">
        <f t="shared" si="7"/>
        <v>50</v>
      </c>
      <c r="AM22" s="117">
        <f t="shared" si="7"/>
        <v>50</v>
      </c>
      <c r="AN22" s="117">
        <f t="shared" si="7"/>
        <v>50</v>
      </c>
      <c r="AO22" s="117">
        <f t="shared" si="7"/>
        <v>50</v>
      </c>
      <c r="AP22" s="117">
        <f t="shared" si="7"/>
        <v>50</v>
      </c>
      <c r="AQ22" s="117">
        <f t="shared" si="7"/>
        <v>50</v>
      </c>
      <c r="AR22" s="117">
        <f t="shared" si="7"/>
        <v>50</v>
      </c>
      <c r="AS22" s="89"/>
      <c r="AT22" s="94"/>
      <c r="AU22" s="94"/>
      <c r="AV22" s="94"/>
      <c r="AW22" s="94"/>
      <c r="AX22" s="94"/>
      <c r="AY22" s="94"/>
      <c r="AZ22" s="334"/>
      <c r="BA22" s="96"/>
      <c r="BB22" s="93"/>
      <c r="BC22" s="89"/>
      <c r="BD22" s="89"/>
      <c r="BE22" s="89"/>
      <c r="BF22" s="89"/>
      <c r="BG22" s="89"/>
      <c r="BH22" s="89"/>
      <c r="BI22" s="89"/>
      <c r="BJ22" s="89"/>
    </row>
    <row r="23" spans="1:62" ht="15.6" thickBot="1" x14ac:dyDescent="0.4">
      <c r="A23" s="88"/>
      <c r="B23" s="129"/>
      <c r="C23" s="262" t="s">
        <v>194</v>
      </c>
      <c r="D23" s="274">
        <v>145.16483010102866</v>
      </c>
      <c r="E23" s="275">
        <f>D23</f>
        <v>145.16483010102866</v>
      </c>
      <c r="F23" s="275">
        <f t="shared" ref="F23:V23" si="8">E23</f>
        <v>145.16483010102866</v>
      </c>
      <c r="G23" s="275">
        <f t="shared" si="8"/>
        <v>145.16483010102866</v>
      </c>
      <c r="H23" s="275">
        <f t="shared" si="8"/>
        <v>145.16483010102866</v>
      </c>
      <c r="I23" s="275">
        <f t="shared" si="8"/>
        <v>145.16483010102866</v>
      </c>
      <c r="J23" s="275">
        <f t="shared" si="8"/>
        <v>145.16483010102866</v>
      </c>
      <c r="K23" s="275">
        <f t="shared" si="8"/>
        <v>145.16483010102866</v>
      </c>
      <c r="L23" s="275">
        <f t="shared" si="8"/>
        <v>145.16483010102866</v>
      </c>
      <c r="M23" s="275">
        <f t="shared" si="8"/>
        <v>145.16483010102866</v>
      </c>
      <c r="N23" s="275">
        <f t="shared" si="8"/>
        <v>145.16483010102866</v>
      </c>
      <c r="O23" s="275">
        <f t="shared" si="8"/>
        <v>145.16483010102866</v>
      </c>
      <c r="P23" s="275">
        <f t="shared" si="8"/>
        <v>145.16483010102866</v>
      </c>
      <c r="Q23" s="275">
        <f t="shared" si="8"/>
        <v>145.16483010102866</v>
      </c>
      <c r="R23" s="275">
        <f t="shared" si="8"/>
        <v>145.16483010102866</v>
      </c>
      <c r="S23" s="275">
        <f t="shared" si="8"/>
        <v>145.16483010102866</v>
      </c>
      <c r="T23" s="275">
        <f t="shared" si="8"/>
        <v>145.16483010102866</v>
      </c>
      <c r="U23" s="275">
        <f t="shared" si="8"/>
        <v>145.16483010102866</v>
      </c>
      <c r="V23" s="275">
        <f t="shared" si="8"/>
        <v>145.16483010102866</v>
      </c>
      <c r="W23" s="88"/>
      <c r="X23" s="129"/>
      <c r="Y23" s="262" t="s">
        <v>194</v>
      </c>
      <c r="Z23" s="274">
        <v>9.8829999999999991</v>
      </c>
      <c r="AA23" s="275">
        <f>Z23</f>
        <v>9.8829999999999991</v>
      </c>
      <c r="AB23" s="275">
        <f t="shared" ref="AB23:AR23" si="9">AA23</f>
        <v>9.8829999999999991</v>
      </c>
      <c r="AC23" s="275">
        <f t="shared" si="9"/>
        <v>9.8829999999999991</v>
      </c>
      <c r="AD23" s="275">
        <f t="shared" si="9"/>
        <v>9.8829999999999991</v>
      </c>
      <c r="AE23" s="275">
        <f t="shared" si="9"/>
        <v>9.8829999999999991</v>
      </c>
      <c r="AF23" s="275">
        <f t="shared" si="9"/>
        <v>9.8829999999999991</v>
      </c>
      <c r="AG23" s="275">
        <f t="shared" si="9"/>
        <v>9.8829999999999991</v>
      </c>
      <c r="AH23" s="275">
        <f t="shared" si="9"/>
        <v>9.8829999999999991</v>
      </c>
      <c r="AI23" s="275">
        <f t="shared" si="9"/>
        <v>9.8829999999999991</v>
      </c>
      <c r="AJ23" s="275">
        <f t="shared" si="9"/>
        <v>9.8829999999999991</v>
      </c>
      <c r="AK23" s="275">
        <f t="shared" si="9"/>
        <v>9.8829999999999991</v>
      </c>
      <c r="AL23" s="275">
        <f t="shared" si="9"/>
        <v>9.8829999999999991</v>
      </c>
      <c r="AM23" s="275">
        <f t="shared" si="9"/>
        <v>9.8829999999999991</v>
      </c>
      <c r="AN23" s="275">
        <f t="shared" si="9"/>
        <v>9.8829999999999991</v>
      </c>
      <c r="AO23" s="275">
        <f t="shared" si="9"/>
        <v>9.8829999999999991</v>
      </c>
      <c r="AP23" s="275">
        <f t="shared" si="9"/>
        <v>9.8829999999999991</v>
      </c>
      <c r="AQ23" s="275">
        <f t="shared" si="9"/>
        <v>9.8829999999999991</v>
      </c>
      <c r="AR23" s="275">
        <f t="shared" si="9"/>
        <v>9.8829999999999991</v>
      </c>
      <c r="AS23" s="89"/>
      <c r="AT23" s="94"/>
      <c r="AU23" s="94"/>
      <c r="AV23" s="94"/>
      <c r="AW23" s="94"/>
      <c r="AX23" s="94"/>
      <c r="AY23" s="94"/>
      <c r="AZ23" s="95"/>
      <c r="BA23" s="96"/>
      <c r="BB23" s="93"/>
      <c r="BC23" s="89"/>
      <c r="BD23" s="89"/>
      <c r="BE23" s="89"/>
      <c r="BF23" s="89"/>
      <c r="BG23" s="89"/>
      <c r="BH23" s="89"/>
      <c r="BI23" s="89"/>
      <c r="BJ23" s="89"/>
    </row>
    <row r="24" spans="1:62" ht="15.6"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x14ac:dyDescent="0.35">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110</v>
      </c>
      <c r="D26" s="268">
        <v>8380</v>
      </c>
      <c r="E26" s="257">
        <f>D26*(1-$D$5)^2</f>
        <v>7884.7419999999993</v>
      </c>
      <c r="F26" s="257">
        <f t="shared" ref="F26:V26" si="10">E26*(1-$D$5)^2</f>
        <v>7418.7537477999986</v>
      </c>
      <c r="G26" s="257">
        <f t="shared" si="10"/>
        <v>6980.3054013050187</v>
      </c>
      <c r="H26" s="257">
        <f t="shared" si="10"/>
        <v>6567.769352087892</v>
      </c>
      <c r="I26" s="257">
        <f t="shared" si="10"/>
        <v>6179.6141833794973</v>
      </c>
      <c r="J26" s="257">
        <f t="shared" si="10"/>
        <v>5814.3989851417691</v>
      </c>
      <c r="K26" s="257">
        <f t="shared" si="10"/>
        <v>5470.7680051198904</v>
      </c>
      <c r="L26" s="257">
        <f t="shared" si="10"/>
        <v>5147.4456160173049</v>
      </c>
      <c r="M26" s="257">
        <f t="shared" si="10"/>
        <v>4843.2315801106824</v>
      </c>
      <c r="N26" s="257">
        <f t="shared" si="10"/>
        <v>4556.9965937261413</v>
      </c>
      <c r="O26" s="257">
        <f t="shared" si="10"/>
        <v>4287.6780950369266</v>
      </c>
      <c r="P26" s="257">
        <f t="shared" si="10"/>
        <v>4034.2763196202441</v>
      </c>
      <c r="Q26" s="257">
        <f t="shared" si="10"/>
        <v>3795.8505891306877</v>
      </c>
      <c r="R26" s="257">
        <f t="shared" si="10"/>
        <v>3571.5158193130637</v>
      </c>
      <c r="S26" s="257">
        <f t="shared" si="10"/>
        <v>3360.4392343916616</v>
      </c>
      <c r="T26" s="257">
        <f t="shared" si="10"/>
        <v>3161.8372756391141</v>
      </c>
      <c r="U26" s="257">
        <f t="shared" si="10"/>
        <v>2974.9726926488424</v>
      </c>
      <c r="V26" s="257">
        <f t="shared" si="10"/>
        <v>2799.1518065132959</v>
      </c>
      <c r="W26" s="88"/>
      <c r="X26" s="255"/>
      <c r="Y26" s="256" t="s">
        <v>110</v>
      </c>
      <c r="Z26" s="268">
        <v>3108</v>
      </c>
      <c r="AA26" s="257">
        <f>Z26*(1-$D$7)^2</f>
        <v>3052.3077479999997</v>
      </c>
      <c r="AB26" s="257">
        <f t="shared" ref="AB26:AR26" si="11">AA26*(1-$D$7)^2</f>
        <v>2997.6134454635876</v>
      </c>
      <c r="AC26" s="257">
        <f t="shared" si="11"/>
        <v>2943.8992101343256</v>
      </c>
      <c r="AD26" s="257">
        <f t="shared" si="11"/>
        <v>2891.1474801879285</v>
      </c>
      <c r="AE26" s="257">
        <f t="shared" si="11"/>
        <v>2839.3410084904408</v>
      </c>
      <c r="AF26" s="257">
        <f t="shared" si="11"/>
        <v>2788.4628569593006</v>
      </c>
      <c r="AG26" s="257">
        <f t="shared" si="11"/>
        <v>2738.4963910254469</v>
      </c>
      <c r="AH26" s="257">
        <f t="shared" si="11"/>
        <v>2689.4252741946621</v>
      </c>
      <c r="AI26" s="257">
        <f t="shared" si="11"/>
        <v>2641.2334627063678</v>
      </c>
      <c r="AJ26" s="257">
        <f t="shared" si="11"/>
        <v>2593.9052002881326</v>
      </c>
      <c r="AK26" s="257">
        <f t="shared" si="11"/>
        <v>2547.4250130041696</v>
      </c>
      <c r="AL26" s="257">
        <f t="shared" si="11"/>
        <v>2501.7777041961481</v>
      </c>
      <c r="AM26" s="257">
        <f t="shared" si="11"/>
        <v>2456.9483495146574</v>
      </c>
      <c r="AN26" s="257">
        <f t="shared" si="11"/>
        <v>2412.9222920397042</v>
      </c>
      <c r="AO26" s="257">
        <f t="shared" si="11"/>
        <v>2369.6851374886446</v>
      </c>
      <c r="AP26" s="257">
        <f t="shared" si="11"/>
        <v>2327.2227495099855</v>
      </c>
      <c r="AQ26" s="257">
        <f t="shared" si="11"/>
        <v>2285.5212450615159</v>
      </c>
      <c r="AR26" s="257">
        <f t="shared" si="11"/>
        <v>2244.5669898712586</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1"/>
      <c r="C29" s="258" t="s">
        <v>111</v>
      </c>
      <c r="D29" s="273">
        <v>30</v>
      </c>
      <c r="E29" s="117">
        <f>D29</f>
        <v>30</v>
      </c>
      <c r="F29" s="117">
        <f t="shared" ref="F29:V29" si="12">E29</f>
        <v>30</v>
      </c>
      <c r="G29" s="117">
        <f t="shared" si="12"/>
        <v>30</v>
      </c>
      <c r="H29" s="117">
        <f t="shared" si="12"/>
        <v>30</v>
      </c>
      <c r="I29" s="117">
        <f t="shared" si="12"/>
        <v>30</v>
      </c>
      <c r="J29" s="117">
        <f t="shared" si="12"/>
        <v>30</v>
      </c>
      <c r="K29" s="117">
        <f t="shared" si="12"/>
        <v>30</v>
      </c>
      <c r="L29" s="117">
        <f t="shared" si="12"/>
        <v>30</v>
      </c>
      <c r="M29" s="117">
        <f t="shared" si="12"/>
        <v>30</v>
      </c>
      <c r="N29" s="117">
        <f t="shared" si="12"/>
        <v>30</v>
      </c>
      <c r="O29" s="117">
        <f t="shared" si="12"/>
        <v>30</v>
      </c>
      <c r="P29" s="117">
        <f t="shared" si="12"/>
        <v>30</v>
      </c>
      <c r="Q29" s="117">
        <f t="shared" si="12"/>
        <v>30</v>
      </c>
      <c r="R29" s="117">
        <f t="shared" si="12"/>
        <v>30</v>
      </c>
      <c r="S29" s="117">
        <f t="shared" si="12"/>
        <v>30</v>
      </c>
      <c r="T29" s="117">
        <f t="shared" si="12"/>
        <v>30</v>
      </c>
      <c r="U29" s="117">
        <f t="shared" si="12"/>
        <v>30</v>
      </c>
      <c r="V29" s="117">
        <f t="shared" si="12"/>
        <v>30</v>
      </c>
      <c r="W29" s="88"/>
      <c r="X29" s="261"/>
      <c r="Y29" s="258" t="s">
        <v>111</v>
      </c>
      <c r="Z29" s="273">
        <v>50</v>
      </c>
      <c r="AA29" s="117">
        <f>Z29</f>
        <v>50</v>
      </c>
      <c r="AB29" s="117">
        <f t="shared" ref="AB29:AR29" si="13">AA29</f>
        <v>50</v>
      </c>
      <c r="AC29" s="117">
        <f t="shared" si="13"/>
        <v>50</v>
      </c>
      <c r="AD29" s="117">
        <f t="shared" si="13"/>
        <v>50</v>
      </c>
      <c r="AE29" s="117">
        <f t="shared" si="13"/>
        <v>50</v>
      </c>
      <c r="AF29" s="117">
        <f t="shared" si="13"/>
        <v>50</v>
      </c>
      <c r="AG29" s="117">
        <f t="shared" si="13"/>
        <v>50</v>
      </c>
      <c r="AH29" s="117">
        <f t="shared" si="13"/>
        <v>50</v>
      </c>
      <c r="AI29" s="117">
        <f t="shared" si="13"/>
        <v>50</v>
      </c>
      <c r="AJ29" s="117">
        <f t="shared" si="13"/>
        <v>50</v>
      </c>
      <c r="AK29" s="117">
        <f t="shared" si="13"/>
        <v>50</v>
      </c>
      <c r="AL29" s="117">
        <f t="shared" si="13"/>
        <v>50</v>
      </c>
      <c r="AM29" s="117">
        <f t="shared" si="13"/>
        <v>50</v>
      </c>
      <c r="AN29" s="117">
        <f t="shared" si="13"/>
        <v>50</v>
      </c>
      <c r="AO29" s="117">
        <f t="shared" si="13"/>
        <v>50</v>
      </c>
      <c r="AP29" s="117">
        <f t="shared" si="13"/>
        <v>50</v>
      </c>
      <c r="AQ29" s="117">
        <f t="shared" si="13"/>
        <v>50</v>
      </c>
      <c r="AR29" s="117">
        <f t="shared" si="13"/>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2" t="s">
        <v>194</v>
      </c>
      <c r="D30" s="274">
        <v>105.41977076772139</v>
      </c>
      <c r="E30" s="275">
        <f>D30</f>
        <v>105.41977076772139</v>
      </c>
      <c r="F30" s="275">
        <f t="shared" ref="F30:V30" si="14">E30</f>
        <v>105.41977076772139</v>
      </c>
      <c r="G30" s="275">
        <f t="shared" si="14"/>
        <v>105.41977076772139</v>
      </c>
      <c r="H30" s="275">
        <f t="shared" si="14"/>
        <v>105.41977076772139</v>
      </c>
      <c r="I30" s="275">
        <f t="shared" si="14"/>
        <v>105.41977076772139</v>
      </c>
      <c r="J30" s="275">
        <f t="shared" si="14"/>
        <v>105.41977076772139</v>
      </c>
      <c r="K30" s="275">
        <f t="shared" si="14"/>
        <v>105.41977076772139</v>
      </c>
      <c r="L30" s="275">
        <f t="shared" si="14"/>
        <v>105.41977076772139</v>
      </c>
      <c r="M30" s="275">
        <f t="shared" si="14"/>
        <v>105.41977076772139</v>
      </c>
      <c r="N30" s="275">
        <f t="shared" si="14"/>
        <v>105.41977076772139</v>
      </c>
      <c r="O30" s="275">
        <f t="shared" si="14"/>
        <v>105.41977076772139</v>
      </c>
      <c r="P30" s="275">
        <f t="shared" si="14"/>
        <v>105.41977076772139</v>
      </c>
      <c r="Q30" s="275">
        <f t="shared" si="14"/>
        <v>105.41977076772139</v>
      </c>
      <c r="R30" s="275">
        <f t="shared" si="14"/>
        <v>105.41977076772139</v>
      </c>
      <c r="S30" s="275">
        <f t="shared" si="14"/>
        <v>105.41977076772139</v>
      </c>
      <c r="T30" s="275">
        <f t="shared" si="14"/>
        <v>105.41977076772139</v>
      </c>
      <c r="U30" s="275">
        <f t="shared" si="14"/>
        <v>105.41977076772139</v>
      </c>
      <c r="V30" s="275">
        <f t="shared" si="14"/>
        <v>105.41977076772139</v>
      </c>
      <c r="W30" s="88"/>
      <c r="X30" s="129"/>
      <c r="Y30" s="262" t="s">
        <v>194</v>
      </c>
      <c r="Z30" s="274">
        <v>9.0079999999999991</v>
      </c>
      <c r="AA30" s="275">
        <f>Z30</f>
        <v>9.0079999999999991</v>
      </c>
      <c r="AB30" s="275">
        <f t="shared" ref="AB30:AR30" si="15">AA30</f>
        <v>9.0079999999999991</v>
      </c>
      <c r="AC30" s="275">
        <f t="shared" si="15"/>
        <v>9.0079999999999991</v>
      </c>
      <c r="AD30" s="275">
        <f t="shared" si="15"/>
        <v>9.0079999999999991</v>
      </c>
      <c r="AE30" s="275">
        <f t="shared" si="15"/>
        <v>9.0079999999999991</v>
      </c>
      <c r="AF30" s="275">
        <f t="shared" si="15"/>
        <v>9.0079999999999991</v>
      </c>
      <c r="AG30" s="275">
        <f t="shared" si="15"/>
        <v>9.0079999999999991</v>
      </c>
      <c r="AH30" s="275">
        <f t="shared" si="15"/>
        <v>9.0079999999999991</v>
      </c>
      <c r="AI30" s="275">
        <f t="shared" si="15"/>
        <v>9.0079999999999991</v>
      </c>
      <c r="AJ30" s="275">
        <f t="shared" si="15"/>
        <v>9.0079999999999991</v>
      </c>
      <c r="AK30" s="275">
        <f t="shared" si="15"/>
        <v>9.0079999999999991</v>
      </c>
      <c r="AL30" s="275">
        <f t="shared" si="15"/>
        <v>9.0079999999999991</v>
      </c>
      <c r="AM30" s="275">
        <f t="shared" si="15"/>
        <v>9.0079999999999991</v>
      </c>
      <c r="AN30" s="275">
        <f t="shared" si="15"/>
        <v>9.0079999999999991</v>
      </c>
      <c r="AO30" s="275">
        <f t="shared" si="15"/>
        <v>9.0079999999999991</v>
      </c>
      <c r="AP30" s="275">
        <f t="shared" si="15"/>
        <v>9.0079999999999991</v>
      </c>
      <c r="AQ30" s="275">
        <f t="shared" si="15"/>
        <v>9.0079999999999991</v>
      </c>
      <c r="AR30" s="275">
        <f t="shared" si="15"/>
        <v>9.0079999999999991</v>
      </c>
      <c r="AS30" s="89"/>
      <c r="AT30" s="94"/>
      <c r="AU30" s="94"/>
      <c r="AV30" s="94"/>
      <c r="AW30" s="94"/>
      <c r="AX30" s="94"/>
      <c r="AY30" s="94"/>
      <c r="AZ30" s="95"/>
      <c r="BA30" s="96"/>
      <c r="BB30" s="93"/>
      <c r="BC30" s="89"/>
      <c r="BD30" s="89"/>
      <c r="BE30" s="89"/>
      <c r="BF30" s="89"/>
      <c r="BG30" s="89"/>
      <c r="BH30" s="89"/>
      <c r="BI30" s="89"/>
      <c r="BJ30" s="89"/>
    </row>
    <row r="31" spans="1:62" ht="15.6"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x14ac:dyDescent="0.35">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110</v>
      </c>
      <c r="D33" s="268">
        <v>7533</v>
      </c>
      <c r="E33" s="257">
        <f>D33*(1-$D$5)^2</f>
        <v>7087.7996999999996</v>
      </c>
      <c r="F33" s="257">
        <f t="shared" ref="F33:V33" si="16">E33*(1-$D$5)^2</f>
        <v>6668.9107377299997</v>
      </c>
      <c r="G33" s="257">
        <f t="shared" si="16"/>
        <v>6274.7781131301563</v>
      </c>
      <c r="H33" s="257">
        <f t="shared" si="16"/>
        <v>5903.9387266441636</v>
      </c>
      <c r="I33" s="257">
        <f t="shared" si="16"/>
        <v>5555.0159478994929</v>
      </c>
      <c r="J33" s="257">
        <f t="shared" si="16"/>
        <v>5226.7145053786326</v>
      </c>
      <c r="K33" s="257">
        <f t="shared" si="16"/>
        <v>4917.8156781107555</v>
      </c>
      <c r="L33" s="257">
        <f t="shared" si="16"/>
        <v>4627.1727715344095</v>
      </c>
      <c r="M33" s="257">
        <f t="shared" si="16"/>
        <v>4353.7068607367255</v>
      </c>
      <c r="N33" s="257">
        <f t="shared" si="16"/>
        <v>4096.4027852671852</v>
      </c>
      <c r="O33" s="257">
        <f t="shared" si="16"/>
        <v>3854.3053806578946</v>
      </c>
      <c r="P33" s="257">
        <f t="shared" si="16"/>
        <v>3626.5159326610128</v>
      </c>
      <c r="Q33" s="257">
        <f t="shared" si="16"/>
        <v>3412.1888410407469</v>
      </c>
      <c r="R33" s="257">
        <f t="shared" si="16"/>
        <v>3210.5284805352385</v>
      </c>
      <c r="S33" s="257">
        <f t="shared" si="16"/>
        <v>3020.7862473356058</v>
      </c>
      <c r="T33" s="257">
        <f t="shared" si="16"/>
        <v>2842.2577801180714</v>
      </c>
      <c r="U33" s="257">
        <f t="shared" si="16"/>
        <v>2674.2803453130932</v>
      </c>
      <c r="V33" s="257">
        <f t="shared" si="16"/>
        <v>2516.2303769050891</v>
      </c>
      <c r="W33" s="88"/>
      <c r="X33" s="255"/>
      <c r="Y33" s="256" t="s">
        <v>110</v>
      </c>
      <c r="Z33" s="268">
        <v>2757</v>
      </c>
      <c r="AA33" s="257">
        <f>Z33*(1-$D$7)^2</f>
        <v>2707.5973169999997</v>
      </c>
      <c r="AB33" s="257">
        <f t="shared" ref="AB33:AR33" si="17">AA33*(1-$D$7)^2</f>
        <v>2659.0798806766766</v>
      </c>
      <c r="AC33" s="257">
        <f t="shared" si="17"/>
        <v>2611.4318282948311</v>
      </c>
      <c r="AD33" s="257">
        <f t="shared" si="17"/>
        <v>2564.6375813636159</v>
      </c>
      <c r="AE33" s="257">
        <f t="shared" si="17"/>
        <v>2518.6818405431613</v>
      </c>
      <c r="AF33" s="257">
        <f t="shared" si="17"/>
        <v>2473.5495806424683</v>
      </c>
      <c r="AG33" s="257">
        <f t="shared" si="17"/>
        <v>2429.226045706936</v>
      </c>
      <c r="AH33" s="257">
        <f t="shared" si="17"/>
        <v>2385.6967441939132</v>
      </c>
      <c r="AI33" s="257">
        <f t="shared" si="17"/>
        <v>2342.9474442347023</v>
      </c>
      <c r="AJ33" s="257">
        <f t="shared" si="17"/>
        <v>2300.9641689814607</v>
      </c>
      <c r="AK33" s="257">
        <f t="shared" si="17"/>
        <v>2259.7331920374818</v>
      </c>
      <c r="AL33" s="257">
        <f t="shared" si="17"/>
        <v>2219.2410329693621</v>
      </c>
      <c r="AM33" s="257">
        <f t="shared" si="17"/>
        <v>2179.4744528995839</v>
      </c>
      <c r="AN33" s="257">
        <f t="shared" si="17"/>
        <v>2140.4204501780764</v>
      </c>
      <c r="AO33" s="257">
        <f t="shared" si="17"/>
        <v>2102.0662561313352</v>
      </c>
      <c r="AP33" s="257">
        <f t="shared" si="17"/>
        <v>2064.399330887718</v>
      </c>
      <c r="AQ33" s="257">
        <f t="shared" si="17"/>
        <v>2027.407359277541</v>
      </c>
      <c r="AR33" s="257">
        <f t="shared" si="17"/>
        <v>1991.0782468066468</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1"/>
      <c r="C36" s="258" t="s">
        <v>111</v>
      </c>
      <c r="D36" s="273">
        <v>30</v>
      </c>
      <c r="E36" s="117">
        <f>D36</f>
        <v>30</v>
      </c>
      <c r="F36" s="117">
        <f t="shared" ref="F36:V36" si="18">E36</f>
        <v>30</v>
      </c>
      <c r="G36" s="117">
        <f t="shared" si="18"/>
        <v>30</v>
      </c>
      <c r="H36" s="117">
        <f t="shared" si="18"/>
        <v>30</v>
      </c>
      <c r="I36" s="117">
        <f t="shared" si="18"/>
        <v>30</v>
      </c>
      <c r="J36" s="117">
        <f t="shared" si="18"/>
        <v>30</v>
      </c>
      <c r="K36" s="117">
        <f t="shared" si="18"/>
        <v>30</v>
      </c>
      <c r="L36" s="117">
        <f t="shared" si="18"/>
        <v>30</v>
      </c>
      <c r="M36" s="117">
        <f t="shared" si="18"/>
        <v>30</v>
      </c>
      <c r="N36" s="117">
        <f t="shared" si="18"/>
        <v>30</v>
      </c>
      <c r="O36" s="117">
        <f t="shared" si="18"/>
        <v>30</v>
      </c>
      <c r="P36" s="117">
        <f t="shared" si="18"/>
        <v>30</v>
      </c>
      <c r="Q36" s="117">
        <f t="shared" si="18"/>
        <v>30</v>
      </c>
      <c r="R36" s="117">
        <f t="shared" si="18"/>
        <v>30</v>
      </c>
      <c r="S36" s="117">
        <f t="shared" si="18"/>
        <v>30</v>
      </c>
      <c r="T36" s="117">
        <f t="shared" si="18"/>
        <v>30</v>
      </c>
      <c r="U36" s="117">
        <f t="shared" si="18"/>
        <v>30</v>
      </c>
      <c r="V36" s="117">
        <f t="shared" si="18"/>
        <v>30</v>
      </c>
      <c r="W36" s="88"/>
      <c r="X36" s="261"/>
      <c r="Y36" s="258" t="s">
        <v>111</v>
      </c>
      <c r="Z36" s="273">
        <v>80</v>
      </c>
      <c r="AA36" s="117">
        <f>Z36</f>
        <v>80</v>
      </c>
      <c r="AB36" s="117">
        <f t="shared" ref="AB36:AR36" si="19">AA36</f>
        <v>80</v>
      </c>
      <c r="AC36" s="117">
        <f t="shared" si="19"/>
        <v>80</v>
      </c>
      <c r="AD36" s="117">
        <f t="shared" si="19"/>
        <v>80</v>
      </c>
      <c r="AE36" s="117">
        <f t="shared" si="19"/>
        <v>80</v>
      </c>
      <c r="AF36" s="117">
        <f t="shared" si="19"/>
        <v>80</v>
      </c>
      <c r="AG36" s="117">
        <f t="shared" si="19"/>
        <v>80</v>
      </c>
      <c r="AH36" s="117">
        <f t="shared" si="19"/>
        <v>80</v>
      </c>
      <c r="AI36" s="117">
        <f t="shared" si="19"/>
        <v>80</v>
      </c>
      <c r="AJ36" s="117">
        <f t="shared" si="19"/>
        <v>80</v>
      </c>
      <c r="AK36" s="117">
        <f t="shared" si="19"/>
        <v>80</v>
      </c>
      <c r="AL36" s="117">
        <f t="shared" si="19"/>
        <v>80</v>
      </c>
      <c r="AM36" s="117">
        <f t="shared" si="19"/>
        <v>80</v>
      </c>
      <c r="AN36" s="117">
        <f t="shared" si="19"/>
        <v>80</v>
      </c>
      <c r="AO36" s="117">
        <f t="shared" si="19"/>
        <v>80</v>
      </c>
      <c r="AP36" s="117">
        <f t="shared" si="19"/>
        <v>80</v>
      </c>
      <c r="AQ36" s="117">
        <f t="shared" si="19"/>
        <v>80</v>
      </c>
      <c r="AR36" s="117">
        <f t="shared" si="19"/>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2" t="s">
        <v>194</v>
      </c>
      <c r="D37" s="274">
        <v>65.674711434414149</v>
      </c>
      <c r="E37" s="275">
        <f>D37</f>
        <v>65.674711434414149</v>
      </c>
      <c r="F37" s="275">
        <f t="shared" ref="F37:V37" si="20">E37</f>
        <v>65.674711434414149</v>
      </c>
      <c r="G37" s="275">
        <f t="shared" si="20"/>
        <v>65.674711434414149</v>
      </c>
      <c r="H37" s="275">
        <f t="shared" si="20"/>
        <v>65.674711434414149</v>
      </c>
      <c r="I37" s="275">
        <f t="shared" si="20"/>
        <v>65.674711434414149</v>
      </c>
      <c r="J37" s="275">
        <f t="shared" si="20"/>
        <v>65.674711434414149</v>
      </c>
      <c r="K37" s="275">
        <f t="shared" si="20"/>
        <v>65.674711434414149</v>
      </c>
      <c r="L37" s="275">
        <f t="shared" si="20"/>
        <v>65.674711434414149</v>
      </c>
      <c r="M37" s="275">
        <f t="shared" si="20"/>
        <v>65.674711434414149</v>
      </c>
      <c r="N37" s="275">
        <f t="shared" si="20"/>
        <v>65.674711434414149</v>
      </c>
      <c r="O37" s="275">
        <f t="shared" si="20"/>
        <v>65.674711434414149</v>
      </c>
      <c r="P37" s="275">
        <f t="shared" si="20"/>
        <v>65.674711434414149</v>
      </c>
      <c r="Q37" s="275">
        <f t="shared" si="20"/>
        <v>65.674711434414149</v>
      </c>
      <c r="R37" s="275">
        <f t="shared" si="20"/>
        <v>65.674711434414149</v>
      </c>
      <c r="S37" s="275">
        <f t="shared" si="20"/>
        <v>65.674711434414149</v>
      </c>
      <c r="T37" s="275">
        <f t="shared" si="20"/>
        <v>65.674711434414149</v>
      </c>
      <c r="U37" s="275">
        <f t="shared" si="20"/>
        <v>65.674711434414149</v>
      </c>
      <c r="V37" s="275">
        <f t="shared" si="20"/>
        <v>65.674711434414149</v>
      </c>
      <c r="W37" s="88"/>
      <c r="X37" s="129"/>
      <c r="Y37" s="262" t="s">
        <v>194</v>
      </c>
      <c r="Z37" s="274">
        <v>8.1329999999999991</v>
      </c>
      <c r="AA37" s="275">
        <f>Z37</f>
        <v>8.1329999999999991</v>
      </c>
      <c r="AB37" s="275">
        <f t="shared" ref="AB37:AR37" si="21">AA37</f>
        <v>8.1329999999999991</v>
      </c>
      <c r="AC37" s="275">
        <f t="shared" si="21"/>
        <v>8.1329999999999991</v>
      </c>
      <c r="AD37" s="275">
        <f t="shared" si="21"/>
        <v>8.1329999999999991</v>
      </c>
      <c r="AE37" s="275">
        <f t="shared" si="21"/>
        <v>8.1329999999999991</v>
      </c>
      <c r="AF37" s="275">
        <f t="shared" si="21"/>
        <v>8.1329999999999991</v>
      </c>
      <c r="AG37" s="275">
        <f t="shared" si="21"/>
        <v>8.1329999999999991</v>
      </c>
      <c r="AH37" s="275">
        <f t="shared" si="21"/>
        <v>8.1329999999999991</v>
      </c>
      <c r="AI37" s="275">
        <f t="shared" si="21"/>
        <v>8.1329999999999991</v>
      </c>
      <c r="AJ37" s="275">
        <f t="shared" si="21"/>
        <v>8.1329999999999991</v>
      </c>
      <c r="AK37" s="275">
        <f t="shared" si="21"/>
        <v>8.1329999999999991</v>
      </c>
      <c r="AL37" s="275">
        <f t="shared" si="21"/>
        <v>8.1329999999999991</v>
      </c>
      <c r="AM37" s="275">
        <f t="shared" si="21"/>
        <v>8.1329999999999991</v>
      </c>
      <c r="AN37" s="275">
        <f t="shared" si="21"/>
        <v>8.1329999999999991</v>
      </c>
      <c r="AO37" s="275">
        <f t="shared" si="21"/>
        <v>8.1329999999999991</v>
      </c>
      <c r="AP37" s="275">
        <f t="shared" si="21"/>
        <v>8.1329999999999991</v>
      </c>
      <c r="AQ37" s="275">
        <f t="shared" si="21"/>
        <v>8.1329999999999991</v>
      </c>
      <c r="AR37" s="275">
        <f t="shared" si="21"/>
        <v>8.1329999999999991</v>
      </c>
      <c r="AS37" s="89"/>
      <c r="AT37" s="93"/>
      <c r="AU37" s="94"/>
      <c r="AV37" s="95"/>
      <c r="AW37" s="94"/>
      <c r="AX37" s="96"/>
      <c r="AY37" s="94"/>
      <c r="AZ37" s="97"/>
      <c r="BA37" s="96"/>
      <c r="BB37" s="93"/>
      <c r="BC37" s="89"/>
      <c r="BD37" s="89"/>
      <c r="BE37" s="89"/>
      <c r="BF37" s="89"/>
      <c r="BG37" s="89"/>
      <c r="BH37" s="89"/>
      <c r="BI37" s="89"/>
      <c r="BJ37" s="89"/>
    </row>
    <row r="38" spans="1:62" ht="15.6"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x14ac:dyDescent="0.35">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110</v>
      </c>
      <c r="D40" s="268">
        <v>6414</v>
      </c>
      <c r="E40" s="257">
        <f>D40*(1-$D$5)^2</f>
        <v>6034.9326000000001</v>
      </c>
      <c r="F40" s="257">
        <f t="shared" ref="F40:V40" si="22">E40*(1-$D$5)^2</f>
        <v>5678.26808334</v>
      </c>
      <c r="G40" s="257">
        <f t="shared" si="22"/>
        <v>5342.6824396146058</v>
      </c>
      <c r="H40" s="257">
        <f t="shared" si="22"/>
        <v>5026.9299074333821</v>
      </c>
      <c r="I40" s="257">
        <f t="shared" si="22"/>
        <v>4729.8383499040692</v>
      </c>
      <c r="J40" s="257">
        <f t="shared" si="22"/>
        <v>4450.3049034247388</v>
      </c>
      <c r="K40" s="257">
        <f t="shared" si="22"/>
        <v>4187.291883632337</v>
      </c>
      <c r="L40" s="257">
        <f t="shared" si="22"/>
        <v>3939.8229333096656</v>
      </c>
      <c r="M40" s="257">
        <f t="shared" si="22"/>
        <v>3706.9793979510641</v>
      </c>
      <c r="N40" s="257">
        <f t="shared" si="22"/>
        <v>3487.8969155321561</v>
      </c>
      <c r="O40" s="257">
        <f t="shared" si="22"/>
        <v>3281.7622078242057</v>
      </c>
      <c r="P40" s="257">
        <f t="shared" si="22"/>
        <v>3087.8100613417951</v>
      </c>
      <c r="Q40" s="257">
        <f t="shared" si="22"/>
        <v>2905.320486716495</v>
      </c>
      <c r="R40" s="257">
        <f t="shared" si="22"/>
        <v>2733.6160459515499</v>
      </c>
      <c r="S40" s="257">
        <f t="shared" si="22"/>
        <v>2572.0593376358133</v>
      </c>
      <c r="T40" s="257">
        <f t="shared" si="22"/>
        <v>2420.0506307815367</v>
      </c>
      <c r="U40" s="257">
        <f t="shared" si="22"/>
        <v>2277.0256385023476</v>
      </c>
      <c r="V40" s="257">
        <f t="shared" si="22"/>
        <v>2142.4534232668589</v>
      </c>
      <c r="W40" s="88"/>
      <c r="X40" s="255"/>
      <c r="Y40" s="256" t="s">
        <v>110</v>
      </c>
      <c r="Z40" s="268">
        <v>2262</v>
      </c>
      <c r="AA40" s="257">
        <f>Z40*(1-$D$7)^2</f>
        <v>2221.4672219999998</v>
      </c>
      <c r="AB40" s="257">
        <f t="shared" ref="AB40:AR40" si="23">AA40*(1-$D$7)^2</f>
        <v>2181.6607508489819</v>
      </c>
      <c r="AC40" s="257">
        <f t="shared" si="23"/>
        <v>2142.567571854519</v>
      </c>
      <c r="AD40" s="257">
        <f t="shared" si="23"/>
        <v>2104.1749035344578</v>
      </c>
      <c r="AE40" s="257">
        <f t="shared" si="23"/>
        <v>2066.4701934380237</v>
      </c>
      <c r="AF40" s="257">
        <f t="shared" si="23"/>
        <v>2029.4411140418076</v>
      </c>
      <c r="AG40" s="257">
        <f t="shared" si="23"/>
        <v>1993.0755587192925</v>
      </c>
      <c r="AH40" s="257">
        <f>AG40*(1-$D$7)^2</f>
        <v>1957.3616377826015</v>
      </c>
      <c r="AI40" s="257">
        <f t="shared" si="23"/>
        <v>1922.2876745951751</v>
      </c>
      <c r="AJ40" s="257">
        <f t="shared" si="23"/>
        <v>1887.8422017541041</v>
      </c>
      <c r="AK40" s="257">
        <f t="shared" si="23"/>
        <v>1854.0139573408721</v>
      </c>
      <c r="AL40" s="257">
        <f t="shared" si="23"/>
        <v>1820.7918812392811</v>
      </c>
      <c r="AM40" s="257">
        <f t="shared" si="23"/>
        <v>1788.1651115193545</v>
      </c>
      <c r="AN40" s="257">
        <f t="shared" si="23"/>
        <v>1756.1229808860392</v>
      </c>
      <c r="AO40" s="257">
        <f t="shared" si="23"/>
        <v>1724.6550131915421</v>
      </c>
      <c r="AP40" s="257">
        <f t="shared" si="23"/>
        <v>1693.7509200101629</v>
      </c>
      <c r="AQ40" s="257">
        <f t="shared" si="23"/>
        <v>1663.4005972745008</v>
      </c>
      <c r="AR40" s="257">
        <f t="shared" si="23"/>
        <v>1633.5941219719389</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1"/>
      <c r="C43" s="258" t="s">
        <v>111</v>
      </c>
      <c r="D43" s="273">
        <v>30</v>
      </c>
      <c r="E43" s="117">
        <f>D43</f>
        <v>30</v>
      </c>
      <c r="F43" s="117">
        <f t="shared" ref="F43:V43" si="24">E43</f>
        <v>30</v>
      </c>
      <c r="G43" s="117">
        <f t="shared" si="24"/>
        <v>30</v>
      </c>
      <c r="H43" s="117">
        <f t="shared" si="24"/>
        <v>30</v>
      </c>
      <c r="I43" s="117">
        <f t="shared" si="24"/>
        <v>30</v>
      </c>
      <c r="J43" s="117">
        <f t="shared" si="24"/>
        <v>30</v>
      </c>
      <c r="K43" s="117">
        <f t="shared" si="24"/>
        <v>30</v>
      </c>
      <c r="L43" s="117">
        <f t="shared" si="24"/>
        <v>30</v>
      </c>
      <c r="M43" s="117">
        <f t="shared" si="24"/>
        <v>30</v>
      </c>
      <c r="N43" s="117">
        <f t="shared" si="24"/>
        <v>30</v>
      </c>
      <c r="O43" s="117">
        <f t="shared" si="24"/>
        <v>30</v>
      </c>
      <c r="P43" s="117">
        <f t="shared" si="24"/>
        <v>30</v>
      </c>
      <c r="Q43" s="117">
        <f t="shared" si="24"/>
        <v>30</v>
      </c>
      <c r="R43" s="117">
        <f t="shared" si="24"/>
        <v>30</v>
      </c>
      <c r="S43" s="117">
        <f t="shared" si="24"/>
        <v>30</v>
      </c>
      <c r="T43" s="117">
        <f t="shared" si="24"/>
        <v>30</v>
      </c>
      <c r="U43" s="117">
        <f t="shared" si="24"/>
        <v>30</v>
      </c>
      <c r="V43" s="117">
        <f t="shared" si="24"/>
        <v>30</v>
      </c>
      <c r="W43" s="88"/>
      <c r="X43" s="261"/>
      <c r="Y43" s="258" t="s">
        <v>111</v>
      </c>
      <c r="Z43" s="273">
        <v>80</v>
      </c>
      <c r="AA43" s="117">
        <f>Z43</f>
        <v>80</v>
      </c>
      <c r="AB43" s="117">
        <f t="shared" ref="AB43:AR43" si="25">AA43</f>
        <v>80</v>
      </c>
      <c r="AC43" s="117">
        <f t="shared" si="25"/>
        <v>80</v>
      </c>
      <c r="AD43" s="117">
        <f t="shared" si="25"/>
        <v>80</v>
      </c>
      <c r="AE43" s="117">
        <f t="shared" si="25"/>
        <v>80</v>
      </c>
      <c r="AF43" s="117">
        <f t="shared" si="25"/>
        <v>80</v>
      </c>
      <c r="AG43" s="117">
        <f t="shared" si="25"/>
        <v>80</v>
      </c>
      <c r="AH43" s="117">
        <f t="shared" si="25"/>
        <v>80</v>
      </c>
      <c r="AI43" s="117">
        <f t="shared" si="25"/>
        <v>80</v>
      </c>
      <c r="AJ43" s="117">
        <f t="shared" si="25"/>
        <v>80</v>
      </c>
      <c r="AK43" s="117">
        <f t="shared" si="25"/>
        <v>80</v>
      </c>
      <c r="AL43" s="117">
        <f t="shared" si="25"/>
        <v>80</v>
      </c>
      <c r="AM43" s="117">
        <f t="shared" si="25"/>
        <v>80</v>
      </c>
      <c r="AN43" s="117">
        <f t="shared" si="25"/>
        <v>80</v>
      </c>
      <c r="AO43" s="117">
        <f t="shared" si="25"/>
        <v>80</v>
      </c>
      <c r="AP43" s="117">
        <f t="shared" si="25"/>
        <v>80</v>
      </c>
      <c r="AQ43" s="117">
        <f t="shared" si="25"/>
        <v>80</v>
      </c>
      <c r="AR43" s="117">
        <f t="shared" si="25"/>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2" t="s">
        <v>194</v>
      </c>
      <c r="D44" s="274">
        <v>13.134600868750084</v>
      </c>
      <c r="E44" s="275">
        <f>D44</f>
        <v>13.134600868750084</v>
      </c>
      <c r="F44" s="275">
        <f t="shared" ref="F44:V44" si="26">E44</f>
        <v>13.134600868750084</v>
      </c>
      <c r="G44" s="275">
        <f t="shared" si="26"/>
        <v>13.134600868750084</v>
      </c>
      <c r="H44" s="275">
        <f t="shared" si="26"/>
        <v>13.134600868750084</v>
      </c>
      <c r="I44" s="275">
        <f t="shared" si="26"/>
        <v>13.134600868750084</v>
      </c>
      <c r="J44" s="275">
        <f t="shared" si="26"/>
        <v>13.134600868750084</v>
      </c>
      <c r="K44" s="275">
        <f t="shared" si="26"/>
        <v>13.134600868750084</v>
      </c>
      <c r="L44" s="275">
        <f t="shared" si="26"/>
        <v>13.134600868750084</v>
      </c>
      <c r="M44" s="275">
        <f t="shared" si="26"/>
        <v>13.134600868750084</v>
      </c>
      <c r="N44" s="275">
        <f t="shared" si="26"/>
        <v>13.134600868750084</v>
      </c>
      <c r="O44" s="275">
        <f t="shared" si="26"/>
        <v>13.134600868750084</v>
      </c>
      <c r="P44" s="275">
        <f t="shared" si="26"/>
        <v>13.134600868750084</v>
      </c>
      <c r="Q44" s="275">
        <f t="shared" si="26"/>
        <v>13.134600868750084</v>
      </c>
      <c r="R44" s="275">
        <f t="shared" si="26"/>
        <v>13.134600868750084</v>
      </c>
      <c r="S44" s="275">
        <f t="shared" si="26"/>
        <v>13.134600868750084</v>
      </c>
      <c r="T44" s="275">
        <f t="shared" si="26"/>
        <v>13.134600868750084</v>
      </c>
      <c r="U44" s="275">
        <f t="shared" si="26"/>
        <v>13.134600868750084</v>
      </c>
      <c r="V44" s="275">
        <f t="shared" si="26"/>
        <v>13.134600868750084</v>
      </c>
      <c r="W44" s="88"/>
      <c r="X44" s="129"/>
      <c r="Y44" s="262" t="s">
        <v>194</v>
      </c>
      <c r="Z44" s="274">
        <v>6.3829999999999991</v>
      </c>
      <c r="AA44" s="275">
        <f>Z44</f>
        <v>6.3829999999999991</v>
      </c>
      <c r="AB44" s="275">
        <f t="shared" ref="AB44:AR44" si="27">AA44</f>
        <v>6.3829999999999991</v>
      </c>
      <c r="AC44" s="275">
        <f t="shared" si="27"/>
        <v>6.3829999999999991</v>
      </c>
      <c r="AD44" s="275">
        <f t="shared" si="27"/>
        <v>6.3829999999999991</v>
      </c>
      <c r="AE44" s="275">
        <f t="shared" si="27"/>
        <v>6.3829999999999991</v>
      </c>
      <c r="AF44" s="275">
        <f t="shared" si="27"/>
        <v>6.3829999999999991</v>
      </c>
      <c r="AG44" s="275">
        <f t="shared" si="27"/>
        <v>6.3829999999999991</v>
      </c>
      <c r="AH44" s="275">
        <f t="shared" si="27"/>
        <v>6.3829999999999991</v>
      </c>
      <c r="AI44" s="275">
        <f t="shared" si="27"/>
        <v>6.3829999999999991</v>
      </c>
      <c r="AJ44" s="275">
        <f t="shared" si="27"/>
        <v>6.3829999999999991</v>
      </c>
      <c r="AK44" s="275">
        <f t="shared" si="27"/>
        <v>6.3829999999999991</v>
      </c>
      <c r="AL44" s="275">
        <f t="shared" si="27"/>
        <v>6.3829999999999991</v>
      </c>
      <c r="AM44" s="275">
        <f t="shared" si="27"/>
        <v>6.3829999999999991</v>
      </c>
      <c r="AN44" s="275">
        <f t="shared" si="27"/>
        <v>6.3829999999999991</v>
      </c>
      <c r="AO44" s="275">
        <f t="shared" si="27"/>
        <v>6.3829999999999991</v>
      </c>
      <c r="AP44" s="275">
        <f t="shared" si="27"/>
        <v>6.3829999999999991</v>
      </c>
      <c r="AQ44" s="275">
        <f t="shared" si="27"/>
        <v>6.3829999999999991</v>
      </c>
      <c r="AR44" s="275">
        <f t="shared" si="27"/>
        <v>6.3829999999999991</v>
      </c>
      <c r="AS44" s="89"/>
      <c r="AT44" s="93"/>
      <c r="AU44" s="94"/>
      <c r="AV44" s="95"/>
      <c r="AW44" s="94"/>
      <c r="AX44" s="96"/>
      <c r="AY44" s="94"/>
      <c r="AZ44" s="95"/>
      <c r="BA44" s="96"/>
      <c r="BB44" s="93"/>
      <c r="BC44" s="89"/>
      <c r="BD44" s="89"/>
      <c r="BE44" s="89"/>
      <c r="BF44" s="89"/>
      <c r="BG44" s="89"/>
      <c r="BH44" s="89"/>
      <c r="BI44" s="89"/>
      <c r="BJ44" s="89"/>
    </row>
    <row r="45" spans="1:62" ht="15.6"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5">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5" t="s">
        <v>285</v>
      </c>
      <c r="Y46" s="555"/>
      <c r="Z46" s="555"/>
      <c r="AA46" s="555"/>
      <c r="AB46" s="555"/>
      <c r="AC46" s="555"/>
      <c r="AD46" s="555"/>
      <c r="AE46" s="555"/>
      <c r="AF46" s="555"/>
      <c r="AG46" s="555"/>
      <c r="AH46" s="555"/>
      <c r="AI46" s="555"/>
      <c r="AJ46" s="555"/>
      <c r="AK46" s="555"/>
      <c r="AL46" s="555"/>
      <c r="AM46" s="555"/>
      <c r="AN46" s="555"/>
      <c r="AO46" s="555"/>
      <c r="AP46" s="555"/>
      <c r="AQ46" s="555"/>
      <c r="AR46" s="555"/>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110</v>
      </c>
      <c r="D47" s="268">
        <v>5568</v>
      </c>
      <c r="E47" s="257">
        <f>D47*(1-$D$6)^2</f>
        <v>5402.2128000000002</v>
      </c>
      <c r="F47" s="257">
        <f t="shared" ref="F47:V47" si="28">E47*(1-$D$6)^2</f>
        <v>5241.3619138800004</v>
      </c>
      <c r="G47" s="257">
        <f t="shared" si="28"/>
        <v>5085.3003628942233</v>
      </c>
      <c r="H47" s="257">
        <f t="shared" si="28"/>
        <v>4933.8855445890476</v>
      </c>
      <c r="I47" s="257">
        <f t="shared" si="28"/>
        <v>4786.979102498909</v>
      </c>
      <c r="J47" s="257">
        <f t="shared" si="28"/>
        <v>4644.4467997220045</v>
      </c>
      <c r="K47" s="257">
        <f t="shared" si="28"/>
        <v>4506.1583962602817</v>
      </c>
      <c r="L47" s="257">
        <f t="shared" si="28"/>
        <v>4371.9875300116319</v>
      </c>
      <c r="M47" s="257">
        <f t="shared" si="28"/>
        <v>4241.811601305536</v>
      </c>
      <c r="N47" s="257">
        <f t="shared" si="28"/>
        <v>4115.5116608766639</v>
      </c>
      <c r="O47" s="257">
        <f t="shared" si="28"/>
        <v>3992.9723011740612</v>
      </c>
      <c r="P47" s="257">
        <f t="shared" si="28"/>
        <v>3874.0815509066033</v>
      </c>
      <c r="Q47" s="257">
        <f t="shared" si="28"/>
        <v>3758.7307727283592</v>
      </c>
      <c r="R47" s="257">
        <f t="shared" si="28"/>
        <v>3646.8145639703721</v>
      </c>
      <c r="S47" s="257">
        <f t="shared" si="28"/>
        <v>3538.2306603281545</v>
      </c>
      <c r="T47" s="257">
        <f t="shared" si="28"/>
        <v>3432.8798424168835</v>
      </c>
      <c r="U47" s="257">
        <f t="shared" si="28"/>
        <v>3330.6658451089211</v>
      </c>
      <c r="V47" s="257">
        <f t="shared" si="28"/>
        <v>3231.495269570803</v>
      </c>
      <c r="W47" s="88"/>
      <c r="X47" s="555"/>
      <c r="Y47" s="555"/>
      <c r="Z47" s="555"/>
      <c r="AA47" s="555"/>
      <c r="AB47" s="555"/>
      <c r="AC47" s="555"/>
      <c r="AD47" s="555"/>
      <c r="AE47" s="555"/>
      <c r="AF47" s="555"/>
      <c r="AG47" s="555"/>
      <c r="AH47" s="555"/>
      <c r="AI47" s="555"/>
      <c r="AJ47" s="555"/>
      <c r="AK47" s="555"/>
      <c r="AL47" s="555"/>
      <c r="AM47" s="555"/>
      <c r="AN47" s="555"/>
      <c r="AO47" s="555"/>
      <c r="AP47" s="555"/>
      <c r="AQ47" s="555"/>
      <c r="AR47" s="555"/>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5"/>
      <c r="Y48" s="555"/>
      <c r="Z48" s="555"/>
      <c r="AA48" s="555"/>
      <c r="AB48" s="555"/>
      <c r="AC48" s="555"/>
      <c r="AD48" s="555"/>
      <c r="AE48" s="555"/>
      <c r="AF48" s="555"/>
      <c r="AG48" s="555"/>
      <c r="AH48" s="555"/>
      <c r="AI48" s="555"/>
      <c r="AJ48" s="555"/>
      <c r="AK48" s="555"/>
      <c r="AL48" s="555"/>
      <c r="AM48" s="555"/>
      <c r="AN48" s="555"/>
      <c r="AO48" s="555"/>
      <c r="AP48" s="555"/>
      <c r="AQ48" s="555"/>
      <c r="AR48" s="555"/>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55"/>
      <c r="Y49" s="555"/>
      <c r="Z49" s="555"/>
      <c r="AA49" s="555"/>
      <c r="AB49" s="555"/>
      <c r="AC49" s="555"/>
      <c r="AD49" s="555"/>
      <c r="AE49" s="555"/>
      <c r="AF49" s="555"/>
      <c r="AG49" s="555"/>
      <c r="AH49" s="555"/>
      <c r="AI49" s="555"/>
      <c r="AJ49" s="555"/>
      <c r="AK49" s="555"/>
      <c r="AL49" s="555"/>
      <c r="AM49" s="555"/>
      <c r="AN49" s="555"/>
      <c r="AO49" s="555"/>
      <c r="AP49" s="555"/>
      <c r="AQ49" s="555"/>
      <c r="AR49" s="555"/>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1"/>
      <c r="C50" s="258" t="s">
        <v>111</v>
      </c>
      <c r="D50" s="273">
        <v>40</v>
      </c>
      <c r="E50" s="117">
        <f>D50</f>
        <v>40</v>
      </c>
      <c r="F50" s="117">
        <f t="shared" ref="F50:V50" si="29">E50</f>
        <v>40</v>
      </c>
      <c r="G50" s="117">
        <f t="shared" si="29"/>
        <v>40</v>
      </c>
      <c r="H50" s="117">
        <f t="shared" si="29"/>
        <v>40</v>
      </c>
      <c r="I50" s="117">
        <f t="shared" si="29"/>
        <v>40</v>
      </c>
      <c r="J50" s="117">
        <f t="shared" si="29"/>
        <v>40</v>
      </c>
      <c r="K50" s="117">
        <f t="shared" si="29"/>
        <v>40</v>
      </c>
      <c r="L50" s="117">
        <f t="shared" si="29"/>
        <v>40</v>
      </c>
      <c r="M50" s="117">
        <f t="shared" si="29"/>
        <v>40</v>
      </c>
      <c r="N50" s="117">
        <f t="shared" si="29"/>
        <v>40</v>
      </c>
      <c r="O50" s="117">
        <f t="shared" si="29"/>
        <v>40</v>
      </c>
      <c r="P50" s="117">
        <f t="shared" si="29"/>
        <v>40</v>
      </c>
      <c r="Q50" s="117">
        <f t="shared" si="29"/>
        <v>40</v>
      </c>
      <c r="R50" s="117">
        <f t="shared" si="29"/>
        <v>40</v>
      </c>
      <c r="S50" s="117">
        <f t="shared" si="29"/>
        <v>40</v>
      </c>
      <c r="T50" s="117">
        <f t="shared" si="29"/>
        <v>40</v>
      </c>
      <c r="U50" s="117">
        <f t="shared" si="29"/>
        <v>40</v>
      </c>
      <c r="V50" s="117">
        <f t="shared" si="29"/>
        <v>40</v>
      </c>
      <c r="W50" s="88"/>
      <c r="X50" s="555"/>
      <c r="Y50" s="555"/>
      <c r="Z50" s="555"/>
      <c r="AA50" s="555"/>
      <c r="AB50" s="555"/>
      <c r="AC50" s="555"/>
      <c r="AD50" s="555"/>
      <c r="AE50" s="555"/>
      <c r="AF50" s="555"/>
      <c r="AG50" s="555"/>
      <c r="AH50" s="555"/>
      <c r="AI50" s="555"/>
      <c r="AJ50" s="555"/>
      <c r="AK50" s="555"/>
      <c r="AL50" s="555"/>
      <c r="AM50" s="555"/>
      <c r="AN50" s="555"/>
      <c r="AO50" s="555"/>
      <c r="AP50" s="555"/>
      <c r="AQ50" s="555"/>
      <c r="AR50" s="555"/>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2" t="s">
        <v>194</v>
      </c>
      <c r="D51" s="274">
        <v>11.496350364963501</v>
      </c>
      <c r="E51" s="275">
        <f>D51</f>
        <v>11.496350364963501</v>
      </c>
      <c r="F51" s="275">
        <f t="shared" ref="F51:V51" si="30">E51</f>
        <v>11.496350364963501</v>
      </c>
      <c r="G51" s="275">
        <f t="shared" si="30"/>
        <v>11.496350364963501</v>
      </c>
      <c r="H51" s="275">
        <f t="shared" si="30"/>
        <v>11.496350364963501</v>
      </c>
      <c r="I51" s="275">
        <f t="shared" si="30"/>
        <v>11.496350364963501</v>
      </c>
      <c r="J51" s="275">
        <f t="shared" si="30"/>
        <v>11.496350364963501</v>
      </c>
      <c r="K51" s="275">
        <f t="shared" si="30"/>
        <v>11.496350364963501</v>
      </c>
      <c r="L51" s="275">
        <f t="shared" si="30"/>
        <v>11.496350364963501</v>
      </c>
      <c r="M51" s="275">
        <f t="shared" si="30"/>
        <v>11.496350364963501</v>
      </c>
      <c r="N51" s="275">
        <f t="shared" si="30"/>
        <v>11.496350364963501</v>
      </c>
      <c r="O51" s="275">
        <f t="shared" si="30"/>
        <v>11.496350364963501</v>
      </c>
      <c r="P51" s="275">
        <f t="shared" si="30"/>
        <v>11.496350364963501</v>
      </c>
      <c r="Q51" s="275">
        <f t="shared" si="30"/>
        <v>11.496350364963501</v>
      </c>
      <c r="R51" s="275">
        <f t="shared" si="30"/>
        <v>11.496350364963501</v>
      </c>
      <c r="S51" s="275">
        <f t="shared" si="30"/>
        <v>11.496350364963501</v>
      </c>
      <c r="T51" s="275">
        <f t="shared" si="30"/>
        <v>11.496350364963501</v>
      </c>
      <c r="U51" s="275">
        <f t="shared" si="30"/>
        <v>11.496350364963501</v>
      </c>
      <c r="V51" s="275">
        <f t="shared" si="30"/>
        <v>11.496350364963501</v>
      </c>
      <c r="W51" s="88"/>
      <c r="X51" s="555"/>
      <c r="Y51" s="555"/>
      <c r="Z51" s="555"/>
      <c r="AA51" s="555"/>
      <c r="AB51" s="555"/>
      <c r="AC51" s="555"/>
      <c r="AD51" s="555"/>
      <c r="AE51" s="555"/>
      <c r="AF51" s="555"/>
      <c r="AG51" s="555"/>
      <c r="AH51" s="555"/>
      <c r="AI51" s="555"/>
      <c r="AJ51" s="555"/>
      <c r="AK51" s="555"/>
      <c r="AL51" s="555"/>
      <c r="AM51" s="555"/>
      <c r="AN51" s="555"/>
      <c r="AO51" s="555"/>
      <c r="AP51" s="555"/>
      <c r="AQ51" s="555"/>
      <c r="AR51" s="555"/>
      <c r="AS51" s="89"/>
      <c r="AT51" s="93"/>
      <c r="AU51" s="94"/>
      <c r="AV51" s="95"/>
      <c r="AW51" s="94"/>
      <c r="AX51" s="96"/>
      <c r="AY51" s="94"/>
      <c r="AZ51" s="95"/>
      <c r="BA51" s="96"/>
      <c r="BB51" s="93"/>
      <c r="BC51" s="89"/>
      <c r="BD51" s="89"/>
      <c r="BE51" s="89"/>
      <c r="BF51" s="89"/>
      <c r="BG51" s="89"/>
      <c r="BH51" s="89"/>
      <c r="BI51" s="89"/>
      <c r="BJ51" s="89"/>
    </row>
    <row r="52" spans="1:62"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7" zoomScale="145" zoomScaleNormal="145" zoomScalePageLayoutView="145" workbookViewId="0">
      <selection activeCell="F67" sqref="F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3" width="5.44140625" style="91" customWidth="1"/>
    <col min="34"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5">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138</v>
      </c>
      <c r="E6" s="88"/>
      <c r="F6" s="88"/>
      <c r="G6" s="88"/>
      <c r="H6" s="88"/>
      <c r="I6" s="88"/>
      <c r="J6" s="88"/>
      <c r="K6" s="88"/>
      <c r="L6" s="88"/>
      <c r="M6" s="88"/>
      <c r="N6" s="88"/>
      <c r="O6" s="88"/>
      <c r="P6" s="88"/>
      <c r="Q6" s="88"/>
      <c r="R6" s="88"/>
      <c r="S6" s="88"/>
      <c r="T6" s="88"/>
      <c r="U6" s="88"/>
      <c r="V6" s="88"/>
      <c r="W6" s="88"/>
      <c r="X6" s="164" t="s">
        <v>206</v>
      </c>
      <c r="Y6" s="452"/>
      <c r="Z6" s="452"/>
      <c r="AA6" s="452"/>
      <c r="AB6" s="452"/>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303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5">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304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2" x14ac:dyDescent="0.3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305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2" x14ac:dyDescent="0.3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306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2" x14ac:dyDescent="0.3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307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2" x14ac:dyDescent="0.3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308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2" x14ac:dyDescent="0.3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309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8" thickBot="1" x14ac:dyDescent="0.4">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5">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 x14ac:dyDescent="0.35">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398" t="s">
        <v>286</v>
      </c>
      <c r="Y17" s="399"/>
      <c r="Z17" s="399"/>
      <c r="AA17" s="399"/>
      <c r="AB17" s="400"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79"/>
      <c r="C19" s="379"/>
      <c r="D19" s="379"/>
      <c r="E19" s="379"/>
      <c r="F19" s="379"/>
      <c r="G19" s="379"/>
      <c r="H19" s="379"/>
      <c r="I19" s="379"/>
      <c r="J19" s="379"/>
      <c r="K19" s="379"/>
      <c r="L19" s="379"/>
      <c r="M19" s="379"/>
      <c r="N19" s="379"/>
      <c r="O19" s="379"/>
      <c r="P19" s="379"/>
      <c r="Q19" s="379"/>
      <c r="R19" s="379"/>
      <c r="S19" s="379"/>
      <c r="T19" s="379"/>
      <c r="U19" s="379"/>
      <c r="V19" s="37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56"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97"/>
      <c r="D23" s="298" t="s">
        <v>164</v>
      </c>
      <c r="E23" s="299"/>
      <c r="F23" s="299"/>
      <c r="G23" s="299"/>
      <c r="H23" s="299"/>
      <c r="I23" s="299"/>
      <c r="J23" s="300"/>
      <c r="K23" s="45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7"/>
      <c r="AA44" s="547"/>
      <c r="AB44" s="547"/>
      <c r="AC44" s="547"/>
      <c r="AD44" s="547"/>
      <c r="AE44" s="547"/>
      <c r="AF44" s="547"/>
      <c r="AG44" s="547"/>
      <c r="AH44" s="547"/>
      <c r="AI44" s="547"/>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8"/>
      <c r="AA45" s="548"/>
      <c r="AB45" s="548"/>
      <c r="AC45" s="548"/>
      <c r="AD45" s="548"/>
      <c r="AE45" s="548"/>
      <c r="AF45" s="548"/>
      <c r="AG45" s="548"/>
      <c r="AH45" s="548"/>
      <c r="AI45" s="547"/>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85"/>
      <c r="D46" s="394">
        <v>2014</v>
      </c>
      <c r="E46" s="395">
        <v>2016</v>
      </c>
      <c r="F46" s="395">
        <v>2018</v>
      </c>
      <c r="G46" s="395">
        <v>2020</v>
      </c>
      <c r="H46" s="395">
        <v>2022</v>
      </c>
      <c r="I46" s="395">
        <v>2024</v>
      </c>
      <c r="J46" s="395">
        <v>2026</v>
      </c>
      <c r="K46" s="395">
        <v>2028</v>
      </c>
      <c r="L46" s="395">
        <v>2030</v>
      </c>
      <c r="M46" s="395">
        <v>2032</v>
      </c>
      <c r="N46" s="395">
        <v>2034</v>
      </c>
      <c r="O46" s="395">
        <v>2036</v>
      </c>
      <c r="P46" s="395">
        <v>2038</v>
      </c>
      <c r="Q46" s="395">
        <v>2040</v>
      </c>
      <c r="R46" s="395">
        <v>2042</v>
      </c>
      <c r="S46" s="395">
        <v>2044</v>
      </c>
      <c r="T46" s="395">
        <v>2046</v>
      </c>
      <c r="U46" s="395">
        <v>2048</v>
      </c>
      <c r="V46" s="396">
        <v>2050</v>
      </c>
      <c r="W46" s="88"/>
      <c r="X46" s="88"/>
      <c r="Y46" s="88"/>
      <c r="Z46" s="548"/>
      <c r="AA46" s="548"/>
      <c r="AB46" s="548"/>
      <c r="AC46" s="548"/>
      <c r="AD46" s="548"/>
      <c r="AE46" s="548"/>
      <c r="AF46" s="548"/>
      <c r="AG46" s="548"/>
      <c r="AH46" s="548"/>
      <c r="AI46" s="547"/>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86" t="s">
        <v>173</v>
      </c>
      <c r="D47" s="387">
        <v>0.85</v>
      </c>
      <c r="E47" s="387">
        <v>0.85</v>
      </c>
      <c r="F47" s="387">
        <v>0.85</v>
      </c>
      <c r="G47" s="387">
        <v>0.85</v>
      </c>
      <c r="H47" s="387">
        <v>0.85</v>
      </c>
      <c r="I47" s="387">
        <v>0.85</v>
      </c>
      <c r="J47" s="387">
        <v>0.85</v>
      </c>
      <c r="K47" s="387">
        <v>0.85</v>
      </c>
      <c r="L47" s="387">
        <v>0.85</v>
      </c>
      <c r="M47" s="387">
        <v>0.85</v>
      </c>
      <c r="N47" s="387">
        <v>0.85</v>
      </c>
      <c r="O47" s="387">
        <v>0.85</v>
      </c>
      <c r="P47" s="387">
        <v>0.85</v>
      </c>
      <c r="Q47" s="387">
        <v>0.85</v>
      </c>
      <c r="R47" s="387">
        <v>0.85</v>
      </c>
      <c r="S47" s="387">
        <v>0.85</v>
      </c>
      <c r="T47" s="387">
        <v>0.85</v>
      </c>
      <c r="U47" s="387">
        <v>0.85</v>
      </c>
      <c r="V47" s="388">
        <v>0.85</v>
      </c>
      <c r="W47" s="88"/>
      <c r="X47" s="88"/>
      <c r="Y47" s="88"/>
      <c r="Z47" s="548"/>
      <c r="AA47" s="548"/>
      <c r="AB47" s="548"/>
      <c r="AC47" s="548"/>
      <c r="AD47" s="548"/>
      <c r="AE47" s="548"/>
      <c r="AF47" s="548"/>
      <c r="AG47" s="548"/>
      <c r="AH47" s="548"/>
      <c r="AI47" s="547"/>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86" t="s">
        <v>114</v>
      </c>
      <c r="D48" s="387">
        <v>0.85</v>
      </c>
      <c r="E48" s="387">
        <v>0.85</v>
      </c>
      <c r="F48" s="387">
        <v>0.85</v>
      </c>
      <c r="G48" s="387">
        <v>0.85</v>
      </c>
      <c r="H48" s="387">
        <v>0.85</v>
      </c>
      <c r="I48" s="387">
        <v>0.85</v>
      </c>
      <c r="J48" s="387">
        <v>0.85</v>
      </c>
      <c r="K48" s="387">
        <v>0.85</v>
      </c>
      <c r="L48" s="387">
        <v>0.85</v>
      </c>
      <c r="M48" s="387">
        <v>0.85</v>
      </c>
      <c r="N48" s="387">
        <v>0.85</v>
      </c>
      <c r="O48" s="387">
        <v>0.85</v>
      </c>
      <c r="P48" s="387">
        <v>0.85</v>
      </c>
      <c r="Q48" s="387">
        <v>0.85</v>
      </c>
      <c r="R48" s="387">
        <v>0.85</v>
      </c>
      <c r="S48" s="387">
        <v>0.85</v>
      </c>
      <c r="T48" s="387">
        <v>0.85</v>
      </c>
      <c r="U48" s="387">
        <v>0.85</v>
      </c>
      <c r="V48" s="388">
        <v>0.85</v>
      </c>
      <c r="W48" s="88"/>
      <c r="X48" s="88"/>
      <c r="Y48" s="88"/>
      <c r="Z48" s="548"/>
      <c r="AA48" s="548"/>
      <c r="AB48" s="548"/>
      <c r="AC48" s="548"/>
      <c r="AD48" s="548"/>
      <c r="AE48" s="548"/>
      <c r="AF48" s="548"/>
      <c r="AG48" s="548"/>
      <c r="AH48" s="548"/>
      <c r="AI48" s="54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89" t="s">
        <v>133</v>
      </c>
      <c r="D49" s="387">
        <v>0.85</v>
      </c>
      <c r="E49" s="387">
        <v>0.85</v>
      </c>
      <c r="F49" s="387">
        <v>0.85</v>
      </c>
      <c r="G49" s="387">
        <v>0.85</v>
      </c>
      <c r="H49" s="387">
        <v>0.85</v>
      </c>
      <c r="I49" s="387">
        <v>0.85</v>
      </c>
      <c r="J49" s="387">
        <v>0.85</v>
      </c>
      <c r="K49" s="387">
        <v>0.85</v>
      </c>
      <c r="L49" s="387">
        <v>0.85</v>
      </c>
      <c r="M49" s="387">
        <v>0.85</v>
      </c>
      <c r="N49" s="387">
        <v>0.85</v>
      </c>
      <c r="O49" s="387">
        <v>0.85</v>
      </c>
      <c r="P49" s="387">
        <v>0.85</v>
      </c>
      <c r="Q49" s="387">
        <v>0.85</v>
      </c>
      <c r="R49" s="387">
        <v>0.85</v>
      </c>
      <c r="S49" s="387">
        <v>0.85</v>
      </c>
      <c r="T49" s="387">
        <v>0.85</v>
      </c>
      <c r="U49" s="387">
        <v>0.85</v>
      </c>
      <c r="V49" s="388">
        <v>0.85</v>
      </c>
      <c r="W49" s="88"/>
      <c r="X49" s="88"/>
      <c r="Y49" s="88"/>
      <c r="Z49" s="548"/>
      <c r="AA49" s="548"/>
      <c r="AB49" s="548"/>
      <c r="AC49" s="548"/>
      <c r="AD49" s="548"/>
      <c r="AE49" s="548"/>
      <c r="AF49" s="548"/>
      <c r="AG49" s="548"/>
      <c r="AH49" s="548"/>
      <c r="AI49" s="54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89" t="s">
        <v>132</v>
      </c>
      <c r="D50" s="387">
        <v>0.85</v>
      </c>
      <c r="E50" s="387">
        <v>0.85</v>
      </c>
      <c r="F50" s="387">
        <v>0.85</v>
      </c>
      <c r="G50" s="387">
        <v>0.85</v>
      </c>
      <c r="H50" s="387">
        <v>0.85</v>
      </c>
      <c r="I50" s="387">
        <v>0.85</v>
      </c>
      <c r="J50" s="387">
        <v>0.85</v>
      </c>
      <c r="K50" s="387">
        <v>0.85</v>
      </c>
      <c r="L50" s="387">
        <v>0.85</v>
      </c>
      <c r="M50" s="387">
        <v>0.85</v>
      </c>
      <c r="N50" s="387">
        <v>0.85</v>
      </c>
      <c r="O50" s="387">
        <v>0.85</v>
      </c>
      <c r="P50" s="387">
        <v>0.85</v>
      </c>
      <c r="Q50" s="387">
        <v>0.85</v>
      </c>
      <c r="R50" s="390">
        <v>0.85</v>
      </c>
      <c r="S50" s="387">
        <v>0.85</v>
      </c>
      <c r="T50" s="387">
        <v>0.85</v>
      </c>
      <c r="U50" s="387">
        <v>0.85</v>
      </c>
      <c r="V50" s="388">
        <v>0.85</v>
      </c>
      <c r="W50" s="88"/>
      <c r="X50" s="88"/>
      <c r="Y50" s="88"/>
      <c r="Z50" s="548"/>
      <c r="AA50" s="548"/>
      <c r="AB50" s="548"/>
      <c r="AC50" s="548"/>
      <c r="AD50" s="548"/>
      <c r="AE50" s="548"/>
      <c r="AF50" s="548"/>
      <c r="AG50" s="548"/>
      <c r="AH50" s="548"/>
      <c r="AI50" s="54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89" t="s">
        <v>134</v>
      </c>
      <c r="D51" s="387">
        <v>0.85</v>
      </c>
      <c r="E51" s="387">
        <v>0.85</v>
      </c>
      <c r="F51" s="387">
        <v>0.85</v>
      </c>
      <c r="G51" s="387">
        <v>0.85</v>
      </c>
      <c r="H51" s="387">
        <v>0.85</v>
      </c>
      <c r="I51" s="387">
        <v>0.85</v>
      </c>
      <c r="J51" s="387">
        <v>0.85</v>
      </c>
      <c r="K51" s="387">
        <v>0.85</v>
      </c>
      <c r="L51" s="387">
        <v>0.85</v>
      </c>
      <c r="M51" s="387">
        <v>0.85</v>
      </c>
      <c r="N51" s="387">
        <v>0.85</v>
      </c>
      <c r="O51" s="387">
        <v>0.85</v>
      </c>
      <c r="P51" s="387">
        <v>0.85</v>
      </c>
      <c r="Q51" s="387">
        <v>0.85</v>
      </c>
      <c r="R51" s="387">
        <v>0.85</v>
      </c>
      <c r="S51" s="387">
        <v>0.85</v>
      </c>
      <c r="T51" s="387">
        <v>0.85</v>
      </c>
      <c r="U51" s="387">
        <v>0.85</v>
      </c>
      <c r="V51" s="388">
        <v>0.85</v>
      </c>
      <c r="W51" s="88"/>
      <c r="X51" s="88"/>
      <c r="Y51" s="88"/>
      <c r="Z51" s="548"/>
      <c r="AA51" s="548"/>
      <c r="AB51" s="548"/>
      <c r="AC51" s="548"/>
      <c r="AD51" s="548"/>
      <c r="AE51" s="548"/>
      <c r="AF51" s="548"/>
      <c r="AG51" s="548"/>
      <c r="AH51" s="548"/>
      <c r="AI51" s="54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89" t="s">
        <v>135</v>
      </c>
      <c r="D52" s="387">
        <v>0.85</v>
      </c>
      <c r="E52" s="387">
        <v>0.85</v>
      </c>
      <c r="F52" s="387">
        <v>0.85</v>
      </c>
      <c r="G52" s="387">
        <v>0.85</v>
      </c>
      <c r="H52" s="387">
        <v>0.85</v>
      </c>
      <c r="I52" s="387">
        <v>0.85</v>
      </c>
      <c r="J52" s="387">
        <v>0.85</v>
      </c>
      <c r="K52" s="387">
        <v>0.85</v>
      </c>
      <c r="L52" s="387">
        <v>0.85</v>
      </c>
      <c r="M52" s="387">
        <v>0.85</v>
      </c>
      <c r="N52" s="387">
        <v>0.85</v>
      </c>
      <c r="O52" s="387">
        <v>0.85</v>
      </c>
      <c r="P52" s="387">
        <v>0.85</v>
      </c>
      <c r="Q52" s="387">
        <v>0.85</v>
      </c>
      <c r="R52" s="387">
        <v>0.85</v>
      </c>
      <c r="S52" s="387">
        <v>0.85</v>
      </c>
      <c r="T52" s="387">
        <v>0.85</v>
      </c>
      <c r="U52" s="387">
        <v>0.85</v>
      </c>
      <c r="V52" s="388">
        <v>0.85</v>
      </c>
      <c r="W52" s="88"/>
      <c r="X52" s="88"/>
      <c r="Y52" s="88"/>
      <c r="Z52" s="548"/>
      <c r="AA52" s="548"/>
      <c r="AB52" s="548"/>
      <c r="AC52" s="548"/>
      <c r="AD52" s="548"/>
      <c r="AE52" s="548"/>
      <c r="AF52" s="548"/>
      <c r="AG52" s="548"/>
      <c r="AH52" s="548"/>
      <c r="AI52" s="54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89" t="s">
        <v>174</v>
      </c>
      <c r="D53" s="387">
        <v>0.85</v>
      </c>
      <c r="E53" s="387">
        <v>0.85</v>
      </c>
      <c r="F53" s="387">
        <v>0.85</v>
      </c>
      <c r="G53" s="387">
        <v>0.85</v>
      </c>
      <c r="H53" s="387">
        <v>0.85</v>
      </c>
      <c r="I53" s="387">
        <v>0.85</v>
      </c>
      <c r="J53" s="387">
        <v>0.85</v>
      </c>
      <c r="K53" s="387">
        <v>0.85</v>
      </c>
      <c r="L53" s="387">
        <v>0.85</v>
      </c>
      <c r="M53" s="387">
        <v>0.85</v>
      </c>
      <c r="N53" s="387">
        <v>0.85</v>
      </c>
      <c r="O53" s="387">
        <v>0.85</v>
      </c>
      <c r="P53" s="387">
        <v>0.85</v>
      </c>
      <c r="Q53" s="387">
        <v>0.85</v>
      </c>
      <c r="R53" s="387">
        <v>0.85</v>
      </c>
      <c r="S53" s="387">
        <v>0.85</v>
      </c>
      <c r="T53" s="387">
        <v>0.85</v>
      </c>
      <c r="U53" s="387">
        <v>0.85</v>
      </c>
      <c r="V53" s="388">
        <v>0.85</v>
      </c>
      <c r="W53" s="88"/>
      <c r="X53" s="88"/>
      <c r="Y53" s="88"/>
      <c r="Z53" s="548"/>
      <c r="AA53" s="548"/>
      <c r="AB53" s="548"/>
      <c r="AC53" s="548"/>
      <c r="AD53" s="548"/>
      <c r="AE53" s="548"/>
      <c r="AF53" s="548"/>
      <c r="AG53" s="548"/>
      <c r="AH53" s="548"/>
      <c r="AI53" s="54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89" t="s">
        <v>136</v>
      </c>
      <c r="D54" s="387">
        <v>0.85</v>
      </c>
      <c r="E54" s="387">
        <v>0.85</v>
      </c>
      <c r="F54" s="387">
        <v>0.85</v>
      </c>
      <c r="G54" s="387">
        <v>0.85</v>
      </c>
      <c r="H54" s="387">
        <v>0.85</v>
      </c>
      <c r="I54" s="387">
        <v>0.85</v>
      </c>
      <c r="J54" s="387">
        <v>0.85</v>
      </c>
      <c r="K54" s="387">
        <v>0.85</v>
      </c>
      <c r="L54" s="387">
        <v>0.85</v>
      </c>
      <c r="M54" s="387">
        <v>0.85</v>
      </c>
      <c r="N54" s="387">
        <v>0.85</v>
      </c>
      <c r="O54" s="387">
        <v>0.85</v>
      </c>
      <c r="P54" s="387">
        <v>0.85</v>
      </c>
      <c r="Q54" s="387">
        <v>0.85</v>
      </c>
      <c r="R54" s="387">
        <v>0.85</v>
      </c>
      <c r="S54" s="387">
        <v>0.85</v>
      </c>
      <c r="T54" s="387">
        <v>0.85</v>
      </c>
      <c r="U54" s="387">
        <v>0.85</v>
      </c>
      <c r="V54" s="388">
        <v>0.85</v>
      </c>
      <c r="W54" s="88"/>
      <c r="X54" s="88"/>
      <c r="Y54" s="88"/>
      <c r="Z54" s="547"/>
      <c r="AA54" s="547"/>
      <c r="AB54" s="547"/>
      <c r="AC54" s="547"/>
      <c r="AD54" s="547"/>
      <c r="AE54" s="547"/>
      <c r="AF54" s="547"/>
      <c r="AG54" s="547"/>
      <c r="AH54" s="547"/>
      <c r="AI54" s="54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89" t="s">
        <v>175</v>
      </c>
      <c r="D55" s="387">
        <v>0.85</v>
      </c>
      <c r="E55" s="387">
        <v>0.85</v>
      </c>
      <c r="F55" s="387">
        <v>0.85</v>
      </c>
      <c r="G55" s="387">
        <v>0.85</v>
      </c>
      <c r="H55" s="387">
        <v>0.85</v>
      </c>
      <c r="I55" s="387">
        <v>0.85</v>
      </c>
      <c r="J55" s="387">
        <v>0.85</v>
      </c>
      <c r="K55" s="387">
        <v>0.85</v>
      </c>
      <c r="L55" s="387">
        <v>0.85</v>
      </c>
      <c r="M55" s="387">
        <v>0.85</v>
      </c>
      <c r="N55" s="387">
        <v>0.85</v>
      </c>
      <c r="O55" s="387">
        <v>0.85</v>
      </c>
      <c r="P55" s="387">
        <v>0.85</v>
      </c>
      <c r="Q55" s="387">
        <v>0.85</v>
      </c>
      <c r="R55" s="387">
        <v>0.85</v>
      </c>
      <c r="S55" s="387">
        <v>0.85</v>
      </c>
      <c r="T55" s="387">
        <v>0.85</v>
      </c>
      <c r="U55" s="387">
        <v>0.85</v>
      </c>
      <c r="V55" s="388">
        <v>0.85</v>
      </c>
      <c r="W55" s="88"/>
      <c r="X55" s="88"/>
      <c r="Y55" s="88"/>
      <c r="Z55" s="547"/>
      <c r="AA55" s="547"/>
      <c r="AB55" s="547"/>
      <c r="AC55" s="547"/>
      <c r="AD55" s="547"/>
      <c r="AE55" s="547"/>
      <c r="AF55" s="547"/>
      <c r="AG55" s="547"/>
      <c r="AH55" s="547"/>
      <c r="AI55" s="54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89" t="s">
        <v>176</v>
      </c>
      <c r="D56" s="387">
        <v>0.85</v>
      </c>
      <c r="E56" s="387">
        <v>0.85</v>
      </c>
      <c r="F56" s="387">
        <v>0.85</v>
      </c>
      <c r="G56" s="387">
        <v>0.85</v>
      </c>
      <c r="H56" s="387">
        <v>0.85</v>
      </c>
      <c r="I56" s="387">
        <v>0.85</v>
      </c>
      <c r="J56" s="387">
        <v>0.85</v>
      </c>
      <c r="K56" s="387">
        <v>0.85</v>
      </c>
      <c r="L56" s="387">
        <v>0.85</v>
      </c>
      <c r="M56" s="387">
        <v>0.85</v>
      </c>
      <c r="N56" s="387">
        <v>0.85</v>
      </c>
      <c r="O56" s="387">
        <v>0.85</v>
      </c>
      <c r="P56" s="387">
        <v>0.85</v>
      </c>
      <c r="Q56" s="387">
        <v>0.85</v>
      </c>
      <c r="R56" s="387">
        <v>0.85</v>
      </c>
      <c r="S56" s="387">
        <v>0.85</v>
      </c>
      <c r="T56" s="387">
        <v>0.85</v>
      </c>
      <c r="U56" s="387">
        <v>0.85</v>
      </c>
      <c r="V56" s="388">
        <v>0.85</v>
      </c>
      <c r="W56" s="88"/>
      <c r="X56" s="88"/>
      <c r="Y56" s="88"/>
      <c r="Z56" s="547"/>
      <c r="AA56" s="547"/>
      <c r="AB56" s="547"/>
      <c r="AC56" s="547"/>
      <c r="AD56" s="547"/>
      <c r="AE56" s="547"/>
      <c r="AF56" s="547"/>
      <c r="AG56" s="547"/>
      <c r="AH56" s="547"/>
      <c r="AI56" s="54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91" t="s">
        <v>177</v>
      </c>
      <c r="D57" s="392">
        <v>0.85</v>
      </c>
      <c r="E57" s="392">
        <v>0.85</v>
      </c>
      <c r="F57" s="392">
        <v>0.85</v>
      </c>
      <c r="G57" s="392">
        <v>0.85</v>
      </c>
      <c r="H57" s="392">
        <v>0.85</v>
      </c>
      <c r="I57" s="392">
        <v>0.85</v>
      </c>
      <c r="J57" s="392">
        <v>0.85</v>
      </c>
      <c r="K57" s="392">
        <v>0.85</v>
      </c>
      <c r="L57" s="392">
        <v>0.85</v>
      </c>
      <c r="M57" s="392">
        <v>0.85</v>
      </c>
      <c r="N57" s="392">
        <v>0.85</v>
      </c>
      <c r="O57" s="392">
        <v>0.85</v>
      </c>
      <c r="P57" s="392">
        <v>0.85</v>
      </c>
      <c r="Q57" s="392">
        <v>0.85</v>
      </c>
      <c r="R57" s="392">
        <v>0.85</v>
      </c>
      <c r="S57" s="392">
        <v>0.85</v>
      </c>
      <c r="T57" s="392">
        <v>0.85</v>
      </c>
      <c r="U57" s="392">
        <v>0.85</v>
      </c>
      <c r="V57" s="393">
        <v>0.85</v>
      </c>
      <c r="W57" s="88"/>
      <c r="X57" s="88"/>
      <c r="Y57" s="88"/>
      <c r="Z57" s="547"/>
      <c r="AA57" s="547"/>
      <c r="AB57" s="547"/>
      <c r="AC57" s="547"/>
      <c r="AD57" s="547"/>
      <c r="AE57" s="547"/>
      <c r="AF57" s="547"/>
      <c r="AG57" s="547"/>
      <c r="AH57" s="547"/>
      <c r="AI57" s="54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7"/>
      <c r="AA58" s="547"/>
      <c r="AB58" s="547"/>
      <c r="AC58" s="547"/>
      <c r="AD58" s="547"/>
      <c r="AE58" s="547"/>
      <c r="AF58" s="547"/>
      <c r="AG58" s="547"/>
      <c r="AH58" s="547"/>
      <c r="AI58" s="54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7"/>
      <c r="AA59" s="547"/>
      <c r="AB59" s="547"/>
      <c r="AC59" s="547"/>
      <c r="AD59" s="547"/>
      <c r="AE59" s="547"/>
      <c r="AF59" s="547"/>
      <c r="AG59" s="547"/>
      <c r="AH59" s="547"/>
      <c r="AI59" s="54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353</v>
      </c>
      <c r="C60" s="88"/>
      <c r="D60" s="88"/>
      <c r="E60" s="202"/>
      <c r="F60" s="202"/>
      <c r="G60" s="88"/>
      <c r="H60" s="88"/>
      <c r="I60" s="88"/>
      <c r="J60" s="88"/>
      <c r="K60" s="88"/>
      <c r="L60" s="88"/>
      <c r="M60" s="88"/>
      <c r="N60" s="88"/>
      <c r="O60" s="88"/>
      <c r="P60" s="88"/>
      <c r="Q60" s="88"/>
      <c r="R60" s="88"/>
      <c r="S60" s="88"/>
      <c r="T60" s="88"/>
      <c r="U60" s="88"/>
      <c r="V60" s="88"/>
      <c r="W60" s="88"/>
      <c r="X60" s="88"/>
      <c r="Y60" s="88"/>
      <c r="Z60" s="547"/>
      <c r="AA60" s="547"/>
      <c r="AB60" s="547"/>
      <c r="AC60" s="547"/>
      <c r="AD60" s="547"/>
      <c r="AE60" s="547"/>
      <c r="AF60" s="547"/>
      <c r="AG60" s="547"/>
      <c r="AH60" s="547"/>
      <c r="AI60" s="54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32"/>
      <c r="B61" s="202"/>
      <c r="C61" s="202"/>
      <c r="D61" s="202"/>
      <c r="E61" s="202"/>
      <c r="F61" s="202"/>
      <c r="G61" s="532"/>
      <c r="H61" s="532"/>
      <c r="I61" s="532"/>
      <c r="J61" s="532"/>
      <c r="K61" s="532"/>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56" t="s">
        <v>355</v>
      </c>
      <c r="D62" s="557"/>
      <c r="E62" s="557" t="s">
        <v>356</v>
      </c>
      <c r="F62" s="558"/>
      <c r="G62" s="532"/>
      <c r="H62" s="559" t="s">
        <v>354</v>
      </c>
      <c r="I62" s="559"/>
      <c r="J62" s="559"/>
      <c r="K62" s="559"/>
      <c r="L62" s="559"/>
      <c r="M62" s="559"/>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44" t="s">
        <v>357</v>
      </c>
      <c r="D63" s="545" t="s">
        <v>358</v>
      </c>
      <c r="E63" s="544" t="s">
        <v>357</v>
      </c>
      <c r="F63" s="546" t="s">
        <v>358</v>
      </c>
      <c r="G63" s="202"/>
      <c r="H63" s="559"/>
      <c r="I63" s="559"/>
      <c r="J63" s="559"/>
      <c r="K63" s="559"/>
      <c r="L63" s="559"/>
      <c r="M63" s="559"/>
      <c r="N63" s="554"/>
      <c r="O63" s="554"/>
      <c r="P63" s="554"/>
      <c r="Q63" s="554"/>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39" t="s">
        <v>125</v>
      </c>
      <c r="C64" s="541">
        <v>0.85</v>
      </c>
      <c r="D64" s="542">
        <v>1.1499999999999999</v>
      </c>
      <c r="E64" s="542">
        <v>0.5</v>
      </c>
      <c r="F64" s="543">
        <v>1</v>
      </c>
      <c r="G64" s="202"/>
      <c r="H64" s="559"/>
      <c r="I64" s="559"/>
      <c r="J64" s="559"/>
      <c r="K64" s="559"/>
      <c r="L64" s="559"/>
      <c r="M64" s="559"/>
      <c r="N64" s="554"/>
      <c r="O64" s="554"/>
      <c r="P64" s="554"/>
      <c r="Q64" s="554"/>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29" t="s">
        <v>126</v>
      </c>
      <c r="C65" s="533">
        <v>0.25</v>
      </c>
      <c r="D65" s="534">
        <v>1.1499999999999999</v>
      </c>
      <c r="E65" s="534">
        <v>0.1</v>
      </c>
      <c r="F65" s="535">
        <v>1</v>
      </c>
      <c r="G65" s="202"/>
      <c r="H65" s="559"/>
      <c r="I65" s="559"/>
      <c r="J65" s="559"/>
      <c r="K65" s="559"/>
      <c r="L65" s="559"/>
      <c r="M65" s="559"/>
      <c r="N65" s="554"/>
      <c r="O65" s="554"/>
      <c r="P65" s="554"/>
      <c r="Q65" s="554"/>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40" t="s">
        <v>127</v>
      </c>
      <c r="C66" s="536">
        <v>0.25</v>
      </c>
      <c r="D66" s="537">
        <v>1.1499999999999999</v>
      </c>
      <c r="E66" s="537">
        <v>0.1</v>
      </c>
      <c r="F66" s="538">
        <v>1</v>
      </c>
      <c r="G66" s="202"/>
      <c r="H66" s="559"/>
      <c r="I66" s="559"/>
      <c r="J66" s="559"/>
      <c r="K66" s="559"/>
      <c r="L66" s="559"/>
      <c r="M66" s="559"/>
      <c r="N66" s="554"/>
      <c r="O66" s="554"/>
      <c r="P66" s="554"/>
      <c r="Q66" s="554"/>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79"/>
      <c r="B67" s="379"/>
      <c r="C67" s="379"/>
      <c r="D67" s="379"/>
      <c r="E67" s="379"/>
      <c r="F67" s="202"/>
      <c r="G67" s="202"/>
      <c r="H67" s="559"/>
      <c r="I67" s="559"/>
      <c r="J67" s="559"/>
      <c r="K67" s="559"/>
      <c r="L67" s="559"/>
      <c r="M67" s="559"/>
      <c r="N67" s="554"/>
      <c r="O67" s="554"/>
      <c r="P67" s="554"/>
      <c r="Q67" s="554"/>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79"/>
      <c r="B68" s="379"/>
      <c r="C68" s="379"/>
      <c r="D68" s="379"/>
      <c r="E68" s="379"/>
      <c r="F68" s="202"/>
      <c r="G68" s="202"/>
      <c r="H68" s="559"/>
      <c r="I68" s="559"/>
      <c r="J68" s="559"/>
      <c r="K68" s="559"/>
      <c r="L68" s="559"/>
      <c r="M68" s="559"/>
      <c r="N68" s="554"/>
      <c r="O68" s="554"/>
      <c r="P68" s="554"/>
      <c r="Q68" s="554"/>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50"/>
      <c r="B69" s="550"/>
      <c r="C69" s="550"/>
      <c r="D69" s="550"/>
      <c r="E69" s="550"/>
      <c r="F69" s="551"/>
      <c r="G69" s="552"/>
      <c r="H69" s="553"/>
      <c r="I69" s="553"/>
      <c r="J69" s="553"/>
      <c r="K69" s="553"/>
      <c r="L69" s="554"/>
      <c r="M69" s="554"/>
      <c r="N69" s="554"/>
      <c r="O69" s="554"/>
      <c r="P69" s="554"/>
      <c r="Q69" s="554"/>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50"/>
      <c r="B70" s="550"/>
      <c r="C70" s="550"/>
      <c r="D70" s="550"/>
      <c r="E70" s="550"/>
      <c r="F70" s="551"/>
      <c r="G70" s="552"/>
      <c r="H70" s="553"/>
      <c r="I70" s="553"/>
      <c r="J70" s="553"/>
      <c r="K70" s="553"/>
      <c r="L70" s="554"/>
      <c r="M70" s="554"/>
      <c r="N70" s="554"/>
      <c r="O70" s="554"/>
      <c r="P70" s="554"/>
      <c r="Q70" s="554"/>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52"/>
      <c r="B71" s="552"/>
      <c r="C71" s="552"/>
      <c r="D71" s="552"/>
      <c r="E71" s="552"/>
      <c r="F71" s="552"/>
      <c r="G71" s="552"/>
      <c r="H71" s="553"/>
      <c r="I71" s="553"/>
      <c r="J71" s="553"/>
      <c r="K71" s="553"/>
      <c r="L71" s="554"/>
      <c r="M71" s="554"/>
      <c r="N71" s="554"/>
      <c r="O71" s="554"/>
      <c r="P71" s="554"/>
      <c r="Q71" s="554"/>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52"/>
      <c r="B72" s="552"/>
      <c r="C72" s="552"/>
      <c r="D72" s="552"/>
      <c r="E72" s="552"/>
      <c r="F72" s="552"/>
      <c r="G72" s="551"/>
      <c r="H72" s="532"/>
      <c r="I72" s="532"/>
      <c r="J72" s="532"/>
      <c r="K72" s="532"/>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52"/>
      <c r="B73" s="552"/>
      <c r="C73" s="552"/>
      <c r="D73" s="552"/>
      <c r="E73" s="552"/>
      <c r="F73" s="552"/>
      <c r="G73" s="551"/>
      <c r="H73" s="532"/>
      <c r="I73" s="532"/>
      <c r="J73" s="532"/>
      <c r="K73" s="532"/>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51"/>
      <c r="B74" s="551"/>
      <c r="C74" s="551"/>
      <c r="D74" s="551"/>
      <c r="E74" s="551"/>
      <c r="F74" s="551"/>
      <c r="G74" s="551"/>
      <c r="H74" s="532"/>
      <c r="I74" s="532"/>
      <c r="J74" s="532"/>
      <c r="K74" s="532"/>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51"/>
      <c r="B75" s="551"/>
      <c r="C75" s="551"/>
      <c r="D75" s="551"/>
      <c r="E75" s="551"/>
      <c r="F75" s="551"/>
      <c r="G75" s="551"/>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69" t="s">
        <v>53</v>
      </c>
      <c r="D9" s="570"/>
      <c r="E9" s="381" t="s">
        <v>168</v>
      </c>
      <c r="F9" s="228" t="s">
        <v>169</v>
      </c>
      <c r="G9" s="158"/>
      <c r="H9" s="333"/>
      <c r="I9" s="333"/>
      <c r="J9" s="560" t="s">
        <v>148</v>
      </c>
      <c r="K9" s="561"/>
      <c r="L9" s="562"/>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143</v>
      </c>
      <c r="D10" s="224"/>
      <c r="E10" s="382">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144</v>
      </c>
      <c r="D11" s="224"/>
      <c r="E11" s="383">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145</v>
      </c>
      <c r="D12" s="224"/>
      <c r="E12" s="383">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146</v>
      </c>
      <c r="D13" s="224"/>
      <c r="E13" s="383">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84">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71" t="s">
        <v>54</v>
      </c>
      <c r="D17" s="572"/>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73" t="s">
        <v>149</v>
      </c>
      <c r="D26" s="574"/>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23"/>
      <c r="D35" s="563" t="s">
        <v>125</v>
      </c>
      <c r="E35" s="564"/>
      <c r="F35" s="565" t="s">
        <v>126</v>
      </c>
      <c r="G35" s="566"/>
      <c r="H35" s="567" t="s">
        <v>127</v>
      </c>
      <c r="I35" s="56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184</v>
      </c>
      <c r="C11" s="401">
        <v>1</v>
      </c>
      <c r="D11" s="402">
        <v>1.0249999999999999</v>
      </c>
      <c r="E11" s="402">
        <v>1.0506249999999999</v>
      </c>
      <c r="F11" s="402">
        <v>1.0768906249999999</v>
      </c>
      <c r="G11" s="402">
        <v>1.1038128906249998</v>
      </c>
      <c r="H11" s="402">
        <v>1.1314082128906247</v>
      </c>
      <c r="I11" s="402">
        <v>1.1596934182128902</v>
      </c>
      <c r="J11" s="402">
        <v>1.1886857536682123</v>
      </c>
      <c r="K11" s="402">
        <v>1.2184028975099175</v>
      </c>
      <c r="L11" s="402">
        <v>1.2488629699476652</v>
      </c>
      <c r="M11" s="402">
        <v>1.2800845441963566</v>
      </c>
      <c r="N11" s="402">
        <v>1.3120866578012655</v>
      </c>
      <c r="O11" s="402">
        <v>1.3448888242462971</v>
      </c>
      <c r="P11" s="402">
        <v>1.3785110448524545</v>
      </c>
      <c r="Q11" s="402">
        <v>1.4129738209737657</v>
      </c>
      <c r="R11" s="402">
        <v>1.4482981664981096</v>
      </c>
      <c r="S11" s="402">
        <v>1.4845056206605622</v>
      </c>
      <c r="T11" s="402">
        <v>1.5216182611770761</v>
      </c>
      <c r="U11" s="40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185</v>
      </c>
      <c r="C12" s="401">
        <v>1</v>
      </c>
      <c r="D12" s="402">
        <v>1.0249999999999999</v>
      </c>
      <c r="E12" s="402">
        <v>1.0506249999999999</v>
      </c>
      <c r="F12" s="402">
        <v>1.0768906249999999</v>
      </c>
      <c r="G12" s="402">
        <v>1.1038128906249998</v>
      </c>
      <c r="H12" s="402">
        <v>1.1314082128906247</v>
      </c>
      <c r="I12" s="402">
        <v>1.1596934182128902</v>
      </c>
      <c r="J12" s="402">
        <v>1.1886857536682123</v>
      </c>
      <c r="K12" s="402">
        <v>1.2184028975099175</v>
      </c>
      <c r="L12" s="402">
        <v>1.2488629699476652</v>
      </c>
      <c r="M12" s="402">
        <v>1.2800845441963566</v>
      </c>
      <c r="N12" s="402">
        <v>1.3120866578012655</v>
      </c>
      <c r="O12" s="402">
        <v>1.3448888242462971</v>
      </c>
      <c r="P12" s="402">
        <v>1.3785110448524545</v>
      </c>
      <c r="Q12" s="402">
        <v>1.4129738209737657</v>
      </c>
      <c r="R12" s="402">
        <v>1.4482981664981096</v>
      </c>
      <c r="S12" s="402">
        <v>1.4845056206605622</v>
      </c>
      <c r="T12" s="402">
        <v>1.5216182611770761</v>
      </c>
      <c r="U12" s="40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186</v>
      </c>
      <c r="C13" s="404">
        <v>1</v>
      </c>
      <c r="D13" s="402">
        <v>1.0249999999999999</v>
      </c>
      <c r="E13" s="402">
        <v>1.0506249999999999</v>
      </c>
      <c r="F13" s="402">
        <v>1.0768906249999999</v>
      </c>
      <c r="G13" s="402">
        <v>1.1038128906249998</v>
      </c>
      <c r="H13" s="402">
        <v>1.1314082128906247</v>
      </c>
      <c r="I13" s="402">
        <v>1.1596934182128902</v>
      </c>
      <c r="J13" s="402">
        <v>1.1886857536682123</v>
      </c>
      <c r="K13" s="402">
        <v>1.2184028975099175</v>
      </c>
      <c r="L13" s="402">
        <v>1.2488629699476652</v>
      </c>
      <c r="M13" s="402">
        <v>1.2800845441963566</v>
      </c>
      <c r="N13" s="402">
        <v>1.3120866578012655</v>
      </c>
      <c r="O13" s="402">
        <v>1.3448888242462971</v>
      </c>
      <c r="P13" s="402">
        <v>1.3785110448524545</v>
      </c>
      <c r="Q13" s="402">
        <v>1.4129738209737657</v>
      </c>
      <c r="R13" s="402">
        <v>1.4482981664981096</v>
      </c>
      <c r="S13" s="402">
        <v>1.4845056206605622</v>
      </c>
      <c r="T13" s="402">
        <v>1.5216182611770761</v>
      </c>
      <c r="U13" s="40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290</v>
      </c>
      <c r="C14" s="405">
        <v>1.0249999999999999</v>
      </c>
      <c r="D14" s="406">
        <v>1.0249999999999999</v>
      </c>
      <c r="E14" s="406">
        <v>1.0249999999999999</v>
      </c>
      <c r="F14" s="406">
        <v>1.0249999999999999</v>
      </c>
      <c r="G14" s="406">
        <v>1.0249999999999999</v>
      </c>
      <c r="H14" s="406">
        <v>1.0249999999999999</v>
      </c>
      <c r="I14" s="406">
        <v>1.0249999999999999</v>
      </c>
      <c r="J14" s="406">
        <v>1.0249999999999999</v>
      </c>
      <c r="K14" s="406">
        <v>1.0249999999999999</v>
      </c>
      <c r="L14" s="406">
        <v>1.0249999999999999</v>
      </c>
      <c r="M14" s="406">
        <v>1.0249999999999999</v>
      </c>
      <c r="N14" s="406">
        <v>1.0249999999999999</v>
      </c>
      <c r="O14" s="406">
        <v>1.0249999999999999</v>
      </c>
      <c r="P14" s="406">
        <v>1.0249999999999999</v>
      </c>
      <c r="Q14" s="406">
        <v>1.0249999999999999</v>
      </c>
      <c r="R14" s="406">
        <v>1.0249999999999999</v>
      </c>
      <c r="S14" s="406">
        <v>1.0249999999999999</v>
      </c>
      <c r="T14" s="406">
        <v>1.0249999999999999</v>
      </c>
      <c r="U14" s="40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300</v>
      </c>
      <c r="D31" s="131"/>
      <c r="E31" s="131"/>
      <c r="F31" s="131"/>
      <c r="G31" s="430"/>
      <c r="H31" s="430"/>
      <c r="I31" s="431"/>
      <c r="J31" s="431"/>
      <c r="K31" s="359"/>
      <c r="L31" s="359"/>
      <c r="M31" s="359"/>
      <c r="N31" s="432"/>
      <c r="O31" s="158" t="s">
        <v>301</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75" t="s">
        <v>302</v>
      </c>
      <c r="D32" s="575"/>
      <c r="E32" s="575"/>
      <c r="F32" s="576"/>
      <c r="G32" s="252">
        <v>2020</v>
      </c>
      <c r="H32" s="430"/>
      <c r="I32" s="431"/>
      <c r="J32" s="431"/>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33"/>
      <c r="D33" s="434"/>
      <c r="E33" s="433"/>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35"/>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36" t="s">
        <v>210</v>
      </c>
      <c r="D35" s="437" t="b">
        <v>0</v>
      </c>
      <c r="E35" s="438" t="b">
        <v>0</v>
      </c>
      <c r="F35" s="437" t="b">
        <v>0</v>
      </c>
      <c r="G35" s="439" t="b">
        <v>1</v>
      </c>
      <c r="H35" s="439" t="b">
        <v>1</v>
      </c>
      <c r="I35" s="439" t="b">
        <v>1</v>
      </c>
      <c r="J35" s="439" t="b">
        <v>1</v>
      </c>
      <c r="K35" s="439" t="b">
        <v>1</v>
      </c>
      <c r="L35" s="440" t="b">
        <v>1</v>
      </c>
      <c r="M35" s="440" t="b">
        <v>1</v>
      </c>
      <c r="N35" s="440" t="b">
        <v>1</v>
      </c>
      <c r="O35" s="440" t="b">
        <v>1</v>
      </c>
      <c r="P35" s="440" t="b">
        <v>1</v>
      </c>
      <c r="Q35" s="440" t="b">
        <v>1</v>
      </c>
      <c r="R35" s="440" t="b">
        <v>1</v>
      </c>
      <c r="S35" s="440" t="b">
        <v>1</v>
      </c>
      <c r="T35" s="440" t="b">
        <v>1</v>
      </c>
      <c r="U35" s="440" t="b">
        <v>1</v>
      </c>
      <c r="V35" s="441"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36" t="s">
        <v>212</v>
      </c>
      <c r="D36" s="437" t="b">
        <v>0</v>
      </c>
      <c r="E36" s="438" t="b">
        <v>0</v>
      </c>
      <c r="F36" s="437" t="b">
        <v>0</v>
      </c>
      <c r="G36" s="439" t="b">
        <v>1</v>
      </c>
      <c r="H36" s="439" t="b">
        <v>1</v>
      </c>
      <c r="I36" s="439" t="b">
        <v>1</v>
      </c>
      <c r="J36" s="439" t="b">
        <v>1</v>
      </c>
      <c r="K36" s="439" t="b">
        <v>1</v>
      </c>
      <c r="L36" s="440" t="b">
        <v>1</v>
      </c>
      <c r="M36" s="440" t="b">
        <v>1</v>
      </c>
      <c r="N36" s="440" t="b">
        <v>1</v>
      </c>
      <c r="O36" s="440" t="b">
        <v>1</v>
      </c>
      <c r="P36" s="440" t="b">
        <v>1</v>
      </c>
      <c r="Q36" s="440" t="b">
        <v>1</v>
      </c>
      <c r="R36" s="440" t="b">
        <v>1</v>
      </c>
      <c r="S36" s="440" t="b">
        <v>1</v>
      </c>
      <c r="T36" s="440" t="b">
        <v>1</v>
      </c>
      <c r="U36" s="440" t="b">
        <v>1</v>
      </c>
      <c r="V36" s="441"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42" t="s">
        <v>213</v>
      </c>
      <c r="D37" s="437" t="b">
        <v>1</v>
      </c>
      <c r="E37" s="438" t="b">
        <v>1</v>
      </c>
      <c r="F37" s="437" t="b">
        <v>1</v>
      </c>
      <c r="G37" s="439" t="b">
        <v>1</v>
      </c>
      <c r="H37" s="439" t="b">
        <v>1</v>
      </c>
      <c r="I37" s="439" t="b">
        <v>1</v>
      </c>
      <c r="J37" s="439" t="b">
        <v>1</v>
      </c>
      <c r="K37" s="439" t="b">
        <v>1</v>
      </c>
      <c r="L37" s="440" t="b">
        <v>1</v>
      </c>
      <c r="M37" s="440" t="b">
        <v>1</v>
      </c>
      <c r="N37" s="443" t="b">
        <v>1</v>
      </c>
      <c r="O37" s="440" t="b">
        <v>1</v>
      </c>
      <c r="P37" s="440" t="b">
        <v>1</v>
      </c>
      <c r="Q37" s="440" t="b">
        <v>1</v>
      </c>
      <c r="R37" s="440" t="b">
        <v>1</v>
      </c>
      <c r="S37" s="440" t="b">
        <v>1</v>
      </c>
      <c r="T37" s="440" t="b">
        <v>1</v>
      </c>
      <c r="U37" s="440" t="b">
        <v>1</v>
      </c>
      <c r="V37" s="441"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42" t="s">
        <v>214</v>
      </c>
      <c r="D38" s="437" t="b">
        <v>1</v>
      </c>
      <c r="E38" s="438" t="b">
        <v>1</v>
      </c>
      <c r="F38" s="437" t="b">
        <v>1</v>
      </c>
      <c r="G38" s="439" t="b">
        <v>1</v>
      </c>
      <c r="H38" s="439" t="b">
        <v>1</v>
      </c>
      <c r="I38" s="439" t="b">
        <v>1</v>
      </c>
      <c r="J38" s="439" t="b">
        <v>1</v>
      </c>
      <c r="K38" s="439" t="b">
        <v>1</v>
      </c>
      <c r="L38" s="440" t="b">
        <v>1</v>
      </c>
      <c r="M38" s="440" t="b">
        <v>1</v>
      </c>
      <c r="N38" s="440" t="b">
        <v>1</v>
      </c>
      <c r="O38" s="440" t="b">
        <v>1</v>
      </c>
      <c r="P38" s="440" t="b">
        <v>1</v>
      </c>
      <c r="Q38" s="440" t="b">
        <v>1</v>
      </c>
      <c r="R38" s="440" t="b">
        <v>1</v>
      </c>
      <c r="S38" s="440" t="b">
        <v>1</v>
      </c>
      <c r="T38" s="440" t="b">
        <v>1</v>
      </c>
      <c r="U38" s="440" t="b">
        <v>1</v>
      </c>
      <c r="V38" s="441"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42" t="s">
        <v>215</v>
      </c>
      <c r="D39" s="437" t="b">
        <v>1</v>
      </c>
      <c r="E39" s="438" t="b">
        <v>1</v>
      </c>
      <c r="F39" s="437" t="b">
        <v>1</v>
      </c>
      <c r="G39" s="439" t="b">
        <v>1</v>
      </c>
      <c r="H39" s="439" t="b">
        <v>1</v>
      </c>
      <c r="I39" s="439" t="b">
        <v>1</v>
      </c>
      <c r="J39" s="439" t="b">
        <v>1</v>
      </c>
      <c r="K39" s="439" t="b">
        <v>1</v>
      </c>
      <c r="L39" s="440" t="b">
        <v>1</v>
      </c>
      <c r="M39" s="440" t="b">
        <v>1</v>
      </c>
      <c r="N39" s="440" t="b">
        <v>1</v>
      </c>
      <c r="O39" s="440" t="b">
        <v>1</v>
      </c>
      <c r="P39" s="440" t="b">
        <v>1</v>
      </c>
      <c r="Q39" s="440" t="b">
        <v>1</v>
      </c>
      <c r="R39" s="440" t="b">
        <v>1</v>
      </c>
      <c r="S39" s="440" t="b">
        <v>1</v>
      </c>
      <c r="T39" s="440" t="b">
        <v>1</v>
      </c>
      <c r="U39" s="440" t="b">
        <v>1</v>
      </c>
      <c r="V39" s="441"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42" t="s">
        <v>216</v>
      </c>
      <c r="D40" s="437" t="b">
        <v>1</v>
      </c>
      <c r="E40" s="438" t="b">
        <v>1</v>
      </c>
      <c r="F40" s="437" t="b">
        <v>1</v>
      </c>
      <c r="G40" s="439" t="b">
        <v>1</v>
      </c>
      <c r="H40" s="439" t="b">
        <v>1</v>
      </c>
      <c r="I40" s="439" t="b">
        <v>1</v>
      </c>
      <c r="J40" s="439" t="b">
        <v>1</v>
      </c>
      <c r="K40" s="439" t="b">
        <v>1</v>
      </c>
      <c r="L40" s="440" t="b">
        <v>1</v>
      </c>
      <c r="M40" s="440" t="b">
        <v>1</v>
      </c>
      <c r="N40" s="440" t="b">
        <v>1</v>
      </c>
      <c r="O40" s="440" t="b">
        <v>1</v>
      </c>
      <c r="P40" s="440" t="b">
        <v>1</v>
      </c>
      <c r="Q40" s="440" t="b">
        <v>1</v>
      </c>
      <c r="R40" s="440" t="b">
        <v>1</v>
      </c>
      <c r="S40" s="440" t="b">
        <v>1</v>
      </c>
      <c r="T40" s="440" t="b">
        <v>1</v>
      </c>
      <c r="U40" s="440" t="b">
        <v>1</v>
      </c>
      <c r="V40" s="441"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42" t="s">
        <v>217</v>
      </c>
      <c r="D41" s="437" t="b">
        <v>1</v>
      </c>
      <c r="E41" s="438" t="b">
        <v>1</v>
      </c>
      <c r="F41" s="437" t="b">
        <v>1</v>
      </c>
      <c r="G41" s="439" t="b">
        <v>1</v>
      </c>
      <c r="H41" s="439" t="b">
        <v>1</v>
      </c>
      <c r="I41" s="439" t="b">
        <v>1</v>
      </c>
      <c r="J41" s="439" t="b">
        <v>1</v>
      </c>
      <c r="K41" s="439" t="b">
        <v>1</v>
      </c>
      <c r="L41" s="440" t="b">
        <v>1</v>
      </c>
      <c r="M41" s="440" t="b">
        <v>1</v>
      </c>
      <c r="N41" s="440" t="b">
        <v>1</v>
      </c>
      <c r="O41" s="440" t="b">
        <v>1</v>
      </c>
      <c r="P41" s="440" t="b">
        <v>1</v>
      </c>
      <c r="Q41" s="440" t="b">
        <v>1</v>
      </c>
      <c r="R41" s="440" t="b">
        <v>1</v>
      </c>
      <c r="S41" s="440" t="b">
        <v>1</v>
      </c>
      <c r="T41" s="440" t="b">
        <v>1</v>
      </c>
      <c r="U41" s="440" t="b">
        <v>1</v>
      </c>
      <c r="V41" s="441"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42" t="s">
        <v>11</v>
      </c>
      <c r="D42" s="437" t="b">
        <v>1</v>
      </c>
      <c r="E42" s="438" t="b">
        <v>1</v>
      </c>
      <c r="F42" s="437" t="b">
        <v>1</v>
      </c>
      <c r="G42" s="439" t="b">
        <v>1</v>
      </c>
      <c r="H42" s="439" t="b">
        <v>1</v>
      </c>
      <c r="I42" s="439" t="b">
        <v>1</v>
      </c>
      <c r="J42" s="439" t="b">
        <v>1</v>
      </c>
      <c r="K42" s="439" t="b">
        <v>1</v>
      </c>
      <c r="L42" s="440" t="b">
        <v>1</v>
      </c>
      <c r="M42" s="440" t="b">
        <v>1</v>
      </c>
      <c r="N42" s="440" t="b">
        <v>1</v>
      </c>
      <c r="O42" s="440" t="b">
        <v>1</v>
      </c>
      <c r="P42" s="440" t="b">
        <v>1</v>
      </c>
      <c r="Q42" s="440" t="b">
        <v>1</v>
      </c>
      <c r="R42" s="440" t="b">
        <v>1</v>
      </c>
      <c r="S42" s="440" t="b">
        <v>1</v>
      </c>
      <c r="T42" s="440" t="b">
        <v>1</v>
      </c>
      <c r="U42" s="440" t="b">
        <v>1</v>
      </c>
      <c r="V42" s="441"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36" t="s">
        <v>218</v>
      </c>
      <c r="D43" s="437" t="b">
        <v>0</v>
      </c>
      <c r="E43" s="438" t="b">
        <v>0</v>
      </c>
      <c r="F43" s="437" t="b">
        <v>0</v>
      </c>
      <c r="G43" s="444" t="b">
        <v>1</v>
      </c>
      <c r="H43" s="444" t="b">
        <v>1</v>
      </c>
      <c r="I43" s="444" t="b">
        <v>1</v>
      </c>
      <c r="J43" s="444" t="b">
        <v>1</v>
      </c>
      <c r="K43" s="444" t="b">
        <v>1</v>
      </c>
      <c r="L43" s="445" t="b">
        <v>1</v>
      </c>
      <c r="M43" s="445" t="b">
        <v>1</v>
      </c>
      <c r="N43" s="445" t="b">
        <v>1</v>
      </c>
      <c r="O43" s="445" t="b">
        <v>1</v>
      </c>
      <c r="P43" s="445" t="b">
        <v>1</v>
      </c>
      <c r="Q43" s="445" t="b">
        <v>1</v>
      </c>
      <c r="R43" s="445" t="b">
        <v>1</v>
      </c>
      <c r="S43" s="445" t="b">
        <v>1</v>
      </c>
      <c r="T43" s="445" t="b">
        <v>1</v>
      </c>
      <c r="U43" s="445" t="b">
        <v>1</v>
      </c>
      <c r="V43" s="446"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36" t="s">
        <v>219</v>
      </c>
      <c r="D44" s="437" t="b">
        <v>0</v>
      </c>
      <c r="E44" s="438" t="b">
        <v>0</v>
      </c>
      <c r="F44" s="437" t="b">
        <v>0</v>
      </c>
      <c r="G44" s="444" t="b">
        <v>1</v>
      </c>
      <c r="H44" s="444" t="b">
        <v>1</v>
      </c>
      <c r="I44" s="444" t="b">
        <v>1</v>
      </c>
      <c r="J44" s="444" t="b">
        <v>1</v>
      </c>
      <c r="K44" s="444" t="b">
        <v>1</v>
      </c>
      <c r="L44" s="445" t="b">
        <v>1</v>
      </c>
      <c r="M44" s="445" t="b">
        <v>1</v>
      </c>
      <c r="N44" s="445" t="b">
        <v>1</v>
      </c>
      <c r="O44" s="445" t="b">
        <v>1</v>
      </c>
      <c r="P44" s="445" t="b">
        <v>1</v>
      </c>
      <c r="Q44" s="445" t="b">
        <v>1</v>
      </c>
      <c r="R44" s="445" t="b">
        <v>1</v>
      </c>
      <c r="S44" s="445" t="b">
        <v>1</v>
      </c>
      <c r="T44" s="445" t="b">
        <v>1</v>
      </c>
      <c r="U44" s="445" t="b">
        <v>1</v>
      </c>
      <c r="V44" s="446"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36" t="s">
        <v>221</v>
      </c>
      <c r="D45" s="437" t="b">
        <v>0</v>
      </c>
      <c r="E45" s="438" t="b">
        <v>0</v>
      </c>
      <c r="F45" s="437" t="b">
        <v>0</v>
      </c>
      <c r="G45" s="444" t="b">
        <v>1</v>
      </c>
      <c r="H45" s="444" t="b">
        <v>1</v>
      </c>
      <c r="I45" s="444" t="b">
        <v>1</v>
      </c>
      <c r="J45" s="444" t="b">
        <v>1</v>
      </c>
      <c r="K45" s="444" t="b">
        <v>1</v>
      </c>
      <c r="L45" s="445" t="b">
        <v>1</v>
      </c>
      <c r="M45" s="445" t="b">
        <v>1</v>
      </c>
      <c r="N45" s="445" t="b">
        <v>1</v>
      </c>
      <c r="O45" s="445" t="b">
        <v>1</v>
      </c>
      <c r="P45" s="445" t="b">
        <v>1</v>
      </c>
      <c r="Q45" s="445" t="b">
        <v>1</v>
      </c>
      <c r="R45" s="445" t="b">
        <v>1</v>
      </c>
      <c r="S45" s="445" t="b">
        <v>1</v>
      </c>
      <c r="T45" s="445" t="b">
        <v>1</v>
      </c>
      <c r="U45" s="445" t="b">
        <v>1</v>
      </c>
      <c r="V45" s="446"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36" t="s">
        <v>222</v>
      </c>
      <c r="D46" s="437" t="b">
        <v>0</v>
      </c>
      <c r="E46" s="438" t="b">
        <v>0</v>
      </c>
      <c r="F46" s="437" t="b">
        <v>0</v>
      </c>
      <c r="G46" s="445" t="b">
        <v>1</v>
      </c>
      <c r="H46" s="445" t="b">
        <v>1</v>
      </c>
      <c r="I46" s="445" t="b">
        <v>1</v>
      </c>
      <c r="J46" s="445" t="b">
        <v>1</v>
      </c>
      <c r="K46" s="445" t="b">
        <v>1</v>
      </c>
      <c r="L46" s="445" t="b">
        <v>1</v>
      </c>
      <c r="M46" s="445" t="b">
        <v>1</v>
      </c>
      <c r="N46" s="445" t="b">
        <v>1</v>
      </c>
      <c r="O46" s="445" t="b">
        <v>1</v>
      </c>
      <c r="P46" s="445" t="b">
        <v>1</v>
      </c>
      <c r="Q46" s="445" t="b">
        <v>1</v>
      </c>
      <c r="R46" s="445" t="b">
        <v>1</v>
      </c>
      <c r="S46" s="445" t="b">
        <v>1</v>
      </c>
      <c r="T46" s="445" t="b">
        <v>1</v>
      </c>
      <c r="U46" s="445" t="b">
        <v>1</v>
      </c>
      <c r="V46" s="446"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42" t="s">
        <v>223</v>
      </c>
      <c r="D47" s="437" t="b">
        <v>1</v>
      </c>
      <c r="E47" s="438" t="b">
        <v>1</v>
      </c>
      <c r="F47" s="437" t="b">
        <v>1</v>
      </c>
      <c r="G47" s="445" t="b">
        <v>1</v>
      </c>
      <c r="H47" s="445" t="b">
        <v>1</v>
      </c>
      <c r="I47" s="445" t="b">
        <v>1</v>
      </c>
      <c r="J47" s="445" t="b">
        <v>1</v>
      </c>
      <c r="K47" s="445" t="b">
        <v>1</v>
      </c>
      <c r="L47" s="445" t="b">
        <v>1</v>
      </c>
      <c r="M47" s="445" t="b">
        <v>1</v>
      </c>
      <c r="N47" s="445" t="b">
        <v>1</v>
      </c>
      <c r="O47" s="445" t="b">
        <v>1</v>
      </c>
      <c r="P47" s="445" t="b">
        <v>1</v>
      </c>
      <c r="Q47" s="445" t="b">
        <v>1</v>
      </c>
      <c r="R47" s="445" t="b">
        <v>1</v>
      </c>
      <c r="S47" s="445" t="b">
        <v>1</v>
      </c>
      <c r="T47" s="445" t="b">
        <v>1</v>
      </c>
      <c r="U47" s="445" t="b">
        <v>1</v>
      </c>
      <c r="V47" s="446"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36" t="s">
        <v>224</v>
      </c>
      <c r="D48" s="437" t="b">
        <v>0</v>
      </c>
      <c r="E48" s="438" t="b">
        <v>0</v>
      </c>
      <c r="F48" s="437" t="b">
        <v>0</v>
      </c>
      <c r="G48" s="445" t="b">
        <v>1</v>
      </c>
      <c r="H48" s="445" t="b">
        <v>1</v>
      </c>
      <c r="I48" s="445" t="b">
        <v>1</v>
      </c>
      <c r="J48" s="445" t="b">
        <v>1</v>
      </c>
      <c r="K48" s="445" t="b">
        <v>1</v>
      </c>
      <c r="L48" s="445" t="b">
        <v>1</v>
      </c>
      <c r="M48" s="445" t="b">
        <v>1</v>
      </c>
      <c r="N48" s="445" t="b">
        <v>1</v>
      </c>
      <c r="O48" s="445" t="b">
        <v>1</v>
      </c>
      <c r="P48" s="445" t="b">
        <v>1</v>
      </c>
      <c r="Q48" s="445" t="b">
        <v>1</v>
      </c>
      <c r="R48" s="445" t="b">
        <v>1</v>
      </c>
      <c r="S48" s="445" t="b">
        <v>1</v>
      </c>
      <c r="T48" s="445" t="b">
        <v>1</v>
      </c>
      <c r="U48" s="445" t="b">
        <v>1</v>
      </c>
      <c r="V48" s="446"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36" t="s">
        <v>225</v>
      </c>
      <c r="D49" s="437" t="b">
        <v>0</v>
      </c>
      <c r="E49" s="438" t="b">
        <v>0</v>
      </c>
      <c r="F49" s="437" t="b">
        <v>0</v>
      </c>
      <c r="G49" s="445" t="b">
        <v>1</v>
      </c>
      <c r="H49" s="445" t="b">
        <v>1</v>
      </c>
      <c r="I49" s="445" t="b">
        <v>1</v>
      </c>
      <c r="J49" s="445" t="b">
        <v>1</v>
      </c>
      <c r="K49" s="445" t="b">
        <v>1</v>
      </c>
      <c r="L49" s="445" t="b">
        <v>1</v>
      </c>
      <c r="M49" s="445" t="b">
        <v>1</v>
      </c>
      <c r="N49" s="445" t="b">
        <v>1</v>
      </c>
      <c r="O49" s="445" t="b">
        <v>1</v>
      </c>
      <c r="P49" s="445" t="b">
        <v>1</v>
      </c>
      <c r="Q49" s="445" t="b">
        <v>1</v>
      </c>
      <c r="R49" s="445" t="b">
        <v>1</v>
      </c>
      <c r="S49" s="445" t="b">
        <v>1</v>
      </c>
      <c r="T49" s="445" t="b">
        <v>1</v>
      </c>
      <c r="U49" s="445" t="b">
        <v>1</v>
      </c>
      <c r="V49" s="446"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36" t="s">
        <v>226</v>
      </c>
      <c r="D50" s="437" t="b">
        <v>0</v>
      </c>
      <c r="E50" s="438" t="b">
        <v>0</v>
      </c>
      <c r="F50" s="437" t="b">
        <v>0</v>
      </c>
      <c r="G50" s="445" t="b">
        <v>1</v>
      </c>
      <c r="H50" s="445" t="b">
        <v>1</v>
      </c>
      <c r="I50" s="445" t="b">
        <v>1</v>
      </c>
      <c r="J50" s="445" t="b">
        <v>1</v>
      </c>
      <c r="K50" s="445" t="b">
        <v>1</v>
      </c>
      <c r="L50" s="445" t="b">
        <v>1</v>
      </c>
      <c r="M50" s="445" t="b">
        <v>1</v>
      </c>
      <c r="N50" s="445" t="b">
        <v>1</v>
      </c>
      <c r="O50" s="445" t="b">
        <v>1</v>
      </c>
      <c r="P50" s="445" t="b">
        <v>1</v>
      </c>
      <c r="Q50" s="445" t="b">
        <v>1</v>
      </c>
      <c r="R50" s="445" t="b">
        <v>1</v>
      </c>
      <c r="S50" s="445" t="b">
        <v>1</v>
      </c>
      <c r="T50" s="445" t="b">
        <v>1</v>
      </c>
      <c r="U50" s="445" t="b">
        <v>1</v>
      </c>
      <c r="V50" s="446"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36" t="s">
        <v>227</v>
      </c>
      <c r="D51" s="437" t="b">
        <v>0</v>
      </c>
      <c r="E51" s="438" t="b">
        <v>0</v>
      </c>
      <c r="F51" s="437" t="b">
        <v>0</v>
      </c>
      <c r="G51" s="445" t="b">
        <v>1</v>
      </c>
      <c r="H51" s="445" t="b">
        <v>1</v>
      </c>
      <c r="I51" s="445" t="b">
        <v>1</v>
      </c>
      <c r="J51" s="445" t="b">
        <v>1</v>
      </c>
      <c r="K51" s="445" t="b">
        <v>1</v>
      </c>
      <c r="L51" s="445" t="b">
        <v>1</v>
      </c>
      <c r="M51" s="445" t="b">
        <v>1</v>
      </c>
      <c r="N51" s="445" t="b">
        <v>1</v>
      </c>
      <c r="O51" s="445" t="b">
        <v>1</v>
      </c>
      <c r="P51" s="445" t="b">
        <v>1</v>
      </c>
      <c r="Q51" s="445" t="b">
        <v>1</v>
      </c>
      <c r="R51" s="445" t="b">
        <v>1</v>
      </c>
      <c r="S51" s="445" t="b">
        <v>1</v>
      </c>
      <c r="T51" s="445" t="b">
        <v>1</v>
      </c>
      <c r="U51" s="445" t="b">
        <v>1</v>
      </c>
      <c r="V51" s="446"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42" t="s">
        <v>228</v>
      </c>
      <c r="D52" s="437" t="b">
        <v>1</v>
      </c>
      <c r="E52" s="438" t="b">
        <v>1</v>
      </c>
      <c r="F52" s="437" t="b">
        <v>1</v>
      </c>
      <c r="G52" s="445" t="b">
        <v>1</v>
      </c>
      <c r="H52" s="445" t="b">
        <v>1</v>
      </c>
      <c r="I52" s="445" t="b">
        <v>1</v>
      </c>
      <c r="J52" s="445" t="b">
        <v>1</v>
      </c>
      <c r="K52" s="445" t="b">
        <v>1</v>
      </c>
      <c r="L52" s="445" t="b">
        <v>1</v>
      </c>
      <c r="M52" s="445" t="b">
        <v>1</v>
      </c>
      <c r="N52" s="445" t="b">
        <v>1</v>
      </c>
      <c r="O52" s="445" t="b">
        <v>1</v>
      </c>
      <c r="P52" s="445" t="b">
        <v>1</v>
      </c>
      <c r="Q52" s="445" t="b">
        <v>1</v>
      </c>
      <c r="R52" s="445" t="b">
        <v>1</v>
      </c>
      <c r="S52" s="445" t="b">
        <v>1</v>
      </c>
      <c r="T52" s="445" t="b">
        <v>1</v>
      </c>
      <c r="U52" s="445" t="b">
        <v>1</v>
      </c>
      <c r="V52" s="446"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42" t="s">
        <v>229</v>
      </c>
      <c r="D53" s="437" t="b">
        <v>1</v>
      </c>
      <c r="E53" s="438" t="b">
        <v>1</v>
      </c>
      <c r="F53" s="437" t="b">
        <v>1</v>
      </c>
      <c r="G53" s="445" t="b">
        <v>1</v>
      </c>
      <c r="H53" s="445" t="b">
        <v>1</v>
      </c>
      <c r="I53" s="445" t="b">
        <v>1</v>
      </c>
      <c r="J53" s="445" t="b">
        <v>1</v>
      </c>
      <c r="K53" s="445" t="b">
        <v>1</v>
      </c>
      <c r="L53" s="445" t="b">
        <v>1</v>
      </c>
      <c r="M53" s="445" t="b">
        <v>1</v>
      </c>
      <c r="N53" s="445" t="b">
        <v>1</v>
      </c>
      <c r="O53" s="445" t="b">
        <v>1</v>
      </c>
      <c r="P53" s="445" t="b">
        <v>1</v>
      </c>
      <c r="Q53" s="445" t="b">
        <v>1</v>
      </c>
      <c r="R53" s="445" t="b">
        <v>1</v>
      </c>
      <c r="S53" s="445" t="b">
        <v>1</v>
      </c>
      <c r="T53" s="445" t="b">
        <v>1</v>
      </c>
      <c r="U53" s="445" t="b">
        <v>1</v>
      </c>
      <c r="V53" s="446"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36" t="s">
        <v>230</v>
      </c>
      <c r="D54" s="437" t="b">
        <v>0</v>
      </c>
      <c r="E54" s="438" t="b">
        <v>0</v>
      </c>
      <c r="F54" s="437" t="b">
        <v>0</v>
      </c>
      <c r="G54" s="445" t="b">
        <v>1</v>
      </c>
      <c r="H54" s="445" t="b">
        <v>1</v>
      </c>
      <c r="I54" s="445" t="b">
        <v>1</v>
      </c>
      <c r="J54" s="445" t="b">
        <v>1</v>
      </c>
      <c r="K54" s="445" t="b">
        <v>1</v>
      </c>
      <c r="L54" s="445" t="b">
        <v>1</v>
      </c>
      <c r="M54" s="445" t="b">
        <v>1</v>
      </c>
      <c r="N54" s="445" t="b">
        <v>1</v>
      </c>
      <c r="O54" s="445" t="b">
        <v>1</v>
      </c>
      <c r="P54" s="445" t="b">
        <v>1</v>
      </c>
      <c r="Q54" s="445" t="b">
        <v>1</v>
      </c>
      <c r="R54" s="445" t="b">
        <v>1</v>
      </c>
      <c r="S54" s="445" t="b">
        <v>1</v>
      </c>
      <c r="T54" s="445" t="b">
        <v>1</v>
      </c>
      <c r="U54" s="445" t="b">
        <v>1</v>
      </c>
      <c r="V54" s="446"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42" t="s">
        <v>231</v>
      </c>
      <c r="D55" s="437" t="b">
        <v>1</v>
      </c>
      <c r="E55" s="438" t="b">
        <v>1</v>
      </c>
      <c r="F55" s="437" t="b">
        <v>1</v>
      </c>
      <c r="G55" s="445" t="b">
        <v>1</v>
      </c>
      <c r="H55" s="445" t="b">
        <v>1</v>
      </c>
      <c r="I55" s="445" t="b">
        <v>1</v>
      </c>
      <c r="J55" s="445" t="b">
        <v>1</v>
      </c>
      <c r="K55" s="445" t="b">
        <v>1</v>
      </c>
      <c r="L55" s="445" t="b">
        <v>1</v>
      </c>
      <c r="M55" s="445" t="b">
        <v>1</v>
      </c>
      <c r="N55" s="445" t="b">
        <v>1</v>
      </c>
      <c r="O55" s="445" t="b">
        <v>1</v>
      </c>
      <c r="P55" s="445" t="b">
        <v>1</v>
      </c>
      <c r="Q55" s="445" t="b">
        <v>1</v>
      </c>
      <c r="R55" s="445" t="b">
        <v>1</v>
      </c>
      <c r="S55" s="445" t="b">
        <v>1</v>
      </c>
      <c r="T55" s="445" t="b">
        <v>1</v>
      </c>
      <c r="U55" s="445" t="b">
        <v>1</v>
      </c>
      <c r="V55" s="446"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36" t="s">
        <v>232</v>
      </c>
      <c r="D56" s="437" t="b">
        <v>0</v>
      </c>
      <c r="E56" s="438" t="b">
        <v>0</v>
      </c>
      <c r="F56" s="437" t="b">
        <v>0</v>
      </c>
      <c r="G56" s="445" t="b">
        <v>1</v>
      </c>
      <c r="H56" s="445" t="b">
        <v>1</v>
      </c>
      <c r="I56" s="445" t="b">
        <v>1</v>
      </c>
      <c r="J56" s="445" t="b">
        <v>1</v>
      </c>
      <c r="K56" s="445" t="b">
        <v>1</v>
      </c>
      <c r="L56" s="445" t="b">
        <v>1</v>
      </c>
      <c r="M56" s="445" t="b">
        <v>1</v>
      </c>
      <c r="N56" s="445" t="b">
        <v>1</v>
      </c>
      <c r="O56" s="445" t="b">
        <v>1</v>
      </c>
      <c r="P56" s="445" t="b">
        <v>1</v>
      </c>
      <c r="Q56" s="445" t="b">
        <v>1</v>
      </c>
      <c r="R56" s="445" t="b">
        <v>1</v>
      </c>
      <c r="S56" s="445" t="b">
        <v>1</v>
      </c>
      <c r="T56" s="445" t="b">
        <v>1</v>
      </c>
      <c r="U56" s="445" t="b">
        <v>1</v>
      </c>
      <c r="V56" s="446"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36" t="s">
        <v>233</v>
      </c>
      <c r="D57" s="437" t="b">
        <v>0</v>
      </c>
      <c r="E57" s="438" t="b">
        <v>0</v>
      </c>
      <c r="F57" s="437" t="b">
        <v>0</v>
      </c>
      <c r="G57" s="445" t="b">
        <v>1</v>
      </c>
      <c r="H57" s="445" t="b">
        <v>1</v>
      </c>
      <c r="I57" s="445" t="b">
        <v>1</v>
      </c>
      <c r="J57" s="445" t="b">
        <v>1</v>
      </c>
      <c r="K57" s="445" t="b">
        <v>1</v>
      </c>
      <c r="L57" s="445" t="b">
        <v>1</v>
      </c>
      <c r="M57" s="445" t="b">
        <v>1</v>
      </c>
      <c r="N57" s="445" t="b">
        <v>1</v>
      </c>
      <c r="O57" s="445" t="b">
        <v>1</v>
      </c>
      <c r="P57" s="445" t="b">
        <v>1</v>
      </c>
      <c r="Q57" s="445" t="b">
        <v>1</v>
      </c>
      <c r="R57" s="445" t="b">
        <v>1</v>
      </c>
      <c r="S57" s="445" t="b">
        <v>1</v>
      </c>
      <c r="T57" s="445" t="b">
        <v>1</v>
      </c>
      <c r="U57" s="445" t="b">
        <v>1</v>
      </c>
      <c r="V57" s="446"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36" t="s">
        <v>234</v>
      </c>
      <c r="D58" s="437" t="b">
        <v>0</v>
      </c>
      <c r="E58" s="438" t="b">
        <v>0</v>
      </c>
      <c r="F58" s="437" t="b">
        <v>0</v>
      </c>
      <c r="G58" s="445" t="b">
        <v>1</v>
      </c>
      <c r="H58" s="445" t="b">
        <v>1</v>
      </c>
      <c r="I58" s="445" t="b">
        <v>1</v>
      </c>
      <c r="J58" s="445" t="b">
        <v>1</v>
      </c>
      <c r="K58" s="445" t="b">
        <v>1</v>
      </c>
      <c r="L58" s="445" t="b">
        <v>1</v>
      </c>
      <c r="M58" s="445" t="b">
        <v>1</v>
      </c>
      <c r="N58" s="445" t="b">
        <v>1</v>
      </c>
      <c r="O58" s="445" t="b">
        <v>1</v>
      </c>
      <c r="P58" s="445" t="b">
        <v>1</v>
      </c>
      <c r="Q58" s="445" t="b">
        <v>1</v>
      </c>
      <c r="R58" s="445" t="b">
        <v>1</v>
      </c>
      <c r="S58" s="445" t="b">
        <v>1</v>
      </c>
      <c r="T58" s="445" t="b">
        <v>1</v>
      </c>
      <c r="U58" s="445" t="b">
        <v>1</v>
      </c>
      <c r="V58" s="446"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36" t="s">
        <v>235</v>
      </c>
      <c r="D59" s="437" t="b">
        <v>0</v>
      </c>
      <c r="E59" s="438" t="b">
        <v>0</v>
      </c>
      <c r="F59" s="437" t="b">
        <v>0</v>
      </c>
      <c r="G59" s="445" t="b">
        <v>1</v>
      </c>
      <c r="H59" s="445" t="b">
        <v>1</v>
      </c>
      <c r="I59" s="445" t="b">
        <v>1</v>
      </c>
      <c r="J59" s="445" t="b">
        <v>1</v>
      </c>
      <c r="K59" s="445" t="b">
        <v>1</v>
      </c>
      <c r="L59" s="445" t="b">
        <v>1</v>
      </c>
      <c r="M59" s="445" t="b">
        <v>1</v>
      </c>
      <c r="N59" s="445" t="b">
        <v>1</v>
      </c>
      <c r="O59" s="445" t="b">
        <v>1</v>
      </c>
      <c r="P59" s="445" t="b">
        <v>1</v>
      </c>
      <c r="Q59" s="445" t="b">
        <v>1</v>
      </c>
      <c r="R59" s="445" t="b">
        <v>1</v>
      </c>
      <c r="S59" s="445" t="b">
        <v>1</v>
      </c>
      <c r="T59" s="445" t="b">
        <v>1</v>
      </c>
      <c r="U59" s="445" t="b">
        <v>1</v>
      </c>
      <c r="V59" s="446"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36" t="s">
        <v>236</v>
      </c>
      <c r="D60" s="437" t="b">
        <v>0</v>
      </c>
      <c r="E60" s="438" t="b">
        <v>0</v>
      </c>
      <c r="F60" s="437" t="b">
        <v>0</v>
      </c>
      <c r="G60" s="445" t="b">
        <v>1</v>
      </c>
      <c r="H60" s="445" t="b">
        <v>1</v>
      </c>
      <c r="I60" s="445" t="b">
        <v>1</v>
      </c>
      <c r="J60" s="445" t="b">
        <v>1</v>
      </c>
      <c r="K60" s="445" t="b">
        <v>1</v>
      </c>
      <c r="L60" s="445" t="b">
        <v>1</v>
      </c>
      <c r="M60" s="445" t="b">
        <v>1</v>
      </c>
      <c r="N60" s="445" t="b">
        <v>1</v>
      </c>
      <c r="O60" s="445" t="b">
        <v>1</v>
      </c>
      <c r="P60" s="445" t="b">
        <v>1</v>
      </c>
      <c r="Q60" s="445" t="b">
        <v>1</v>
      </c>
      <c r="R60" s="445" t="b">
        <v>1</v>
      </c>
      <c r="S60" s="445" t="b">
        <v>1</v>
      </c>
      <c r="T60" s="445" t="b">
        <v>1</v>
      </c>
      <c r="U60" s="445" t="b">
        <v>1</v>
      </c>
      <c r="V60" s="446"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36" t="s">
        <v>237</v>
      </c>
      <c r="D61" s="437" t="b">
        <v>0</v>
      </c>
      <c r="E61" s="438" t="b">
        <v>0</v>
      </c>
      <c r="F61" s="437" t="b">
        <v>0</v>
      </c>
      <c r="G61" s="445" t="b">
        <v>1</v>
      </c>
      <c r="H61" s="445" t="b">
        <v>1</v>
      </c>
      <c r="I61" s="445" t="b">
        <v>1</v>
      </c>
      <c r="J61" s="445" t="b">
        <v>1</v>
      </c>
      <c r="K61" s="445" t="b">
        <v>1</v>
      </c>
      <c r="L61" s="445" t="b">
        <v>1</v>
      </c>
      <c r="M61" s="445" t="b">
        <v>1</v>
      </c>
      <c r="N61" s="445" t="b">
        <v>1</v>
      </c>
      <c r="O61" s="445" t="b">
        <v>1</v>
      </c>
      <c r="P61" s="445" t="b">
        <v>1</v>
      </c>
      <c r="Q61" s="445" t="b">
        <v>1</v>
      </c>
      <c r="R61" s="445" t="b">
        <v>1</v>
      </c>
      <c r="S61" s="445" t="b">
        <v>1</v>
      </c>
      <c r="T61" s="445" t="b">
        <v>1</v>
      </c>
      <c r="U61" s="445" t="b">
        <v>1</v>
      </c>
      <c r="V61" s="446"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36" t="s">
        <v>238</v>
      </c>
      <c r="D62" s="437" t="b">
        <v>0</v>
      </c>
      <c r="E62" s="438" t="b">
        <v>0</v>
      </c>
      <c r="F62" s="437" t="b">
        <v>0</v>
      </c>
      <c r="G62" s="445" t="b">
        <v>1</v>
      </c>
      <c r="H62" s="445" t="b">
        <v>1</v>
      </c>
      <c r="I62" s="445" t="b">
        <v>1</v>
      </c>
      <c r="J62" s="445" t="b">
        <v>1</v>
      </c>
      <c r="K62" s="445" t="b">
        <v>1</v>
      </c>
      <c r="L62" s="445" t="b">
        <v>1</v>
      </c>
      <c r="M62" s="445" t="b">
        <v>1</v>
      </c>
      <c r="N62" s="445" t="b">
        <v>1</v>
      </c>
      <c r="O62" s="445" t="b">
        <v>1</v>
      </c>
      <c r="P62" s="445" t="b">
        <v>1</v>
      </c>
      <c r="Q62" s="445" t="b">
        <v>1</v>
      </c>
      <c r="R62" s="445" t="b">
        <v>1</v>
      </c>
      <c r="S62" s="445" t="b">
        <v>1</v>
      </c>
      <c r="T62" s="445" t="b">
        <v>1</v>
      </c>
      <c r="U62" s="445" t="b">
        <v>1</v>
      </c>
      <c r="V62" s="446"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42" t="s">
        <v>239</v>
      </c>
      <c r="D63" s="437" t="b">
        <v>1</v>
      </c>
      <c r="E63" s="438" t="b">
        <v>1</v>
      </c>
      <c r="F63" s="437" t="b">
        <v>1</v>
      </c>
      <c r="G63" s="445" t="b">
        <v>1</v>
      </c>
      <c r="H63" s="445" t="b">
        <v>1</v>
      </c>
      <c r="I63" s="445" t="b">
        <v>1</v>
      </c>
      <c r="J63" s="445" t="b">
        <v>1</v>
      </c>
      <c r="K63" s="445" t="b">
        <v>1</v>
      </c>
      <c r="L63" s="445" t="b">
        <v>1</v>
      </c>
      <c r="M63" s="445" t="b">
        <v>1</v>
      </c>
      <c r="N63" s="445" t="b">
        <v>1</v>
      </c>
      <c r="O63" s="445" t="b">
        <v>1</v>
      </c>
      <c r="P63" s="445" t="b">
        <v>1</v>
      </c>
      <c r="Q63" s="445" t="b">
        <v>1</v>
      </c>
      <c r="R63" s="445" t="b">
        <v>1</v>
      </c>
      <c r="S63" s="445" t="b">
        <v>1</v>
      </c>
      <c r="T63" s="445" t="b">
        <v>1</v>
      </c>
      <c r="U63" s="445" t="b">
        <v>1</v>
      </c>
      <c r="V63" s="446"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42" t="s">
        <v>240</v>
      </c>
      <c r="D64" s="437" t="b">
        <v>1</v>
      </c>
      <c r="E64" s="438" t="b">
        <v>1</v>
      </c>
      <c r="F64" s="437" t="b">
        <v>1</v>
      </c>
      <c r="G64" s="445" t="b">
        <v>1</v>
      </c>
      <c r="H64" s="445" t="b">
        <v>1</v>
      </c>
      <c r="I64" s="445" t="b">
        <v>1</v>
      </c>
      <c r="J64" s="445" t="b">
        <v>1</v>
      </c>
      <c r="K64" s="445" t="b">
        <v>1</v>
      </c>
      <c r="L64" s="445" t="b">
        <v>1</v>
      </c>
      <c r="M64" s="445" t="b">
        <v>1</v>
      </c>
      <c r="N64" s="445" t="b">
        <v>1</v>
      </c>
      <c r="O64" s="445" t="b">
        <v>1</v>
      </c>
      <c r="P64" s="445" t="b">
        <v>1</v>
      </c>
      <c r="Q64" s="445" t="b">
        <v>1</v>
      </c>
      <c r="R64" s="445" t="b">
        <v>1</v>
      </c>
      <c r="S64" s="445" t="b">
        <v>1</v>
      </c>
      <c r="T64" s="445" t="b">
        <v>1</v>
      </c>
      <c r="U64" s="445" t="b">
        <v>1</v>
      </c>
      <c r="V64" s="446"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42" t="s">
        <v>241</v>
      </c>
      <c r="D65" s="437" t="b">
        <v>1</v>
      </c>
      <c r="E65" s="438" t="b">
        <v>1</v>
      </c>
      <c r="F65" s="437" t="b">
        <v>1</v>
      </c>
      <c r="G65" s="445" t="b">
        <v>1</v>
      </c>
      <c r="H65" s="445" t="b">
        <v>1</v>
      </c>
      <c r="I65" s="445" t="b">
        <v>1</v>
      </c>
      <c r="J65" s="445" t="b">
        <v>1</v>
      </c>
      <c r="K65" s="445" t="b">
        <v>1</v>
      </c>
      <c r="L65" s="445" t="b">
        <v>1</v>
      </c>
      <c r="M65" s="445" t="b">
        <v>1</v>
      </c>
      <c r="N65" s="445" t="b">
        <v>1</v>
      </c>
      <c r="O65" s="445" t="b">
        <v>1</v>
      </c>
      <c r="P65" s="445" t="b">
        <v>1</v>
      </c>
      <c r="Q65" s="445" t="b">
        <v>1</v>
      </c>
      <c r="R65" s="445" t="b">
        <v>1</v>
      </c>
      <c r="S65" s="445" t="b">
        <v>1</v>
      </c>
      <c r="T65" s="445" t="b">
        <v>1</v>
      </c>
      <c r="U65" s="445" t="b">
        <v>1</v>
      </c>
      <c r="V65" s="446"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42" t="s">
        <v>242</v>
      </c>
      <c r="D66" s="437" t="b">
        <v>1</v>
      </c>
      <c r="E66" s="438" t="b">
        <v>1</v>
      </c>
      <c r="F66" s="437" t="b">
        <v>1</v>
      </c>
      <c r="G66" s="445" t="b">
        <v>1</v>
      </c>
      <c r="H66" s="445" t="b">
        <v>1</v>
      </c>
      <c r="I66" s="445" t="b">
        <v>1</v>
      </c>
      <c r="J66" s="445" t="b">
        <v>1</v>
      </c>
      <c r="K66" s="445" t="b">
        <v>1</v>
      </c>
      <c r="L66" s="445" t="b">
        <v>1</v>
      </c>
      <c r="M66" s="445" t="b">
        <v>1</v>
      </c>
      <c r="N66" s="445" t="b">
        <v>1</v>
      </c>
      <c r="O66" s="445" t="b">
        <v>1</v>
      </c>
      <c r="P66" s="445" t="b">
        <v>1</v>
      </c>
      <c r="Q66" s="445" t="b">
        <v>1</v>
      </c>
      <c r="R66" s="445" t="b">
        <v>1</v>
      </c>
      <c r="S66" s="445" t="b">
        <v>1</v>
      </c>
      <c r="T66" s="445" t="b">
        <v>1</v>
      </c>
      <c r="U66" s="445" t="b">
        <v>1</v>
      </c>
      <c r="V66" s="44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42" t="s">
        <v>243</v>
      </c>
      <c r="D67" s="437" t="b">
        <v>1</v>
      </c>
      <c r="E67" s="438" t="b">
        <v>1</v>
      </c>
      <c r="F67" s="437" t="b">
        <v>1</v>
      </c>
      <c r="G67" s="445" t="b">
        <v>1</v>
      </c>
      <c r="H67" s="445" t="b">
        <v>1</v>
      </c>
      <c r="I67" s="445" t="b">
        <v>1</v>
      </c>
      <c r="J67" s="445" t="b">
        <v>1</v>
      </c>
      <c r="K67" s="445" t="b">
        <v>1</v>
      </c>
      <c r="L67" s="445" t="b">
        <v>1</v>
      </c>
      <c r="M67" s="445" t="b">
        <v>1</v>
      </c>
      <c r="N67" s="445" t="b">
        <v>1</v>
      </c>
      <c r="O67" s="445" t="b">
        <v>1</v>
      </c>
      <c r="P67" s="445" t="b">
        <v>1</v>
      </c>
      <c r="Q67" s="445" t="b">
        <v>1</v>
      </c>
      <c r="R67" s="445" t="b">
        <v>1</v>
      </c>
      <c r="S67" s="445" t="b">
        <v>1</v>
      </c>
      <c r="T67" s="445" t="b">
        <v>1</v>
      </c>
      <c r="U67" s="445" t="b">
        <v>1</v>
      </c>
      <c r="V67" s="44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42" t="s">
        <v>244</v>
      </c>
      <c r="D68" s="437" t="b">
        <v>1</v>
      </c>
      <c r="E68" s="438" t="b">
        <v>1</v>
      </c>
      <c r="F68" s="437" t="b">
        <v>1</v>
      </c>
      <c r="G68" s="445" t="b">
        <v>1</v>
      </c>
      <c r="H68" s="445" t="b">
        <v>1</v>
      </c>
      <c r="I68" s="445" t="b">
        <v>1</v>
      </c>
      <c r="J68" s="445" t="b">
        <v>1</v>
      </c>
      <c r="K68" s="445" t="b">
        <v>1</v>
      </c>
      <c r="L68" s="445" t="b">
        <v>1</v>
      </c>
      <c r="M68" s="445" t="b">
        <v>1</v>
      </c>
      <c r="N68" s="445" t="b">
        <v>1</v>
      </c>
      <c r="O68" s="445" t="b">
        <v>1</v>
      </c>
      <c r="P68" s="445" t="b">
        <v>1</v>
      </c>
      <c r="Q68" s="445" t="b">
        <v>1</v>
      </c>
      <c r="R68" s="445" t="b">
        <v>1</v>
      </c>
      <c r="S68" s="445" t="b">
        <v>1</v>
      </c>
      <c r="T68" s="445" t="b">
        <v>1</v>
      </c>
      <c r="U68" s="445" t="b">
        <v>1</v>
      </c>
      <c r="V68" s="44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36" t="s">
        <v>245</v>
      </c>
      <c r="D69" s="437" t="b">
        <v>0</v>
      </c>
      <c r="E69" s="438" t="b">
        <v>0</v>
      </c>
      <c r="F69" s="437" t="b">
        <v>0</v>
      </c>
      <c r="G69" s="445" t="b">
        <v>1</v>
      </c>
      <c r="H69" s="445" t="b">
        <v>1</v>
      </c>
      <c r="I69" s="445" t="b">
        <v>1</v>
      </c>
      <c r="J69" s="445" t="b">
        <v>1</v>
      </c>
      <c r="K69" s="445" t="b">
        <v>1</v>
      </c>
      <c r="L69" s="445" t="b">
        <v>1</v>
      </c>
      <c r="M69" s="445" t="b">
        <v>1</v>
      </c>
      <c r="N69" s="445" t="b">
        <v>1</v>
      </c>
      <c r="O69" s="445" t="b">
        <v>1</v>
      </c>
      <c r="P69" s="445" t="b">
        <v>1</v>
      </c>
      <c r="Q69" s="445" t="b">
        <v>1</v>
      </c>
      <c r="R69" s="445" t="b">
        <v>1</v>
      </c>
      <c r="S69" s="445" t="b">
        <v>1</v>
      </c>
      <c r="T69" s="445" t="b">
        <v>1</v>
      </c>
      <c r="U69" s="445" t="b">
        <v>1</v>
      </c>
      <c r="V69" s="44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42" t="s">
        <v>246</v>
      </c>
      <c r="D70" s="447" t="b">
        <v>1</v>
      </c>
      <c r="E70" s="445" t="b">
        <v>1</v>
      </c>
      <c r="F70" s="448" t="b">
        <v>1</v>
      </c>
      <c r="G70" s="445" t="b">
        <v>1</v>
      </c>
      <c r="H70" s="445" t="b">
        <v>1</v>
      </c>
      <c r="I70" s="445" t="b">
        <v>1</v>
      </c>
      <c r="J70" s="445" t="b">
        <v>1</v>
      </c>
      <c r="K70" s="445" t="b">
        <v>1</v>
      </c>
      <c r="L70" s="445" t="b">
        <v>1</v>
      </c>
      <c r="M70" s="445" t="b">
        <v>1</v>
      </c>
      <c r="N70" s="445" t="b">
        <v>1</v>
      </c>
      <c r="O70" s="445" t="b">
        <v>1</v>
      </c>
      <c r="P70" s="445" t="b">
        <v>1</v>
      </c>
      <c r="Q70" s="445" t="b">
        <v>1</v>
      </c>
      <c r="R70" s="445" t="b">
        <v>1</v>
      </c>
      <c r="S70" s="445" t="b">
        <v>1</v>
      </c>
      <c r="T70" s="445" t="b">
        <v>1</v>
      </c>
      <c r="U70" s="445" t="b">
        <v>1</v>
      </c>
      <c r="V70" s="44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42" t="s">
        <v>247</v>
      </c>
      <c r="D71" s="445" t="b">
        <v>1</v>
      </c>
      <c r="E71" s="445" t="b">
        <v>1</v>
      </c>
      <c r="F71" s="445" t="b">
        <v>1</v>
      </c>
      <c r="G71" s="445" t="b">
        <v>1</v>
      </c>
      <c r="H71" s="445" t="b">
        <v>1</v>
      </c>
      <c r="I71" s="445" t="b">
        <v>1</v>
      </c>
      <c r="J71" s="445" t="b">
        <v>1</v>
      </c>
      <c r="K71" s="445" t="b">
        <v>1</v>
      </c>
      <c r="L71" s="445" t="b">
        <v>1</v>
      </c>
      <c r="M71" s="445" t="b">
        <v>1</v>
      </c>
      <c r="N71" s="445" t="b">
        <v>1</v>
      </c>
      <c r="O71" s="445" t="b">
        <v>1</v>
      </c>
      <c r="P71" s="445" t="b">
        <v>1</v>
      </c>
      <c r="Q71" s="445" t="b">
        <v>1</v>
      </c>
      <c r="R71" s="445" t="b">
        <v>1</v>
      </c>
      <c r="S71" s="445" t="b">
        <v>1</v>
      </c>
      <c r="T71" s="445" t="b">
        <v>1</v>
      </c>
      <c r="U71" s="445" t="b">
        <v>1</v>
      </c>
      <c r="V71" s="44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42" t="s">
        <v>248</v>
      </c>
      <c r="D72" s="445" t="b">
        <v>1</v>
      </c>
      <c r="E72" s="445" t="b">
        <v>1</v>
      </c>
      <c r="F72" s="445" t="b">
        <v>1</v>
      </c>
      <c r="G72" s="445" t="b">
        <v>1</v>
      </c>
      <c r="H72" s="445" t="b">
        <v>1</v>
      </c>
      <c r="I72" s="445" t="b">
        <v>1</v>
      </c>
      <c r="J72" s="445" t="b">
        <v>1</v>
      </c>
      <c r="K72" s="445" t="b">
        <v>1</v>
      </c>
      <c r="L72" s="445" t="b">
        <v>1</v>
      </c>
      <c r="M72" s="445" t="b">
        <v>1</v>
      </c>
      <c r="N72" s="445" t="b">
        <v>1</v>
      </c>
      <c r="O72" s="445" t="b">
        <v>1</v>
      </c>
      <c r="P72" s="445" t="b">
        <v>1</v>
      </c>
      <c r="Q72" s="445" t="b">
        <v>1</v>
      </c>
      <c r="R72" s="445" t="b">
        <v>1</v>
      </c>
      <c r="S72" s="445" t="b">
        <v>1</v>
      </c>
      <c r="T72" s="445" t="b">
        <v>1</v>
      </c>
      <c r="U72" s="445" t="b">
        <v>1</v>
      </c>
      <c r="V72" s="44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36" t="s">
        <v>249</v>
      </c>
      <c r="D73" s="445" t="b">
        <v>0</v>
      </c>
      <c r="E73" s="445" t="b">
        <v>0</v>
      </c>
      <c r="F73" s="445" t="b">
        <v>0</v>
      </c>
      <c r="G73" s="445" t="b">
        <v>1</v>
      </c>
      <c r="H73" s="445" t="b">
        <v>1</v>
      </c>
      <c r="I73" s="445" t="b">
        <v>1</v>
      </c>
      <c r="J73" s="445" t="b">
        <v>1</v>
      </c>
      <c r="K73" s="445" t="b">
        <v>1</v>
      </c>
      <c r="L73" s="445" t="b">
        <v>1</v>
      </c>
      <c r="M73" s="445" t="b">
        <v>1</v>
      </c>
      <c r="N73" s="445" t="b">
        <v>1</v>
      </c>
      <c r="O73" s="445" t="b">
        <v>1</v>
      </c>
      <c r="P73" s="445" t="b">
        <v>1</v>
      </c>
      <c r="Q73" s="445" t="b">
        <v>1</v>
      </c>
      <c r="R73" s="445" t="b">
        <v>1</v>
      </c>
      <c r="S73" s="445" t="b">
        <v>1</v>
      </c>
      <c r="T73" s="445" t="b">
        <v>1</v>
      </c>
      <c r="U73" s="445" t="b">
        <v>1</v>
      </c>
      <c r="V73" s="44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36" t="s">
        <v>250</v>
      </c>
      <c r="D74" s="445" t="b">
        <v>0</v>
      </c>
      <c r="E74" s="445" t="b">
        <v>0</v>
      </c>
      <c r="F74" s="445" t="b">
        <v>0</v>
      </c>
      <c r="G74" s="445" t="b">
        <v>1</v>
      </c>
      <c r="H74" s="445" t="b">
        <v>1</v>
      </c>
      <c r="I74" s="445" t="b">
        <v>1</v>
      </c>
      <c r="J74" s="445" t="b">
        <v>1</v>
      </c>
      <c r="K74" s="445" t="b">
        <v>1</v>
      </c>
      <c r="L74" s="445" t="b">
        <v>1</v>
      </c>
      <c r="M74" s="445" t="b">
        <v>1</v>
      </c>
      <c r="N74" s="445" t="b">
        <v>1</v>
      </c>
      <c r="O74" s="445" t="b">
        <v>1</v>
      </c>
      <c r="P74" s="445" t="b">
        <v>1</v>
      </c>
      <c r="Q74" s="445" t="b">
        <v>1</v>
      </c>
      <c r="R74" s="445" t="b">
        <v>1</v>
      </c>
      <c r="S74" s="445" t="b">
        <v>1</v>
      </c>
      <c r="T74" s="445" t="b">
        <v>1</v>
      </c>
      <c r="U74" s="445" t="b">
        <v>1</v>
      </c>
      <c r="V74" s="44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36" t="s">
        <v>251</v>
      </c>
      <c r="D75" s="445" t="b">
        <v>0</v>
      </c>
      <c r="E75" s="445" t="b">
        <v>0</v>
      </c>
      <c r="F75" s="445" t="b">
        <v>0</v>
      </c>
      <c r="G75" s="445" t="b">
        <v>1</v>
      </c>
      <c r="H75" s="445" t="b">
        <v>1</v>
      </c>
      <c r="I75" s="445" t="b">
        <v>1</v>
      </c>
      <c r="J75" s="445" t="b">
        <v>1</v>
      </c>
      <c r="K75" s="445" t="b">
        <v>1</v>
      </c>
      <c r="L75" s="445" t="b">
        <v>1</v>
      </c>
      <c r="M75" s="445" t="b">
        <v>1</v>
      </c>
      <c r="N75" s="445" t="b">
        <v>1</v>
      </c>
      <c r="O75" s="445" t="b">
        <v>1</v>
      </c>
      <c r="P75" s="445" t="b">
        <v>1</v>
      </c>
      <c r="Q75" s="445" t="b">
        <v>1</v>
      </c>
      <c r="R75" s="445" t="b">
        <v>1</v>
      </c>
      <c r="S75" s="445" t="b">
        <v>1</v>
      </c>
      <c r="T75" s="445" t="b">
        <v>1</v>
      </c>
      <c r="U75" s="445" t="b">
        <v>1</v>
      </c>
      <c r="V75" s="44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42" t="s">
        <v>252</v>
      </c>
      <c r="D76" s="445" t="b">
        <v>1</v>
      </c>
      <c r="E76" s="445" t="b">
        <v>1</v>
      </c>
      <c r="F76" s="445" t="b">
        <v>1</v>
      </c>
      <c r="G76" s="445" t="b">
        <v>1</v>
      </c>
      <c r="H76" s="445" t="b">
        <v>1</v>
      </c>
      <c r="I76" s="445" t="b">
        <v>1</v>
      </c>
      <c r="J76" s="445" t="b">
        <v>1</v>
      </c>
      <c r="K76" s="445" t="b">
        <v>1</v>
      </c>
      <c r="L76" s="445" t="b">
        <v>1</v>
      </c>
      <c r="M76" s="445" t="b">
        <v>1</v>
      </c>
      <c r="N76" s="445" t="b">
        <v>1</v>
      </c>
      <c r="O76" s="445" t="b">
        <v>1</v>
      </c>
      <c r="P76" s="445" t="b">
        <v>1</v>
      </c>
      <c r="Q76" s="445" t="b">
        <v>1</v>
      </c>
      <c r="R76" s="445" t="b">
        <v>1</v>
      </c>
      <c r="S76" s="445" t="b">
        <v>1</v>
      </c>
      <c r="T76" s="445" t="b">
        <v>1</v>
      </c>
      <c r="U76" s="445" t="b">
        <v>1</v>
      </c>
      <c r="V76" s="44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42" t="s">
        <v>253</v>
      </c>
      <c r="D77" s="445" t="b">
        <v>1</v>
      </c>
      <c r="E77" s="445" t="b">
        <v>1</v>
      </c>
      <c r="F77" s="445" t="b">
        <v>1</v>
      </c>
      <c r="G77" s="445" t="b">
        <v>1</v>
      </c>
      <c r="H77" s="445" t="b">
        <v>1</v>
      </c>
      <c r="I77" s="445" t="b">
        <v>1</v>
      </c>
      <c r="J77" s="445" t="b">
        <v>1</v>
      </c>
      <c r="K77" s="445" t="b">
        <v>1</v>
      </c>
      <c r="L77" s="445" t="b">
        <v>1</v>
      </c>
      <c r="M77" s="445" t="b">
        <v>1</v>
      </c>
      <c r="N77" s="445" t="b">
        <v>1</v>
      </c>
      <c r="O77" s="445" t="b">
        <v>1</v>
      </c>
      <c r="P77" s="445" t="b">
        <v>1</v>
      </c>
      <c r="Q77" s="445" t="b">
        <v>1</v>
      </c>
      <c r="R77" s="445" t="b">
        <v>1</v>
      </c>
      <c r="S77" s="445" t="b">
        <v>1</v>
      </c>
      <c r="T77" s="445" t="b">
        <v>1</v>
      </c>
      <c r="U77" s="445" t="b">
        <v>1</v>
      </c>
      <c r="V77" s="44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36" t="s">
        <v>254</v>
      </c>
      <c r="D78" s="445" t="b">
        <v>0</v>
      </c>
      <c r="E78" s="445" t="b">
        <v>0</v>
      </c>
      <c r="F78" s="445" t="b">
        <v>0</v>
      </c>
      <c r="G78" s="445" t="b">
        <v>1</v>
      </c>
      <c r="H78" s="445" t="b">
        <v>1</v>
      </c>
      <c r="I78" s="445" t="b">
        <v>1</v>
      </c>
      <c r="J78" s="445" t="b">
        <v>1</v>
      </c>
      <c r="K78" s="445" t="b">
        <v>1</v>
      </c>
      <c r="L78" s="445" t="b">
        <v>1</v>
      </c>
      <c r="M78" s="445" t="b">
        <v>1</v>
      </c>
      <c r="N78" s="445" t="b">
        <v>1</v>
      </c>
      <c r="O78" s="445" t="b">
        <v>1</v>
      </c>
      <c r="P78" s="445" t="b">
        <v>1</v>
      </c>
      <c r="Q78" s="445" t="b">
        <v>1</v>
      </c>
      <c r="R78" s="445" t="b">
        <v>1</v>
      </c>
      <c r="S78" s="445" t="b">
        <v>1</v>
      </c>
      <c r="T78" s="445" t="b">
        <v>1</v>
      </c>
      <c r="U78" s="445" t="b">
        <v>1</v>
      </c>
      <c r="V78" s="44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42" t="s">
        <v>255</v>
      </c>
      <c r="D79" s="445" t="b">
        <v>1</v>
      </c>
      <c r="E79" s="445" t="b">
        <v>1</v>
      </c>
      <c r="F79" s="445" t="b">
        <v>1</v>
      </c>
      <c r="G79" s="445" t="b">
        <v>1</v>
      </c>
      <c r="H79" s="445" t="b">
        <v>1</v>
      </c>
      <c r="I79" s="445" t="b">
        <v>1</v>
      </c>
      <c r="J79" s="445" t="b">
        <v>1</v>
      </c>
      <c r="K79" s="445" t="b">
        <v>1</v>
      </c>
      <c r="L79" s="445" t="b">
        <v>1</v>
      </c>
      <c r="M79" s="445" t="b">
        <v>1</v>
      </c>
      <c r="N79" s="445" t="b">
        <v>1</v>
      </c>
      <c r="O79" s="445" t="b">
        <v>1</v>
      </c>
      <c r="P79" s="445" t="b">
        <v>1</v>
      </c>
      <c r="Q79" s="445" t="b">
        <v>1</v>
      </c>
      <c r="R79" s="445" t="b">
        <v>1</v>
      </c>
      <c r="S79" s="445" t="b">
        <v>1</v>
      </c>
      <c r="T79" s="445" t="b">
        <v>1</v>
      </c>
      <c r="U79" s="445" t="b">
        <v>1</v>
      </c>
      <c r="V79" s="44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36" t="s">
        <v>256</v>
      </c>
      <c r="D80" s="445" t="b">
        <v>0</v>
      </c>
      <c r="E80" s="445" t="b">
        <v>0</v>
      </c>
      <c r="F80" s="445" t="b">
        <v>0</v>
      </c>
      <c r="G80" s="445" t="b">
        <v>1</v>
      </c>
      <c r="H80" s="445" t="b">
        <v>1</v>
      </c>
      <c r="I80" s="445" t="b">
        <v>1</v>
      </c>
      <c r="J80" s="445" t="b">
        <v>1</v>
      </c>
      <c r="K80" s="445" t="b">
        <v>1</v>
      </c>
      <c r="L80" s="445" t="b">
        <v>1</v>
      </c>
      <c r="M80" s="445" t="b">
        <v>1</v>
      </c>
      <c r="N80" s="445" t="b">
        <v>1</v>
      </c>
      <c r="O80" s="445" t="b">
        <v>1</v>
      </c>
      <c r="P80" s="445" t="b">
        <v>1</v>
      </c>
      <c r="Q80" s="445" t="b">
        <v>1</v>
      </c>
      <c r="R80" s="445" t="b">
        <v>1</v>
      </c>
      <c r="S80" s="445" t="b">
        <v>1</v>
      </c>
      <c r="T80" s="445" t="b">
        <v>1</v>
      </c>
      <c r="U80" s="445" t="b">
        <v>1</v>
      </c>
      <c r="V80" s="44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36" t="s">
        <v>257</v>
      </c>
      <c r="D81" s="445" t="b">
        <v>0</v>
      </c>
      <c r="E81" s="445" t="b">
        <v>0</v>
      </c>
      <c r="F81" s="445" t="b">
        <v>0</v>
      </c>
      <c r="G81" s="445" t="b">
        <v>1</v>
      </c>
      <c r="H81" s="445" t="b">
        <v>1</v>
      </c>
      <c r="I81" s="445" t="b">
        <v>1</v>
      </c>
      <c r="J81" s="445" t="b">
        <v>1</v>
      </c>
      <c r="K81" s="445" t="b">
        <v>1</v>
      </c>
      <c r="L81" s="445" t="b">
        <v>1</v>
      </c>
      <c r="M81" s="445" t="b">
        <v>1</v>
      </c>
      <c r="N81" s="445" t="b">
        <v>1</v>
      </c>
      <c r="O81" s="445" t="b">
        <v>1</v>
      </c>
      <c r="P81" s="445" t="b">
        <v>1</v>
      </c>
      <c r="Q81" s="445" t="b">
        <v>1</v>
      </c>
      <c r="R81" s="445" t="b">
        <v>1</v>
      </c>
      <c r="S81" s="445" t="b">
        <v>1</v>
      </c>
      <c r="T81" s="445" t="b">
        <v>1</v>
      </c>
      <c r="U81" s="445" t="b">
        <v>1</v>
      </c>
      <c r="V81" s="44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36" t="s">
        <v>258</v>
      </c>
      <c r="D82" s="445" t="b">
        <v>0</v>
      </c>
      <c r="E82" s="445" t="b">
        <v>0</v>
      </c>
      <c r="F82" s="445" t="b">
        <v>0</v>
      </c>
      <c r="G82" s="445" t="b">
        <v>1</v>
      </c>
      <c r="H82" s="445" t="b">
        <v>1</v>
      </c>
      <c r="I82" s="445" t="b">
        <v>1</v>
      </c>
      <c r="J82" s="445" t="b">
        <v>1</v>
      </c>
      <c r="K82" s="445" t="b">
        <v>1</v>
      </c>
      <c r="L82" s="445" t="b">
        <v>1</v>
      </c>
      <c r="M82" s="445" t="b">
        <v>1</v>
      </c>
      <c r="N82" s="445" t="b">
        <v>1</v>
      </c>
      <c r="O82" s="445" t="b">
        <v>1</v>
      </c>
      <c r="P82" s="445" t="b">
        <v>1</v>
      </c>
      <c r="Q82" s="445" t="b">
        <v>1</v>
      </c>
      <c r="R82" s="445" t="b">
        <v>1</v>
      </c>
      <c r="S82" s="445" t="b">
        <v>1</v>
      </c>
      <c r="T82" s="445" t="b">
        <v>1</v>
      </c>
      <c r="U82" s="445" t="b">
        <v>1</v>
      </c>
      <c r="V82" s="44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49" t="s">
        <v>259</v>
      </c>
      <c r="D83" s="450" t="b">
        <v>0</v>
      </c>
      <c r="E83" s="450" t="b">
        <v>0</v>
      </c>
      <c r="F83" s="450" t="b">
        <v>0</v>
      </c>
      <c r="G83" s="450" t="b">
        <v>1</v>
      </c>
      <c r="H83" s="450" t="b">
        <v>1</v>
      </c>
      <c r="I83" s="450" t="b">
        <v>1</v>
      </c>
      <c r="J83" s="450" t="b">
        <v>1</v>
      </c>
      <c r="K83" s="450" t="b">
        <v>1</v>
      </c>
      <c r="L83" s="450" t="b">
        <v>1</v>
      </c>
      <c r="M83" s="450" t="b">
        <v>1</v>
      </c>
      <c r="N83" s="450" t="b">
        <v>1</v>
      </c>
      <c r="O83" s="450" t="b">
        <v>1</v>
      </c>
      <c r="P83" s="450" t="b">
        <v>1</v>
      </c>
      <c r="Q83" s="450" t="b">
        <v>1</v>
      </c>
      <c r="R83" s="450" t="b">
        <v>1</v>
      </c>
      <c r="S83" s="450" t="b">
        <v>1</v>
      </c>
      <c r="T83" s="450" t="b">
        <v>1</v>
      </c>
      <c r="U83" s="450" t="b">
        <v>1</v>
      </c>
      <c r="V83" s="45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314</v>
      </c>
      <c r="D86" s="454"/>
      <c r="E86" s="454"/>
      <c r="F86" s="454"/>
      <c r="G86" s="35"/>
      <c r="H86" s="35"/>
      <c r="I86" s="35"/>
      <c r="J86" s="31" t="s">
        <v>319</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55" t="s">
        <v>315</v>
      </c>
      <c r="D87" s="456" t="s">
        <v>316</v>
      </c>
      <c r="E87" s="456" t="s">
        <v>317</v>
      </c>
      <c r="F87" s="456" t="s">
        <v>318</v>
      </c>
      <c r="G87" s="35"/>
      <c r="H87" s="35"/>
      <c r="I87" s="35"/>
      <c r="J87" s="466"/>
      <c r="K87" s="467" t="s">
        <v>125</v>
      </c>
      <c r="L87" s="468" t="s">
        <v>320</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57" t="s">
        <v>211</v>
      </c>
      <c r="D88" s="458">
        <v>0.18</v>
      </c>
      <c r="E88" s="458">
        <v>0.15</v>
      </c>
      <c r="F88" s="459">
        <v>0.17</v>
      </c>
      <c r="G88" s="35"/>
      <c r="H88" s="35"/>
      <c r="I88" s="35"/>
      <c r="J88" s="469" t="s">
        <v>321</v>
      </c>
      <c r="K88" s="470">
        <v>0.2</v>
      </c>
      <c r="L88" s="47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60" t="s">
        <v>210</v>
      </c>
      <c r="D89" s="461">
        <v>0.11</v>
      </c>
      <c r="E89" s="461">
        <v>0.11</v>
      </c>
      <c r="F89" s="462">
        <v>0.06</v>
      </c>
      <c r="G89" s="35"/>
      <c r="H89" s="35"/>
      <c r="I89" s="35"/>
      <c r="J89" s="469" t="s">
        <v>322</v>
      </c>
      <c r="K89" s="470">
        <v>0</v>
      </c>
      <c r="L89" s="47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60" t="s">
        <v>213</v>
      </c>
      <c r="D90" s="461">
        <v>0.09</v>
      </c>
      <c r="E90" s="461">
        <v>0.08</v>
      </c>
      <c r="F90" s="462">
        <v>0.06</v>
      </c>
      <c r="G90" s="35"/>
      <c r="H90" s="35"/>
      <c r="I90" s="35"/>
      <c r="J90" s="469" t="s">
        <v>323</v>
      </c>
      <c r="K90" s="470">
        <v>0.2</v>
      </c>
      <c r="L90" s="47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60" t="s">
        <v>212</v>
      </c>
      <c r="D91" s="461">
        <v>0.11</v>
      </c>
      <c r="E91" s="461">
        <v>0.1</v>
      </c>
      <c r="F91" s="462">
        <v>7.0000000000000007E-2</v>
      </c>
      <c r="G91" s="35"/>
      <c r="H91" s="35"/>
      <c r="I91" s="35"/>
      <c r="J91" s="469" t="s">
        <v>324</v>
      </c>
      <c r="K91" s="470">
        <v>0.2</v>
      </c>
      <c r="L91" s="47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60" t="s">
        <v>214</v>
      </c>
      <c r="D92" s="461">
        <v>0.15</v>
      </c>
      <c r="E92" s="461">
        <v>0.13</v>
      </c>
      <c r="F92" s="462">
        <v>0.1</v>
      </c>
      <c r="G92" s="35"/>
      <c r="H92" s="35"/>
      <c r="I92" s="35"/>
      <c r="J92" s="469" t="s">
        <v>325</v>
      </c>
      <c r="K92" s="470">
        <v>0.15</v>
      </c>
      <c r="L92" s="47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60" t="s">
        <v>215</v>
      </c>
      <c r="D93" s="461">
        <v>0.11</v>
      </c>
      <c r="E93" s="461">
        <v>0.09</v>
      </c>
      <c r="F93" s="462">
        <v>7.0000000000000007E-2</v>
      </c>
      <c r="G93" s="35"/>
      <c r="H93" s="35"/>
      <c r="I93" s="35"/>
      <c r="J93" s="469" t="s">
        <v>326</v>
      </c>
      <c r="K93" s="470">
        <v>0</v>
      </c>
      <c r="L93" s="47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60" t="s">
        <v>216</v>
      </c>
      <c r="D94" s="461">
        <v>0.17</v>
      </c>
      <c r="E94" s="461">
        <v>0.15</v>
      </c>
      <c r="F94" s="462">
        <v>0.13</v>
      </c>
      <c r="G94" s="35"/>
      <c r="H94" s="35"/>
      <c r="I94" s="35"/>
      <c r="J94" s="469" t="s">
        <v>327</v>
      </c>
      <c r="K94" s="470">
        <v>0.2</v>
      </c>
      <c r="L94" s="47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60" t="s">
        <v>11</v>
      </c>
      <c r="D95" s="461">
        <v>0.12</v>
      </c>
      <c r="E95" s="461">
        <v>0.12</v>
      </c>
      <c r="F95" s="462">
        <v>0.05</v>
      </c>
      <c r="G95" s="35"/>
      <c r="H95" s="35"/>
      <c r="I95" s="35"/>
      <c r="J95" s="469" t="s">
        <v>328</v>
      </c>
      <c r="K95" s="470">
        <v>0</v>
      </c>
      <c r="L95" s="47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60" t="s">
        <v>217</v>
      </c>
      <c r="D96" s="461">
        <v>0.14000000000000001</v>
      </c>
      <c r="E96" s="461">
        <v>0.1</v>
      </c>
      <c r="F96" s="462">
        <v>0.08</v>
      </c>
      <c r="G96" s="35"/>
      <c r="H96" s="35"/>
      <c r="I96" s="35"/>
      <c r="J96" s="472" t="s">
        <v>330</v>
      </c>
      <c r="K96" s="473">
        <v>0.05</v>
      </c>
      <c r="L96" s="47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60" t="s">
        <v>218</v>
      </c>
      <c r="D97" s="461">
        <v>0.11</v>
      </c>
      <c r="E97" s="461">
        <v>0.1</v>
      </c>
      <c r="F97" s="462">
        <v>0.08</v>
      </c>
      <c r="G97" s="35"/>
      <c r="H97" s="35"/>
      <c r="I97" s="35"/>
      <c r="J97" s="475" t="s">
        <v>329</v>
      </c>
      <c r="K97" s="476">
        <v>1</v>
      </c>
      <c r="L97" s="47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60" t="s">
        <v>219</v>
      </c>
      <c r="D98" s="461">
        <v>0.11</v>
      </c>
      <c r="E98" s="461">
        <v>0.1</v>
      </c>
      <c r="F98" s="46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60" t="s">
        <v>220</v>
      </c>
      <c r="D99" s="461">
        <v>0.37</v>
      </c>
      <c r="E99" s="461">
        <v>0.35</v>
      </c>
      <c r="F99" s="46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60" t="s">
        <v>224</v>
      </c>
      <c r="D100" s="461">
        <v>0.11</v>
      </c>
      <c r="E100" s="461">
        <v>0.08</v>
      </c>
      <c r="F100" s="46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60" t="s">
        <v>221</v>
      </c>
      <c r="D101" s="461">
        <v>0.09</v>
      </c>
      <c r="E101" s="461">
        <v>7.0000000000000007E-2</v>
      </c>
      <c r="F101" s="46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60" t="s">
        <v>222</v>
      </c>
      <c r="D102" s="461">
        <v>0.11</v>
      </c>
      <c r="E102" s="461">
        <v>0.08</v>
      </c>
      <c r="F102" s="46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60" t="s">
        <v>223</v>
      </c>
      <c r="D103" s="461">
        <v>0.11</v>
      </c>
      <c r="E103" s="461">
        <v>0.09</v>
      </c>
      <c r="F103" s="46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60" t="s">
        <v>225</v>
      </c>
      <c r="D104" s="461">
        <v>0.11</v>
      </c>
      <c r="E104" s="461">
        <v>0.09</v>
      </c>
      <c r="F104" s="46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60" t="s">
        <v>226</v>
      </c>
      <c r="D105" s="461">
        <v>0.09</v>
      </c>
      <c r="E105" s="461">
        <v>0.09</v>
      </c>
      <c r="F105" s="46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60" t="s">
        <v>227</v>
      </c>
      <c r="D106" s="461">
        <v>0.08</v>
      </c>
      <c r="E106" s="461">
        <v>0.08</v>
      </c>
      <c r="F106" s="46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60" t="s">
        <v>230</v>
      </c>
      <c r="D107" s="461">
        <v>0.15</v>
      </c>
      <c r="E107" s="461">
        <v>0.14000000000000001</v>
      </c>
      <c r="F107" s="46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60" t="s">
        <v>229</v>
      </c>
      <c r="D108" s="461">
        <v>0.13</v>
      </c>
      <c r="E108" s="461">
        <v>0.1</v>
      </c>
      <c r="F108" s="46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60" t="s">
        <v>228</v>
      </c>
      <c r="D109" s="461">
        <v>0.15</v>
      </c>
      <c r="E109" s="461">
        <v>0.12</v>
      </c>
      <c r="F109" s="46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60" t="s">
        <v>231</v>
      </c>
      <c r="D110" s="461">
        <v>0.14000000000000001</v>
      </c>
      <c r="E110" s="461">
        <v>0.11</v>
      </c>
      <c r="F110" s="46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60" t="s">
        <v>232</v>
      </c>
      <c r="D111" s="461">
        <v>0.11</v>
      </c>
      <c r="E111" s="461">
        <v>0.09</v>
      </c>
      <c r="F111" s="46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60" t="s">
        <v>234</v>
      </c>
      <c r="D112" s="461">
        <v>0.1</v>
      </c>
      <c r="E112" s="461">
        <v>0.08</v>
      </c>
      <c r="F112" s="46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60" t="s">
        <v>233</v>
      </c>
      <c r="D113" s="461">
        <v>0.1</v>
      </c>
      <c r="E113" s="461">
        <v>0.09</v>
      </c>
      <c r="F113" s="46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60" t="s">
        <v>235</v>
      </c>
      <c r="D114" s="461">
        <v>0.1</v>
      </c>
      <c r="E114" s="461">
        <v>0.09</v>
      </c>
      <c r="F114" s="46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60" t="s">
        <v>242</v>
      </c>
      <c r="D115" s="461">
        <v>0.11</v>
      </c>
      <c r="E115" s="461">
        <v>0.09</v>
      </c>
      <c r="F115" s="46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60" t="s">
        <v>243</v>
      </c>
      <c r="D116" s="461">
        <v>0.09</v>
      </c>
      <c r="E116" s="461">
        <v>0.08</v>
      </c>
      <c r="F116" s="46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60" t="s">
        <v>236</v>
      </c>
      <c r="D117" s="461">
        <v>0.1</v>
      </c>
      <c r="E117" s="461">
        <v>0.08</v>
      </c>
      <c r="F117" s="46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60" t="s">
        <v>238</v>
      </c>
      <c r="D118" s="461">
        <v>0.16</v>
      </c>
      <c r="E118" s="461">
        <v>0.13</v>
      </c>
      <c r="F118" s="46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60" t="s">
        <v>239</v>
      </c>
      <c r="D119" s="461">
        <v>0.16</v>
      </c>
      <c r="E119" s="461">
        <v>0.13</v>
      </c>
      <c r="F119" s="46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60" t="s">
        <v>240</v>
      </c>
      <c r="D120" s="461">
        <v>0.11</v>
      </c>
      <c r="E120" s="461">
        <v>0.09</v>
      </c>
      <c r="F120" s="46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60" t="s">
        <v>237</v>
      </c>
      <c r="D121" s="461">
        <v>0.12</v>
      </c>
      <c r="E121" s="461">
        <v>0.09</v>
      </c>
      <c r="F121" s="46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60" t="s">
        <v>241</v>
      </c>
      <c r="D122" s="461">
        <v>0.18</v>
      </c>
      <c r="E122" s="461">
        <v>0.15</v>
      </c>
      <c r="F122" s="46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60" t="s">
        <v>244</v>
      </c>
      <c r="D123" s="461">
        <v>0.12</v>
      </c>
      <c r="E123" s="461">
        <v>0.09</v>
      </c>
      <c r="F123" s="46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60" t="s">
        <v>245</v>
      </c>
      <c r="D124" s="461">
        <v>0.1</v>
      </c>
      <c r="E124" s="461">
        <v>7.0000000000000007E-2</v>
      </c>
      <c r="F124" s="46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60" t="s">
        <v>246</v>
      </c>
      <c r="D125" s="461">
        <v>0.1</v>
      </c>
      <c r="E125" s="461">
        <v>0.08</v>
      </c>
      <c r="F125" s="46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60" t="s">
        <v>247</v>
      </c>
      <c r="D126" s="461">
        <v>0.13</v>
      </c>
      <c r="E126" s="461">
        <v>0.09</v>
      </c>
      <c r="F126" s="46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60" t="s">
        <v>248</v>
      </c>
      <c r="D127" s="461">
        <v>0.14000000000000001</v>
      </c>
      <c r="E127" s="461">
        <v>0.12</v>
      </c>
      <c r="F127" s="46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60" t="s">
        <v>249</v>
      </c>
      <c r="D128" s="461">
        <v>0.12</v>
      </c>
      <c r="E128" s="461">
        <v>0.1</v>
      </c>
      <c r="F128" s="46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60" t="s">
        <v>250</v>
      </c>
      <c r="D129" s="461">
        <v>0.1</v>
      </c>
      <c r="E129" s="461">
        <v>0.08</v>
      </c>
      <c r="F129" s="46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60" t="s">
        <v>251</v>
      </c>
      <c r="D130" s="461">
        <v>0.1</v>
      </c>
      <c r="E130" s="461">
        <v>0.1</v>
      </c>
      <c r="F130" s="46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60" t="s">
        <v>252</v>
      </c>
      <c r="D131" s="461">
        <v>0.11</v>
      </c>
      <c r="E131" s="461">
        <v>0.08</v>
      </c>
      <c r="F131" s="46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60" t="s">
        <v>253</v>
      </c>
      <c r="D132" s="461">
        <v>0.1</v>
      </c>
      <c r="E132" s="461">
        <v>0.08</v>
      </c>
      <c r="F132" s="46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60" t="s">
        <v>255</v>
      </c>
      <c r="D133" s="461">
        <v>0.11</v>
      </c>
      <c r="E133" s="461">
        <v>0.08</v>
      </c>
      <c r="F133" s="46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60" t="s">
        <v>254</v>
      </c>
      <c r="D134" s="461">
        <v>0.17</v>
      </c>
      <c r="E134" s="461">
        <v>0.14000000000000001</v>
      </c>
      <c r="F134" s="46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60" t="s">
        <v>256</v>
      </c>
      <c r="D135" s="461">
        <v>0.09</v>
      </c>
      <c r="E135" s="461">
        <v>0.08</v>
      </c>
      <c r="F135" s="46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60" t="s">
        <v>258</v>
      </c>
      <c r="D136" s="461">
        <v>0.13</v>
      </c>
      <c r="E136" s="461">
        <v>0.11</v>
      </c>
      <c r="F136" s="46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60" t="s">
        <v>257</v>
      </c>
      <c r="D137" s="461">
        <v>0.1</v>
      </c>
      <c r="E137" s="461">
        <v>0.08</v>
      </c>
      <c r="F137" s="46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63" t="s">
        <v>259</v>
      </c>
      <c r="D138" s="464">
        <v>0.1</v>
      </c>
      <c r="E138" s="464">
        <v>0.08</v>
      </c>
      <c r="F138" s="46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C67" sqref="C67:AC67"/>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75" t="s">
        <v>122</v>
      </c>
      <c r="E2" s="131"/>
      <c r="F2" s="131"/>
      <c r="G2" s="131"/>
      <c r="H2" s="131"/>
      <c r="I2" s="33"/>
      <c r="J2" s="33"/>
      <c r="K2" s="30"/>
      <c r="L2" s="33"/>
      <c r="M2" s="375" t="s">
        <v>170</v>
      </c>
      <c r="N2" s="131"/>
      <c r="O2" s="131"/>
      <c r="P2" s="131"/>
      <c r="Q2" s="131"/>
      <c r="R2" s="33"/>
      <c r="S2" s="33"/>
      <c r="T2" s="33"/>
      <c r="U2" s="33"/>
      <c r="V2" s="131"/>
      <c r="W2" s="131"/>
      <c r="X2" s="131"/>
      <c r="Y2" s="131"/>
      <c r="Z2" s="131"/>
      <c r="AA2" s="379"/>
      <c r="AB2" s="379"/>
      <c r="AC2" s="379"/>
      <c r="AD2" s="158"/>
      <c r="AE2" s="37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171</v>
      </c>
      <c r="N3" s="128"/>
      <c r="O3" s="128"/>
      <c r="P3" s="252" t="b">
        <v>0</v>
      </c>
      <c r="Q3" s="380" t="s">
        <v>279</v>
      </c>
      <c r="R3" s="33"/>
      <c r="S3" s="33"/>
      <c r="T3" s="33"/>
      <c r="U3" s="33"/>
      <c r="V3" s="131"/>
      <c r="W3" s="131"/>
      <c r="X3" s="131"/>
      <c r="Y3" s="131"/>
      <c r="Z3" s="131"/>
      <c r="AA3" s="379"/>
      <c r="AB3" s="379"/>
      <c r="AC3" s="37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287</v>
      </c>
      <c r="D4" s="33"/>
      <c r="E4" s="131"/>
      <c r="F4" s="33"/>
      <c r="G4" s="131"/>
      <c r="H4" s="131"/>
      <c r="I4" s="30"/>
      <c r="J4" s="33"/>
      <c r="K4" s="131"/>
      <c r="L4" s="33"/>
      <c r="M4" s="244" t="s">
        <v>276</v>
      </c>
      <c r="N4" s="128"/>
      <c r="O4" s="128"/>
      <c r="P4" s="245">
        <v>2014</v>
      </c>
      <c r="Q4" s="374" t="s">
        <v>172</v>
      </c>
      <c r="R4" s="33"/>
      <c r="S4" s="33"/>
      <c r="T4" s="33"/>
      <c r="U4" s="33"/>
      <c r="V4" s="131"/>
      <c r="W4" s="131"/>
      <c r="X4" s="131"/>
      <c r="Y4" s="131"/>
      <c r="Z4" s="131"/>
      <c r="AA4" s="379"/>
      <c r="AB4" s="379"/>
      <c r="AC4" s="37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288</v>
      </c>
      <c r="D5" s="33"/>
      <c r="E5" s="131"/>
      <c r="F5" s="33"/>
      <c r="G5" s="131"/>
      <c r="H5" s="131"/>
      <c r="I5" s="30"/>
      <c r="J5" s="33"/>
      <c r="K5" s="131"/>
      <c r="L5" s="33"/>
      <c r="M5" s="244" t="s">
        <v>277</v>
      </c>
      <c r="N5" s="128"/>
      <c r="O5" s="376"/>
      <c r="P5" s="252" t="s">
        <v>262</v>
      </c>
      <c r="Q5" s="378" t="s">
        <v>278</v>
      </c>
      <c r="R5" s="134"/>
      <c r="S5" s="33"/>
      <c r="T5" s="33"/>
      <c r="U5" s="33"/>
      <c r="V5" s="131"/>
      <c r="W5" s="131"/>
      <c r="X5" s="131"/>
      <c r="Y5" s="131"/>
      <c r="Z5" s="131"/>
      <c r="AA5" s="379"/>
      <c r="AB5" s="379"/>
      <c r="AC5" s="37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289</v>
      </c>
      <c r="D6" s="33"/>
      <c r="E6" s="131"/>
      <c r="F6" s="33"/>
      <c r="G6" s="131"/>
      <c r="H6" s="131"/>
      <c r="I6" s="131"/>
      <c r="J6" s="131"/>
      <c r="K6" s="33"/>
      <c r="L6" s="158"/>
      <c r="M6" s="158"/>
      <c r="N6" s="530"/>
      <c r="O6" s="530"/>
      <c r="P6" s="158"/>
      <c r="Q6" s="158"/>
      <c r="R6" s="134"/>
      <c r="S6" s="131"/>
      <c r="T6" s="131"/>
      <c r="U6" s="131"/>
      <c r="V6" s="131"/>
      <c r="W6" s="131"/>
      <c r="X6" s="131"/>
      <c r="Y6" s="131"/>
      <c r="Z6" s="131"/>
      <c r="AA6" s="379"/>
      <c r="AB6" s="379"/>
      <c r="AC6" s="37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62"/>
      <c r="C14" s="363" t="s">
        <v>123</v>
      </c>
      <c r="D14" s="364"/>
      <c r="E14" s="364"/>
      <c r="F14" s="364"/>
      <c r="G14" s="364"/>
      <c r="H14" s="364"/>
      <c r="I14" s="364"/>
      <c r="J14" s="364"/>
      <c r="K14" s="364"/>
      <c r="L14" s="363" t="s">
        <v>128</v>
      </c>
      <c r="M14" s="364"/>
      <c r="N14" s="364"/>
      <c r="O14" s="364"/>
      <c r="P14" s="364"/>
      <c r="Q14" s="364"/>
      <c r="R14" s="364"/>
      <c r="S14" s="364"/>
      <c r="T14" s="364"/>
      <c r="U14" s="363" t="s">
        <v>124</v>
      </c>
      <c r="V14" s="364"/>
      <c r="W14" s="364"/>
      <c r="X14" s="364"/>
      <c r="Y14" s="364"/>
      <c r="Z14" s="364"/>
      <c r="AA14" s="364"/>
      <c r="AB14" s="364"/>
      <c r="AC14" s="52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65"/>
      <c r="C15" s="579" t="s">
        <v>125</v>
      </c>
      <c r="D15" s="577"/>
      <c r="E15" s="577"/>
      <c r="F15" s="577" t="s">
        <v>126</v>
      </c>
      <c r="G15" s="577"/>
      <c r="H15" s="577"/>
      <c r="I15" s="577" t="s">
        <v>127</v>
      </c>
      <c r="J15" s="580"/>
      <c r="K15" s="580"/>
      <c r="L15" s="579" t="s">
        <v>125</v>
      </c>
      <c r="M15" s="577"/>
      <c r="N15" s="577"/>
      <c r="O15" s="577" t="s">
        <v>126</v>
      </c>
      <c r="P15" s="577"/>
      <c r="Q15" s="577"/>
      <c r="R15" s="577" t="s">
        <v>127</v>
      </c>
      <c r="S15" s="580"/>
      <c r="T15" s="580"/>
      <c r="U15" s="579" t="s">
        <v>125</v>
      </c>
      <c r="V15" s="577"/>
      <c r="W15" s="577"/>
      <c r="X15" s="577" t="s">
        <v>126</v>
      </c>
      <c r="Y15" s="577"/>
      <c r="Z15" s="577"/>
      <c r="AA15" s="577" t="s">
        <v>127</v>
      </c>
      <c r="AB15" s="577"/>
      <c r="AC15" s="578"/>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66"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524"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67"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67"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8"/>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67"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67"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67"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67"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67"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67"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8"/>
      <c r="AD24" s="161" t="s">
        <v>10</v>
      </c>
      <c r="AE24" s="139"/>
      <c r="AF24" s="139"/>
      <c r="AG24" s="528"/>
      <c r="AH24" s="528"/>
      <c r="AI24" s="52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6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8"/>
      <c r="AD25" s="161" t="s">
        <v>11</v>
      </c>
      <c r="AE25" s="139"/>
      <c r="AF25" s="139"/>
      <c r="AG25" s="528"/>
      <c r="AH25" s="528"/>
      <c r="AI25" s="52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67"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8"/>
      <c r="AD26" s="161" t="s">
        <v>12</v>
      </c>
      <c r="AE26" s="139"/>
      <c r="AF26" s="139"/>
      <c r="AG26" s="528"/>
      <c r="AH26" s="528"/>
      <c r="AI26" s="52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67"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8"/>
      <c r="AD27" s="161" t="s">
        <v>13</v>
      </c>
      <c r="AE27" s="139"/>
      <c r="AF27" s="139"/>
      <c r="AG27" s="528"/>
      <c r="AH27" s="528"/>
      <c r="AI27" s="52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67"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8"/>
      <c r="AD28" s="161" t="s">
        <v>159</v>
      </c>
      <c r="AE28" s="139"/>
      <c r="AF28" s="139"/>
      <c r="AG28" s="528"/>
      <c r="AH28" s="528"/>
      <c r="AI28" s="52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67"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8"/>
      <c r="AD29" s="161" t="s">
        <v>14</v>
      </c>
      <c r="AE29" s="139"/>
      <c r="AF29" s="139"/>
      <c r="AG29" s="528"/>
      <c r="AH29" s="528"/>
      <c r="AI29" s="52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67"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8"/>
      <c r="AD30" s="161" t="s">
        <v>15</v>
      </c>
      <c r="AE30" s="139"/>
      <c r="AF30" s="139"/>
      <c r="AG30" s="528"/>
      <c r="AH30" s="528"/>
      <c r="AI30" s="52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67"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8"/>
      <c r="AD31" s="161" t="s">
        <v>16</v>
      </c>
      <c r="AE31" s="139"/>
      <c r="AF31" s="139"/>
      <c r="AG31" s="531"/>
      <c r="AH31" s="528"/>
      <c r="AI31" s="52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67"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8"/>
      <c r="AD32" s="161" t="s">
        <v>17</v>
      </c>
      <c r="AE32" s="139"/>
      <c r="AF32" s="139"/>
      <c r="AG32" s="528"/>
      <c r="AH32" s="528"/>
      <c r="AI32" s="52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67"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8"/>
      <c r="AD33" s="161" t="s">
        <v>18</v>
      </c>
      <c r="AE33" s="139"/>
      <c r="AF33" s="139"/>
      <c r="AG33" s="528"/>
      <c r="AH33" s="528"/>
      <c r="AI33" s="52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67"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8"/>
      <c r="AD34" s="161" t="s">
        <v>19</v>
      </c>
      <c r="AE34" s="139"/>
      <c r="AF34" s="139"/>
      <c r="AG34" s="528"/>
      <c r="AH34" s="528"/>
      <c r="AI34" s="52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67"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67"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67"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67"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67"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67"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67"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67"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67"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67"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67"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67"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67"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67"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67"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67"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67"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67"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67"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67"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67"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67"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67"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67"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67"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67"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67"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67"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67"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67"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67"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67"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69" t="s">
        <v>259</v>
      </c>
      <c r="C67" s="521"/>
      <c r="D67" s="370"/>
      <c r="E67" s="522"/>
      <c r="F67" s="523"/>
      <c r="G67" s="370"/>
      <c r="H67" s="522"/>
      <c r="I67" s="523"/>
      <c r="J67" s="370"/>
      <c r="K67" s="370"/>
      <c r="L67" s="370"/>
      <c r="M67" s="370"/>
      <c r="N67" s="370"/>
      <c r="O67" s="370"/>
      <c r="P67" s="370"/>
      <c r="Q67" s="370"/>
      <c r="R67" s="370"/>
      <c r="S67" s="370"/>
      <c r="T67" s="370"/>
      <c r="U67" s="370"/>
      <c r="V67" s="370"/>
      <c r="W67" s="370"/>
      <c r="X67" s="370"/>
      <c r="Y67" s="370"/>
      <c r="Z67" s="370"/>
      <c r="AA67" s="370"/>
      <c r="AB67" s="370"/>
      <c r="AC67" s="37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2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27" t="b">
        <v>1</v>
      </c>
      <c r="F173" s="526"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27" t="b">
        <v>0</v>
      </c>
      <c r="F174" s="526"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27"/>
      <c r="F175" s="526"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26"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26"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26"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26"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26"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26"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26"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2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2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2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2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2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2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2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2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2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12" sqref="B12"/>
    </sheetView>
  </sheetViews>
  <sheetFormatPr defaultColWidth="10.77734375" defaultRowHeight="13.2" x14ac:dyDescent="0.25"/>
  <cols>
    <col min="1" max="1" width="10.77734375" style="397"/>
    <col min="2" max="2" width="15.109375" style="397" customWidth="1"/>
    <col min="3" max="3" width="32.44140625" style="397" customWidth="1"/>
    <col min="4" max="4" width="10.77734375" style="397"/>
    <col min="5" max="5" width="6.109375" style="397" bestFit="1" customWidth="1"/>
    <col min="6" max="9" width="15.44140625" style="397" customWidth="1"/>
    <col min="10" max="10" width="14.6640625" style="397" customWidth="1"/>
    <col min="11" max="17" width="15.44140625" style="397" customWidth="1"/>
    <col min="18" max="18" width="15" style="397" customWidth="1"/>
    <col min="19" max="19" width="15.33203125" style="397" customWidth="1"/>
    <col min="20" max="20" width="7.109375" style="397" customWidth="1"/>
    <col min="21" max="21" width="47.33203125" style="397" customWidth="1"/>
    <col min="22" max="23" width="20.33203125" style="397" customWidth="1"/>
    <col min="24" max="16384" width="10.77734375" style="397"/>
  </cols>
  <sheetData>
    <row r="2" spans="2:19" ht="35.4" x14ac:dyDescent="0.6">
      <c r="B2" s="477" t="s">
        <v>331</v>
      </c>
    </row>
    <row r="5" spans="2:19" ht="18" customHeight="1" x14ac:dyDescent="0.4">
      <c r="B5" s="478" t="s">
        <v>332</v>
      </c>
      <c r="C5" s="479" t="s">
        <v>333</v>
      </c>
      <c r="H5" s="480"/>
    </row>
    <row r="6" spans="2:19" ht="21" x14ac:dyDescent="0.4">
      <c r="E6" s="478" t="str">
        <f>C5 &amp; " Scenario"</f>
        <v>Full Everywhere Scenario</v>
      </c>
    </row>
    <row r="7" spans="2:19" ht="28.8" thickBot="1" x14ac:dyDescent="0.55000000000000004">
      <c r="B7" s="478" t="s">
        <v>334</v>
      </c>
      <c r="C7" s="481"/>
      <c r="F7" s="582" t="s">
        <v>125</v>
      </c>
      <c r="G7" s="583"/>
      <c r="H7" s="583"/>
      <c r="I7" s="584"/>
      <c r="J7" s="582" t="s">
        <v>126</v>
      </c>
      <c r="K7" s="583"/>
      <c r="L7" s="583"/>
      <c r="M7" s="584"/>
      <c r="N7" s="582" t="s">
        <v>127</v>
      </c>
      <c r="O7" s="583"/>
      <c r="P7" s="583"/>
      <c r="Q7" s="584"/>
    </row>
    <row r="8" spans="2:19" ht="49.95" customHeight="1" thickTop="1" thickBot="1" x14ac:dyDescent="0.5">
      <c r="B8" s="482" t="s">
        <v>129</v>
      </c>
      <c r="C8" s="483" t="s">
        <v>335</v>
      </c>
      <c r="E8" s="484" t="s">
        <v>315</v>
      </c>
      <c r="F8" s="484" t="s">
        <v>336</v>
      </c>
      <c r="G8" s="485" t="s">
        <v>337</v>
      </c>
      <c r="H8" s="485" t="s">
        <v>338</v>
      </c>
      <c r="I8" s="486" t="s">
        <v>339</v>
      </c>
      <c r="J8" s="484" t="s">
        <v>336</v>
      </c>
      <c r="K8" s="485" t="s">
        <v>337</v>
      </c>
      <c r="L8" s="485" t="s">
        <v>338</v>
      </c>
      <c r="M8" s="486" t="s">
        <v>339</v>
      </c>
      <c r="N8" s="484" t="s">
        <v>336</v>
      </c>
      <c r="O8" s="485" t="s">
        <v>337</v>
      </c>
      <c r="P8" s="485" t="s">
        <v>338</v>
      </c>
      <c r="Q8" s="486" t="s">
        <v>339</v>
      </c>
      <c r="R8" s="484" t="s">
        <v>340</v>
      </c>
      <c r="S8" s="486" t="s">
        <v>341</v>
      </c>
    </row>
    <row r="9" spans="2:19" ht="17.399999999999999" x14ac:dyDescent="0.4">
      <c r="B9" s="487" t="s">
        <v>130</v>
      </c>
      <c r="C9" s="488" t="b">
        <v>1</v>
      </c>
      <c r="E9" s="489" t="s">
        <v>211</v>
      </c>
      <c r="F9" s="490" t="s">
        <v>342</v>
      </c>
      <c r="G9" s="491" t="s">
        <v>342</v>
      </c>
      <c r="H9" s="491">
        <v>0</v>
      </c>
      <c r="I9" s="492">
        <v>0</v>
      </c>
      <c r="J9" s="490" t="s">
        <v>342</v>
      </c>
      <c r="K9" s="491" t="s">
        <v>342</v>
      </c>
      <c r="L9" s="491">
        <v>0</v>
      </c>
      <c r="M9" s="493">
        <v>0</v>
      </c>
      <c r="N9" s="494" t="s">
        <v>342</v>
      </c>
      <c r="O9" s="491" t="s">
        <v>342</v>
      </c>
      <c r="P9" s="491">
        <v>0</v>
      </c>
      <c r="Q9" s="493">
        <v>0</v>
      </c>
      <c r="R9" s="495">
        <v>2014</v>
      </c>
      <c r="S9" s="496">
        <v>2050</v>
      </c>
    </row>
    <row r="10" spans="2:19" ht="17.399999999999999" x14ac:dyDescent="0.4">
      <c r="B10" s="497" t="s">
        <v>131</v>
      </c>
      <c r="C10" s="498" t="b">
        <v>1</v>
      </c>
      <c r="E10" s="499" t="s">
        <v>210</v>
      </c>
      <c r="F10" s="500" t="s">
        <v>342</v>
      </c>
      <c r="G10" s="501" t="s">
        <v>342</v>
      </c>
      <c r="H10" s="501">
        <v>0</v>
      </c>
      <c r="I10" s="502">
        <v>0</v>
      </c>
      <c r="J10" s="500" t="s">
        <v>342</v>
      </c>
      <c r="K10" s="501" t="s">
        <v>342</v>
      </c>
      <c r="L10" s="501">
        <v>0</v>
      </c>
      <c r="M10" s="503">
        <v>0</v>
      </c>
      <c r="N10" s="504" t="s">
        <v>342</v>
      </c>
      <c r="O10" s="501" t="s">
        <v>342</v>
      </c>
      <c r="P10" s="501">
        <v>0</v>
      </c>
      <c r="Q10" s="503">
        <v>0</v>
      </c>
      <c r="R10" s="505">
        <v>2014</v>
      </c>
      <c r="S10" s="506">
        <v>2050</v>
      </c>
    </row>
    <row r="11" spans="2:19" ht="17.399999999999999" x14ac:dyDescent="0.4">
      <c r="B11" s="497" t="s">
        <v>359</v>
      </c>
      <c r="C11" s="498" t="b">
        <v>1</v>
      </c>
      <c r="E11" s="499" t="s">
        <v>213</v>
      </c>
      <c r="F11" s="500" t="s">
        <v>342</v>
      </c>
      <c r="G11" s="501" t="s">
        <v>342</v>
      </c>
      <c r="H11" s="501">
        <v>0</v>
      </c>
      <c r="I11" s="502">
        <v>0</v>
      </c>
      <c r="J11" s="500" t="s">
        <v>342</v>
      </c>
      <c r="K11" s="501" t="s">
        <v>342</v>
      </c>
      <c r="L11" s="501">
        <v>0</v>
      </c>
      <c r="M11" s="503">
        <v>0</v>
      </c>
      <c r="N11" s="504" t="s">
        <v>342</v>
      </c>
      <c r="O11" s="501" t="s">
        <v>342</v>
      </c>
      <c r="P11" s="501">
        <v>0</v>
      </c>
      <c r="Q11" s="503">
        <v>0</v>
      </c>
      <c r="R11" s="505">
        <v>2014</v>
      </c>
      <c r="S11" s="506">
        <v>2050</v>
      </c>
    </row>
    <row r="12" spans="2:19" ht="18" thickBot="1" x14ac:dyDescent="0.45">
      <c r="B12" s="507" t="s">
        <v>152</v>
      </c>
      <c r="C12" s="508" t="b">
        <v>1</v>
      </c>
      <c r="E12" s="499" t="s">
        <v>212</v>
      </c>
      <c r="F12" s="500" t="s">
        <v>342</v>
      </c>
      <c r="G12" s="501" t="s">
        <v>342</v>
      </c>
      <c r="H12" s="501">
        <v>0</v>
      </c>
      <c r="I12" s="502">
        <v>0</v>
      </c>
      <c r="J12" s="500" t="s">
        <v>342</v>
      </c>
      <c r="K12" s="501" t="s">
        <v>342</v>
      </c>
      <c r="L12" s="501">
        <v>0</v>
      </c>
      <c r="M12" s="503">
        <v>0</v>
      </c>
      <c r="N12" s="504" t="s">
        <v>342</v>
      </c>
      <c r="O12" s="501" t="s">
        <v>342</v>
      </c>
      <c r="P12" s="501">
        <v>0</v>
      </c>
      <c r="Q12" s="503">
        <v>0</v>
      </c>
      <c r="R12" s="505">
        <v>2014</v>
      </c>
      <c r="S12" s="506">
        <v>2050</v>
      </c>
    </row>
    <row r="13" spans="2:19" ht="13.8" thickTop="1" x14ac:dyDescent="0.25">
      <c r="E13" s="499" t="s">
        <v>214</v>
      </c>
      <c r="F13" s="500" t="s">
        <v>342</v>
      </c>
      <c r="G13" s="501" t="s">
        <v>342</v>
      </c>
      <c r="H13" s="501">
        <v>0</v>
      </c>
      <c r="I13" s="502">
        <v>0</v>
      </c>
      <c r="J13" s="500" t="s">
        <v>342</v>
      </c>
      <c r="K13" s="501" t="s">
        <v>342</v>
      </c>
      <c r="L13" s="501">
        <v>0</v>
      </c>
      <c r="M13" s="503">
        <v>0</v>
      </c>
      <c r="N13" s="504" t="s">
        <v>342</v>
      </c>
      <c r="O13" s="501" t="s">
        <v>342</v>
      </c>
      <c r="P13" s="501">
        <v>0</v>
      </c>
      <c r="Q13" s="503">
        <v>0</v>
      </c>
      <c r="R13" s="505">
        <v>2014</v>
      </c>
      <c r="S13" s="506">
        <v>2050</v>
      </c>
    </row>
    <row r="14" spans="2:19" ht="12" customHeight="1" x14ac:dyDescent="0.25">
      <c r="B14" s="585" t="s">
        <v>343</v>
      </c>
      <c r="C14" s="585"/>
      <c r="E14" s="499" t="s">
        <v>215</v>
      </c>
      <c r="F14" s="500" t="s">
        <v>342</v>
      </c>
      <c r="G14" s="501" t="s">
        <v>342</v>
      </c>
      <c r="H14" s="501">
        <v>0</v>
      </c>
      <c r="I14" s="502">
        <v>0</v>
      </c>
      <c r="J14" s="500" t="s">
        <v>342</v>
      </c>
      <c r="K14" s="501" t="s">
        <v>342</v>
      </c>
      <c r="L14" s="501">
        <v>0</v>
      </c>
      <c r="M14" s="503">
        <v>0</v>
      </c>
      <c r="N14" s="504" t="s">
        <v>342</v>
      </c>
      <c r="O14" s="501" t="s">
        <v>342</v>
      </c>
      <c r="P14" s="501">
        <v>0</v>
      </c>
      <c r="Q14" s="503">
        <v>0</v>
      </c>
      <c r="R14" s="505">
        <v>2014</v>
      </c>
      <c r="S14" s="506">
        <v>2050</v>
      </c>
    </row>
    <row r="15" spans="2:19" ht="12" customHeight="1" x14ac:dyDescent="0.25">
      <c r="B15" s="585"/>
      <c r="C15" s="585"/>
      <c r="E15" s="499" t="s">
        <v>216</v>
      </c>
      <c r="F15" s="500" t="s">
        <v>342</v>
      </c>
      <c r="G15" s="501" t="s">
        <v>342</v>
      </c>
      <c r="H15" s="501">
        <v>0</v>
      </c>
      <c r="I15" s="502">
        <v>0</v>
      </c>
      <c r="J15" s="500" t="s">
        <v>342</v>
      </c>
      <c r="K15" s="501" t="s">
        <v>342</v>
      </c>
      <c r="L15" s="501">
        <v>0</v>
      </c>
      <c r="M15" s="503">
        <v>0</v>
      </c>
      <c r="N15" s="504" t="s">
        <v>342</v>
      </c>
      <c r="O15" s="501" t="s">
        <v>342</v>
      </c>
      <c r="P15" s="501">
        <v>0</v>
      </c>
      <c r="Q15" s="503">
        <v>0</v>
      </c>
      <c r="R15" s="505">
        <v>2014</v>
      </c>
      <c r="S15" s="506">
        <v>2050</v>
      </c>
    </row>
    <row r="16" spans="2:19" ht="12" customHeight="1" x14ac:dyDescent="0.25">
      <c r="B16" s="585"/>
      <c r="C16" s="585"/>
      <c r="E16" s="499" t="s">
        <v>11</v>
      </c>
      <c r="F16" s="500" t="s">
        <v>342</v>
      </c>
      <c r="G16" s="501" t="s">
        <v>342</v>
      </c>
      <c r="H16" s="501">
        <v>0</v>
      </c>
      <c r="I16" s="502">
        <v>0</v>
      </c>
      <c r="J16" s="500" t="s">
        <v>342</v>
      </c>
      <c r="K16" s="501" t="s">
        <v>342</v>
      </c>
      <c r="L16" s="501">
        <v>0</v>
      </c>
      <c r="M16" s="503">
        <v>0</v>
      </c>
      <c r="N16" s="504" t="s">
        <v>342</v>
      </c>
      <c r="O16" s="501" t="s">
        <v>342</v>
      </c>
      <c r="P16" s="501">
        <v>0</v>
      </c>
      <c r="Q16" s="503">
        <v>0</v>
      </c>
      <c r="R16" s="505">
        <v>2014</v>
      </c>
      <c r="S16" s="506">
        <v>2050</v>
      </c>
    </row>
    <row r="17" spans="2:19" ht="12" customHeight="1" x14ac:dyDescent="0.25">
      <c r="B17" s="585"/>
      <c r="C17" s="585"/>
      <c r="E17" s="499" t="s">
        <v>217</v>
      </c>
      <c r="F17" s="500" t="s">
        <v>342</v>
      </c>
      <c r="G17" s="501" t="s">
        <v>342</v>
      </c>
      <c r="H17" s="501">
        <v>0</v>
      </c>
      <c r="I17" s="502">
        <v>0</v>
      </c>
      <c r="J17" s="500" t="s">
        <v>342</v>
      </c>
      <c r="K17" s="501" t="s">
        <v>342</v>
      </c>
      <c r="L17" s="501">
        <v>0</v>
      </c>
      <c r="M17" s="503">
        <v>0</v>
      </c>
      <c r="N17" s="504" t="s">
        <v>342</v>
      </c>
      <c r="O17" s="501" t="s">
        <v>342</v>
      </c>
      <c r="P17" s="501">
        <v>0</v>
      </c>
      <c r="Q17" s="503">
        <v>0</v>
      </c>
      <c r="R17" s="505">
        <v>2014</v>
      </c>
      <c r="S17" s="506">
        <v>2050</v>
      </c>
    </row>
    <row r="18" spans="2:19" ht="13.05" customHeight="1" x14ac:dyDescent="0.25">
      <c r="B18" s="585"/>
      <c r="C18" s="585"/>
      <c r="E18" s="499" t="s">
        <v>218</v>
      </c>
      <c r="F18" s="500" t="s">
        <v>342</v>
      </c>
      <c r="G18" s="501" t="s">
        <v>342</v>
      </c>
      <c r="H18" s="501">
        <v>0</v>
      </c>
      <c r="I18" s="502">
        <v>0</v>
      </c>
      <c r="J18" s="500" t="s">
        <v>342</v>
      </c>
      <c r="K18" s="501" t="s">
        <v>342</v>
      </c>
      <c r="L18" s="501">
        <v>0</v>
      </c>
      <c r="M18" s="503">
        <v>0</v>
      </c>
      <c r="N18" s="504" t="s">
        <v>342</v>
      </c>
      <c r="O18" s="501" t="s">
        <v>342</v>
      </c>
      <c r="P18" s="501">
        <v>0</v>
      </c>
      <c r="Q18" s="503">
        <v>0</v>
      </c>
      <c r="R18" s="505">
        <v>2014</v>
      </c>
      <c r="S18" s="506">
        <v>2050</v>
      </c>
    </row>
    <row r="19" spans="2:19" ht="12" customHeight="1" x14ac:dyDescent="0.25">
      <c r="B19" s="585"/>
      <c r="C19" s="585"/>
      <c r="E19" s="499" t="s">
        <v>219</v>
      </c>
      <c r="F19" s="500" t="s">
        <v>342</v>
      </c>
      <c r="G19" s="501" t="s">
        <v>342</v>
      </c>
      <c r="H19" s="501">
        <v>0</v>
      </c>
      <c r="I19" s="502">
        <v>0</v>
      </c>
      <c r="J19" s="500" t="s">
        <v>342</v>
      </c>
      <c r="K19" s="501" t="s">
        <v>342</v>
      </c>
      <c r="L19" s="501">
        <v>0</v>
      </c>
      <c r="M19" s="503">
        <v>0</v>
      </c>
      <c r="N19" s="504" t="s">
        <v>342</v>
      </c>
      <c r="O19" s="501" t="s">
        <v>342</v>
      </c>
      <c r="P19" s="501">
        <v>0</v>
      </c>
      <c r="Q19" s="503">
        <v>0</v>
      </c>
      <c r="R19" s="505">
        <v>2014</v>
      </c>
      <c r="S19" s="506">
        <v>2050</v>
      </c>
    </row>
    <row r="20" spans="2:19" ht="12" customHeight="1" x14ac:dyDescent="0.25">
      <c r="B20" s="585"/>
      <c r="C20" s="585"/>
      <c r="E20" s="499" t="s">
        <v>220</v>
      </c>
      <c r="F20" s="500" t="s">
        <v>342</v>
      </c>
      <c r="G20" s="501" t="s">
        <v>342</v>
      </c>
      <c r="H20" s="501">
        <v>0</v>
      </c>
      <c r="I20" s="502">
        <v>0</v>
      </c>
      <c r="J20" s="500" t="s">
        <v>342</v>
      </c>
      <c r="K20" s="501" t="s">
        <v>342</v>
      </c>
      <c r="L20" s="501">
        <v>0</v>
      </c>
      <c r="M20" s="503">
        <v>0</v>
      </c>
      <c r="N20" s="504" t="s">
        <v>342</v>
      </c>
      <c r="O20" s="501" t="s">
        <v>342</v>
      </c>
      <c r="P20" s="501">
        <v>0</v>
      </c>
      <c r="Q20" s="503">
        <v>0</v>
      </c>
      <c r="R20" s="505">
        <v>2014</v>
      </c>
      <c r="S20" s="506">
        <v>2050</v>
      </c>
    </row>
    <row r="21" spans="2:19" ht="12" customHeight="1" x14ac:dyDescent="0.25">
      <c r="B21" s="585"/>
      <c r="C21" s="585"/>
      <c r="E21" s="499" t="s">
        <v>224</v>
      </c>
      <c r="F21" s="500" t="s">
        <v>342</v>
      </c>
      <c r="G21" s="501" t="s">
        <v>342</v>
      </c>
      <c r="H21" s="501">
        <v>0</v>
      </c>
      <c r="I21" s="502">
        <v>0</v>
      </c>
      <c r="J21" s="500" t="s">
        <v>342</v>
      </c>
      <c r="K21" s="501" t="s">
        <v>342</v>
      </c>
      <c r="L21" s="501">
        <v>0</v>
      </c>
      <c r="M21" s="503">
        <v>0</v>
      </c>
      <c r="N21" s="504" t="s">
        <v>342</v>
      </c>
      <c r="O21" s="501" t="s">
        <v>342</v>
      </c>
      <c r="P21" s="501">
        <v>0</v>
      </c>
      <c r="Q21" s="503">
        <v>0</v>
      </c>
      <c r="R21" s="505">
        <v>2014</v>
      </c>
      <c r="S21" s="506">
        <v>2050</v>
      </c>
    </row>
    <row r="22" spans="2:19" ht="12" customHeight="1" x14ac:dyDescent="0.25">
      <c r="B22" s="585"/>
      <c r="C22" s="585"/>
      <c r="E22" s="499" t="s">
        <v>221</v>
      </c>
      <c r="F22" s="500" t="s">
        <v>342</v>
      </c>
      <c r="G22" s="501" t="s">
        <v>342</v>
      </c>
      <c r="H22" s="501">
        <v>0</v>
      </c>
      <c r="I22" s="502">
        <v>0</v>
      </c>
      <c r="J22" s="500" t="s">
        <v>342</v>
      </c>
      <c r="K22" s="501" t="s">
        <v>342</v>
      </c>
      <c r="L22" s="501">
        <v>0</v>
      </c>
      <c r="M22" s="503">
        <v>0</v>
      </c>
      <c r="N22" s="504" t="s">
        <v>342</v>
      </c>
      <c r="O22" s="501" t="s">
        <v>342</v>
      </c>
      <c r="P22" s="501">
        <v>0</v>
      </c>
      <c r="Q22" s="503">
        <v>0</v>
      </c>
      <c r="R22" s="505">
        <v>2014</v>
      </c>
      <c r="S22" s="506">
        <v>2050</v>
      </c>
    </row>
    <row r="23" spans="2:19" ht="12" customHeight="1" x14ac:dyDescent="0.25">
      <c r="B23" s="585"/>
      <c r="C23" s="585"/>
      <c r="E23" s="499" t="s">
        <v>222</v>
      </c>
      <c r="F23" s="500" t="s">
        <v>342</v>
      </c>
      <c r="G23" s="501" t="s">
        <v>342</v>
      </c>
      <c r="H23" s="501">
        <v>0</v>
      </c>
      <c r="I23" s="502">
        <v>0</v>
      </c>
      <c r="J23" s="500" t="s">
        <v>342</v>
      </c>
      <c r="K23" s="501" t="s">
        <v>342</v>
      </c>
      <c r="L23" s="501">
        <v>0</v>
      </c>
      <c r="M23" s="503">
        <v>0</v>
      </c>
      <c r="N23" s="504" t="s">
        <v>342</v>
      </c>
      <c r="O23" s="501" t="s">
        <v>342</v>
      </c>
      <c r="P23" s="501">
        <v>0</v>
      </c>
      <c r="Q23" s="503">
        <v>0</v>
      </c>
      <c r="R23" s="505">
        <v>2014</v>
      </c>
      <c r="S23" s="506">
        <v>2050</v>
      </c>
    </row>
    <row r="24" spans="2:19" ht="12" customHeight="1" x14ac:dyDescent="0.25">
      <c r="B24" s="585"/>
      <c r="C24" s="585"/>
      <c r="E24" s="499" t="s">
        <v>223</v>
      </c>
      <c r="F24" s="500" t="s">
        <v>342</v>
      </c>
      <c r="G24" s="501" t="s">
        <v>342</v>
      </c>
      <c r="H24" s="501">
        <v>0</v>
      </c>
      <c r="I24" s="502">
        <v>0</v>
      </c>
      <c r="J24" s="500" t="s">
        <v>342</v>
      </c>
      <c r="K24" s="501" t="s">
        <v>342</v>
      </c>
      <c r="L24" s="501">
        <v>0</v>
      </c>
      <c r="M24" s="503">
        <v>0</v>
      </c>
      <c r="N24" s="504" t="s">
        <v>342</v>
      </c>
      <c r="O24" s="501" t="s">
        <v>342</v>
      </c>
      <c r="P24" s="501">
        <v>0</v>
      </c>
      <c r="Q24" s="503">
        <v>0</v>
      </c>
      <c r="R24" s="505">
        <v>2014</v>
      </c>
      <c r="S24" s="506">
        <v>2050</v>
      </c>
    </row>
    <row r="25" spans="2:19" ht="12" customHeight="1" x14ac:dyDescent="0.25">
      <c r="B25" s="585"/>
      <c r="C25" s="585"/>
      <c r="E25" s="499" t="s">
        <v>225</v>
      </c>
      <c r="F25" s="500" t="s">
        <v>342</v>
      </c>
      <c r="G25" s="501" t="s">
        <v>342</v>
      </c>
      <c r="H25" s="501">
        <v>0</v>
      </c>
      <c r="I25" s="502">
        <v>0</v>
      </c>
      <c r="J25" s="500" t="s">
        <v>342</v>
      </c>
      <c r="K25" s="501" t="s">
        <v>342</v>
      </c>
      <c r="L25" s="501">
        <v>0</v>
      </c>
      <c r="M25" s="503">
        <v>0</v>
      </c>
      <c r="N25" s="504" t="s">
        <v>342</v>
      </c>
      <c r="O25" s="501" t="s">
        <v>342</v>
      </c>
      <c r="P25" s="501">
        <v>0</v>
      </c>
      <c r="Q25" s="503">
        <v>0</v>
      </c>
      <c r="R25" s="505">
        <v>2014</v>
      </c>
      <c r="S25" s="506">
        <v>2050</v>
      </c>
    </row>
    <row r="26" spans="2:19" ht="12" customHeight="1" x14ac:dyDescent="0.25">
      <c r="B26" s="585"/>
      <c r="C26" s="585"/>
      <c r="E26" s="499" t="s">
        <v>226</v>
      </c>
      <c r="F26" s="500" t="s">
        <v>342</v>
      </c>
      <c r="G26" s="501" t="s">
        <v>342</v>
      </c>
      <c r="H26" s="501">
        <v>0</v>
      </c>
      <c r="I26" s="502">
        <v>0</v>
      </c>
      <c r="J26" s="500" t="s">
        <v>342</v>
      </c>
      <c r="K26" s="501" t="s">
        <v>342</v>
      </c>
      <c r="L26" s="501">
        <v>0</v>
      </c>
      <c r="M26" s="503">
        <v>0</v>
      </c>
      <c r="N26" s="504" t="s">
        <v>342</v>
      </c>
      <c r="O26" s="501" t="s">
        <v>342</v>
      </c>
      <c r="P26" s="501">
        <v>0</v>
      </c>
      <c r="Q26" s="503">
        <v>0</v>
      </c>
      <c r="R26" s="505">
        <v>2014</v>
      </c>
      <c r="S26" s="506">
        <v>2050</v>
      </c>
    </row>
    <row r="27" spans="2:19" ht="12" customHeight="1" x14ac:dyDescent="0.25">
      <c r="B27" s="585"/>
      <c r="C27" s="585"/>
      <c r="E27" s="499" t="s">
        <v>227</v>
      </c>
      <c r="F27" s="500" t="s">
        <v>342</v>
      </c>
      <c r="G27" s="501" t="s">
        <v>342</v>
      </c>
      <c r="H27" s="501">
        <v>0</v>
      </c>
      <c r="I27" s="502">
        <v>0</v>
      </c>
      <c r="J27" s="500" t="s">
        <v>342</v>
      </c>
      <c r="K27" s="501" t="s">
        <v>342</v>
      </c>
      <c r="L27" s="501">
        <v>0</v>
      </c>
      <c r="M27" s="503">
        <v>0</v>
      </c>
      <c r="N27" s="504" t="s">
        <v>342</v>
      </c>
      <c r="O27" s="501" t="s">
        <v>342</v>
      </c>
      <c r="P27" s="501">
        <v>0</v>
      </c>
      <c r="Q27" s="503">
        <v>0</v>
      </c>
      <c r="R27" s="505">
        <v>2014</v>
      </c>
      <c r="S27" s="506">
        <v>2050</v>
      </c>
    </row>
    <row r="28" spans="2:19" ht="12" customHeight="1" x14ac:dyDescent="0.25">
      <c r="B28" s="585"/>
      <c r="C28" s="585"/>
      <c r="E28" s="499" t="s">
        <v>230</v>
      </c>
      <c r="F28" s="500" t="s">
        <v>342</v>
      </c>
      <c r="G28" s="501" t="s">
        <v>342</v>
      </c>
      <c r="H28" s="501">
        <v>0</v>
      </c>
      <c r="I28" s="502">
        <v>0</v>
      </c>
      <c r="J28" s="500" t="s">
        <v>342</v>
      </c>
      <c r="K28" s="501" t="s">
        <v>342</v>
      </c>
      <c r="L28" s="501">
        <v>0</v>
      </c>
      <c r="M28" s="503">
        <v>0</v>
      </c>
      <c r="N28" s="504" t="s">
        <v>342</v>
      </c>
      <c r="O28" s="501" t="s">
        <v>342</v>
      </c>
      <c r="P28" s="501">
        <v>0</v>
      </c>
      <c r="Q28" s="503">
        <v>0</v>
      </c>
      <c r="R28" s="505">
        <v>2014</v>
      </c>
      <c r="S28" s="506">
        <v>2050</v>
      </c>
    </row>
    <row r="29" spans="2:19" ht="12" customHeight="1" x14ac:dyDescent="0.25">
      <c r="B29" s="585"/>
      <c r="C29" s="585"/>
      <c r="E29" s="499" t="s">
        <v>229</v>
      </c>
      <c r="F29" s="500" t="s">
        <v>342</v>
      </c>
      <c r="G29" s="501" t="s">
        <v>342</v>
      </c>
      <c r="H29" s="501">
        <v>0</v>
      </c>
      <c r="I29" s="502">
        <v>0</v>
      </c>
      <c r="J29" s="500" t="s">
        <v>342</v>
      </c>
      <c r="K29" s="501" t="s">
        <v>342</v>
      </c>
      <c r="L29" s="501">
        <v>0</v>
      </c>
      <c r="M29" s="503">
        <v>0</v>
      </c>
      <c r="N29" s="504" t="s">
        <v>342</v>
      </c>
      <c r="O29" s="501" t="s">
        <v>342</v>
      </c>
      <c r="P29" s="501">
        <v>0</v>
      </c>
      <c r="Q29" s="503">
        <v>0</v>
      </c>
      <c r="R29" s="505">
        <v>2014</v>
      </c>
      <c r="S29" s="506">
        <v>2050</v>
      </c>
    </row>
    <row r="30" spans="2:19" ht="12" customHeight="1" x14ac:dyDescent="0.25">
      <c r="B30" s="585"/>
      <c r="C30" s="585"/>
      <c r="E30" s="499" t="s">
        <v>228</v>
      </c>
      <c r="F30" s="500" t="s">
        <v>342</v>
      </c>
      <c r="G30" s="501" t="s">
        <v>342</v>
      </c>
      <c r="H30" s="501">
        <v>0</v>
      </c>
      <c r="I30" s="502">
        <v>0</v>
      </c>
      <c r="J30" s="500" t="s">
        <v>342</v>
      </c>
      <c r="K30" s="501" t="s">
        <v>342</v>
      </c>
      <c r="L30" s="501">
        <v>0</v>
      </c>
      <c r="M30" s="503">
        <v>0</v>
      </c>
      <c r="N30" s="504" t="s">
        <v>342</v>
      </c>
      <c r="O30" s="501" t="s">
        <v>342</v>
      </c>
      <c r="P30" s="501">
        <v>0</v>
      </c>
      <c r="Q30" s="503">
        <v>0</v>
      </c>
      <c r="R30" s="505">
        <v>2014</v>
      </c>
      <c r="S30" s="506">
        <v>2050</v>
      </c>
    </row>
    <row r="31" spans="2:19" ht="12" customHeight="1" x14ac:dyDescent="0.25">
      <c r="B31" s="585"/>
      <c r="C31" s="585"/>
      <c r="E31" s="499" t="s">
        <v>231</v>
      </c>
      <c r="F31" s="500" t="s">
        <v>342</v>
      </c>
      <c r="G31" s="501" t="s">
        <v>342</v>
      </c>
      <c r="H31" s="501">
        <v>0</v>
      </c>
      <c r="I31" s="502">
        <v>0</v>
      </c>
      <c r="J31" s="500" t="s">
        <v>342</v>
      </c>
      <c r="K31" s="501" t="s">
        <v>342</v>
      </c>
      <c r="L31" s="501">
        <v>0</v>
      </c>
      <c r="M31" s="503">
        <v>0</v>
      </c>
      <c r="N31" s="504" t="s">
        <v>342</v>
      </c>
      <c r="O31" s="501" t="s">
        <v>342</v>
      </c>
      <c r="P31" s="501">
        <v>0</v>
      </c>
      <c r="Q31" s="503">
        <v>0</v>
      </c>
      <c r="R31" s="505">
        <v>2014</v>
      </c>
      <c r="S31" s="506">
        <v>2050</v>
      </c>
    </row>
    <row r="32" spans="2:19" ht="12" customHeight="1" x14ac:dyDescent="0.25">
      <c r="B32" s="585"/>
      <c r="C32" s="585"/>
      <c r="E32" s="499" t="s">
        <v>232</v>
      </c>
      <c r="F32" s="500" t="s">
        <v>342</v>
      </c>
      <c r="G32" s="501" t="s">
        <v>342</v>
      </c>
      <c r="H32" s="501">
        <v>0</v>
      </c>
      <c r="I32" s="502">
        <v>0</v>
      </c>
      <c r="J32" s="500" t="s">
        <v>342</v>
      </c>
      <c r="K32" s="501" t="s">
        <v>342</v>
      </c>
      <c r="L32" s="501">
        <v>0</v>
      </c>
      <c r="M32" s="503">
        <v>0</v>
      </c>
      <c r="N32" s="504" t="s">
        <v>342</v>
      </c>
      <c r="O32" s="501" t="s">
        <v>342</v>
      </c>
      <c r="P32" s="501">
        <v>0</v>
      </c>
      <c r="Q32" s="503">
        <v>0</v>
      </c>
      <c r="R32" s="505">
        <v>2014</v>
      </c>
      <c r="S32" s="506">
        <v>2050</v>
      </c>
    </row>
    <row r="33" spans="2:19" ht="12" customHeight="1" x14ac:dyDescent="0.25">
      <c r="B33" s="585"/>
      <c r="C33" s="585"/>
      <c r="E33" s="499" t="s">
        <v>234</v>
      </c>
      <c r="F33" s="500" t="s">
        <v>342</v>
      </c>
      <c r="G33" s="501" t="s">
        <v>342</v>
      </c>
      <c r="H33" s="501">
        <v>0</v>
      </c>
      <c r="I33" s="502">
        <v>0</v>
      </c>
      <c r="J33" s="500" t="s">
        <v>342</v>
      </c>
      <c r="K33" s="501" t="s">
        <v>342</v>
      </c>
      <c r="L33" s="501">
        <v>0</v>
      </c>
      <c r="M33" s="503">
        <v>0</v>
      </c>
      <c r="N33" s="504" t="s">
        <v>342</v>
      </c>
      <c r="O33" s="501" t="s">
        <v>342</v>
      </c>
      <c r="P33" s="501">
        <v>0</v>
      </c>
      <c r="Q33" s="503">
        <v>0</v>
      </c>
      <c r="R33" s="505">
        <v>2014</v>
      </c>
      <c r="S33" s="506">
        <v>2050</v>
      </c>
    </row>
    <row r="34" spans="2:19" ht="12" customHeight="1" x14ac:dyDescent="0.25">
      <c r="B34" s="585"/>
      <c r="C34" s="585"/>
      <c r="E34" s="499" t="s">
        <v>233</v>
      </c>
      <c r="F34" s="500" t="s">
        <v>342</v>
      </c>
      <c r="G34" s="501" t="s">
        <v>342</v>
      </c>
      <c r="H34" s="501">
        <v>0</v>
      </c>
      <c r="I34" s="502">
        <v>0</v>
      </c>
      <c r="J34" s="500" t="s">
        <v>342</v>
      </c>
      <c r="K34" s="501" t="s">
        <v>342</v>
      </c>
      <c r="L34" s="501">
        <v>0</v>
      </c>
      <c r="M34" s="503">
        <v>0</v>
      </c>
      <c r="N34" s="504" t="s">
        <v>342</v>
      </c>
      <c r="O34" s="501" t="s">
        <v>342</v>
      </c>
      <c r="P34" s="501">
        <v>0</v>
      </c>
      <c r="Q34" s="503">
        <v>0</v>
      </c>
      <c r="R34" s="505">
        <v>2014</v>
      </c>
      <c r="S34" s="506">
        <v>2050</v>
      </c>
    </row>
    <row r="35" spans="2:19" ht="12" customHeight="1" x14ac:dyDescent="0.25">
      <c r="B35" s="585"/>
      <c r="C35" s="585"/>
      <c r="E35" s="499" t="s">
        <v>235</v>
      </c>
      <c r="F35" s="500" t="s">
        <v>342</v>
      </c>
      <c r="G35" s="501" t="s">
        <v>342</v>
      </c>
      <c r="H35" s="501">
        <v>0</v>
      </c>
      <c r="I35" s="502">
        <v>0</v>
      </c>
      <c r="J35" s="500" t="s">
        <v>342</v>
      </c>
      <c r="K35" s="501" t="s">
        <v>342</v>
      </c>
      <c r="L35" s="501">
        <v>0</v>
      </c>
      <c r="M35" s="503">
        <v>0</v>
      </c>
      <c r="N35" s="504" t="s">
        <v>342</v>
      </c>
      <c r="O35" s="501" t="s">
        <v>342</v>
      </c>
      <c r="P35" s="501">
        <v>0</v>
      </c>
      <c r="Q35" s="503">
        <v>0</v>
      </c>
      <c r="R35" s="505">
        <v>2014</v>
      </c>
      <c r="S35" s="506">
        <v>2050</v>
      </c>
    </row>
    <row r="36" spans="2:19" ht="12" customHeight="1" x14ac:dyDescent="0.25">
      <c r="B36" s="585"/>
      <c r="C36" s="585"/>
      <c r="E36" s="499" t="s">
        <v>242</v>
      </c>
      <c r="F36" s="500" t="s">
        <v>342</v>
      </c>
      <c r="G36" s="501" t="s">
        <v>342</v>
      </c>
      <c r="H36" s="501">
        <v>0</v>
      </c>
      <c r="I36" s="502">
        <v>0</v>
      </c>
      <c r="J36" s="500" t="s">
        <v>342</v>
      </c>
      <c r="K36" s="501" t="s">
        <v>342</v>
      </c>
      <c r="L36" s="501">
        <v>0</v>
      </c>
      <c r="M36" s="503">
        <v>0</v>
      </c>
      <c r="N36" s="504" t="s">
        <v>342</v>
      </c>
      <c r="O36" s="501" t="s">
        <v>342</v>
      </c>
      <c r="P36" s="501">
        <v>0</v>
      </c>
      <c r="Q36" s="503">
        <v>0</v>
      </c>
      <c r="R36" s="505">
        <v>2014</v>
      </c>
      <c r="S36" s="506">
        <v>2050</v>
      </c>
    </row>
    <row r="37" spans="2:19" ht="12" customHeight="1" x14ac:dyDescent="0.25">
      <c r="B37" s="585"/>
      <c r="C37" s="585"/>
      <c r="E37" s="499" t="s">
        <v>243</v>
      </c>
      <c r="F37" s="500" t="s">
        <v>342</v>
      </c>
      <c r="G37" s="501" t="s">
        <v>342</v>
      </c>
      <c r="H37" s="501">
        <v>0</v>
      </c>
      <c r="I37" s="502">
        <v>0</v>
      </c>
      <c r="J37" s="500" t="s">
        <v>342</v>
      </c>
      <c r="K37" s="501" t="s">
        <v>342</v>
      </c>
      <c r="L37" s="501">
        <v>0</v>
      </c>
      <c r="M37" s="503">
        <v>0</v>
      </c>
      <c r="N37" s="504" t="s">
        <v>342</v>
      </c>
      <c r="O37" s="501" t="s">
        <v>342</v>
      </c>
      <c r="P37" s="501">
        <v>0</v>
      </c>
      <c r="Q37" s="503">
        <v>0</v>
      </c>
      <c r="R37" s="505">
        <v>2014</v>
      </c>
      <c r="S37" s="506">
        <v>2050</v>
      </c>
    </row>
    <row r="38" spans="2:19" ht="12" customHeight="1" x14ac:dyDescent="0.25">
      <c r="B38" s="585"/>
      <c r="C38" s="585"/>
      <c r="E38" s="499" t="s">
        <v>236</v>
      </c>
      <c r="F38" s="500" t="s">
        <v>342</v>
      </c>
      <c r="G38" s="501" t="s">
        <v>342</v>
      </c>
      <c r="H38" s="501">
        <v>0</v>
      </c>
      <c r="I38" s="502">
        <v>0</v>
      </c>
      <c r="J38" s="500" t="s">
        <v>342</v>
      </c>
      <c r="K38" s="501" t="s">
        <v>342</v>
      </c>
      <c r="L38" s="501">
        <v>0</v>
      </c>
      <c r="M38" s="503">
        <v>0</v>
      </c>
      <c r="N38" s="504" t="s">
        <v>342</v>
      </c>
      <c r="O38" s="501" t="s">
        <v>342</v>
      </c>
      <c r="P38" s="501">
        <v>0</v>
      </c>
      <c r="Q38" s="503">
        <v>0</v>
      </c>
      <c r="R38" s="505">
        <v>2014</v>
      </c>
      <c r="S38" s="506">
        <v>2050</v>
      </c>
    </row>
    <row r="39" spans="2:19" x14ac:dyDescent="0.25">
      <c r="B39" s="585"/>
      <c r="C39" s="585"/>
      <c r="E39" s="499" t="s">
        <v>238</v>
      </c>
      <c r="F39" s="500" t="s">
        <v>342</v>
      </c>
      <c r="G39" s="501" t="s">
        <v>342</v>
      </c>
      <c r="H39" s="501">
        <v>0</v>
      </c>
      <c r="I39" s="502">
        <v>0</v>
      </c>
      <c r="J39" s="500" t="s">
        <v>342</v>
      </c>
      <c r="K39" s="501" t="s">
        <v>342</v>
      </c>
      <c r="L39" s="501">
        <v>0</v>
      </c>
      <c r="M39" s="503">
        <v>0</v>
      </c>
      <c r="N39" s="504" t="s">
        <v>342</v>
      </c>
      <c r="O39" s="501" t="s">
        <v>342</v>
      </c>
      <c r="P39" s="501">
        <v>0</v>
      </c>
      <c r="Q39" s="503">
        <v>0</v>
      </c>
      <c r="R39" s="505">
        <v>2014</v>
      </c>
      <c r="S39" s="506">
        <v>2050</v>
      </c>
    </row>
    <row r="40" spans="2:19" x14ac:dyDescent="0.25">
      <c r="B40" s="585"/>
      <c r="C40" s="585"/>
      <c r="E40" s="499" t="s">
        <v>239</v>
      </c>
      <c r="F40" s="500" t="s">
        <v>342</v>
      </c>
      <c r="G40" s="501" t="s">
        <v>342</v>
      </c>
      <c r="H40" s="501">
        <v>0</v>
      </c>
      <c r="I40" s="502">
        <v>0</v>
      </c>
      <c r="J40" s="500" t="s">
        <v>342</v>
      </c>
      <c r="K40" s="501" t="s">
        <v>342</v>
      </c>
      <c r="L40" s="501">
        <v>0</v>
      </c>
      <c r="M40" s="503">
        <v>0</v>
      </c>
      <c r="N40" s="504" t="s">
        <v>342</v>
      </c>
      <c r="O40" s="501" t="s">
        <v>342</v>
      </c>
      <c r="P40" s="501">
        <v>0</v>
      </c>
      <c r="Q40" s="503">
        <v>0</v>
      </c>
      <c r="R40" s="505">
        <v>2014</v>
      </c>
      <c r="S40" s="506">
        <v>2050</v>
      </c>
    </row>
    <row r="41" spans="2:19" x14ac:dyDescent="0.25">
      <c r="B41" s="585"/>
      <c r="C41" s="585"/>
      <c r="E41" s="499" t="s">
        <v>240</v>
      </c>
      <c r="F41" s="500" t="s">
        <v>342</v>
      </c>
      <c r="G41" s="501" t="s">
        <v>342</v>
      </c>
      <c r="H41" s="501">
        <v>0</v>
      </c>
      <c r="I41" s="502">
        <v>0</v>
      </c>
      <c r="J41" s="500" t="s">
        <v>342</v>
      </c>
      <c r="K41" s="501" t="s">
        <v>342</v>
      </c>
      <c r="L41" s="501">
        <v>0</v>
      </c>
      <c r="M41" s="503">
        <v>0</v>
      </c>
      <c r="N41" s="504" t="s">
        <v>342</v>
      </c>
      <c r="O41" s="501" t="s">
        <v>342</v>
      </c>
      <c r="P41" s="501">
        <v>0</v>
      </c>
      <c r="Q41" s="503">
        <v>0</v>
      </c>
      <c r="R41" s="505">
        <v>2014</v>
      </c>
      <c r="S41" s="506">
        <v>2050</v>
      </c>
    </row>
    <row r="42" spans="2:19" x14ac:dyDescent="0.25">
      <c r="B42" s="585"/>
      <c r="C42" s="585"/>
      <c r="E42" s="499" t="s">
        <v>237</v>
      </c>
      <c r="F42" s="500" t="s">
        <v>342</v>
      </c>
      <c r="G42" s="501" t="s">
        <v>342</v>
      </c>
      <c r="H42" s="501">
        <v>0</v>
      </c>
      <c r="I42" s="502">
        <v>0</v>
      </c>
      <c r="J42" s="500" t="s">
        <v>342</v>
      </c>
      <c r="K42" s="501" t="s">
        <v>342</v>
      </c>
      <c r="L42" s="501">
        <v>0</v>
      </c>
      <c r="M42" s="503">
        <v>0</v>
      </c>
      <c r="N42" s="504" t="s">
        <v>342</v>
      </c>
      <c r="O42" s="501" t="s">
        <v>342</v>
      </c>
      <c r="P42" s="501">
        <v>0</v>
      </c>
      <c r="Q42" s="503">
        <v>0</v>
      </c>
      <c r="R42" s="505">
        <v>2014</v>
      </c>
      <c r="S42" s="506">
        <v>2050</v>
      </c>
    </row>
    <row r="43" spans="2:19" x14ac:dyDescent="0.25">
      <c r="B43" s="585"/>
      <c r="C43" s="585"/>
      <c r="E43" s="499" t="s">
        <v>241</v>
      </c>
      <c r="F43" s="500" t="s">
        <v>342</v>
      </c>
      <c r="G43" s="501" t="s">
        <v>342</v>
      </c>
      <c r="H43" s="501">
        <v>0</v>
      </c>
      <c r="I43" s="502">
        <v>0</v>
      </c>
      <c r="J43" s="500" t="s">
        <v>342</v>
      </c>
      <c r="K43" s="501" t="s">
        <v>342</v>
      </c>
      <c r="L43" s="501">
        <v>0</v>
      </c>
      <c r="M43" s="503">
        <v>0</v>
      </c>
      <c r="N43" s="504" t="s">
        <v>342</v>
      </c>
      <c r="O43" s="501" t="s">
        <v>342</v>
      </c>
      <c r="P43" s="501">
        <v>0</v>
      </c>
      <c r="Q43" s="503">
        <v>0</v>
      </c>
      <c r="R43" s="505">
        <v>2014</v>
      </c>
      <c r="S43" s="506">
        <v>2050</v>
      </c>
    </row>
    <row r="44" spans="2:19" x14ac:dyDescent="0.25">
      <c r="B44" s="585"/>
      <c r="C44" s="585"/>
      <c r="E44" s="499" t="s">
        <v>244</v>
      </c>
      <c r="F44" s="500" t="s">
        <v>342</v>
      </c>
      <c r="G44" s="501" t="s">
        <v>342</v>
      </c>
      <c r="H44" s="501">
        <v>0</v>
      </c>
      <c r="I44" s="502">
        <v>0</v>
      </c>
      <c r="J44" s="500" t="s">
        <v>342</v>
      </c>
      <c r="K44" s="501" t="s">
        <v>342</v>
      </c>
      <c r="L44" s="501">
        <v>0</v>
      </c>
      <c r="M44" s="503">
        <v>0</v>
      </c>
      <c r="N44" s="504" t="s">
        <v>342</v>
      </c>
      <c r="O44" s="501" t="s">
        <v>342</v>
      </c>
      <c r="P44" s="501">
        <v>0</v>
      </c>
      <c r="Q44" s="503">
        <v>0</v>
      </c>
      <c r="R44" s="505">
        <v>2014</v>
      </c>
      <c r="S44" s="506">
        <v>2050</v>
      </c>
    </row>
    <row r="45" spans="2:19" x14ac:dyDescent="0.25">
      <c r="B45" s="585"/>
      <c r="C45" s="585"/>
      <c r="E45" s="499" t="s">
        <v>245</v>
      </c>
      <c r="F45" s="500" t="s">
        <v>342</v>
      </c>
      <c r="G45" s="501" t="s">
        <v>342</v>
      </c>
      <c r="H45" s="501">
        <v>0</v>
      </c>
      <c r="I45" s="502">
        <v>0</v>
      </c>
      <c r="J45" s="500" t="s">
        <v>342</v>
      </c>
      <c r="K45" s="501" t="s">
        <v>342</v>
      </c>
      <c r="L45" s="501">
        <v>0</v>
      </c>
      <c r="M45" s="503">
        <v>0</v>
      </c>
      <c r="N45" s="504" t="s">
        <v>342</v>
      </c>
      <c r="O45" s="501" t="s">
        <v>342</v>
      </c>
      <c r="P45" s="501">
        <v>0</v>
      </c>
      <c r="Q45" s="503">
        <v>0</v>
      </c>
      <c r="R45" s="505">
        <v>2014</v>
      </c>
      <c r="S45" s="506">
        <v>2050</v>
      </c>
    </row>
    <row r="46" spans="2:19" x14ac:dyDescent="0.25">
      <c r="B46" s="585"/>
      <c r="C46" s="585"/>
      <c r="E46" s="499" t="s">
        <v>246</v>
      </c>
      <c r="F46" s="500" t="s">
        <v>342</v>
      </c>
      <c r="G46" s="501" t="s">
        <v>342</v>
      </c>
      <c r="H46" s="501">
        <v>0</v>
      </c>
      <c r="I46" s="502">
        <v>0</v>
      </c>
      <c r="J46" s="500" t="s">
        <v>342</v>
      </c>
      <c r="K46" s="501" t="s">
        <v>342</v>
      </c>
      <c r="L46" s="501">
        <v>0</v>
      </c>
      <c r="M46" s="503">
        <v>0</v>
      </c>
      <c r="N46" s="504" t="s">
        <v>342</v>
      </c>
      <c r="O46" s="501" t="s">
        <v>342</v>
      </c>
      <c r="P46" s="501">
        <v>0</v>
      </c>
      <c r="Q46" s="503">
        <v>0</v>
      </c>
      <c r="R46" s="505">
        <v>2014</v>
      </c>
      <c r="S46" s="506">
        <v>2050</v>
      </c>
    </row>
    <row r="47" spans="2:19" x14ac:dyDescent="0.25">
      <c r="B47" s="585"/>
      <c r="C47" s="585"/>
      <c r="E47" s="499" t="s">
        <v>247</v>
      </c>
      <c r="F47" s="500" t="s">
        <v>342</v>
      </c>
      <c r="G47" s="501" t="s">
        <v>342</v>
      </c>
      <c r="H47" s="501">
        <v>0</v>
      </c>
      <c r="I47" s="502">
        <v>0</v>
      </c>
      <c r="J47" s="500" t="s">
        <v>342</v>
      </c>
      <c r="K47" s="501" t="s">
        <v>342</v>
      </c>
      <c r="L47" s="501">
        <v>0</v>
      </c>
      <c r="M47" s="503">
        <v>0</v>
      </c>
      <c r="N47" s="504" t="s">
        <v>342</v>
      </c>
      <c r="O47" s="501" t="s">
        <v>342</v>
      </c>
      <c r="P47" s="501">
        <v>0</v>
      </c>
      <c r="Q47" s="503">
        <v>0</v>
      </c>
      <c r="R47" s="505">
        <v>2014</v>
      </c>
      <c r="S47" s="506">
        <v>2050</v>
      </c>
    </row>
    <row r="48" spans="2:19" x14ac:dyDescent="0.25">
      <c r="B48" s="585"/>
      <c r="C48" s="585"/>
      <c r="E48" s="499" t="s">
        <v>248</v>
      </c>
      <c r="F48" s="500" t="s">
        <v>342</v>
      </c>
      <c r="G48" s="501" t="s">
        <v>342</v>
      </c>
      <c r="H48" s="501">
        <v>0</v>
      </c>
      <c r="I48" s="502">
        <v>0</v>
      </c>
      <c r="J48" s="500" t="s">
        <v>342</v>
      </c>
      <c r="K48" s="501" t="s">
        <v>342</v>
      </c>
      <c r="L48" s="501">
        <v>0</v>
      </c>
      <c r="M48" s="503">
        <v>0</v>
      </c>
      <c r="N48" s="504" t="s">
        <v>342</v>
      </c>
      <c r="O48" s="501" t="s">
        <v>342</v>
      </c>
      <c r="P48" s="501">
        <v>0</v>
      </c>
      <c r="Q48" s="503">
        <v>0</v>
      </c>
      <c r="R48" s="505">
        <v>2014</v>
      </c>
      <c r="S48" s="506">
        <v>2050</v>
      </c>
    </row>
    <row r="49" spans="2:19" x14ac:dyDescent="0.25">
      <c r="B49" s="585"/>
      <c r="C49" s="585"/>
      <c r="E49" s="499" t="s">
        <v>249</v>
      </c>
      <c r="F49" s="500" t="s">
        <v>342</v>
      </c>
      <c r="G49" s="501" t="s">
        <v>342</v>
      </c>
      <c r="H49" s="501">
        <v>0</v>
      </c>
      <c r="I49" s="502">
        <v>0</v>
      </c>
      <c r="J49" s="500" t="s">
        <v>342</v>
      </c>
      <c r="K49" s="501" t="s">
        <v>342</v>
      </c>
      <c r="L49" s="501">
        <v>0</v>
      </c>
      <c r="M49" s="503">
        <v>0</v>
      </c>
      <c r="N49" s="504" t="s">
        <v>342</v>
      </c>
      <c r="O49" s="501" t="s">
        <v>342</v>
      </c>
      <c r="P49" s="501">
        <v>0</v>
      </c>
      <c r="Q49" s="503">
        <v>0</v>
      </c>
      <c r="R49" s="505">
        <v>2014</v>
      </c>
      <c r="S49" s="506">
        <v>2050</v>
      </c>
    </row>
    <row r="50" spans="2:19" x14ac:dyDescent="0.25">
      <c r="B50" s="585"/>
      <c r="C50" s="585"/>
      <c r="E50" s="499" t="s">
        <v>250</v>
      </c>
      <c r="F50" s="500" t="s">
        <v>342</v>
      </c>
      <c r="G50" s="501" t="s">
        <v>342</v>
      </c>
      <c r="H50" s="501">
        <v>0</v>
      </c>
      <c r="I50" s="502">
        <v>0</v>
      </c>
      <c r="J50" s="500" t="s">
        <v>342</v>
      </c>
      <c r="K50" s="501" t="s">
        <v>342</v>
      </c>
      <c r="L50" s="501">
        <v>0</v>
      </c>
      <c r="M50" s="503">
        <v>0</v>
      </c>
      <c r="N50" s="504" t="s">
        <v>342</v>
      </c>
      <c r="O50" s="501" t="s">
        <v>342</v>
      </c>
      <c r="P50" s="501">
        <v>0</v>
      </c>
      <c r="Q50" s="503">
        <v>0</v>
      </c>
      <c r="R50" s="505">
        <v>2014</v>
      </c>
      <c r="S50" s="506">
        <v>2050</v>
      </c>
    </row>
    <row r="51" spans="2:19" x14ac:dyDescent="0.25">
      <c r="B51" s="585"/>
      <c r="C51" s="585"/>
      <c r="E51" s="499" t="s">
        <v>251</v>
      </c>
      <c r="F51" s="500" t="s">
        <v>342</v>
      </c>
      <c r="G51" s="501" t="s">
        <v>342</v>
      </c>
      <c r="H51" s="501">
        <v>0</v>
      </c>
      <c r="I51" s="502">
        <v>0</v>
      </c>
      <c r="J51" s="500" t="s">
        <v>342</v>
      </c>
      <c r="K51" s="501" t="s">
        <v>342</v>
      </c>
      <c r="L51" s="501">
        <v>0</v>
      </c>
      <c r="M51" s="503">
        <v>0</v>
      </c>
      <c r="N51" s="504" t="s">
        <v>342</v>
      </c>
      <c r="O51" s="501" t="s">
        <v>342</v>
      </c>
      <c r="P51" s="501">
        <v>0</v>
      </c>
      <c r="Q51" s="503">
        <v>0</v>
      </c>
      <c r="R51" s="505">
        <v>2014</v>
      </c>
      <c r="S51" s="506">
        <v>2050</v>
      </c>
    </row>
    <row r="52" spans="2:19" x14ac:dyDescent="0.25">
      <c r="E52" s="499" t="s">
        <v>252</v>
      </c>
      <c r="F52" s="500" t="s">
        <v>342</v>
      </c>
      <c r="G52" s="501" t="s">
        <v>342</v>
      </c>
      <c r="H52" s="501">
        <v>0</v>
      </c>
      <c r="I52" s="502">
        <v>0</v>
      </c>
      <c r="J52" s="500" t="s">
        <v>342</v>
      </c>
      <c r="K52" s="501" t="s">
        <v>342</v>
      </c>
      <c r="L52" s="501">
        <v>0</v>
      </c>
      <c r="M52" s="503">
        <v>0</v>
      </c>
      <c r="N52" s="504" t="s">
        <v>342</v>
      </c>
      <c r="O52" s="501" t="s">
        <v>342</v>
      </c>
      <c r="P52" s="501">
        <v>0</v>
      </c>
      <c r="Q52" s="503">
        <v>0</v>
      </c>
      <c r="R52" s="505">
        <v>2014</v>
      </c>
      <c r="S52" s="506">
        <v>2050</v>
      </c>
    </row>
    <row r="53" spans="2:19" x14ac:dyDescent="0.25">
      <c r="B53" s="586" t="s">
        <v>344</v>
      </c>
      <c r="C53" s="586"/>
      <c r="E53" s="499" t="s">
        <v>253</v>
      </c>
      <c r="F53" s="500" t="s">
        <v>342</v>
      </c>
      <c r="G53" s="501" t="s">
        <v>342</v>
      </c>
      <c r="H53" s="501">
        <v>0</v>
      </c>
      <c r="I53" s="502">
        <v>0</v>
      </c>
      <c r="J53" s="500" t="s">
        <v>342</v>
      </c>
      <c r="K53" s="501" t="s">
        <v>342</v>
      </c>
      <c r="L53" s="501">
        <v>0</v>
      </c>
      <c r="M53" s="503">
        <v>0</v>
      </c>
      <c r="N53" s="504" t="s">
        <v>342</v>
      </c>
      <c r="O53" s="501" t="s">
        <v>342</v>
      </c>
      <c r="P53" s="501">
        <v>0</v>
      </c>
      <c r="Q53" s="503">
        <v>0</v>
      </c>
      <c r="R53" s="505">
        <v>2014</v>
      </c>
      <c r="S53" s="506">
        <v>2050</v>
      </c>
    </row>
    <row r="54" spans="2:19" x14ac:dyDescent="0.25">
      <c r="B54" s="586"/>
      <c r="C54" s="586"/>
      <c r="E54" s="499" t="s">
        <v>255</v>
      </c>
      <c r="F54" s="500" t="s">
        <v>342</v>
      </c>
      <c r="G54" s="501" t="s">
        <v>342</v>
      </c>
      <c r="H54" s="501">
        <v>0</v>
      </c>
      <c r="I54" s="502">
        <v>0</v>
      </c>
      <c r="J54" s="500" t="s">
        <v>342</v>
      </c>
      <c r="K54" s="501" t="s">
        <v>342</v>
      </c>
      <c r="L54" s="501">
        <v>0</v>
      </c>
      <c r="M54" s="503">
        <v>0</v>
      </c>
      <c r="N54" s="504" t="s">
        <v>342</v>
      </c>
      <c r="O54" s="501" t="s">
        <v>342</v>
      </c>
      <c r="P54" s="501">
        <v>0</v>
      </c>
      <c r="Q54" s="503">
        <v>0</v>
      </c>
      <c r="R54" s="505">
        <v>2014</v>
      </c>
      <c r="S54" s="506">
        <v>2050</v>
      </c>
    </row>
    <row r="55" spans="2:19" x14ac:dyDescent="0.25">
      <c r="B55" s="586"/>
      <c r="C55" s="586"/>
      <c r="E55" s="499" t="s">
        <v>254</v>
      </c>
      <c r="F55" s="500" t="s">
        <v>342</v>
      </c>
      <c r="G55" s="501" t="s">
        <v>342</v>
      </c>
      <c r="H55" s="501">
        <v>0</v>
      </c>
      <c r="I55" s="502">
        <v>0</v>
      </c>
      <c r="J55" s="500" t="s">
        <v>342</v>
      </c>
      <c r="K55" s="501" t="s">
        <v>342</v>
      </c>
      <c r="L55" s="501">
        <v>0</v>
      </c>
      <c r="M55" s="503">
        <v>0</v>
      </c>
      <c r="N55" s="504" t="s">
        <v>342</v>
      </c>
      <c r="O55" s="501" t="s">
        <v>342</v>
      </c>
      <c r="P55" s="501">
        <v>0</v>
      </c>
      <c r="Q55" s="503">
        <v>0</v>
      </c>
      <c r="R55" s="505">
        <v>2014</v>
      </c>
      <c r="S55" s="506">
        <v>2050</v>
      </c>
    </row>
    <row r="56" spans="2:19" x14ac:dyDescent="0.25">
      <c r="E56" s="499" t="s">
        <v>256</v>
      </c>
      <c r="F56" s="500" t="s">
        <v>342</v>
      </c>
      <c r="G56" s="501" t="s">
        <v>342</v>
      </c>
      <c r="H56" s="501">
        <v>0</v>
      </c>
      <c r="I56" s="502">
        <v>0</v>
      </c>
      <c r="J56" s="500" t="s">
        <v>342</v>
      </c>
      <c r="K56" s="501" t="s">
        <v>342</v>
      </c>
      <c r="L56" s="501">
        <v>0</v>
      </c>
      <c r="M56" s="503">
        <v>0</v>
      </c>
      <c r="N56" s="504" t="s">
        <v>342</v>
      </c>
      <c r="O56" s="501" t="s">
        <v>342</v>
      </c>
      <c r="P56" s="501">
        <v>0</v>
      </c>
      <c r="Q56" s="503">
        <v>0</v>
      </c>
      <c r="R56" s="505">
        <v>2014</v>
      </c>
      <c r="S56" s="506">
        <v>2050</v>
      </c>
    </row>
    <row r="57" spans="2:19" x14ac:dyDescent="0.25">
      <c r="B57" s="581" t="s">
        <v>345</v>
      </c>
      <c r="C57" s="581"/>
      <c r="E57" s="499" t="s">
        <v>258</v>
      </c>
      <c r="F57" s="500" t="s">
        <v>342</v>
      </c>
      <c r="G57" s="501" t="s">
        <v>342</v>
      </c>
      <c r="H57" s="501">
        <v>0</v>
      </c>
      <c r="I57" s="502">
        <v>0</v>
      </c>
      <c r="J57" s="500" t="s">
        <v>342</v>
      </c>
      <c r="K57" s="501" t="s">
        <v>342</v>
      </c>
      <c r="L57" s="501">
        <v>0</v>
      </c>
      <c r="M57" s="503">
        <v>0</v>
      </c>
      <c r="N57" s="504" t="s">
        <v>342</v>
      </c>
      <c r="O57" s="501" t="s">
        <v>342</v>
      </c>
      <c r="P57" s="501">
        <v>0</v>
      </c>
      <c r="Q57" s="503">
        <v>0</v>
      </c>
      <c r="R57" s="505">
        <v>2014</v>
      </c>
      <c r="S57" s="506">
        <v>2050</v>
      </c>
    </row>
    <row r="58" spans="2:19" x14ac:dyDescent="0.25">
      <c r="B58" s="581"/>
      <c r="C58" s="581"/>
      <c r="E58" s="499" t="s">
        <v>257</v>
      </c>
      <c r="F58" s="500" t="s">
        <v>342</v>
      </c>
      <c r="G58" s="501" t="s">
        <v>342</v>
      </c>
      <c r="H58" s="501">
        <v>0</v>
      </c>
      <c r="I58" s="502">
        <v>0</v>
      </c>
      <c r="J58" s="500" t="s">
        <v>342</v>
      </c>
      <c r="K58" s="501" t="s">
        <v>342</v>
      </c>
      <c r="L58" s="501">
        <v>0</v>
      </c>
      <c r="M58" s="503">
        <v>0</v>
      </c>
      <c r="N58" s="504" t="s">
        <v>342</v>
      </c>
      <c r="O58" s="501" t="s">
        <v>342</v>
      </c>
      <c r="P58" s="501">
        <v>0</v>
      </c>
      <c r="Q58" s="503">
        <v>0</v>
      </c>
      <c r="R58" s="505">
        <v>2014</v>
      </c>
      <c r="S58" s="506">
        <v>2050</v>
      </c>
    </row>
    <row r="59" spans="2:19" ht="13.8" thickBot="1" x14ac:dyDescent="0.3">
      <c r="B59" s="581"/>
      <c r="C59" s="581"/>
      <c r="E59" s="509" t="s">
        <v>259</v>
      </c>
      <c r="F59" s="510" t="s">
        <v>342</v>
      </c>
      <c r="G59" s="511" t="s">
        <v>342</v>
      </c>
      <c r="H59" s="511">
        <v>0</v>
      </c>
      <c r="I59" s="512">
        <v>0</v>
      </c>
      <c r="J59" s="510" t="s">
        <v>342</v>
      </c>
      <c r="K59" s="511" t="s">
        <v>342</v>
      </c>
      <c r="L59" s="511">
        <v>0</v>
      </c>
      <c r="M59" s="513">
        <v>0</v>
      </c>
      <c r="N59" s="514" t="s">
        <v>342</v>
      </c>
      <c r="O59" s="511" t="s">
        <v>342</v>
      </c>
      <c r="P59" s="511">
        <v>0</v>
      </c>
      <c r="Q59" s="513">
        <v>0</v>
      </c>
      <c r="R59" s="515">
        <v>2014</v>
      </c>
      <c r="S59" s="516">
        <v>2050</v>
      </c>
    </row>
    <row r="60" spans="2:19" x14ac:dyDescent="0.25">
      <c r="B60" s="581"/>
      <c r="C60" s="581"/>
      <c r="M60" s="480"/>
    </row>
    <row r="125" spans="2:2" x14ac:dyDescent="0.25">
      <c r="B125" s="517" t="s">
        <v>346</v>
      </c>
    </row>
    <row r="126" spans="2:2" x14ac:dyDescent="0.25">
      <c r="B126" s="517" t="s">
        <v>333</v>
      </c>
    </row>
    <row r="127" spans="2:2" x14ac:dyDescent="0.25">
      <c r="B127" s="517" t="s">
        <v>347</v>
      </c>
    </row>
    <row r="128" spans="2:2" x14ac:dyDescent="0.25">
      <c r="B128" s="517" t="s">
        <v>348</v>
      </c>
    </row>
    <row r="129" spans="2:2" x14ac:dyDescent="0.25">
      <c r="B129" s="517" t="s">
        <v>349</v>
      </c>
    </row>
    <row r="132" spans="2:2" x14ac:dyDescent="0.25">
      <c r="B132" s="518">
        <v>2014</v>
      </c>
    </row>
    <row r="133" spans="2:2" x14ac:dyDescent="0.25">
      <c r="B133" s="518">
        <v>2016</v>
      </c>
    </row>
    <row r="134" spans="2:2" x14ac:dyDescent="0.25">
      <c r="B134" s="518">
        <v>2018</v>
      </c>
    </row>
    <row r="135" spans="2:2" x14ac:dyDescent="0.25">
      <c r="B135" s="518">
        <v>2020</v>
      </c>
    </row>
    <row r="136" spans="2:2" x14ac:dyDescent="0.25">
      <c r="B136" s="518">
        <v>2022</v>
      </c>
    </row>
    <row r="137" spans="2:2" x14ac:dyDescent="0.25">
      <c r="B137" s="518">
        <v>2024</v>
      </c>
    </row>
    <row r="138" spans="2:2" x14ac:dyDescent="0.25">
      <c r="B138" s="518">
        <v>2026</v>
      </c>
    </row>
    <row r="139" spans="2:2" x14ac:dyDescent="0.25">
      <c r="B139" s="518">
        <v>2028</v>
      </c>
    </row>
    <row r="140" spans="2:2" x14ac:dyDescent="0.25">
      <c r="B140" s="518">
        <v>2030</v>
      </c>
    </row>
    <row r="141" spans="2:2" x14ac:dyDescent="0.25">
      <c r="B141" s="518">
        <v>2032</v>
      </c>
    </row>
    <row r="142" spans="2:2" x14ac:dyDescent="0.25">
      <c r="B142" s="518">
        <v>2034</v>
      </c>
    </row>
    <row r="143" spans="2:2" x14ac:dyDescent="0.25">
      <c r="B143" s="518">
        <v>2036</v>
      </c>
    </row>
    <row r="144" spans="2:2" x14ac:dyDescent="0.25">
      <c r="B144" s="518">
        <v>2038</v>
      </c>
    </row>
    <row r="145" spans="2:2" x14ac:dyDescent="0.25">
      <c r="B145" s="518">
        <v>2040</v>
      </c>
    </row>
    <row r="146" spans="2:2" x14ac:dyDescent="0.25">
      <c r="B146" s="518">
        <v>2042</v>
      </c>
    </row>
    <row r="147" spans="2:2" x14ac:dyDescent="0.25">
      <c r="B147" s="518">
        <v>2044</v>
      </c>
    </row>
    <row r="148" spans="2:2" x14ac:dyDescent="0.25">
      <c r="B148" s="518">
        <v>2046</v>
      </c>
    </row>
    <row r="149" spans="2:2" x14ac:dyDescent="0.25">
      <c r="B149" s="518">
        <v>2048</v>
      </c>
    </row>
    <row r="150" spans="2:2" x14ac:dyDescent="0.25">
      <c r="B150" s="518">
        <v>2050</v>
      </c>
    </row>
    <row r="153" spans="2:2" x14ac:dyDescent="0.25">
      <c r="B153" s="519" t="b">
        <v>1</v>
      </c>
    </row>
    <row r="154" spans="2:2" x14ac:dyDescent="0.25">
      <c r="B154" s="519" t="b">
        <v>0</v>
      </c>
    </row>
    <row r="166" spans="1:4" x14ac:dyDescent="0.25">
      <c r="A166" s="518"/>
      <c r="B166" s="518" t="s">
        <v>350</v>
      </c>
      <c r="C166" s="518" t="s">
        <v>351</v>
      </c>
      <c r="D166" s="518" t="s">
        <v>352</v>
      </c>
    </row>
    <row r="167" spans="1:4" x14ac:dyDescent="0.25">
      <c r="A167" s="518" t="s">
        <v>211</v>
      </c>
      <c r="B167" s="518">
        <v>25</v>
      </c>
      <c r="C167" s="518">
        <v>25</v>
      </c>
      <c r="D167" s="518">
        <v>25</v>
      </c>
    </row>
    <row r="168" spans="1:4" x14ac:dyDescent="0.25">
      <c r="A168" s="518" t="s">
        <v>210</v>
      </c>
      <c r="B168" s="518">
        <v>0</v>
      </c>
      <c r="C168" s="518">
        <v>0</v>
      </c>
      <c r="D168" s="518">
        <v>0</v>
      </c>
    </row>
    <row r="169" spans="1:4" x14ac:dyDescent="0.25">
      <c r="A169" s="518" t="s">
        <v>213</v>
      </c>
      <c r="B169" s="518">
        <v>25</v>
      </c>
      <c r="C169" s="518">
        <v>300</v>
      </c>
      <c r="D169" s="518">
        <v>300</v>
      </c>
    </row>
    <row r="170" spans="1:4" x14ac:dyDescent="0.25">
      <c r="A170" s="518" t="s">
        <v>212</v>
      </c>
      <c r="B170" s="518" t="s">
        <v>342</v>
      </c>
      <c r="C170" s="518" t="s">
        <v>342</v>
      </c>
      <c r="D170" s="518" t="s">
        <v>342</v>
      </c>
    </row>
    <row r="171" spans="1:4" x14ac:dyDescent="0.25">
      <c r="A171" s="518" t="s">
        <v>214</v>
      </c>
      <c r="B171" s="518">
        <v>1000</v>
      </c>
      <c r="C171" s="518">
        <v>1000</v>
      </c>
      <c r="D171" s="518">
        <v>1000</v>
      </c>
    </row>
    <row r="172" spans="1:4" x14ac:dyDescent="0.25">
      <c r="A172" s="518" t="s">
        <v>215</v>
      </c>
      <c r="B172" s="518" t="s">
        <v>342</v>
      </c>
      <c r="C172" s="518" t="s">
        <v>342</v>
      </c>
      <c r="D172" s="518" t="s">
        <v>342</v>
      </c>
    </row>
    <row r="173" spans="1:4" x14ac:dyDescent="0.25">
      <c r="A173" s="518" t="s">
        <v>216</v>
      </c>
      <c r="B173" s="518">
        <v>2000</v>
      </c>
      <c r="C173" s="518">
        <v>2000</v>
      </c>
      <c r="D173" s="518">
        <v>2000</v>
      </c>
    </row>
    <row r="174" spans="1:4" x14ac:dyDescent="0.25">
      <c r="A174" s="518" t="s">
        <v>11</v>
      </c>
      <c r="B174" s="518">
        <v>1000</v>
      </c>
      <c r="C174" s="518">
        <v>1000</v>
      </c>
      <c r="D174" s="518">
        <v>0</v>
      </c>
    </row>
    <row r="175" spans="1:4" x14ac:dyDescent="0.25">
      <c r="A175" s="518" t="s">
        <v>217</v>
      </c>
      <c r="B175" s="518">
        <v>25</v>
      </c>
      <c r="C175" s="518">
        <v>2000</v>
      </c>
      <c r="D175" s="518">
        <v>2000</v>
      </c>
    </row>
    <row r="176" spans="1:4" x14ac:dyDescent="0.25">
      <c r="A176" s="518" t="s">
        <v>218</v>
      </c>
      <c r="B176" s="518">
        <v>2000</v>
      </c>
      <c r="C176" s="518">
        <v>2000</v>
      </c>
      <c r="D176" s="518">
        <v>2000</v>
      </c>
    </row>
    <row r="177" spans="1:4" x14ac:dyDescent="0.25">
      <c r="A177" s="518" t="s">
        <v>219</v>
      </c>
      <c r="B177" s="518">
        <v>10</v>
      </c>
      <c r="C177" s="518">
        <v>100</v>
      </c>
      <c r="D177" s="518">
        <v>100</v>
      </c>
    </row>
    <row r="178" spans="1:4" x14ac:dyDescent="0.25">
      <c r="A178" s="518" t="s">
        <v>220</v>
      </c>
      <c r="B178" s="518">
        <v>100</v>
      </c>
      <c r="C178" s="518">
        <v>100</v>
      </c>
      <c r="D178" s="518">
        <v>100</v>
      </c>
    </row>
    <row r="179" spans="1:4" x14ac:dyDescent="0.25">
      <c r="A179" s="518" t="s">
        <v>224</v>
      </c>
      <c r="B179" s="518">
        <v>500</v>
      </c>
      <c r="C179" s="518">
        <v>500</v>
      </c>
      <c r="D179" s="518">
        <v>500</v>
      </c>
    </row>
    <row r="180" spans="1:4" x14ac:dyDescent="0.25">
      <c r="A180" s="518" t="s">
        <v>221</v>
      </c>
      <c r="B180" s="518">
        <v>0</v>
      </c>
      <c r="C180" s="518">
        <v>0</v>
      </c>
      <c r="D180" s="518">
        <v>0</v>
      </c>
    </row>
    <row r="181" spans="1:4" x14ac:dyDescent="0.25">
      <c r="A181" s="518" t="s">
        <v>222</v>
      </c>
      <c r="B181" s="518">
        <v>40</v>
      </c>
      <c r="C181" s="518">
        <v>40</v>
      </c>
      <c r="D181" s="518">
        <v>40</v>
      </c>
    </row>
    <row r="182" spans="1:4" x14ac:dyDescent="0.25">
      <c r="A182" s="518" t="s">
        <v>223</v>
      </c>
      <c r="B182" s="518">
        <v>1000</v>
      </c>
      <c r="C182" s="518">
        <v>1000</v>
      </c>
      <c r="D182" s="518">
        <v>1000</v>
      </c>
    </row>
    <row r="183" spans="1:4" x14ac:dyDescent="0.25">
      <c r="A183" s="518" t="s">
        <v>225</v>
      </c>
      <c r="B183" s="518">
        <v>25</v>
      </c>
      <c r="C183" s="518">
        <v>200</v>
      </c>
      <c r="D183" s="518">
        <v>200</v>
      </c>
    </row>
    <row r="184" spans="1:4" x14ac:dyDescent="0.25">
      <c r="A184" s="518" t="s">
        <v>226</v>
      </c>
      <c r="B184" s="518">
        <v>30</v>
      </c>
      <c r="C184" s="518">
        <v>30</v>
      </c>
      <c r="D184" s="518">
        <v>30</v>
      </c>
    </row>
    <row r="185" spans="1:4" x14ac:dyDescent="0.25">
      <c r="A185" s="518" t="s">
        <v>227</v>
      </c>
      <c r="B185" s="518">
        <v>25</v>
      </c>
      <c r="C185" s="518">
        <v>300</v>
      </c>
      <c r="D185" s="518">
        <v>0</v>
      </c>
    </row>
    <row r="186" spans="1:4" x14ac:dyDescent="0.25">
      <c r="A186" s="518" t="s">
        <v>230</v>
      </c>
      <c r="B186" s="518">
        <v>2000</v>
      </c>
      <c r="C186" s="518">
        <v>2000</v>
      </c>
      <c r="D186" s="518">
        <v>2000</v>
      </c>
    </row>
    <row r="187" spans="1:4" x14ac:dyDescent="0.25">
      <c r="A187" s="518" t="s">
        <v>229</v>
      </c>
      <c r="B187" s="518">
        <v>2000</v>
      </c>
      <c r="C187" s="518">
        <v>2000</v>
      </c>
      <c r="D187" s="518">
        <v>2000</v>
      </c>
    </row>
    <row r="188" spans="1:4" x14ac:dyDescent="0.25">
      <c r="A188" s="518" t="s">
        <v>228</v>
      </c>
      <c r="B188" s="518">
        <v>660</v>
      </c>
      <c r="C188" s="518">
        <v>660</v>
      </c>
      <c r="D188" s="518">
        <v>660</v>
      </c>
    </row>
    <row r="189" spans="1:4" x14ac:dyDescent="0.25">
      <c r="A189" s="518" t="s">
        <v>231</v>
      </c>
      <c r="B189" s="518">
        <v>150</v>
      </c>
      <c r="C189" s="518">
        <v>150</v>
      </c>
      <c r="D189" s="518">
        <v>150</v>
      </c>
    </row>
    <row r="190" spans="1:4" x14ac:dyDescent="0.25">
      <c r="A190" s="518" t="s">
        <v>232</v>
      </c>
      <c r="B190" s="518">
        <v>1000</v>
      </c>
      <c r="C190" s="518">
        <v>1000</v>
      </c>
      <c r="D190" s="518">
        <v>1000</v>
      </c>
    </row>
    <row r="191" spans="1:4" x14ac:dyDescent="0.25">
      <c r="A191" s="518" t="s">
        <v>234</v>
      </c>
      <c r="B191" s="518">
        <v>100</v>
      </c>
      <c r="C191" s="518">
        <v>100</v>
      </c>
      <c r="D191" s="518">
        <v>100</v>
      </c>
    </row>
    <row r="192" spans="1:4" x14ac:dyDescent="0.25">
      <c r="A192" s="518" t="s">
        <v>233</v>
      </c>
      <c r="B192" s="518">
        <v>0</v>
      </c>
      <c r="C192" s="518">
        <v>0</v>
      </c>
      <c r="D192" s="518">
        <v>0</v>
      </c>
    </row>
    <row r="193" spans="1:4" x14ac:dyDescent="0.25">
      <c r="A193" s="518" t="s">
        <v>235</v>
      </c>
      <c r="B193" s="518">
        <v>50</v>
      </c>
      <c r="C193" s="518">
        <v>50</v>
      </c>
      <c r="D193" s="518">
        <v>50</v>
      </c>
    </row>
    <row r="194" spans="1:4" x14ac:dyDescent="0.25">
      <c r="A194" s="518" t="s">
        <v>242</v>
      </c>
      <c r="B194" s="518">
        <v>1000</v>
      </c>
      <c r="C194" s="518">
        <v>1000</v>
      </c>
      <c r="D194" s="518">
        <v>1000</v>
      </c>
    </row>
    <row r="195" spans="1:4" x14ac:dyDescent="0.25">
      <c r="A195" s="518" t="s">
        <v>243</v>
      </c>
      <c r="B195" s="518">
        <v>100</v>
      </c>
      <c r="C195" s="518">
        <v>100</v>
      </c>
      <c r="D195" s="518">
        <v>100</v>
      </c>
    </row>
    <row r="196" spans="1:4" x14ac:dyDescent="0.25">
      <c r="A196" s="518" t="s">
        <v>236</v>
      </c>
      <c r="B196" s="518">
        <v>25</v>
      </c>
      <c r="C196" s="518">
        <v>25</v>
      </c>
      <c r="D196" s="518">
        <v>25</v>
      </c>
    </row>
    <row r="197" spans="1:4" x14ac:dyDescent="0.25">
      <c r="A197" s="518" t="s">
        <v>238</v>
      </c>
      <c r="B197" s="518">
        <v>100</v>
      </c>
      <c r="C197" s="518">
        <v>100</v>
      </c>
      <c r="D197" s="518">
        <v>100</v>
      </c>
    </row>
    <row r="198" spans="1:4" x14ac:dyDescent="0.25">
      <c r="A198" s="518" t="s">
        <v>239</v>
      </c>
      <c r="B198" s="518" t="s">
        <v>342</v>
      </c>
      <c r="C198" s="518" t="s">
        <v>342</v>
      </c>
      <c r="D198" s="518" t="s">
        <v>342</v>
      </c>
    </row>
    <row r="199" spans="1:4" x14ac:dyDescent="0.25">
      <c r="A199" s="518" t="s">
        <v>240</v>
      </c>
      <c r="B199" s="518">
        <v>80000</v>
      </c>
      <c r="C199" s="518">
        <v>80000</v>
      </c>
      <c r="D199" s="518">
        <v>80000</v>
      </c>
    </row>
    <row r="200" spans="1:4" x14ac:dyDescent="0.25">
      <c r="A200" s="518" t="s">
        <v>237</v>
      </c>
      <c r="B200" s="518">
        <v>1000</v>
      </c>
      <c r="C200" s="518">
        <v>1000</v>
      </c>
      <c r="D200" s="518">
        <v>1000</v>
      </c>
    </row>
    <row r="201" spans="1:4" x14ac:dyDescent="0.25">
      <c r="A201" s="518" t="s">
        <v>241</v>
      </c>
      <c r="B201" s="518">
        <v>25</v>
      </c>
      <c r="C201" s="518">
        <v>2000</v>
      </c>
      <c r="D201" s="518">
        <v>2000</v>
      </c>
    </row>
    <row r="202" spans="1:4" x14ac:dyDescent="0.25">
      <c r="A202" s="518" t="s">
        <v>244</v>
      </c>
      <c r="B202" s="518" t="s">
        <v>342</v>
      </c>
      <c r="C202" s="518" t="s">
        <v>342</v>
      </c>
      <c r="D202" s="518" t="s">
        <v>342</v>
      </c>
    </row>
    <row r="203" spans="1:4" x14ac:dyDescent="0.25">
      <c r="A203" s="518" t="s">
        <v>245</v>
      </c>
      <c r="B203" s="518">
        <v>15</v>
      </c>
      <c r="C203" s="518">
        <v>15</v>
      </c>
      <c r="D203" s="518">
        <v>15</v>
      </c>
    </row>
    <row r="204" spans="1:4" x14ac:dyDescent="0.25">
      <c r="A204" s="518" t="s">
        <v>246</v>
      </c>
      <c r="B204" s="518">
        <v>25</v>
      </c>
      <c r="C204" s="518">
        <v>2000</v>
      </c>
      <c r="D204" s="518">
        <v>2000</v>
      </c>
    </row>
    <row r="205" spans="1:4" x14ac:dyDescent="0.25">
      <c r="A205" s="518" t="s">
        <v>247</v>
      </c>
      <c r="B205" s="518">
        <v>50</v>
      </c>
      <c r="C205" s="518">
        <v>3000</v>
      </c>
      <c r="D205" s="518">
        <v>3000</v>
      </c>
    </row>
    <row r="206" spans="1:4" x14ac:dyDescent="0.25">
      <c r="A206" s="518" t="s">
        <v>248</v>
      </c>
      <c r="B206" s="518">
        <v>5000</v>
      </c>
      <c r="C206" s="518">
        <v>5000</v>
      </c>
      <c r="D206" s="518">
        <v>5000</v>
      </c>
    </row>
    <row r="207" spans="1:4" x14ac:dyDescent="0.25">
      <c r="A207" s="518" t="s">
        <v>249</v>
      </c>
      <c r="B207" s="518">
        <v>20</v>
      </c>
      <c r="C207" s="518">
        <v>100</v>
      </c>
      <c r="D207" s="518">
        <v>100</v>
      </c>
    </row>
    <row r="208" spans="1:4" x14ac:dyDescent="0.25">
      <c r="A208" s="518" t="s">
        <v>250</v>
      </c>
      <c r="B208" s="518">
        <v>0</v>
      </c>
      <c r="C208" s="518">
        <v>0</v>
      </c>
      <c r="D208" s="518">
        <v>0</v>
      </c>
    </row>
    <row r="209" spans="1:4" x14ac:dyDescent="0.25">
      <c r="A209" s="518" t="s">
        <v>251</v>
      </c>
      <c r="B209" s="518">
        <v>0</v>
      </c>
      <c r="C209" s="518">
        <v>0</v>
      </c>
      <c r="D209" s="518">
        <v>0</v>
      </c>
    </row>
    <row r="210" spans="1:4" x14ac:dyDescent="0.25">
      <c r="A210" s="518" t="s">
        <v>252</v>
      </c>
      <c r="B210" s="518">
        <v>0</v>
      </c>
      <c r="C210" s="518">
        <v>0</v>
      </c>
      <c r="D210" s="518">
        <v>0</v>
      </c>
    </row>
    <row r="211" spans="1:4" x14ac:dyDescent="0.25">
      <c r="A211" s="518" t="s">
        <v>253</v>
      </c>
      <c r="B211" s="518">
        <v>25</v>
      </c>
      <c r="C211" s="518">
        <v>2000</v>
      </c>
      <c r="D211" s="518">
        <v>2000</v>
      </c>
    </row>
    <row r="212" spans="1:4" x14ac:dyDescent="0.25">
      <c r="A212" s="518" t="s">
        <v>255</v>
      </c>
      <c r="B212" s="518">
        <v>10</v>
      </c>
      <c r="C212" s="518">
        <v>500</v>
      </c>
      <c r="D212" s="518">
        <v>500</v>
      </c>
    </row>
    <row r="213" spans="1:4" x14ac:dyDescent="0.25">
      <c r="A213" s="518" t="s">
        <v>254</v>
      </c>
      <c r="B213" s="518">
        <v>500</v>
      </c>
      <c r="C213" s="518">
        <v>500</v>
      </c>
      <c r="D213" s="518">
        <v>500</v>
      </c>
    </row>
    <row r="214" spans="1:4" x14ac:dyDescent="0.25">
      <c r="A214" s="518" t="s">
        <v>256</v>
      </c>
      <c r="B214" s="518">
        <v>100</v>
      </c>
      <c r="C214" s="518">
        <v>100</v>
      </c>
      <c r="D214" s="518">
        <v>100</v>
      </c>
    </row>
    <row r="215" spans="1:4" x14ac:dyDescent="0.25">
      <c r="A215" s="518" t="s">
        <v>258</v>
      </c>
      <c r="B215" s="518">
        <v>100</v>
      </c>
      <c r="C215" s="518">
        <v>100</v>
      </c>
      <c r="D215" s="518">
        <v>100</v>
      </c>
    </row>
    <row r="216" spans="1:4" x14ac:dyDescent="0.25">
      <c r="A216" s="518" t="s">
        <v>257</v>
      </c>
      <c r="B216" s="518">
        <v>25</v>
      </c>
      <c r="C216" s="518">
        <v>500</v>
      </c>
      <c r="D216" s="518">
        <v>2000</v>
      </c>
    </row>
    <row r="217" spans="1:4" x14ac:dyDescent="0.25">
      <c r="A217" s="518" t="s">
        <v>259</v>
      </c>
      <c r="B217" s="518">
        <v>25</v>
      </c>
      <c r="C217" s="518">
        <v>25</v>
      </c>
      <c r="D217" s="518">
        <v>25</v>
      </c>
    </row>
    <row r="218" spans="1:4" x14ac:dyDescent="0.25">
      <c r="B218" s="52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67</vt:i4>
      </vt:variant>
    </vt:vector>
  </HeadingPairs>
  <TitlesOfParts>
    <vt:vector size="74" baseType="lpstr">
      <vt:lpstr>Main</vt:lpstr>
      <vt:lpstr>Wind Cost</vt:lpstr>
      <vt:lpstr>Wind Performance</vt:lpstr>
      <vt:lpstr>Finance</vt:lpstr>
      <vt:lpstr>Market Projections</vt:lpstr>
      <vt:lpstr>Wind Policies</vt:lpstr>
      <vt:lpstr>Net Metering</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rate_type_weights</vt:lpstr>
      <vt:lpstr>Region_Scenario</vt:lpstr>
      <vt:lpstr>Res_Max_Market</vt:lpstr>
      <vt:lpstr>Res_Rate_Escal</vt:lpstr>
      <vt:lpstr>Res_Rate_Scenario</vt:lpstr>
      <vt:lpstr>sys_sizing</vt:lpstr>
      <vt:lpstr>ud_rates</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2015-02-04T19:03:57Z</dcterms:modified>
</cp:coreProperties>
</file>