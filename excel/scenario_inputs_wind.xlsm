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200" yWindow="0" windowWidth="19200" windowHeight="16440" tabRatio="782" activeTab="4"/>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 r:id="rId9"/>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c r="AG19" i="34" s="1"/>
  <c r="AH19" i="34" s="1"/>
  <c r="AI19" i="34" s="1"/>
  <c r="AJ19" i="34" s="1"/>
  <c r="AK19" i="34" s="1"/>
  <c r="AL19" i="34" s="1"/>
  <c r="AM19" i="34" s="1"/>
  <c r="AN19" i="34" s="1"/>
  <c r="AO19" i="34" s="1"/>
  <c r="AP19" i="34" s="1"/>
  <c r="AQ19" i="34" s="1"/>
  <c r="AR19" i="34" s="1"/>
  <c r="AA12" i="34"/>
  <c r="AB12" i="34"/>
  <c r="AC12" i="34"/>
  <c r="AD12" i="34" s="1"/>
  <c r="AE12" i="34" s="1"/>
  <c r="AF12" i="34" s="1"/>
  <c r="AG12" i="34" s="1"/>
  <c r="AH12" i="34" s="1"/>
  <c r="AI12" i="34" s="1"/>
  <c r="AJ12" i="34" s="1"/>
  <c r="AK12" i="34" s="1"/>
  <c r="AL12" i="34" s="1"/>
  <c r="AM12" i="34" s="1"/>
  <c r="AN12" i="34" s="1"/>
  <c r="AO12" i="34" s="1"/>
  <c r="AP12" i="34" s="1"/>
  <c r="AQ12" i="34" s="1"/>
  <c r="AR12" i="34" s="1"/>
  <c r="E47" i="34"/>
  <c r="F47" i="34"/>
  <c r="G47" i="34" s="1"/>
  <c r="H47" i="34" s="1"/>
  <c r="I47" i="34" s="1"/>
  <c r="J47" i="34" s="1"/>
  <c r="K47" i="34" s="1"/>
  <c r="L47" i="34" s="1"/>
  <c r="M47" i="34" s="1"/>
  <c r="N47" i="34" s="1"/>
  <c r="O47" i="34" s="1"/>
  <c r="P47" i="34" s="1"/>
  <c r="Q47" i="34" s="1"/>
  <c r="R47" i="34" s="1"/>
  <c r="S47" i="34" s="1"/>
  <c r="T47" i="34" s="1"/>
  <c r="U47" i="34" s="1"/>
  <c r="V47" i="34" s="1"/>
  <c r="E40" i="34"/>
  <c r="F40" i="34" s="1"/>
  <c r="G40" i="34"/>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c r="G26" i="34"/>
  <c r="H26" i="34" s="1"/>
  <c r="I26" i="34" s="1"/>
  <c r="J26" i="34" s="1"/>
  <c r="K26" i="34" s="1"/>
  <c r="L26" i="34" s="1"/>
  <c r="M26" i="34" s="1"/>
  <c r="N26" i="34" s="1"/>
  <c r="O26" i="34" s="1"/>
  <c r="P26" i="34" s="1"/>
  <c r="Q26" i="34" s="1"/>
  <c r="R26" i="34" s="1"/>
  <c r="S26" i="34" s="1"/>
  <c r="T26" i="34" s="1"/>
  <c r="U26" i="34" s="1"/>
  <c r="V26" i="34" s="1"/>
  <c r="E19" i="34"/>
  <c r="F19" i="34"/>
  <c r="G19" i="34" s="1"/>
  <c r="H19" i="34" s="1"/>
  <c r="I19" i="34"/>
  <c r="J19" i="34" s="1"/>
  <c r="K19" i="34" s="1"/>
  <c r="L19" i="34" s="1"/>
  <c r="M19" i="34"/>
  <c r="N19" i="34" s="1"/>
  <c r="O19" i="34" s="1"/>
  <c r="P19" i="34" s="1"/>
  <c r="Q19" i="34" s="1"/>
  <c r="R19" i="34" s="1"/>
  <c r="S19" i="34" s="1"/>
  <c r="T19" i="34" s="1"/>
  <c r="U19" i="34" s="1"/>
  <c r="V19" i="34" s="1"/>
  <c r="E12" i="34"/>
  <c r="F12" i="34" s="1"/>
  <c r="G12" i="34"/>
  <c r="H12" i="34" s="1"/>
  <c r="I12" i="34" s="1"/>
  <c r="J12" i="34" s="1"/>
  <c r="K12" i="34"/>
  <c r="L12" i="34"/>
  <c r="M12" i="34" s="1"/>
  <c r="N12" i="34" s="1"/>
  <c r="O12" i="34" s="1"/>
  <c r="P12" i="34" s="1"/>
  <c r="Q12" i="34" s="1"/>
  <c r="R12" i="34" s="1"/>
  <c r="S12" i="34" s="1"/>
  <c r="T12" i="34" s="1"/>
  <c r="U12" i="34" s="1"/>
  <c r="V12" i="34" s="1"/>
  <c r="AB43" i="34"/>
  <c r="AC43" i="34" s="1"/>
  <c r="AD43" i="34" s="1"/>
  <c r="AE43" i="34" s="1"/>
  <c r="AF43" i="34" s="1"/>
  <c r="AG43" i="34" s="1"/>
  <c r="AH43" i="34" s="1"/>
  <c r="AI43" i="34" s="1"/>
  <c r="AJ43" i="34" s="1"/>
  <c r="AK43" i="34" s="1"/>
  <c r="AL43" i="34" s="1"/>
  <c r="AM43" i="34" s="1"/>
  <c r="AN43" i="34" s="1"/>
  <c r="AO43" i="34" s="1"/>
  <c r="AP43" i="34" s="1"/>
  <c r="AQ43" i="34" s="1"/>
  <c r="AR43" i="34" s="1"/>
  <c r="AB44" i="34"/>
  <c r="AC44" i="34" s="1"/>
  <c r="AD44" i="34" s="1"/>
  <c r="AE44" i="34" s="1"/>
  <c r="AF44" i="34" s="1"/>
  <c r="AG44" i="34" s="1"/>
  <c r="AH44" i="34" s="1"/>
  <c r="AI44" i="34" s="1"/>
  <c r="AJ44" i="34" s="1"/>
  <c r="AK44" i="34" s="1"/>
  <c r="AL44" i="34" s="1"/>
  <c r="AM44" i="34" s="1"/>
  <c r="AN44" i="34" s="1"/>
  <c r="AO44" i="34" s="1"/>
  <c r="AP44" i="34" s="1"/>
  <c r="AQ44" i="34" s="1"/>
  <c r="AR44" i="34" s="1"/>
  <c r="AA44" i="34"/>
  <c r="AA43" i="34"/>
  <c r="AB36" i="34"/>
  <c r="AC36" i="34" s="1"/>
  <c r="AD36" i="34" s="1"/>
  <c r="AE36" i="34" s="1"/>
  <c r="AF36" i="34" s="1"/>
  <c r="AG36" i="34" s="1"/>
  <c r="AH36" i="34" s="1"/>
  <c r="AI36" i="34" s="1"/>
  <c r="AJ36" i="34" s="1"/>
  <c r="AK36" i="34" s="1"/>
  <c r="AL36" i="34" s="1"/>
  <c r="AM36" i="34" s="1"/>
  <c r="AN36" i="34" s="1"/>
  <c r="AO36" i="34" s="1"/>
  <c r="AP36" i="34" s="1"/>
  <c r="AQ36" i="34" s="1"/>
  <c r="AR36" i="34" s="1"/>
  <c r="AB37" i="34"/>
  <c r="AC37" i="34" s="1"/>
  <c r="AD37" i="34" s="1"/>
  <c r="AE37" i="34" s="1"/>
  <c r="AF37" i="34" s="1"/>
  <c r="AG37" i="34" s="1"/>
  <c r="AH37" i="34" s="1"/>
  <c r="AI37" i="34" s="1"/>
  <c r="AJ37" i="34" s="1"/>
  <c r="AK37" i="34" s="1"/>
  <c r="AL37" i="34" s="1"/>
  <c r="AM37" i="34" s="1"/>
  <c r="AN37" i="34" s="1"/>
  <c r="AO37" i="34" s="1"/>
  <c r="AP37" i="34" s="1"/>
  <c r="AQ37" i="34" s="1"/>
  <c r="AR37" i="34" s="1"/>
  <c r="AA37" i="34"/>
  <c r="AA36" i="34"/>
  <c r="AB29" i="34"/>
  <c r="AC29" i="34" s="1"/>
  <c r="AD29" i="34" s="1"/>
  <c r="AE29" i="34" s="1"/>
  <c r="AF29" i="34" s="1"/>
  <c r="AG29" i="34" s="1"/>
  <c r="AH29" i="34" s="1"/>
  <c r="AI29" i="34" s="1"/>
  <c r="AJ29" i="34" s="1"/>
  <c r="AK29" i="34" s="1"/>
  <c r="AL29" i="34" s="1"/>
  <c r="AM29" i="34" s="1"/>
  <c r="AN29" i="34" s="1"/>
  <c r="AO29" i="34" s="1"/>
  <c r="AP29" i="34" s="1"/>
  <c r="AQ29" i="34" s="1"/>
  <c r="AR29" i="34" s="1"/>
  <c r="AB30" i="34"/>
  <c r="AC30" i="34" s="1"/>
  <c r="AD30" i="34" s="1"/>
  <c r="AE30" i="34" s="1"/>
  <c r="AF30" i="34" s="1"/>
  <c r="AG30" i="34" s="1"/>
  <c r="AH30" i="34" s="1"/>
  <c r="AI30" i="34" s="1"/>
  <c r="AJ30" i="34" s="1"/>
  <c r="AK30" i="34" s="1"/>
  <c r="AL30" i="34" s="1"/>
  <c r="AM30" i="34" s="1"/>
  <c r="AN30" i="34" s="1"/>
  <c r="AO30" i="34" s="1"/>
  <c r="AP30" i="34" s="1"/>
  <c r="AQ30" i="34" s="1"/>
  <c r="AR30" i="34" s="1"/>
  <c r="AA30" i="34"/>
  <c r="AA29" i="34"/>
  <c r="AB22" i="34"/>
  <c r="AC22" i="34" s="1"/>
  <c r="AD22" i="34" s="1"/>
  <c r="AE22" i="34" s="1"/>
  <c r="AF22" i="34" s="1"/>
  <c r="AG22" i="34" s="1"/>
  <c r="AH22" i="34" s="1"/>
  <c r="AI22" i="34" s="1"/>
  <c r="AJ22" i="34" s="1"/>
  <c r="AK22" i="34" s="1"/>
  <c r="AL22" i="34" s="1"/>
  <c r="AM22" i="34" s="1"/>
  <c r="AN22" i="34" s="1"/>
  <c r="AO22" i="34" s="1"/>
  <c r="AP22" i="34" s="1"/>
  <c r="AQ22" i="34" s="1"/>
  <c r="AR22" i="34" s="1"/>
  <c r="AB23" i="34"/>
  <c r="AC23" i="34" s="1"/>
  <c r="AD23" i="34" s="1"/>
  <c r="AE23" i="34" s="1"/>
  <c r="AF23" i="34" s="1"/>
  <c r="AG23" i="34" s="1"/>
  <c r="AH23" i="34" s="1"/>
  <c r="AI23" i="34" s="1"/>
  <c r="AJ23" i="34" s="1"/>
  <c r="AK23" i="34" s="1"/>
  <c r="AL23" i="34" s="1"/>
  <c r="AM23" i="34" s="1"/>
  <c r="AN23" i="34" s="1"/>
  <c r="AO23" i="34" s="1"/>
  <c r="AP23" i="34" s="1"/>
  <c r="AQ23" i="34" s="1"/>
  <c r="AR23" i="34" s="1"/>
  <c r="AA23" i="34"/>
  <c r="AA22" i="34"/>
  <c r="AB15" i="34"/>
  <c r="AC15" i="34" s="1"/>
  <c r="AD15" i="34" s="1"/>
  <c r="AE15" i="34" s="1"/>
  <c r="AF15" i="34" s="1"/>
  <c r="AG15" i="34" s="1"/>
  <c r="AH15" i="34" s="1"/>
  <c r="AI15" i="34" s="1"/>
  <c r="AJ15" i="34" s="1"/>
  <c r="AK15" i="34" s="1"/>
  <c r="AL15" i="34" s="1"/>
  <c r="AM15" i="34" s="1"/>
  <c r="AN15" i="34" s="1"/>
  <c r="AO15" i="34" s="1"/>
  <c r="AP15" i="34" s="1"/>
  <c r="AQ15" i="34" s="1"/>
  <c r="AR15" i="34" s="1"/>
  <c r="AB16" i="34"/>
  <c r="AC16" i="34" s="1"/>
  <c r="AD16" i="34" s="1"/>
  <c r="AE16" i="34" s="1"/>
  <c r="AF16" i="34" s="1"/>
  <c r="AG16" i="34" s="1"/>
  <c r="AH16" i="34" s="1"/>
  <c r="AI16" i="34" s="1"/>
  <c r="AJ16" i="34" s="1"/>
  <c r="AK16" i="34" s="1"/>
  <c r="AL16" i="34" s="1"/>
  <c r="AM16" i="34" s="1"/>
  <c r="AN16" i="34" s="1"/>
  <c r="AO16" i="34" s="1"/>
  <c r="AP16" i="34" s="1"/>
  <c r="AQ16" i="34" s="1"/>
  <c r="AR16" i="34" s="1"/>
  <c r="AA16" i="34"/>
  <c r="AA15" i="34"/>
  <c r="F50" i="34"/>
  <c r="G50" i="34" s="1"/>
  <c r="H50" i="34" s="1"/>
  <c r="I50" i="34" s="1"/>
  <c r="J50" i="34" s="1"/>
  <c r="K50" i="34" s="1"/>
  <c r="L50" i="34" s="1"/>
  <c r="M50" i="34" s="1"/>
  <c r="N50" i="34" s="1"/>
  <c r="O50" i="34" s="1"/>
  <c r="P50" i="34" s="1"/>
  <c r="Q50" i="34" s="1"/>
  <c r="R50" i="34" s="1"/>
  <c r="S50" i="34" s="1"/>
  <c r="T50" i="34" s="1"/>
  <c r="U50" i="34" s="1"/>
  <c r="V50" i="34" s="1"/>
  <c r="F51" i="34"/>
  <c r="G51" i="34" s="1"/>
  <c r="H51" i="34" s="1"/>
  <c r="I51" i="34" s="1"/>
  <c r="J51" i="34" s="1"/>
  <c r="K51" i="34" s="1"/>
  <c r="L51" i="34" s="1"/>
  <c r="M51" i="34" s="1"/>
  <c r="N51" i="34" s="1"/>
  <c r="O51" i="34" s="1"/>
  <c r="P51" i="34" s="1"/>
  <c r="Q51" i="34" s="1"/>
  <c r="R51" i="34" s="1"/>
  <c r="S51" i="34" s="1"/>
  <c r="T51" i="34" s="1"/>
  <c r="U51" i="34" s="1"/>
  <c r="V51" i="34" s="1"/>
  <c r="E51" i="34"/>
  <c r="E50" i="34"/>
  <c r="F43" i="34"/>
  <c r="G43" i="34" s="1"/>
  <c r="H43" i="34" s="1"/>
  <c r="I43" i="34" s="1"/>
  <c r="J43" i="34" s="1"/>
  <c r="K43" i="34" s="1"/>
  <c r="L43" i="34" s="1"/>
  <c r="M43" i="34" s="1"/>
  <c r="N43" i="34" s="1"/>
  <c r="O43" i="34" s="1"/>
  <c r="P43" i="34" s="1"/>
  <c r="Q43" i="34" s="1"/>
  <c r="R43" i="34" s="1"/>
  <c r="S43" i="34" s="1"/>
  <c r="T43" i="34" s="1"/>
  <c r="U43" i="34" s="1"/>
  <c r="V43" i="34" s="1"/>
  <c r="F44" i="34"/>
  <c r="G44" i="34" s="1"/>
  <c r="H44" i="34" s="1"/>
  <c r="I44" i="34" s="1"/>
  <c r="J44" i="34" s="1"/>
  <c r="K44" i="34" s="1"/>
  <c r="L44" i="34" s="1"/>
  <c r="M44" i="34" s="1"/>
  <c r="N44" i="34" s="1"/>
  <c r="O44" i="34" s="1"/>
  <c r="P44" i="34" s="1"/>
  <c r="Q44" i="34" s="1"/>
  <c r="R44" i="34" s="1"/>
  <c r="S44" i="34" s="1"/>
  <c r="T44" i="34" s="1"/>
  <c r="U44" i="34" s="1"/>
  <c r="V44" i="34" s="1"/>
  <c r="E44" i="34"/>
  <c r="E43" i="34"/>
  <c r="F36" i="34"/>
  <c r="G36" i="34" s="1"/>
  <c r="H36" i="34" s="1"/>
  <c r="I36" i="34" s="1"/>
  <c r="J36" i="34" s="1"/>
  <c r="K36" i="34" s="1"/>
  <c r="L36" i="34" s="1"/>
  <c r="M36" i="34" s="1"/>
  <c r="N36" i="34" s="1"/>
  <c r="O36" i="34" s="1"/>
  <c r="P36" i="34" s="1"/>
  <c r="Q36" i="34" s="1"/>
  <c r="R36" i="34" s="1"/>
  <c r="S36" i="34" s="1"/>
  <c r="T36" i="34" s="1"/>
  <c r="U36" i="34" s="1"/>
  <c r="V36" i="34" s="1"/>
  <c r="F37" i="34"/>
  <c r="G37" i="34" s="1"/>
  <c r="H37" i="34" s="1"/>
  <c r="I37" i="34" s="1"/>
  <c r="J37" i="34" s="1"/>
  <c r="K37" i="34" s="1"/>
  <c r="L37" i="34" s="1"/>
  <c r="M37" i="34" s="1"/>
  <c r="N37" i="34" s="1"/>
  <c r="O37" i="34" s="1"/>
  <c r="P37" i="34" s="1"/>
  <c r="Q37" i="34" s="1"/>
  <c r="R37" i="34" s="1"/>
  <c r="S37" i="34" s="1"/>
  <c r="T37" i="34" s="1"/>
  <c r="U37" i="34" s="1"/>
  <c r="V37" i="34" s="1"/>
  <c r="E37" i="34"/>
  <c r="E36" i="34"/>
  <c r="F29" i="34"/>
  <c r="G29" i="34" s="1"/>
  <c r="H29" i="34" s="1"/>
  <c r="I29" i="34" s="1"/>
  <c r="J29" i="34" s="1"/>
  <c r="K29" i="34" s="1"/>
  <c r="L29" i="34" s="1"/>
  <c r="M29" i="34" s="1"/>
  <c r="N29" i="34" s="1"/>
  <c r="O29" i="34" s="1"/>
  <c r="P29" i="34" s="1"/>
  <c r="Q29" i="34" s="1"/>
  <c r="R29" i="34" s="1"/>
  <c r="S29" i="34" s="1"/>
  <c r="T29" i="34" s="1"/>
  <c r="U29" i="34" s="1"/>
  <c r="V29" i="34" s="1"/>
  <c r="F30" i="34"/>
  <c r="G30" i="34" s="1"/>
  <c r="H30" i="34" s="1"/>
  <c r="I30" i="34" s="1"/>
  <c r="J30" i="34" s="1"/>
  <c r="K30" i="34" s="1"/>
  <c r="L30" i="34" s="1"/>
  <c r="M30" i="34" s="1"/>
  <c r="N30" i="34" s="1"/>
  <c r="O30" i="34" s="1"/>
  <c r="P30" i="34" s="1"/>
  <c r="Q30" i="34" s="1"/>
  <c r="R30" i="34" s="1"/>
  <c r="S30" i="34" s="1"/>
  <c r="T30" i="34" s="1"/>
  <c r="U30" i="34" s="1"/>
  <c r="V30" i="34" s="1"/>
  <c r="E30" i="34"/>
  <c r="E29" i="34"/>
  <c r="F22" i="34"/>
  <c r="G22" i="34" s="1"/>
  <c r="H22" i="34" s="1"/>
  <c r="I22" i="34" s="1"/>
  <c r="J22" i="34" s="1"/>
  <c r="K22" i="34" s="1"/>
  <c r="L22" i="34" s="1"/>
  <c r="M22" i="34" s="1"/>
  <c r="N22" i="34" s="1"/>
  <c r="O22" i="34" s="1"/>
  <c r="P22" i="34" s="1"/>
  <c r="Q22" i="34" s="1"/>
  <c r="R22" i="34" s="1"/>
  <c r="S22" i="34" s="1"/>
  <c r="T22" i="34" s="1"/>
  <c r="U22" i="34" s="1"/>
  <c r="V22" i="34" s="1"/>
  <c r="F23" i="34"/>
  <c r="G23" i="34" s="1"/>
  <c r="H23" i="34" s="1"/>
  <c r="I23" i="34" s="1"/>
  <c r="J23" i="34" s="1"/>
  <c r="K23" i="34" s="1"/>
  <c r="L23" i="34" s="1"/>
  <c r="M23" i="34" s="1"/>
  <c r="N23" i="34" s="1"/>
  <c r="O23" i="34" s="1"/>
  <c r="P23" i="34" s="1"/>
  <c r="Q23" i="34" s="1"/>
  <c r="R23" i="34" s="1"/>
  <c r="S23" i="34" s="1"/>
  <c r="T23" i="34" s="1"/>
  <c r="U23" i="34" s="1"/>
  <c r="V23" i="34" s="1"/>
  <c r="E23" i="34"/>
  <c r="E22" i="34"/>
  <c r="E16" i="34"/>
  <c r="F16" i="34" s="1"/>
  <c r="G16" i="34" s="1"/>
  <c r="H16" i="34" s="1"/>
  <c r="I16" i="34" s="1"/>
  <c r="J16" i="34" s="1"/>
  <c r="K16" i="34" s="1"/>
  <c r="L16" i="34" s="1"/>
  <c r="M16" i="34" s="1"/>
  <c r="N16" i="34" s="1"/>
  <c r="O16" i="34" s="1"/>
  <c r="P16" i="34" s="1"/>
  <c r="Q16" i="34" s="1"/>
  <c r="R16" i="34" s="1"/>
  <c r="S16" i="34" s="1"/>
  <c r="T16" i="34" s="1"/>
  <c r="U16" i="34" s="1"/>
  <c r="V16" i="34" s="1"/>
  <c r="E15" i="34"/>
  <c r="F15" i="34" s="1"/>
  <c r="G15" i="34" s="1"/>
  <c r="H15" i="34" s="1"/>
  <c r="I15" i="34" s="1"/>
  <c r="J15" i="34" s="1"/>
  <c r="K15" i="34" s="1"/>
  <c r="L15" i="34" s="1"/>
  <c r="M15" i="34" s="1"/>
  <c r="N15" i="34" s="1"/>
  <c r="O15" i="34" s="1"/>
  <c r="P15" i="34" s="1"/>
  <c r="Q15" i="34" s="1"/>
  <c r="R15" i="34" s="1"/>
  <c r="S15" i="34" s="1"/>
  <c r="T15" i="34" s="1"/>
  <c r="U15" i="34" s="1"/>
  <c r="V15" i="34" s="1"/>
  <c r="J205" i="8"/>
  <c r="J206" i="8"/>
  <c r="J207" i="8" s="1"/>
  <c r="J208" i="8" s="1"/>
  <c r="J209" i="8" s="1"/>
  <c r="J210" i="8" s="1"/>
  <c r="J211" i="8" s="1"/>
  <c r="J212" i="8" s="1"/>
  <c r="J213" i="8" s="1"/>
  <c r="J214" i="8" s="1"/>
  <c r="J215" i="8" s="1"/>
  <c r="J216" i="8" s="1"/>
  <c r="J217" i="8" s="1"/>
  <c r="J218" i="8" s="1"/>
  <c r="J219" i="8" s="1"/>
  <c r="J220" i="8" s="1"/>
  <c r="J221" i="8" s="1"/>
  <c r="J222" i="8" s="1"/>
  <c r="J223" i="8" s="1"/>
  <c r="J224" i="8" s="1"/>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<sst xmlns="http://schemas.openxmlformats.org/spreadsheetml/2006/main" count="645" uniqueCount="320">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</sst>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s>
  <borders count="10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7"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8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4"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3"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5"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5"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0" fontId="11" fillId="11" borderId="23" xfId="0" applyFont="1" applyFill="1" applyBorder="1" applyAlignment="1">
      <alignment wrapText="1"/>
    </xf>
    <xf numFmtId="2" fontId="0" fillId="10" borderId="25"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6"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5" xfId="2" applyFont="1" applyFill="1" applyBorder="1" applyAlignment="1" applyProtection="1">
      <alignment horizontal="left"/>
    </xf>
    <xf numFmtId="0" fontId="36" fillId="4" borderId="33" xfId="3" applyFont="1" applyFill="1" applyBorder="1" applyAlignment="1">
      <alignment horizontal="center"/>
    </xf>
    <xf numFmtId="0" fontId="38" fillId="9" borderId="1" xfId="3" applyFont="1" applyFill="1" applyBorder="1" applyAlignment="1">
      <alignment horizontal="left"/>
    </xf>
    <xf numFmtId="10" fontId="9" fillId="3" borderId="38" xfId="3" applyNumberFormat="1" applyFont="1" applyFill="1" applyBorder="1"/>
    <xf numFmtId="0" fontId="29" fillId="5" borderId="34" xfId="3" applyFont="1" applyFill="1" applyBorder="1" applyAlignment="1">
      <alignment horizontal="center" wrapText="1"/>
    </xf>
    <xf numFmtId="1" fontId="9" fillId="3" borderId="41" xfId="3" applyNumberFormat="1" applyFont="1" applyFill="1" applyBorder="1" applyAlignment="1">
      <alignment horizontal="center"/>
    </xf>
    <xf numFmtId="10" fontId="9" fillId="3" borderId="46"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4" xfId="3" applyNumberFormat="1" applyFont="1" applyFill="1" applyBorder="1" applyAlignment="1">
      <alignment horizontal="center"/>
    </xf>
    <xf numFmtId="10" fontId="9" fillId="3" borderId="39" xfId="3" applyNumberFormat="1" applyFont="1" applyFill="1" applyBorder="1" applyAlignment="1">
      <alignment horizontal="center"/>
    </xf>
    <xf numFmtId="1" fontId="9" fillId="3" borderId="45" xfId="3" applyNumberFormat="1" applyFont="1" applyFill="1" applyBorder="1" applyAlignment="1">
      <alignment horizontal="center"/>
    </xf>
    <xf numFmtId="10" fontId="25" fillId="3" borderId="47" xfId="3" applyNumberFormat="1" applyFont="1" applyFill="1" applyBorder="1" applyAlignment="1">
      <alignment horizontal="center" vertical="center" wrapText="1"/>
    </xf>
    <xf numFmtId="10" fontId="9" fillId="3" borderId="40"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2" xfId="3" applyNumberFormat="1" applyFont="1" applyFill="1" applyBorder="1" applyAlignment="1">
      <alignment horizontal="center"/>
    </xf>
    <xf numFmtId="1" fontId="14" fillId="3" borderId="39" xfId="3" applyNumberFormat="1" applyFont="1" applyFill="1" applyBorder="1" applyAlignment="1" applyProtection="1">
      <alignment horizontal="center"/>
      <protection locked="0"/>
    </xf>
    <xf numFmtId="2" fontId="14" fillId="10" borderId="44" xfId="3" applyNumberFormat="1" applyFont="1" applyFill="1" applyBorder="1" applyAlignment="1">
      <alignment horizontal="center"/>
    </xf>
    <xf numFmtId="2" fontId="14" fillId="3" borderId="39" xfId="3" applyNumberFormat="1" applyFont="1" applyFill="1" applyBorder="1" applyAlignment="1" applyProtection="1">
      <alignment horizontal="center"/>
      <protection locked="0"/>
    </xf>
    <xf numFmtId="2" fontId="14" fillId="3" borderId="40" xfId="3" applyNumberFormat="1" applyFont="1" applyFill="1" applyBorder="1" applyAlignment="1">
      <alignment horizontal="center"/>
    </xf>
    <xf numFmtId="0" fontId="28" fillId="7" borderId="41" xfId="3" applyFont="1" applyFill="1" applyBorder="1" applyAlignment="1">
      <alignment horizontal="center"/>
    </xf>
    <xf numFmtId="0" fontId="28" fillId="7" borderId="42" xfId="3" applyFont="1" applyFill="1" applyBorder="1" applyAlignment="1">
      <alignment horizontal="center"/>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14" fillId="10" borderId="45" xfId="3" applyFont="1" applyFill="1" applyBorder="1" applyAlignment="1">
      <alignment horizontal="center"/>
    </xf>
    <xf numFmtId="0" fontId="14" fillId="3" borderId="40" xfId="3" applyFont="1" applyFill="1" applyBorder="1" applyAlignment="1" applyProtection="1">
      <alignment horizontal="center"/>
      <protection locked="0"/>
    </xf>
    <xf numFmtId="0" fontId="28" fillId="13" borderId="41" xfId="3" applyFont="1" applyFill="1" applyBorder="1" applyAlignment="1">
      <alignment horizontal="center"/>
    </xf>
    <xf numFmtId="0" fontId="28" fillId="13" borderId="42"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11" fillId="0" borderId="50" xfId="3" applyFont="1" applyFill="1" applyBorder="1" applyAlignment="1">
      <alignment horizontal="center"/>
    </xf>
    <xf numFmtId="0" fontId="40" fillId="3" borderId="0" xfId="3" applyFont="1" applyFill="1" applyBorder="1"/>
    <xf numFmtId="0" fontId="64" fillId="3" borderId="58" xfId="3" applyFont="1" applyFill="1" applyBorder="1" applyAlignment="1">
      <alignment horizontal="center"/>
    </xf>
    <xf numFmtId="0" fontId="50" fillId="11" borderId="59" xfId="3" applyFont="1" applyFill="1" applyBorder="1" applyAlignment="1">
      <alignment horizontal="center"/>
    </xf>
    <xf numFmtId="0" fontId="50" fillId="11" borderId="25" xfId="3" applyFont="1" applyFill="1" applyBorder="1" applyAlignment="1">
      <alignment horizontal="center"/>
    </xf>
    <xf numFmtId="0" fontId="50" fillId="11" borderId="60" xfId="3" applyFont="1" applyFill="1" applyBorder="1" applyAlignment="1">
      <alignment horizontal="center"/>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47" fillId="10" borderId="58" xfId="3" applyFont="1" applyFill="1" applyBorder="1" applyAlignment="1">
      <alignment horizontal="center" wrapText="1"/>
    </xf>
    <xf numFmtId="0" fontId="64" fillId="3" borderId="64"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14" fillId="4" borderId="67" xfId="3" applyNumberFormat="1" applyFont="1" applyFill="1" applyBorder="1" applyProtection="1">
      <protection locked="0"/>
    </xf>
    <xf numFmtId="1" fontId="0" fillId="14" borderId="68" xfId="0" applyNumberFormat="1" applyFill="1" applyBorder="1" applyProtection="1">
      <protection locked="0"/>
    </xf>
    <xf numFmtId="1" fontId="0" fillId="0" borderId="51" xfId="0" applyNumberFormat="1" applyBorder="1" applyProtection="1">
      <protection locked="0"/>
    </xf>
    <xf numFmtId="1" fontId="0" fillId="14" borderId="69" xfId="0" applyNumberFormat="1" applyFill="1" applyBorder="1" applyProtection="1">
      <protection locked="0"/>
    </xf>
    <xf numFmtId="165" fontId="0" fillId="14" borderId="69" xfId="0" applyNumberFormat="1" applyFill="1" applyBorder="1" applyProtection="1">
      <protection locked="0"/>
    </xf>
    <xf numFmtId="2" fontId="0" fillId="0" borderId="51" xfId="0" applyNumberFormat="1" applyBorder="1" applyProtection="1">
      <protection locked="0"/>
    </xf>
    <xf numFmtId="1" fontId="9" fillId="14" borderId="69" xfId="3" applyNumberFormat="1" applyFont="1" applyFill="1" applyBorder="1" applyProtection="1">
      <protection locked="0"/>
    </xf>
    <xf numFmtId="1" fontId="9" fillId="14" borderId="70" xfId="3" applyNumberFormat="1" applyFont="1" applyFill="1" applyBorder="1" applyProtection="1">
      <protection locked="0"/>
    </xf>
    <xf numFmtId="1" fontId="9" fillId="0" borderId="54" xfId="3" applyNumberFormat="1" applyFont="1" applyFill="1" applyBorder="1" applyProtection="1">
      <protection locked="0"/>
    </xf>
    <xf numFmtId="0" fontId="24" fillId="8" borderId="71" xfId="3" applyFont="1" applyFill="1" applyBorder="1" applyAlignment="1" applyProtection="1">
      <alignment horizontal="center" wrapText="1"/>
    </xf>
    <xf numFmtId="0" fontId="0" fillId="0" borderId="51" xfId="0" applyBorder="1"/>
    <xf numFmtId="0" fontId="24" fillId="8" borderId="72" xfId="3" applyFont="1" applyFill="1" applyBorder="1" applyAlignment="1" applyProtection="1">
      <alignment horizontal="center" wrapText="1"/>
    </xf>
    <xf numFmtId="0" fontId="24" fillId="8" borderId="73" xfId="3" applyFont="1" applyFill="1" applyBorder="1" applyAlignment="1" applyProtection="1">
      <alignment horizontal="center" wrapText="1"/>
    </xf>
    <xf numFmtId="0" fontId="0" fillId="0" borderId="54" xfId="0" applyBorder="1"/>
    <xf numFmtId="0" fontId="0" fillId="0" borderId="55" xfId="0" applyBorder="1"/>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0" fontId="27" fillId="5" borderId="77" xfId="3" applyFont="1" applyFill="1" applyBorder="1" applyAlignment="1" applyProtection="1">
      <alignment horizontal="center" wrapText="1"/>
    </xf>
    <xf numFmtId="1" fontId="14" fillId="4" borderId="31" xfId="3" applyNumberFormat="1" applyFont="1" applyFill="1" applyBorder="1" applyProtection="1"/>
    <xf numFmtId="1" fontId="14" fillId="4" borderId="30" xfId="3" applyNumberFormat="1" applyFont="1" applyFill="1" applyBorder="1" applyProtection="1"/>
    <xf numFmtId="1" fontId="14" fillId="4" borderId="32" xfId="3" applyNumberFormat="1" applyFont="1" applyFill="1" applyBorder="1" applyProtection="1"/>
    <xf numFmtId="0" fontId="11" fillId="0" borderId="49"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1" xfId="3" applyNumberFormat="1" applyFont="1" applyFill="1" applyBorder="1"/>
    <xf numFmtId="1" fontId="14" fillId="4" borderId="62" xfId="3" applyNumberFormat="1" applyFont="1" applyFill="1" applyBorder="1"/>
    <xf numFmtId="1" fontId="14" fillId="4" borderId="63" xfId="3" applyNumberFormat="1" applyFont="1" applyFill="1" applyBorder="1"/>
    <xf numFmtId="2" fontId="19" fillId="0" borderId="52" xfId="3" applyNumberFormat="1" applyFont="1" applyFill="1" applyBorder="1" applyAlignment="1">
      <alignment horizontal="center"/>
    </xf>
    <xf numFmtId="2" fontId="19" fillId="0" borderId="51" xfId="3" applyNumberFormat="1" applyFont="1" applyFill="1" applyBorder="1" applyAlignment="1">
      <alignment horizontal="center"/>
    </xf>
    <xf numFmtId="1" fontId="19" fillId="0" borderId="52" xfId="3" applyNumberFormat="1" applyFont="1" applyFill="1" applyBorder="1" applyAlignment="1">
      <alignment horizontal="center"/>
    </xf>
    <xf numFmtId="1" fontId="19" fillId="0" borderId="51" xfId="3" applyNumberFormat="1" applyFont="1" applyFill="1" applyBorder="1" applyAlignment="1">
      <alignment horizontal="center"/>
    </xf>
    <xf numFmtId="0" fontId="2" fillId="12" borderId="24" xfId="3" applyFill="1" applyBorder="1" applyProtection="1">
      <protection locked="0"/>
    </xf>
    <xf numFmtId="0" fontId="60" fillId="12" borderId="43" xfId="0" applyFont="1" applyFill="1" applyBorder="1" applyAlignment="1">
      <alignment horizontal="left"/>
    </xf>
    <xf numFmtId="0" fontId="31" fillId="12" borderId="43" xfId="0" applyFont="1" applyFill="1" applyBorder="1" applyAlignment="1">
      <alignment horizontal="center"/>
    </xf>
    <xf numFmtId="0" fontId="31" fillId="12" borderId="33" xfId="0" applyFont="1" applyFill="1" applyBorder="1" applyAlignment="1">
      <alignment horizontal="center"/>
    </xf>
    <xf numFmtId="0" fontId="31" fillId="11" borderId="61"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0" fontId="59" fillId="10" borderId="80" xfId="0" applyFont="1" applyFill="1" applyBorder="1" applyAlignment="1">
      <alignment horizontal="center" wrapText="1"/>
    </xf>
    <xf numFmtId="166" fontId="14" fillId="11" borderId="52" xfId="0" applyNumberFormat="1" applyFont="1" applyFill="1" applyBorder="1" applyAlignment="1">
      <alignment horizontal="center"/>
    </xf>
    <xf numFmtId="2" fontId="0" fillId="10" borderId="51" xfId="0" applyNumberFormat="1" applyFill="1" applyBorder="1" applyAlignment="1">
      <alignment horizontal="center"/>
    </xf>
    <xf numFmtId="166" fontId="14" fillId="11" borderId="53" xfId="0" applyNumberFormat="1" applyFont="1" applyFill="1" applyBorder="1" applyAlignment="1">
      <alignment horizontal="center"/>
    </xf>
    <xf numFmtId="2" fontId="0" fillId="10" borderId="74" xfId="0" applyNumberFormat="1" applyFill="1" applyBorder="1" applyAlignment="1">
      <alignment horizontal="center"/>
    </xf>
    <xf numFmtId="2" fontId="0" fillId="10" borderId="54" xfId="0" applyNumberFormat="1" applyFill="1" applyBorder="1" applyAlignment="1">
      <alignment horizontal="center"/>
    </xf>
    <xf numFmtId="2" fontId="0" fillId="10" borderId="55" xfId="0" applyNumberFormat="1" applyFill="1" applyBorder="1" applyAlignment="1">
      <alignment horizontal="center"/>
    </xf>
    <xf numFmtId="0" fontId="36" fillId="4" borderId="24" xfId="3" applyFont="1" applyFill="1" applyBorder="1" applyAlignment="1">
      <alignment horizontal="center"/>
    </xf>
    <xf numFmtId="0" fontId="30" fillId="5" borderId="81" xfId="3" applyFont="1" applyFill="1" applyBorder="1" applyAlignment="1">
      <alignment horizontal="left"/>
    </xf>
    <xf numFmtId="0" fontId="30" fillId="5" borderId="82" xfId="3" applyFont="1" applyFill="1" applyBorder="1" applyAlignment="1">
      <alignment horizontal="left"/>
    </xf>
    <xf numFmtId="0" fontId="30" fillId="5" borderId="82" xfId="2" applyFont="1" applyFill="1" applyBorder="1" applyAlignment="1" applyProtection="1">
      <alignment horizontal="left"/>
    </xf>
    <xf numFmtId="0" fontId="30" fillId="5" borderId="82" xfId="0" applyFont="1" applyFill="1" applyBorder="1" applyAlignment="1">
      <alignment horizontal="left"/>
    </xf>
    <xf numFmtId="0" fontId="30" fillId="5" borderId="83"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4"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5"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1" xfId="0" applyFont="1" applyBorder="1"/>
    <xf numFmtId="0" fontId="14" fillId="0" borderId="52" xfId="0" applyFont="1" applyFill="1" applyBorder="1" applyAlignment="1">
      <alignment horizontal="center" wrapText="1"/>
    </xf>
    <xf numFmtId="0" fontId="14" fillId="0" borderId="0" xfId="0" applyFont="1" applyFill="1" applyBorder="1" applyAlignment="1">
      <alignment horizontal="center" wrapText="1"/>
    </xf>
    <xf numFmtId="0" fontId="14" fillId="0" borderId="51" xfId="0" applyFont="1" applyFill="1" applyBorder="1" applyAlignment="1">
      <alignment horizontal="center" wrapText="1"/>
    </xf>
    <xf numFmtId="0" fontId="14" fillId="0" borderId="52" xfId="0" applyFont="1" applyFill="1" applyBorder="1" applyAlignment="1">
      <alignment horizontal="center"/>
    </xf>
    <xf numFmtId="165" fontId="0" fillId="0" borderId="0" xfId="0" applyNumberFormat="1" applyFont="1" applyBorder="1"/>
    <xf numFmtId="165" fontId="0" fillId="0" borderId="51" xfId="0" applyNumberFormat="1" applyFont="1" applyBorder="1"/>
    <xf numFmtId="0" fontId="14" fillId="0" borderId="53" xfId="0" applyFont="1" applyFill="1" applyBorder="1" applyAlignment="1">
      <alignment horizontal="center"/>
    </xf>
    <xf numFmtId="165" fontId="0" fillId="0" borderId="54" xfId="0" applyNumberFormat="1" applyFont="1" applyBorder="1"/>
    <xf numFmtId="165" fontId="0" fillId="0" borderId="55" xfId="0" applyNumberFormat="1" applyFont="1" applyBorder="1"/>
    <xf numFmtId="0" fontId="28" fillId="10" borderId="0" xfId="3" applyFont="1" applyFill="1" applyBorder="1" applyAlignment="1"/>
    <xf numFmtId="1" fontId="0" fillId="0" borderId="0" xfId="0" applyNumberFormat="1"/>
    <xf numFmtId="1" fontId="9" fillId="0" borderId="54" xfId="3" applyNumberFormat="1" applyFont="1" applyFill="1" applyBorder="1" applyProtection="1"/>
    <xf numFmtId="0" fontId="31" fillId="12" borderId="31" xfId="3" applyFont="1" applyFill="1" applyBorder="1" applyProtection="1">
      <protection locked="0"/>
    </xf>
    <xf numFmtId="0" fontId="42" fillId="12" borderId="30" xfId="0" applyFont="1" applyFill="1" applyBorder="1" applyAlignment="1">
      <alignment horizontal="left"/>
    </xf>
    <xf numFmtId="0" fontId="31" fillId="12" borderId="32" xfId="0" applyFont="1" applyFill="1" applyBorder="1" applyAlignment="1">
      <alignment horizontal="center"/>
    </xf>
    <xf numFmtId="0" fontId="58" fillId="10" borderId="24" xfId="3" applyFont="1" applyFill="1" applyBorder="1" applyAlignment="1" applyProtection="1">
      <alignment horizontal="center"/>
      <protection locked="0"/>
    </xf>
    <xf numFmtId="0" fontId="58" fillId="10" borderId="43" xfId="3" quotePrefix="1" applyFont="1" applyFill="1" applyBorder="1" applyAlignment="1" applyProtection="1">
      <alignment horizontal="left"/>
      <protection locked="0"/>
    </xf>
    <xf numFmtId="0" fontId="58" fillId="10" borderId="43" xfId="3" applyFont="1" applyFill="1" applyBorder="1" applyAlignment="1" applyProtection="1">
      <alignment horizontal="center"/>
      <protection locked="0"/>
    </xf>
    <xf numFmtId="0" fontId="58" fillId="10" borderId="33" xfId="3" applyFont="1" applyFill="1" applyBorder="1" applyProtection="1">
      <protection locked="0"/>
    </xf>
    <xf numFmtId="0" fontId="58" fillId="10" borderId="25"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5"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60" xfId="3" applyFont="1" applyFill="1" applyBorder="1" applyAlignment="1" applyProtection="1">
      <alignment horizontal="center"/>
      <protection locked="0"/>
    </xf>
    <xf numFmtId="0" fontId="58" fillId="3" borderId="86" xfId="3" applyFont="1" applyFill="1" applyBorder="1" applyAlignment="1" applyProtection="1">
      <alignment horizontal="left"/>
      <protection locked="0"/>
    </xf>
    <xf numFmtId="0" fontId="58" fillId="3" borderId="86" xfId="3" applyFont="1" applyFill="1" applyBorder="1" applyAlignment="1" applyProtection="1">
      <alignment horizontal="center"/>
      <protection locked="0"/>
    </xf>
    <xf numFmtId="0" fontId="58" fillId="3" borderId="26" xfId="3" applyFont="1" applyFill="1" applyBorder="1" applyProtection="1">
      <protection locked="0"/>
    </xf>
    <xf numFmtId="166" fontId="14" fillId="11" borderId="87" xfId="0" applyNumberFormat="1" applyFont="1" applyFill="1" applyBorder="1" applyAlignment="1">
      <alignment horizontal="center"/>
    </xf>
    <xf numFmtId="0" fontId="70" fillId="3" borderId="0" xfId="3" applyFont="1" applyFill="1" applyProtection="1">
      <protection locked="0"/>
    </xf>
    <xf numFmtId="0" fontId="1" fillId="3" borderId="61" xfId="3" applyFont="1" applyFill="1" applyBorder="1" applyProtection="1"/>
    <xf numFmtId="0" fontId="1" fillId="3" borderId="62"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1" xfId="3" applyNumberFormat="1" applyFont="1" applyFill="1" applyBorder="1" applyAlignment="1">
      <alignment wrapText="1"/>
    </xf>
    <xf numFmtId="0" fontId="31" fillId="4" borderId="88" xfId="5" applyFont="1" applyFill="1" applyBorder="1" applyAlignment="1">
      <alignment horizontal="center" wrapText="1"/>
    </xf>
    <xf numFmtId="0" fontId="31" fillId="4" borderId="89" xfId="5" applyFont="1" applyFill="1" applyBorder="1" applyAlignment="1">
      <alignment horizontal="center" wrapText="1"/>
    </xf>
    <xf numFmtId="0" fontId="19" fillId="3" borderId="88" xfId="5" applyFont="1" applyFill="1" applyBorder="1" applyAlignment="1">
      <alignment horizontal="center" wrapText="1"/>
    </xf>
    <xf numFmtId="0" fontId="19" fillId="3" borderId="89" xfId="5" applyFont="1" applyFill="1" applyBorder="1" applyAlignment="1">
      <alignment horizontal="center" wrapText="1"/>
    </xf>
    <xf numFmtId="1" fontId="19" fillId="3" borderId="90" xfId="3" applyNumberFormat="1" applyFont="1" applyFill="1" applyBorder="1"/>
    <xf numFmtId="0" fontId="45" fillId="3" borderId="61" xfId="3" applyFont="1" applyFill="1" applyBorder="1"/>
    <xf numFmtId="0" fontId="45" fillId="0" borderId="62" xfId="3" applyFont="1" applyFill="1" applyBorder="1"/>
    <xf numFmtId="0" fontId="45" fillId="3" borderId="62" xfId="3" applyFont="1" applyFill="1" applyBorder="1"/>
    <xf numFmtId="0" fontId="45" fillId="3" borderId="63" xfId="3" applyFont="1" applyFill="1" applyBorder="1"/>
    <xf numFmtId="0" fontId="14" fillId="3" borderId="52" xfId="5" applyFont="1" applyFill="1" applyBorder="1" applyAlignment="1">
      <alignment horizontal="center"/>
    </xf>
    <xf numFmtId="0" fontId="31" fillId="4" borderId="91" xfId="5" applyFont="1" applyFill="1" applyBorder="1" applyAlignment="1">
      <alignment horizontal="center" wrapText="1"/>
    </xf>
    <xf numFmtId="0" fontId="14" fillId="11" borderId="92" xfId="5" applyFont="1" applyFill="1" applyBorder="1" applyAlignment="1">
      <alignment horizontal="center" wrapText="1"/>
    </xf>
    <xf numFmtId="0" fontId="19" fillId="3" borderId="91" xfId="5" applyFont="1" applyFill="1" applyBorder="1" applyAlignment="1">
      <alignment horizontal="center" wrapText="1"/>
    </xf>
    <xf numFmtId="0" fontId="20" fillId="5" borderId="52" xfId="5" applyFont="1" applyFill="1" applyBorder="1"/>
    <xf numFmtId="3" fontId="1" fillId="0" borderId="51" xfId="5" applyNumberFormat="1" applyFont="1" applyFill="1" applyBorder="1" applyAlignment="1">
      <alignment horizontal="center"/>
    </xf>
    <xf numFmtId="0" fontId="20" fillId="5" borderId="53" xfId="5" applyFont="1" applyFill="1" applyBorder="1"/>
    <xf numFmtId="3" fontId="1" fillId="0" borderId="54" xfId="5" applyNumberFormat="1" applyFont="1" applyFill="1" applyBorder="1" applyAlignment="1">
      <alignment horizontal="center"/>
    </xf>
    <xf numFmtId="3" fontId="1" fillId="0" borderId="55"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1" xfId="3" applyNumberFormat="1" applyFont="1" applyFill="1" applyBorder="1" applyAlignment="1">
      <alignment horizontal="center"/>
    </xf>
    <xf numFmtId="1" fontId="14" fillId="3" borderId="44" xfId="3" applyNumberFormat="1" applyFont="1" applyFill="1" applyBorder="1" applyAlignment="1" applyProtection="1">
      <alignment horizontal="center"/>
      <protection locked="0"/>
    </xf>
    <xf numFmtId="2" fontId="14" fillId="3" borderId="44" xfId="3" applyNumberFormat="1" applyFont="1" applyFill="1" applyBorder="1" applyAlignment="1" applyProtection="1">
      <alignment horizontal="center"/>
      <protection locked="0"/>
    </xf>
    <xf numFmtId="2" fontId="14" fillId="3" borderId="45" xfId="3" applyNumberFormat="1" applyFont="1" applyFill="1" applyBorder="1" applyAlignment="1">
      <alignment horizontal="center"/>
    </xf>
    <xf numFmtId="0" fontId="1" fillId="3" borderId="61" xfId="3" applyFont="1" applyFill="1" applyBorder="1" applyProtection="1">
      <protection locked="0"/>
    </xf>
    <xf numFmtId="0" fontId="24" fillId="8" borderId="71" xfId="3" applyFont="1" applyFill="1" applyBorder="1" applyAlignment="1" applyProtection="1">
      <alignment horizontal="center" wrapText="1"/>
      <protection locked="0"/>
    </xf>
    <xf numFmtId="0" fontId="0" fillId="0" borderId="0" xfId="0" applyBorder="1" applyProtection="1">
      <protection locked="0"/>
    </xf>
    <xf numFmtId="0" fontId="0" fillId="0" borderId="51" xfId="0" applyBorder="1" applyProtection="1">
      <protection locked="0"/>
    </xf>
    <xf numFmtId="0" fontId="24" fillId="8" borderId="72"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3" xfId="3" applyFont="1" applyFill="1" applyBorder="1" applyAlignment="1" applyProtection="1">
      <alignment horizontal="center" wrapText="1"/>
      <protection locked="0"/>
    </xf>
    <xf numFmtId="0" fontId="0" fillId="0" borderId="54" xfId="0" applyBorder="1" applyProtection="1">
      <protection locked="0"/>
    </xf>
    <xf numFmtId="0" fontId="0" fillId="0" borderId="55" xfId="0"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1" fontId="14" fillId="4" borderId="80"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2" xfId="4" applyFont="1" applyFill="1" applyBorder="1"/>
    <xf numFmtId="9" fontId="9" fillId="3" borderId="0" xfId="4" applyFont="1" applyFill="1" applyBorder="1"/>
    <xf numFmtId="9" fontId="9" fillId="3" borderId="51" xfId="4" applyFont="1" applyFill="1" applyBorder="1"/>
    <xf numFmtId="9" fontId="65" fillId="3" borderId="52" xfId="4" applyFont="1" applyFill="1" applyBorder="1" applyAlignment="1"/>
    <xf numFmtId="9" fontId="65" fillId="3" borderId="53" xfId="4" applyNumberFormat="1" applyFont="1" applyFill="1" applyBorder="1" applyAlignment="1"/>
    <xf numFmtId="9" fontId="9" fillId="3" borderId="54" xfId="4" applyNumberFormat="1" applyFont="1" applyFill="1" applyBorder="1"/>
    <xf numFmtId="0" fontId="81" fillId="3" borderId="38" xfId="3" applyFont="1" applyFill="1" applyBorder="1" applyAlignment="1">
      <alignment horizontal="center" vertical="center"/>
    </xf>
    <xf numFmtId="0" fontId="1" fillId="10" borderId="0" xfId="3" applyFont="1" applyFill="1" applyProtection="1">
      <protection locked="0"/>
    </xf>
    <xf numFmtId="0" fontId="9" fillId="3" borderId="81" xfId="3" applyFont="1" applyFill="1" applyBorder="1" applyProtection="1">
      <protection locked="0"/>
    </xf>
    <xf numFmtId="0" fontId="9" fillId="3" borderId="93" xfId="3" applyFont="1" applyFill="1" applyBorder="1" applyProtection="1">
      <protection locked="0"/>
    </xf>
    <xf numFmtId="0" fontId="9" fillId="10" borderId="93" xfId="3" applyFont="1" applyFill="1" applyBorder="1" applyProtection="1">
      <protection locked="0"/>
    </xf>
    <xf numFmtId="0" fontId="59" fillId="10" borderId="93" xfId="3" applyFont="1" applyFill="1" applyBorder="1" applyProtection="1">
      <protection locked="0"/>
    </xf>
    <xf numFmtId="0" fontId="9" fillId="3" borderId="94"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5" xfId="3" applyFont="1" applyFill="1" applyBorder="1" applyProtection="1">
      <protection locked="0"/>
    </xf>
    <xf numFmtId="0" fontId="82" fillId="10" borderId="0" xfId="3" applyFont="1" applyFill="1" applyBorder="1" applyProtection="1">
      <protection locked="0"/>
    </xf>
    <xf numFmtId="0" fontId="2" fillId="10" borderId="96" xfId="3" applyFill="1" applyBorder="1" applyProtection="1">
      <protection locked="0"/>
    </xf>
    <xf numFmtId="0" fontId="2" fillId="10" borderId="97"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2" xfId="3" applyFont="1" applyFill="1" applyBorder="1" applyAlignment="1" applyProtection="1">
      <alignment horizontal="center"/>
      <protection locked="0"/>
    </xf>
    <xf numFmtId="0" fontId="83" fillId="10" borderId="82" xfId="3" applyFont="1" applyFill="1" applyBorder="1" applyAlignment="1" applyProtection="1">
      <alignment vertical="center"/>
      <protection locked="0"/>
    </xf>
    <xf numFmtId="0" fontId="2" fillId="10" borderId="83"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8"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9"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1" xfId="0" applyFont="1" applyFill="1" applyBorder="1" applyAlignment="1">
      <alignment horizontal="center"/>
    </xf>
    <xf numFmtId="0" fontId="20" fillId="16" borderId="52"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1" xfId="1" applyNumberFormat="1" applyFont="1" applyFill="1" applyBorder="1" applyAlignment="1"/>
    <xf numFmtId="0" fontId="20" fillId="15" borderId="52"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1"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3" xfId="5" applyFont="1" applyFill="1" applyBorder="1"/>
    <xf numFmtId="0" fontId="84" fillId="10" borderId="54" xfId="3" applyFont="1" applyFill="1" applyBorder="1" applyAlignment="1"/>
    <xf numFmtId="0" fontId="84" fillId="10" borderId="55" xfId="3" applyFont="1" applyFill="1" applyBorder="1" applyAlignment="1"/>
    <xf numFmtId="0" fontId="11" fillId="10" borderId="0" xfId="0" applyFont="1" applyFill="1" applyAlignment="1">
      <alignment horizontal="center" vertic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0" fontId="55" fillId="7" borderId="29" xfId="3" applyFont="1" applyFill="1" applyBorder="1" applyAlignment="1">
      <alignment horizontal="center" wrapText="1"/>
    </xf>
    <xf numFmtId="2" fontId="28" fillId="6" borderId="62" xfId="3" applyNumberFormat="1" applyFont="1" applyFill="1" applyBorder="1" applyAlignment="1">
      <alignment horizontal="center"/>
    </xf>
    <xf numFmtId="2" fontId="39" fillId="6" borderId="62" xfId="3" applyNumberFormat="1" applyFont="1" applyFill="1" applyBorder="1" applyAlignment="1">
      <alignment horizontal="center"/>
    </xf>
    <xf numFmtId="0" fontId="28" fillId="7" borderId="62" xfId="3" applyFont="1" applyFill="1" applyBorder="1" applyAlignment="1">
      <alignment horizontal="center"/>
    </xf>
    <xf numFmtId="0" fontId="39" fillId="7" borderId="62" xfId="3" applyFont="1" applyFill="1" applyBorder="1" applyAlignment="1">
      <alignment horizontal="center"/>
    </xf>
    <xf numFmtId="0" fontId="28" fillId="13" borderId="62" xfId="3" applyFont="1" applyFill="1" applyBorder="1" applyAlignment="1">
      <alignment horizontal="center"/>
    </xf>
    <xf numFmtId="0" fontId="39" fillId="13" borderId="63"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1"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61099136"/>
        <c:axId val="161121792"/>
      </c:scatterChart>
      <c:valAx>
        <c:axId val="161099136"/>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61121792"/>
        <c:crosses val="autoZero"/>
        <c:crossBetween val="midCat"/>
      </c:valAx>
      <c:valAx>
        <c:axId val="16112179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61099136"/>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4104832"/>
        <c:axId val="166896000"/>
      </c:scatterChart>
      <c:valAx>
        <c:axId val="1641048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896000"/>
        <c:crosses val="autoZero"/>
        <c:crossBetween val="midCat"/>
      </c:valAx>
      <c:valAx>
        <c:axId val="1668960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41048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6957440"/>
        <c:axId val="166958976"/>
      </c:scatterChart>
      <c:valAx>
        <c:axId val="1669574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958976"/>
        <c:crosses val="autoZero"/>
        <c:crossBetween val="midCat"/>
      </c:valAx>
      <c:valAx>
        <c:axId val="1669589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9574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1495425</xdr:colOff>
          <xdr:row>6</xdr:row>
          <xdr:rowOff>47625</xdr:rowOff>
        </xdr:from>
        <xdr:to>
          <xdr:col>9</xdr:col>
          <xdr:colOff>66675</xdr:colOff>
          <xdr:row>7</xdr:row>
          <xdr:rowOff>104775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28575</xdr:colOff>
          <xdr:row>17</xdr:row>
          <xdr:rowOff>104775</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295275</xdr:colOff>
          <xdr:row>17</xdr:row>
          <xdr:rowOff>76200</xdr:rowOff>
        </xdr:from>
        <xdr:to>
          <xdr:col>28</xdr:col>
          <xdr:colOff>66675</xdr:colOff>
          <xdr:row>19</xdr:row>
          <xdr:rowOff>66675</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31</xdr:row>
          <xdr:rowOff>0</xdr:rowOff>
        </xdr:from>
        <xdr:to>
          <xdr:col>11</xdr:col>
          <xdr:colOff>238125</xdr:colOff>
          <xdr:row>32</xdr:row>
          <xdr:rowOff>9525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Policies"/>
      <sheetName val="Customer Behavio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4" sqref="D14"/>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11"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19" t="s">
        <v>308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12" t="s">
        <v>102</v>
      </c>
      <c r="D10" s="213"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13" t="s">
        <v>69</v>
      </c>
      <c r="D11" s="242" t="s">
        <v>4</v>
      </c>
      <c r="E11" s="61"/>
      <c r="F11" s="131"/>
      <c r="G11" s="61"/>
      <c r="H11" s="38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14" t="s">
        <v>101</v>
      </c>
      <c r="D12" s="243">
        <v>2050</v>
      </c>
      <c r="E12" s="61"/>
      <c r="F12" s="131"/>
      <c r="G12" s="61" t="s">
        <v>283</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14" t="s">
        <v>153</v>
      </c>
      <c r="D13" s="289" t="s">
        <v>204</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15" t="s">
        <v>94</v>
      </c>
      <c r="D14" s="243"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15" t="s">
        <v>196</v>
      </c>
      <c r="D15" s="243" t="s">
        <v>199</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15" t="s">
        <v>65</v>
      </c>
      <c r="D16" s="243" t="s">
        <v>184</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15" t="s">
        <v>70</v>
      </c>
      <c r="D17" s="243"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16" t="s">
        <v>72</v>
      </c>
      <c r="D18" s="243"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15" t="s">
        <v>66</v>
      </c>
      <c r="D19" s="243" t="s">
        <v>184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15" t="s">
        <v>71</v>
      </c>
      <c r="D20" s="243"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16" t="s">
        <v>73</v>
      </c>
      <c r="D21" s="243"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16" t="s">
        <v>295</v>
      </c>
      <c r="D22" s="243">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15" t="s">
        <v>183</v>
      </c>
      <c r="D23" s="243" t="s">
        <v>184</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16" t="s">
        <v>181</v>
      </c>
      <c r="D24" s="243"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16" t="s">
        <v>182</v>
      </c>
      <c r="D25" s="243"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16" t="s">
        <v>296</v>
      </c>
      <c r="D26" s="243">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16" t="s">
        <v>62</v>
      </c>
      <c r="D27" s="243" t="s">
        <v>299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15" t="s">
        <v>63</v>
      </c>
      <c r="D28" s="243"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441" t="s">
        <v>192</v>
      </c>
      <c r="D29" s="243" t="s">
        <v>188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7.25" thickBot="1" x14ac:dyDescent="0.35">
      <c r="A30" s="21"/>
      <c r="B30" s="21"/>
      <c r="C30" s="317" t="s">
        <v>316</v>
      </c>
      <c r="D30" s="244">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09" t="s">
        <v>297</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09" t="s">
        <v>298</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09" t="s">
        <v>299</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09" t="s">
        <v>300</v>
      </c>
      <c r="F160" s="109"/>
      <c r="G160" s="110" t="s">
        <v>67</v>
      </c>
      <c r="H160" s="67"/>
      <c r="I160" s="111"/>
      <c r="J160" s="67" t="s">
        <v>202</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204</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203</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205</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188</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189</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190</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191</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197</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198</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199</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200</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201</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defaultColWidth="9.140625" defaultRowHeight="15" x14ac:dyDescent="0.3"/>
  <cols>
    <col min="1" max="1" width="4.85546875" style="91" customWidth="1"/>
    <col min="2" max="2" width="23.42578125" style="91" customWidth="1"/>
    <col min="3" max="3" width="33.140625" style="91" customWidth="1"/>
    <col min="4" max="4" width="9.140625" style="91" bestFit="1" customWidth="1"/>
    <col min="5" max="6" width="7.42578125" style="91" customWidth="1"/>
    <col min="7" max="7" width="6.7109375" style="91" customWidth="1"/>
    <col min="8" max="8" width="23.7109375" style="91" customWidth="1"/>
    <col min="9" max="9" width="21" style="91" customWidth="1"/>
    <col min="10" max="10" width="8.42578125" style="91" customWidth="1"/>
    <col min="11" max="11" width="6.42578125" style="91" bestFit="1" customWidth="1"/>
    <col min="12" max="12" width="6.42578125" style="91" customWidth="1"/>
    <col min="13" max="13" width="6.85546875" style="91" customWidth="1"/>
    <col min="14" max="18" width="6.42578125" style="91" customWidth="1"/>
    <col min="19" max="19" width="6.7109375" style="91" customWidth="1"/>
    <col min="20" max="20" width="7" style="91" customWidth="1"/>
    <col min="21" max="21" width="6.42578125" style="91" customWidth="1"/>
    <col min="22" max="23" width="6.7109375" style="91" customWidth="1"/>
    <col min="24" max="24" width="21.140625" style="91" customWidth="1"/>
    <col min="25" max="25" width="33.42578125" style="91" customWidth="1"/>
    <col min="26" max="26" width="6.42578125" style="91" customWidth="1"/>
    <col min="27" max="27" width="7.28515625" style="91" bestFit="1" customWidth="1"/>
    <col min="28" max="28" width="10.85546875" style="91" bestFit="1" customWidth="1"/>
    <col min="29" max="33" width="6.7109375" style="91" customWidth="1"/>
    <col min="34" max="44" width="9.42578125" style="9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390"/>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6">
      <c r="A2" s="88"/>
      <c r="B2" s="88"/>
      <c r="C2" s="381" t="s">
        <v>109</v>
      </c>
      <c r="D2" s="89"/>
      <c r="E2" s="88"/>
      <c r="F2" s="88"/>
      <c r="G2" s="88"/>
      <c r="H2" s="88"/>
      <c r="I2" s="88"/>
      <c r="J2" s="88"/>
      <c r="K2" s="88"/>
      <c r="L2" s="88"/>
      <c r="M2" s="88"/>
      <c r="N2" s="88"/>
      <c r="O2" s="88"/>
      <c r="P2" s="88"/>
      <c r="Q2" s="88"/>
      <c r="R2" s="88"/>
      <c r="S2" s="88"/>
      <c r="T2" s="88"/>
      <c r="U2" s="88"/>
      <c r="V2" s="88"/>
      <c r="W2" s="88"/>
      <c r="X2" s="88"/>
      <c r="Y2" s="433"/>
      <c r="Z2" s="433"/>
      <c r="AA2" s="433"/>
      <c r="AB2" s="433"/>
      <c r="AC2" s="433"/>
      <c r="AD2" s="433"/>
      <c r="AE2" s="433"/>
      <c r="AF2" s="433"/>
      <c r="AG2" s="433"/>
      <c r="AH2" s="433"/>
      <c r="AI2" s="433"/>
      <c r="AJ2" s="433"/>
      <c r="AK2" s="433"/>
      <c r="AL2" s="433"/>
      <c r="AM2" s="433"/>
      <c r="AN2" s="433"/>
      <c r="AO2" s="433"/>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35">
      <c r="A3" s="88"/>
      <c r="B3" s="88"/>
      <c r="C3" s="88"/>
      <c r="D3" s="88"/>
      <c r="E3" s="88"/>
      <c r="F3" s="88"/>
      <c r="G3" s="88"/>
      <c r="H3" s="88"/>
      <c r="I3" s="88"/>
      <c r="J3" s="88"/>
      <c r="K3" s="88"/>
      <c r="L3" s="88"/>
      <c r="M3" s="88"/>
      <c r="N3" s="88"/>
      <c r="O3" s="88"/>
      <c r="P3" s="88"/>
      <c r="Q3" s="88"/>
      <c r="R3" s="88"/>
      <c r="S3" s="88"/>
      <c r="T3" s="88"/>
      <c r="U3" s="88"/>
      <c r="V3" s="88"/>
      <c r="W3" s="88"/>
      <c r="X3" s="88"/>
      <c r="Y3" s="433"/>
      <c r="Z3" s="433"/>
      <c r="AA3" s="433"/>
      <c r="AB3" s="433"/>
      <c r="AC3" s="433"/>
      <c r="AD3" s="433"/>
      <c r="AE3" s="433"/>
      <c r="AF3" s="433"/>
      <c r="AG3" s="433"/>
      <c r="AH3" s="433"/>
      <c r="AI3" s="433"/>
      <c r="AJ3" s="433"/>
      <c r="AK3" s="433"/>
      <c r="AL3" s="433"/>
      <c r="AM3" s="433"/>
      <c r="AN3" s="433"/>
      <c r="AO3" s="433"/>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
      <c r="A4" s="88"/>
      <c r="B4" s="255"/>
      <c r="C4" s="421"/>
      <c r="D4" s="422"/>
      <c r="E4" s="422"/>
      <c r="F4" s="423"/>
      <c r="G4" s="424" t="s">
        <v>313</v>
      </c>
      <c r="H4" s="423"/>
      <c r="I4" s="422"/>
      <c r="J4" s="425"/>
      <c r="K4" s="88"/>
      <c r="L4" s="88"/>
      <c r="M4" s="88"/>
      <c r="N4" s="88"/>
      <c r="O4" s="88"/>
      <c r="P4" s="88"/>
      <c r="Q4" s="88"/>
      <c r="R4" s="88"/>
      <c r="S4" s="88"/>
      <c r="T4" s="88"/>
      <c r="U4" s="88"/>
      <c r="V4" s="88"/>
      <c r="W4" s="88"/>
      <c r="X4" s="88"/>
      <c r="Y4" s="433"/>
      <c r="Z4" s="433"/>
      <c r="AA4" s="433"/>
      <c r="AB4" s="433"/>
      <c r="AC4" s="433"/>
      <c r="AD4" s="433"/>
      <c r="AE4" s="433"/>
      <c r="AF4" s="433"/>
      <c r="AG4" s="433"/>
      <c r="AH4" s="433"/>
      <c r="AI4" s="433"/>
      <c r="AJ4" s="433"/>
      <c r="AK4" s="433"/>
      <c r="AL4" s="433"/>
      <c r="AM4" s="433"/>
      <c r="AN4" s="433"/>
      <c r="AO4" s="433"/>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
      <c r="A5" s="88"/>
      <c r="B5" s="255"/>
      <c r="C5" s="437" t="s">
        <v>160</v>
      </c>
      <c r="D5" s="435">
        <v>0.03</v>
      </c>
      <c r="E5" s="426" t="s">
        <v>161</v>
      </c>
      <c r="F5" s="427"/>
      <c r="G5" s="428" t="s">
        <v>310</v>
      </c>
      <c r="H5" s="427"/>
      <c r="I5" s="434" t="s">
        <v>314</v>
      </c>
      <c r="J5" s="429"/>
      <c r="K5" s="88"/>
      <c r="L5" s="88"/>
      <c r="M5" s="88"/>
      <c r="N5" s="88"/>
      <c r="O5" s="88"/>
      <c r="P5" s="88"/>
      <c r="Q5" s="88"/>
      <c r="R5" s="88"/>
      <c r="S5" s="88"/>
      <c r="T5" s="88"/>
      <c r="U5" s="88"/>
      <c r="V5" s="88"/>
      <c r="W5" s="88"/>
      <c r="X5" s="88"/>
      <c r="Y5" s="433"/>
      <c r="Z5" s="433"/>
      <c r="AA5" s="433"/>
      <c r="AB5" s="433"/>
      <c r="AC5" s="433"/>
      <c r="AD5" s="433"/>
      <c r="AE5" s="433"/>
      <c r="AF5" s="433"/>
      <c r="AG5" s="433"/>
      <c r="AH5" s="433"/>
      <c r="AI5" s="433"/>
      <c r="AJ5" s="433"/>
      <c r="AK5" s="433"/>
      <c r="AL5" s="433"/>
      <c r="AM5" s="433"/>
      <c r="AN5" s="433"/>
      <c r="AO5" s="433"/>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
      <c r="A6" s="88"/>
      <c r="B6" s="436"/>
      <c r="C6" s="438"/>
      <c r="D6" s="435">
        <v>1.4999999999999999E-2</v>
      </c>
      <c r="E6" s="426" t="s">
        <v>161</v>
      </c>
      <c r="F6" s="427"/>
      <c r="G6" s="428" t="s">
        <v>311</v>
      </c>
      <c r="H6" s="430"/>
      <c r="I6" s="440" t="s">
        <v>315</v>
      </c>
      <c r="J6" s="429"/>
      <c r="K6" s="88"/>
      <c r="L6" s="88"/>
      <c r="M6" s="88"/>
      <c r="N6" s="88"/>
      <c r="O6" s="88"/>
      <c r="P6" s="88"/>
      <c r="Q6" s="88"/>
      <c r="R6" s="88"/>
      <c r="S6" s="88"/>
      <c r="T6" s="88"/>
      <c r="U6" s="88"/>
      <c r="V6" s="88"/>
      <c r="W6" s="88"/>
      <c r="X6" s="88"/>
      <c r="Y6" s="433"/>
      <c r="Z6" s="433"/>
      <c r="AA6" s="433"/>
      <c r="AB6" s="433"/>
      <c r="AC6" s="433"/>
      <c r="AD6" s="433"/>
      <c r="AE6" s="433"/>
      <c r="AF6" s="433"/>
      <c r="AG6" s="433"/>
      <c r="AH6" s="433"/>
      <c r="AI6" s="433"/>
      <c r="AJ6" s="433"/>
      <c r="AK6" s="433"/>
      <c r="AL6" s="433"/>
      <c r="AM6" s="433"/>
      <c r="AN6" s="433"/>
      <c r="AO6" s="433"/>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
      <c r="A7" s="88"/>
      <c r="B7" s="436"/>
      <c r="C7" s="438"/>
      <c r="D7" s="435">
        <v>8.9999999999999993E-3</v>
      </c>
      <c r="E7" s="426" t="s">
        <v>161</v>
      </c>
      <c r="F7" s="430"/>
      <c r="G7" s="428" t="s">
        <v>312</v>
      </c>
      <c r="H7" s="430"/>
      <c r="I7" s="255"/>
      <c r="J7" s="429"/>
      <c r="K7" s="88"/>
      <c r="L7" s="88"/>
      <c r="M7" s="88"/>
      <c r="N7" s="88"/>
      <c r="O7" s="88"/>
      <c r="P7" s="88"/>
      <c r="Q7" s="88"/>
      <c r="R7" s="88"/>
      <c r="S7" s="88"/>
      <c r="T7" s="88"/>
      <c r="U7" s="88"/>
      <c r="V7" s="88"/>
      <c r="W7" s="88"/>
      <c r="X7" s="88"/>
      <c r="Y7" s="88"/>
      <c r="Z7" s="88"/>
      <c r="AA7" s="88"/>
      <c r="AB7" s="88"/>
      <c r="AC7" s="88"/>
      <c r="AD7" s="88"/>
      <c r="AE7" s="88"/>
      <c r="AF7" s="88"/>
      <c r="AG7" s="409"/>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75" thickBot="1" x14ac:dyDescent="0.35">
      <c r="A8" s="100"/>
      <c r="B8" s="255"/>
      <c r="C8" s="439"/>
      <c r="D8" s="431"/>
      <c r="E8" s="431"/>
      <c r="F8" s="431"/>
      <c r="G8" s="431"/>
      <c r="H8" s="431"/>
      <c r="I8" s="431"/>
      <c r="J8" s="432"/>
      <c r="K8" s="88"/>
      <c r="L8" s="88"/>
      <c r="M8" s="88"/>
      <c r="N8" s="202"/>
      <c r="O8" s="202"/>
      <c r="P8" s="202"/>
      <c r="Q8" s="202"/>
      <c r="R8" s="202"/>
      <c r="S8" s="202"/>
      <c r="T8" s="202"/>
      <c r="U8" s="202"/>
      <c r="V8" s="202"/>
      <c r="W8" s="409"/>
      <c r="X8" s="88"/>
      <c r="Y8" s="88"/>
      <c r="Z8" s="88"/>
      <c r="AA8" s="88"/>
      <c r="AB8" s="88"/>
      <c r="AC8" s="88"/>
      <c r="AD8" s="88"/>
      <c r="AE8" s="88"/>
      <c r="AF8" s="88"/>
      <c r="AG8" s="409"/>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
      <c r="A9" s="100"/>
      <c r="B9" s="88"/>
      <c r="C9" s="420"/>
      <c r="D9" s="88"/>
      <c r="E9" s="88"/>
      <c r="F9" s="88"/>
      <c r="G9" s="88"/>
      <c r="H9" s="88"/>
      <c r="I9" s="88"/>
      <c r="J9" s="88"/>
      <c r="K9" s="88"/>
      <c r="L9" s="88"/>
      <c r="M9" s="88"/>
      <c r="N9" s="88"/>
      <c r="O9" s="88"/>
      <c r="P9" s="88"/>
      <c r="Q9" s="88"/>
      <c r="R9" s="88"/>
      <c r="S9" s="88"/>
      <c r="T9" s="88"/>
      <c r="U9" s="88"/>
      <c r="V9" s="88"/>
      <c r="W9" s="409"/>
      <c r="X9" s="88"/>
      <c r="Y9" s="88"/>
      <c r="Z9" s="88"/>
      <c r="AA9" s="88"/>
      <c r="AB9" s="88"/>
      <c r="AC9" s="88"/>
      <c r="AD9" s="88"/>
      <c r="AE9" s="88"/>
      <c r="AF9" s="88"/>
      <c r="AG9" s="409"/>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35">
      <c r="A10" s="100"/>
      <c r="B10" s="89"/>
      <c r="C10" s="88"/>
      <c r="D10" s="88"/>
      <c r="E10" s="88"/>
      <c r="F10" s="88"/>
      <c r="G10" s="88"/>
      <c r="H10" s="88"/>
      <c r="I10" s="88"/>
      <c r="J10" s="88"/>
      <c r="K10" s="88"/>
      <c r="L10" s="88"/>
      <c r="M10" s="88"/>
      <c r="N10" s="88"/>
      <c r="O10" s="88"/>
      <c r="P10" s="88"/>
      <c r="Q10" s="88"/>
      <c r="R10" s="88"/>
      <c r="S10" s="88"/>
      <c r="T10" s="88"/>
      <c r="U10" s="88"/>
      <c r="V10" s="88"/>
      <c r="W10" s="409"/>
      <c r="X10" s="88"/>
      <c r="Y10" s="88"/>
      <c r="Z10" s="88"/>
      <c r="AA10" s="88"/>
      <c r="AB10" s="88"/>
      <c r="AC10" s="88"/>
      <c r="AD10" s="88"/>
      <c r="AE10" s="88"/>
      <c r="AF10" s="88"/>
      <c r="AG10" s="409"/>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
      <c r="A11" s="100"/>
      <c r="B11" s="255"/>
      <c r="C11" s="88"/>
      <c r="D11" s="266">
        <v>2014</v>
      </c>
      <c r="E11" s="267">
        <v>2016</v>
      </c>
      <c r="F11" s="267">
        <v>2018</v>
      </c>
      <c r="G11" s="267">
        <v>2020</v>
      </c>
      <c r="H11" s="267">
        <v>2022</v>
      </c>
      <c r="I11" s="267">
        <v>2024</v>
      </c>
      <c r="J11" s="267">
        <v>2026</v>
      </c>
      <c r="K11" s="267">
        <v>2028</v>
      </c>
      <c r="L11" s="267">
        <v>2030</v>
      </c>
      <c r="M11" s="267">
        <v>2032</v>
      </c>
      <c r="N11" s="267">
        <v>2034</v>
      </c>
      <c r="O11" s="267">
        <v>2036</v>
      </c>
      <c r="P11" s="267">
        <v>2038</v>
      </c>
      <c r="Q11" s="267">
        <v>2040</v>
      </c>
      <c r="R11" s="267">
        <v>2042</v>
      </c>
      <c r="S11" s="267">
        <v>2044</v>
      </c>
      <c r="T11" s="267">
        <v>2046</v>
      </c>
      <c r="U11" s="267">
        <v>2048</v>
      </c>
      <c r="V11" s="268">
        <v>2050</v>
      </c>
      <c r="W11" s="409"/>
      <c r="X11" s="255"/>
      <c r="Y11" s="88"/>
      <c r="Z11" s="266">
        <v>2014</v>
      </c>
      <c r="AA11" s="267">
        <v>2016</v>
      </c>
      <c r="AB11" s="267">
        <v>2018</v>
      </c>
      <c r="AC11" s="267">
        <v>2020</v>
      </c>
      <c r="AD11" s="267">
        <v>2022</v>
      </c>
      <c r="AE11" s="267">
        <v>2024</v>
      </c>
      <c r="AF11" s="267">
        <v>2026</v>
      </c>
      <c r="AG11" s="267">
        <v>2028</v>
      </c>
      <c r="AH11" s="267">
        <v>2030</v>
      </c>
      <c r="AI11" s="267">
        <v>2032</v>
      </c>
      <c r="AJ11" s="267">
        <v>2034</v>
      </c>
      <c r="AK11" s="267">
        <v>2036</v>
      </c>
      <c r="AL11" s="267">
        <v>2038</v>
      </c>
      <c r="AM11" s="267">
        <v>2040</v>
      </c>
      <c r="AN11" s="267">
        <v>2042</v>
      </c>
      <c r="AO11" s="267">
        <v>2044</v>
      </c>
      <c r="AP11" s="267">
        <v>2046</v>
      </c>
      <c r="AQ11" s="267">
        <v>2048</v>
      </c>
      <c r="AR11" s="268">
        <v>2050</v>
      </c>
      <c r="AS11" s="89"/>
      <c r="AT11" s="94"/>
      <c r="AU11" s="94"/>
      <c r="AV11" s="94"/>
      <c r="AW11" s="94"/>
      <c r="AX11" s="94"/>
      <c r="AY11" s="94"/>
      <c r="AZ11" s="89"/>
      <c r="BA11" s="89"/>
      <c r="BB11" s="89"/>
      <c r="BC11" s="89"/>
      <c r="BD11" s="89"/>
      <c r="BE11" s="89"/>
      <c r="BF11" s="89"/>
    </row>
    <row r="12" spans="1:121" ht="19.5" customHeight="1" x14ac:dyDescent="0.3">
      <c r="A12" s="100"/>
      <c r="B12" s="256"/>
      <c r="C12" s="257" t="s">
        <v>110</v>
      </c>
      <c r="D12" s="269">
        <v>14057.532827154573</v>
      </c>
      <c r="E12" s="258">
        <f>D12*(1-$D$5)^2</f>
        <v>13226.732637069737</v>
      </c>
      <c r="F12" s="258">
        <f t="shared" ref="F12:V12" si="0">E12*(1-$D$5)^2</f>
        <v>12445.032738218915</v>
      </c>
      <c r="G12" s="258">
        <f t="shared" si="0"/>
        <v>11709.531303390177</v>
      </c>
      <c r="H12" s="258">
        <f t="shared" si="0"/>
        <v>11017.498003359817</v>
      </c>
      <c r="I12" s="258">
        <f t="shared" si="0"/>
        <v>10366.363871361251</v>
      </c>
      <c r="J12" s="258">
        <f t="shared" si="0"/>
        <v>9753.7117665637998</v>
      </c>
      <c r="K12" s="258">
        <f t="shared" si="0"/>
        <v>9177.2674011598792</v>
      </c>
      <c r="L12" s="258">
        <f t="shared" si="0"/>
        <v>8634.8908977513292</v>
      </c>
      <c r="M12" s="258">
        <f t="shared" si="0"/>
        <v>8124.5688456942253</v>
      </c>
      <c r="N12" s="258">
        <f t="shared" si="0"/>
        <v>7644.406826913696</v>
      </c>
      <c r="O12" s="258">
        <f t="shared" si="0"/>
        <v>7192.6223834430966</v>
      </c>
      <c r="P12" s="258">
        <f t="shared" si="0"/>
        <v>6767.5384005816095</v>
      </c>
      <c r="Q12" s="258">
        <f t="shared" si="0"/>
        <v>6367.5768811072357</v>
      </c>
      <c r="R12" s="258">
        <f t="shared" si="0"/>
        <v>5991.2530874337981</v>
      </c>
      <c r="S12" s="258">
        <f t="shared" si="0"/>
        <v>5637.1700299664608</v>
      </c>
      <c r="T12" s="258">
        <f t="shared" si="0"/>
        <v>5304.0132811954427</v>
      </c>
      <c r="U12" s="258">
        <f t="shared" si="0"/>
        <v>4990.546096276792</v>
      </c>
      <c r="V12" s="258">
        <f t="shared" si="0"/>
        <v>4695.6048219868335</v>
      </c>
      <c r="W12" s="254"/>
      <c r="X12" s="256"/>
      <c r="Y12" s="257" t="s">
        <v>110</v>
      </c>
      <c r="Z12" s="269">
        <v>4196.0970660021721</v>
      </c>
      <c r="AA12" s="258">
        <f>Z12*(1-$D$6)^2</f>
        <v>4071.1582758619575</v>
      </c>
      <c r="AB12" s="258">
        <f t="shared" ref="AB12:AR12" si="1">AA12*(1-$D$6)^2</f>
        <v>3949.9395381981676</v>
      </c>
      <c r="AC12" s="258">
        <f t="shared" si="1"/>
        <v>3832.3300884483174</v>
      </c>
      <c r="AD12" s="258">
        <f t="shared" si="1"/>
        <v>3718.2224600647687</v>
      </c>
      <c r="AE12" s="258">
        <f t="shared" si="1"/>
        <v>3607.5123863163403</v>
      </c>
      <c r="AF12" s="258">
        <f t="shared" si="1"/>
        <v>3500.0987050137715</v>
      </c>
      <c r="AG12" s="258">
        <f t="shared" si="1"/>
        <v>3395.8832660719863</v>
      </c>
      <c r="AH12" s="258">
        <f t="shared" si="1"/>
        <v>3294.770841824693</v>
      </c>
      <c r="AI12" s="258">
        <f t="shared" si="1"/>
        <v>3196.6690400093626</v>
      </c>
      <c r="AJ12" s="258">
        <f t="shared" si="1"/>
        <v>3101.488219343084</v>
      </c>
      <c r="AK12" s="258">
        <f t="shared" si="1"/>
        <v>3009.1414076121437</v>
      </c>
      <c r="AL12" s="258">
        <f t="shared" si="1"/>
        <v>2919.5442222004922</v>
      </c>
      <c r="AM12" s="258">
        <f t="shared" si="1"/>
        <v>2832.6147929844724</v>
      </c>
      <c r="AN12" s="258">
        <f t="shared" si="1"/>
        <v>2748.2736875233595</v>
      </c>
      <c r="AO12" s="258">
        <f t="shared" si="1"/>
        <v>2666.4438384773516</v>
      </c>
      <c r="AP12" s="258">
        <f t="shared" si="1"/>
        <v>2587.0504731866886</v>
      </c>
      <c r="AQ12" s="258">
        <f t="shared" si="1"/>
        <v>2510.0210453475547</v>
      </c>
      <c r="AR12" s="258">
        <f t="shared" si="1"/>
        <v>2435.2851687223315</v>
      </c>
      <c r="AS12" s="89"/>
      <c r="AT12" s="94"/>
      <c r="AU12" s="94"/>
      <c r="AV12" s="94"/>
      <c r="AW12" s="94"/>
      <c r="AX12" s="94"/>
      <c r="AY12" s="94"/>
      <c r="AZ12" s="89"/>
      <c r="BA12" s="89"/>
      <c r="BB12" s="89"/>
      <c r="BC12" s="89"/>
      <c r="BD12" s="89"/>
      <c r="BE12" s="89"/>
      <c r="BF12" s="89"/>
    </row>
    <row r="13" spans="1:121" ht="20.25" customHeight="1" x14ac:dyDescent="0.3">
      <c r="A13" s="100"/>
      <c r="B13" s="210" t="s">
        <v>173</v>
      </c>
      <c r="C13" s="259" t="s">
        <v>112</v>
      </c>
      <c r="D13" s="271">
        <v>0</v>
      </c>
      <c r="E13" s="258">
        <v>0</v>
      </c>
      <c r="F13" s="258">
        <v>0</v>
      </c>
      <c r="G13" s="258">
        <v>0</v>
      </c>
      <c r="H13" s="258">
        <v>0</v>
      </c>
      <c r="I13" s="258">
        <v>0</v>
      </c>
      <c r="J13" s="258">
        <v>0</v>
      </c>
      <c r="K13" s="258">
        <v>0</v>
      </c>
      <c r="L13" s="258">
        <v>0</v>
      </c>
      <c r="M13" s="258">
        <v>0</v>
      </c>
      <c r="N13" s="258">
        <v>0</v>
      </c>
      <c r="O13" s="258">
        <v>0</v>
      </c>
      <c r="P13" s="258">
        <v>0</v>
      </c>
      <c r="Q13" s="258">
        <v>0</v>
      </c>
      <c r="R13" s="258">
        <v>0</v>
      </c>
      <c r="S13" s="258">
        <v>0</v>
      </c>
      <c r="T13" s="258">
        <v>0</v>
      </c>
      <c r="U13" s="258">
        <v>0</v>
      </c>
      <c r="V13" s="270">
        <v>0</v>
      </c>
      <c r="W13" s="88"/>
      <c r="X13" s="210" t="s">
        <v>174</v>
      </c>
      <c r="Y13" s="259" t="s">
        <v>112</v>
      </c>
      <c r="Z13" s="271">
        <v>0</v>
      </c>
      <c r="AA13" s="258">
        <v>0</v>
      </c>
      <c r="AB13" s="258">
        <v>0</v>
      </c>
      <c r="AC13" s="258">
        <v>0</v>
      </c>
      <c r="AD13" s="258">
        <v>0</v>
      </c>
      <c r="AE13" s="258">
        <v>0</v>
      </c>
      <c r="AF13" s="258">
        <v>0</v>
      </c>
      <c r="AG13" s="258">
        <v>0</v>
      </c>
      <c r="AH13" s="258">
        <v>0</v>
      </c>
      <c r="AI13" s="258">
        <v>0</v>
      </c>
      <c r="AJ13" s="258">
        <v>0</v>
      </c>
      <c r="AK13" s="258">
        <v>0</v>
      </c>
      <c r="AL13" s="258">
        <v>0</v>
      </c>
      <c r="AM13" s="258">
        <v>0</v>
      </c>
      <c r="AN13" s="258">
        <v>0</v>
      </c>
      <c r="AO13" s="258">
        <v>0</v>
      </c>
      <c r="AP13" s="258">
        <v>0</v>
      </c>
      <c r="AQ13" s="258">
        <v>0</v>
      </c>
      <c r="AR13" s="258">
        <v>0</v>
      </c>
      <c r="AS13" s="89"/>
      <c r="AT13" s="94"/>
      <c r="AU13" s="94"/>
      <c r="AV13" s="94"/>
      <c r="AW13" s="94"/>
      <c r="AX13" s="94"/>
      <c r="AY13" s="94"/>
      <c r="AZ13" s="89"/>
      <c r="BA13" s="89"/>
      <c r="BB13" s="89"/>
      <c r="BC13" s="89"/>
      <c r="BD13" s="89"/>
      <c r="BE13" s="89"/>
      <c r="BF13" s="89"/>
    </row>
    <row r="14" spans="1:121" ht="20.25" customHeight="1" x14ac:dyDescent="0.3">
      <c r="A14" s="100"/>
      <c r="B14" s="260" t="s">
        <v>157</v>
      </c>
      <c r="C14" s="259" t="s">
        <v>162</v>
      </c>
      <c r="D14" s="272">
        <v>0.02</v>
      </c>
      <c r="E14" s="261">
        <v>0.02</v>
      </c>
      <c r="F14" s="261">
        <v>0.02</v>
      </c>
      <c r="G14" s="261">
        <v>0.02</v>
      </c>
      <c r="H14" s="261">
        <v>0.02</v>
      </c>
      <c r="I14" s="261">
        <v>0.02</v>
      </c>
      <c r="J14" s="261">
        <v>0.02</v>
      </c>
      <c r="K14" s="261">
        <v>0.02</v>
      </c>
      <c r="L14" s="261">
        <v>0.02</v>
      </c>
      <c r="M14" s="261">
        <v>0.02</v>
      </c>
      <c r="N14" s="261">
        <v>0.02</v>
      </c>
      <c r="O14" s="261">
        <v>0.02</v>
      </c>
      <c r="P14" s="261">
        <v>0.02</v>
      </c>
      <c r="Q14" s="261">
        <v>0.02</v>
      </c>
      <c r="R14" s="261">
        <v>0.02</v>
      </c>
      <c r="S14" s="261">
        <v>0.02</v>
      </c>
      <c r="T14" s="261">
        <v>0.02</v>
      </c>
      <c r="U14" s="261">
        <v>0.02</v>
      </c>
      <c r="V14" s="273">
        <v>0.02</v>
      </c>
      <c r="W14" s="88"/>
      <c r="X14" s="260" t="s">
        <v>157</v>
      </c>
      <c r="Y14" s="259" t="s">
        <v>162</v>
      </c>
      <c r="Z14" s="272">
        <v>0.02</v>
      </c>
      <c r="AA14" s="261">
        <v>0.02</v>
      </c>
      <c r="AB14" s="261">
        <v>0.02</v>
      </c>
      <c r="AC14" s="261">
        <v>0.02</v>
      </c>
      <c r="AD14" s="261">
        <v>0.02</v>
      </c>
      <c r="AE14" s="261">
        <v>0.02</v>
      </c>
      <c r="AF14" s="261">
        <v>0.02</v>
      </c>
      <c r="AG14" s="261">
        <v>0.02</v>
      </c>
      <c r="AH14" s="261">
        <v>0.02</v>
      </c>
      <c r="AI14" s="261">
        <v>0.02</v>
      </c>
      <c r="AJ14" s="261">
        <v>0.02</v>
      </c>
      <c r="AK14" s="261">
        <v>0.02</v>
      </c>
      <c r="AL14" s="261">
        <v>0.02</v>
      </c>
      <c r="AM14" s="261">
        <v>0.02</v>
      </c>
      <c r="AN14" s="261">
        <v>0.02</v>
      </c>
      <c r="AO14" s="261">
        <v>0.02</v>
      </c>
      <c r="AP14" s="261">
        <v>0.02</v>
      </c>
      <c r="AQ14" s="261">
        <v>0.02</v>
      </c>
      <c r="AR14" s="261">
        <v>0.02</v>
      </c>
      <c r="AS14" s="89"/>
      <c r="AT14" s="94"/>
      <c r="AU14" s="94"/>
      <c r="AV14" s="94"/>
      <c r="AW14" s="94"/>
      <c r="AX14" s="94"/>
      <c r="AY14" s="94"/>
      <c r="AZ14" s="89"/>
      <c r="BA14" s="89"/>
      <c r="BB14" s="89"/>
      <c r="BC14" s="89"/>
      <c r="BD14" s="89"/>
      <c r="BE14" s="89"/>
      <c r="BF14" s="89"/>
    </row>
    <row r="15" spans="1:121" ht="14.25" customHeight="1" x14ac:dyDescent="0.3">
      <c r="A15" s="100"/>
      <c r="B15" s="262"/>
      <c r="C15" s="259" t="s">
        <v>111</v>
      </c>
      <c r="D15" s="274">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2"/>
      <c r="Y15" s="259" t="s">
        <v>111</v>
      </c>
      <c r="Z15" s="274">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x14ac:dyDescent="0.35">
      <c r="A16" s="88"/>
      <c r="B16" s="129"/>
      <c r="C16" s="263" t="s">
        <v>195</v>
      </c>
      <c r="D16" s="275">
        <v>336</v>
      </c>
      <c r="E16" s="336">
        <f>D16</f>
        <v>336</v>
      </c>
      <c r="F16" s="336">
        <f t="shared" ref="F16:V16" si="4">E16</f>
        <v>336</v>
      </c>
      <c r="G16" s="336">
        <f t="shared" si="4"/>
        <v>336</v>
      </c>
      <c r="H16" s="336">
        <f t="shared" si="4"/>
        <v>336</v>
      </c>
      <c r="I16" s="336">
        <f t="shared" si="4"/>
        <v>336</v>
      </c>
      <c r="J16" s="336">
        <f t="shared" si="4"/>
        <v>336</v>
      </c>
      <c r="K16" s="336">
        <f t="shared" si="4"/>
        <v>336</v>
      </c>
      <c r="L16" s="336">
        <f t="shared" si="4"/>
        <v>336</v>
      </c>
      <c r="M16" s="336">
        <f t="shared" si="4"/>
        <v>336</v>
      </c>
      <c r="N16" s="336">
        <f t="shared" si="4"/>
        <v>336</v>
      </c>
      <c r="O16" s="336">
        <f t="shared" si="4"/>
        <v>336</v>
      </c>
      <c r="P16" s="336">
        <f t="shared" si="4"/>
        <v>336</v>
      </c>
      <c r="Q16" s="336">
        <f t="shared" si="4"/>
        <v>336</v>
      </c>
      <c r="R16" s="336">
        <f t="shared" si="4"/>
        <v>336</v>
      </c>
      <c r="S16" s="336">
        <f t="shared" si="4"/>
        <v>336</v>
      </c>
      <c r="T16" s="336">
        <f t="shared" si="4"/>
        <v>336</v>
      </c>
      <c r="U16" s="336">
        <f t="shared" si="4"/>
        <v>336</v>
      </c>
      <c r="V16" s="336">
        <f t="shared" si="4"/>
        <v>336</v>
      </c>
      <c r="W16" s="88"/>
      <c r="X16" s="129"/>
      <c r="Y16" s="263" t="s">
        <v>195</v>
      </c>
      <c r="Z16" s="275">
        <v>10.757999999999999</v>
      </c>
      <c r="AA16" s="276">
        <f>Z16</f>
        <v>10.757999999999999</v>
      </c>
      <c r="AB16" s="276">
        <f t="shared" ref="AB16:AR16" si="5">AA16</f>
        <v>10.757999999999999</v>
      </c>
      <c r="AC16" s="276">
        <f t="shared" si="5"/>
        <v>10.757999999999999</v>
      </c>
      <c r="AD16" s="276">
        <f t="shared" si="5"/>
        <v>10.757999999999999</v>
      </c>
      <c r="AE16" s="276">
        <f t="shared" si="5"/>
        <v>10.757999999999999</v>
      </c>
      <c r="AF16" s="276">
        <f t="shared" si="5"/>
        <v>10.757999999999999</v>
      </c>
      <c r="AG16" s="276">
        <f t="shared" si="5"/>
        <v>10.757999999999999</v>
      </c>
      <c r="AH16" s="276">
        <f t="shared" si="5"/>
        <v>10.757999999999999</v>
      </c>
      <c r="AI16" s="276">
        <f t="shared" si="5"/>
        <v>10.757999999999999</v>
      </c>
      <c r="AJ16" s="276">
        <f t="shared" si="5"/>
        <v>10.757999999999999</v>
      </c>
      <c r="AK16" s="276">
        <f t="shared" si="5"/>
        <v>10.757999999999999</v>
      </c>
      <c r="AL16" s="276">
        <f t="shared" si="5"/>
        <v>10.757999999999999</v>
      </c>
      <c r="AM16" s="276">
        <f t="shared" si="5"/>
        <v>10.757999999999999</v>
      </c>
      <c r="AN16" s="276">
        <f t="shared" si="5"/>
        <v>10.757999999999999</v>
      </c>
      <c r="AO16" s="276">
        <f t="shared" si="5"/>
        <v>10.757999999999999</v>
      </c>
      <c r="AP16" s="276">
        <f t="shared" si="5"/>
        <v>10.757999999999999</v>
      </c>
      <c r="AQ16" s="276">
        <f t="shared" si="5"/>
        <v>10.757999999999999</v>
      </c>
      <c r="AR16" s="276">
        <f t="shared" si="5"/>
        <v>10.757999999999999</v>
      </c>
      <c r="AS16" s="94"/>
      <c r="AT16" s="94"/>
      <c r="AU16" s="94"/>
      <c r="AV16" s="94"/>
      <c r="AW16" s="94"/>
      <c r="AX16" s="94"/>
      <c r="AY16" s="94"/>
      <c r="AZ16" s="93"/>
      <c r="BA16" s="89"/>
      <c r="BB16" s="89"/>
      <c r="BC16" s="89"/>
      <c r="BD16" s="89"/>
      <c r="BE16" s="89"/>
      <c r="BF16" s="89"/>
      <c r="BG16" s="89"/>
      <c r="BH16" s="89"/>
    </row>
    <row r="17" spans="1:62" ht="15.75" thickBot="1" x14ac:dyDescent="0.35">
      <c r="A17" s="88"/>
      <c r="B17" s="88"/>
      <c r="C17" s="264"/>
      <c r="D17" s="265"/>
      <c r="E17" s="265"/>
      <c r="F17" s="265"/>
      <c r="G17" s="265"/>
      <c r="H17" s="265"/>
      <c r="I17" s="265"/>
      <c r="J17" s="265"/>
      <c r="K17" s="265"/>
      <c r="L17" s="265"/>
      <c r="M17" s="265"/>
      <c r="N17" s="265"/>
      <c r="O17" s="265"/>
      <c r="P17" s="265"/>
      <c r="Q17" s="265"/>
      <c r="R17" s="265"/>
      <c r="S17" s="265"/>
      <c r="T17" s="265"/>
      <c r="U17" s="265"/>
      <c r="V17" s="265"/>
      <c r="W17" s="265"/>
      <c r="X17" s="265"/>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x14ac:dyDescent="0.3">
      <c r="A18" s="88"/>
      <c r="B18" s="255"/>
      <c r="C18" s="88"/>
      <c r="D18" s="266">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88"/>
      <c r="X18" s="255"/>
      <c r="Y18" s="88"/>
      <c r="Z18" s="266">
        <v>2014</v>
      </c>
      <c r="AA18" s="267">
        <v>2016</v>
      </c>
      <c r="AB18" s="267">
        <v>2018</v>
      </c>
      <c r="AC18" s="267">
        <v>2020</v>
      </c>
      <c r="AD18" s="267">
        <v>2022</v>
      </c>
      <c r="AE18" s="267">
        <v>2024</v>
      </c>
      <c r="AF18" s="267">
        <v>2026</v>
      </c>
      <c r="AG18" s="267">
        <v>2028</v>
      </c>
      <c r="AH18" s="267">
        <v>2030</v>
      </c>
      <c r="AI18" s="267">
        <v>2032</v>
      </c>
      <c r="AJ18" s="267">
        <v>2034</v>
      </c>
      <c r="AK18" s="267">
        <v>2036</v>
      </c>
      <c r="AL18" s="267">
        <v>2038</v>
      </c>
      <c r="AM18" s="267">
        <v>2040</v>
      </c>
      <c r="AN18" s="267">
        <v>2042</v>
      </c>
      <c r="AO18" s="267">
        <v>2044</v>
      </c>
      <c r="AP18" s="267">
        <v>2046</v>
      </c>
      <c r="AQ18" s="267">
        <v>2048</v>
      </c>
      <c r="AR18" s="268">
        <v>2050</v>
      </c>
      <c r="AS18" s="89"/>
      <c r="AT18" s="94"/>
      <c r="AU18" s="94"/>
      <c r="AV18" s="94"/>
      <c r="AW18" s="94"/>
      <c r="AX18" s="94"/>
      <c r="AY18" s="94"/>
      <c r="AZ18" s="95"/>
      <c r="BA18" s="96"/>
      <c r="BB18" s="93"/>
      <c r="BC18" s="89"/>
      <c r="BD18" s="89"/>
      <c r="BE18" s="89"/>
      <c r="BF18" s="89"/>
      <c r="BG18" s="89"/>
      <c r="BH18" s="89"/>
      <c r="BI18" s="89"/>
      <c r="BJ18" s="89"/>
    </row>
    <row r="19" spans="1:62" ht="16.5" x14ac:dyDescent="0.3">
      <c r="A19" s="88"/>
      <c r="B19" s="256"/>
      <c r="C19" s="257" t="s">
        <v>110</v>
      </c>
      <c r="D19" s="271">
        <v>8006.4074732891868</v>
      </c>
      <c r="E19" s="258">
        <f>D19*(1-$D$5)^2</f>
        <v>7533.2287916177957</v>
      </c>
      <c r="F19" s="258">
        <f t="shared" ref="F19:V19" si="6">E19*(1-$D$5)^2</f>
        <v>7088.014970033184</v>
      </c>
      <c r="G19" s="258">
        <f t="shared" si="6"/>
        <v>6669.1132853042227</v>
      </c>
      <c r="H19" s="258">
        <f t="shared" si="6"/>
        <v>6274.9686901427431</v>
      </c>
      <c r="I19" s="258">
        <f t="shared" si="6"/>
        <v>5904.1180405553068</v>
      </c>
      <c r="J19" s="258">
        <f t="shared" si="6"/>
        <v>5555.1846643584877</v>
      </c>
      <c r="K19" s="258">
        <f t="shared" si="6"/>
        <v>5226.8732506949009</v>
      </c>
      <c r="L19" s="258">
        <f t="shared" si="6"/>
        <v>4917.9650415788319</v>
      </c>
      <c r="M19" s="258">
        <f t="shared" si="6"/>
        <v>4627.3133076215227</v>
      </c>
      <c r="N19" s="258">
        <f t="shared" si="6"/>
        <v>4353.8390911410906</v>
      </c>
      <c r="O19" s="258">
        <f t="shared" si="6"/>
        <v>4096.5272008546517</v>
      </c>
      <c r="P19" s="258">
        <f t="shared" si="6"/>
        <v>3854.4224432841415</v>
      </c>
      <c r="Q19" s="258">
        <f t="shared" si="6"/>
        <v>3626.6260768860484</v>
      </c>
      <c r="R19" s="258">
        <f t="shared" si="6"/>
        <v>3412.2924757420828</v>
      </c>
      <c r="S19" s="258">
        <f t="shared" si="6"/>
        <v>3210.6259904257258</v>
      </c>
      <c r="T19" s="258">
        <f t="shared" si="6"/>
        <v>3020.8779943915652</v>
      </c>
      <c r="U19" s="258">
        <f t="shared" si="6"/>
        <v>2842.3441049230237</v>
      </c>
      <c r="V19" s="258">
        <f t="shared" si="6"/>
        <v>2674.3615683220728</v>
      </c>
      <c r="W19" s="88"/>
      <c r="X19" s="256"/>
      <c r="Y19" s="257" t="s">
        <v>110</v>
      </c>
      <c r="Z19" s="269">
        <v>3471.5567121367853</v>
      </c>
      <c r="AA19" s="258">
        <f>Z19*(1-$D$6)^2</f>
        <v>3368.1911110329124</v>
      </c>
      <c r="AB19" s="258">
        <f t="shared" ref="AB19:AR19" si="7">AA19*(1-$D$6)^2</f>
        <v>3267.9032207019077</v>
      </c>
      <c r="AC19" s="258">
        <f t="shared" si="7"/>
        <v>3170.6014023055086</v>
      </c>
      <c r="AD19" s="258">
        <f t="shared" si="7"/>
        <v>3076.196745551862</v>
      </c>
      <c r="AE19" s="258">
        <f t="shared" si="7"/>
        <v>2984.6029874530554</v>
      </c>
      <c r="AF19" s="258">
        <f t="shared" si="7"/>
        <v>2895.7364335016409</v>
      </c>
      <c r="AG19" s="258">
        <f t="shared" si="7"/>
        <v>2809.5158811941296</v>
      </c>
      <c r="AH19" s="258">
        <f t="shared" si="7"/>
        <v>2725.8625458315746</v>
      </c>
      <c r="AI19" s="258">
        <f t="shared" si="7"/>
        <v>2644.6999885294395</v>
      </c>
      <c r="AJ19" s="258">
        <f t="shared" si="7"/>
        <v>2565.9540463709754</v>
      </c>
      <c r="AK19" s="258">
        <f t="shared" si="7"/>
        <v>2489.5527646402797</v>
      </c>
      <c r="AL19" s="258">
        <f t="shared" si="7"/>
        <v>2415.4263310731153</v>
      </c>
      <c r="AM19" s="258">
        <f t="shared" si="7"/>
        <v>2343.5070120654132</v>
      </c>
      <c r="AN19" s="258">
        <f t="shared" si="7"/>
        <v>2273.7290907811657</v>
      </c>
      <c r="AO19" s="258">
        <f t="shared" si="7"/>
        <v>2206.0288071031564</v>
      </c>
      <c r="AP19" s="258">
        <f t="shared" si="7"/>
        <v>2140.3442993716599</v>
      </c>
      <c r="AQ19" s="258">
        <f t="shared" si="7"/>
        <v>2076.6155478578689</v>
      </c>
      <c r="AR19" s="258">
        <f t="shared" si="7"/>
        <v>2014.784319920401</v>
      </c>
      <c r="AS19" s="89"/>
      <c r="AT19" s="94"/>
      <c r="AU19" s="94"/>
      <c r="AV19" s="94"/>
      <c r="AW19" s="94"/>
      <c r="AX19" s="94"/>
      <c r="AY19" s="94"/>
      <c r="AZ19" s="95"/>
      <c r="BA19" s="96"/>
      <c r="BB19" s="93"/>
      <c r="BC19" s="89"/>
      <c r="BD19" s="89"/>
      <c r="BE19" s="89"/>
      <c r="BF19" s="89"/>
      <c r="BG19" s="89"/>
      <c r="BH19" s="89"/>
      <c r="BI19" s="89"/>
      <c r="BJ19" s="89"/>
    </row>
    <row r="20" spans="1:62" ht="20.25" x14ac:dyDescent="0.3">
      <c r="A20" s="88"/>
      <c r="B20" s="210" t="s">
        <v>114</v>
      </c>
      <c r="C20" s="259" t="s">
        <v>112</v>
      </c>
      <c r="D20" s="271">
        <v>0</v>
      </c>
      <c r="E20" s="258">
        <v>0</v>
      </c>
      <c r="F20" s="258">
        <v>0</v>
      </c>
      <c r="G20" s="258">
        <v>0</v>
      </c>
      <c r="H20" s="258">
        <v>0</v>
      </c>
      <c r="I20" s="258">
        <v>0</v>
      </c>
      <c r="J20" s="258">
        <v>0</v>
      </c>
      <c r="K20" s="258">
        <v>0</v>
      </c>
      <c r="L20" s="258">
        <v>0</v>
      </c>
      <c r="M20" s="258">
        <v>0</v>
      </c>
      <c r="N20" s="258">
        <v>0</v>
      </c>
      <c r="O20" s="258">
        <v>0</v>
      </c>
      <c r="P20" s="258">
        <v>0</v>
      </c>
      <c r="Q20" s="258">
        <v>0</v>
      </c>
      <c r="R20" s="258">
        <v>0</v>
      </c>
      <c r="S20" s="258">
        <v>0</v>
      </c>
      <c r="T20" s="258">
        <v>0</v>
      </c>
      <c r="U20" s="258">
        <v>0</v>
      </c>
      <c r="V20" s="258">
        <v>0</v>
      </c>
      <c r="W20" s="88"/>
      <c r="X20" s="210" t="s">
        <v>136</v>
      </c>
      <c r="Y20" s="259" t="s">
        <v>112</v>
      </c>
      <c r="Z20" s="271">
        <v>0</v>
      </c>
      <c r="AA20" s="258">
        <v>0</v>
      </c>
      <c r="AB20" s="258">
        <v>0</v>
      </c>
      <c r="AC20" s="258">
        <v>0</v>
      </c>
      <c r="AD20" s="258">
        <v>0</v>
      </c>
      <c r="AE20" s="258">
        <v>0</v>
      </c>
      <c r="AF20" s="258">
        <v>0</v>
      </c>
      <c r="AG20" s="258">
        <v>0</v>
      </c>
      <c r="AH20" s="258">
        <v>0</v>
      </c>
      <c r="AI20" s="258">
        <v>0</v>
      </c>
      <c r="AJ20" s="258">
        <v>0</v>
      </c>
      <c r="AK20" s="258">
        <v>0</v>
      </c>
      <c r="AL20" s="258">
        <v>0</v>
      </c>
      <c r="AM20" s="258">
        <v>0</v>
      </c>
      <c r="AN20" s="258">
        <v>0</v>
      </c>
      <c r="AO20" s="258">
        <v>0</v>
      </c>
      <c r="AP20" s="258">
        <v>0</v>
      </c>
      <c r="AQ20" s="258">
        <v>0</v>
      </c>
      <c r="AR20" s="258">
        <v>0</v>
      </c>
      <c r="AS20" s="89"/>
      <c r="AT20" s="94"/>
      <c r="AU20" s="94"/>
      <c r="AV20" s="94"/>
      <c r="AW20" s="94"/>
      <c r="AX20" s="94"/>
      <c r="AY20" s="94"/>
      <c r="AZ20" s="95"/>
      <c r="BA20" s="96"/>
      <c r="BB20" s="93"/>
      <c r="BC20" s="89"/>
      <c r="BD20" s="89"/>
      <c r="BE20" s="89"/>
      <c r="BF20" s="89"/>
      <c r="BG20" s="89"/>
      <c r="BH20" s="89"/>
      <c r="BI20" s="89"/>
      <c r="BJ20" s="89"/>
    </row>
    <row r="21" spans="1:62" ht="20.25" x14ac:dyDescent="0.3">
      <c r="A21" s="88"/>
      <c r="B21" s="260" t="s">
        <v>157</v>
      </c>
      <c r="C21" s="259" t="s">
        <v>162</v>
      </c>
      <c r="D21" s="272">
        <v>0.02</v>
      </c>
      <c r="E21" s="261">
        <v>0.02</v>
      </c>
      <c r="F21" s="261">
        <v>0.02</v>
      </c>
      <c r="G21" s="261">
        <v>0.02</v>
      </c>
      <c r="H21" s="261">
        <v>0.02</v>
      </c>
      <c r="I21" s="261">
        <v>0.02</v>
      </c>
      <c r="J21" s="261">
        <v>0.02</v>
      </c>
      <c r="K21" s="261">
        <v>0.02</v>
      </c>
      <c r="L21" s="261">
        <v>0.02</v>
      </c>
      <c r="M21" s="261">
        <v>0.02</v>
      </c>
      <c r="N21" s="261">
        <v>0.02</v>
      </c>
      <c r="O21" s="261">
        <v>0.02</v>
      </c>
      <c r="P21" s="261">
        <v>0.02</v>
      </c>
      <c r="Q21" s="261">
        <v>0.02</v>
      </c>
      <c r="R21" s="261">
        <v>0.02</v>
      </c>
      <c r="S21" s="261">
        <v>0.02</v>
      </c>
      <c r="T21" s="261">
        <v>0.02</v>
      </c>
      <c r="U21" s="261">
        <v>0.02</v>
      </c>
      <c r="V21" s="261">
        <v>0.02</v>
      </c>
      <c r="W21" s="88"/>
      <c r="X21" s="260" t="s">
        <v>157</v>
      </c>
      <c r="Y21" s="259" t="s">
        <v>162</v>
      </c>
      <c r="Z21" s="272">
        <v>0.02</v>
      </c>
      <c r="AA21" s="261">
        <v>0.02</v>
      </c>
      <c r="AB21" s="261">
        <v>0.02</v>
      </c>
      <c r="AC21" s="261">
        <v>0.02</v>
      </c>
      <c r="AD21" s="261">
        <v>0.02</v>
      </c>
      <c r="AE21" s="261">
        <v>0.02</v>
      </c>
      <c r="AF21" s="261">
        <v>0.02</v>
      </c>
      <c r="AG21" s="261">
        <v>0.02</v>
      </c>
      <c r="AH21" s="261">
        <v>0.02</v>
      </c>
      <c r="AI21" s="261">
        <v>0.02</v>
      </c>
      <c r="AJ21" s="261">
        <v>0.02</v>
      </c>
      <c r="AK21" s="261">
        <v>0.02</v>
      </c>
      <c r="AL21" s="261">
        <v>0.02</v>
      </c>
      <c r="AM21" s="261">
        <v>0.02</v>
      </c>
      <c r="AN21" s="261">
        <v>0.02</v>
      </c>
      <c r="AO21" s="261">
        <v>0.02</v>
      </c>
      <c r="AP21" s="261">
        <v>0.02</v>
      </c>
      <c r="AQ21" s="261">
        <v>0.02</v>
      </c>
      <c r="AR21" s="261">
        <v>0.02</v>
      </c>
      <c r="AS21" s="89"/>
      <c r="AT21" s="94"/>
      <c r="AU21" s="94"/>
      <c r="AV21" s="94"/>
      <c r="AW21" s="94"/>
      <c r="AX21" s="94"/>
      <c r="AY21" s="94"/>
      <c r="AZ21" s="95"/>
      <c r="BA21" s="96"/>
      <c r="BB21" s="93"/>
      <c r="BC21" s="89"/>
      <c r="BD21" s="89"/>
      <c r="BE21" s="89"/>
      <c r="BF21" s="89"/>
      <c r="BG21" s="89"/>
      <c r="BH21" s="89"/>
      <c r="BI21" s="89"/>
      <c r="BJ21" s="89"/>
    </row>
    <row r="22" spans="1:62" ht="16.5" x14ac:dyDescent="0.3">
      <c r="A22" s="88"/>
      <c r="B22" s="262"/>
      <c r="C22" s="259" t="s">
        <v>111</v>
      </c>
      <c r="D22" s="274">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2"/>
      <c r="Y22" s="259" t="s">
        <v>111</v>
      </c>
      <c r="Z22" s="274">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5"/>
      <c r="BA22" s="96"/>
      <c r="BB22" s="93"/>
      <c r="BC22" s="89"/>
      <c r="BD22" s="89"/>
      <c r="BE22" s="89"/>
      <c r="BF22" s="89"/>
      <c r="BG22" s="89"/>
      <c r="BH22" s="89"/>
      <c r="BI22" s="89"/>
      <c r="BJ22" s="89"/>
    </row>
    <row r="23" spans="1:62" ht="15.75" thickBot="1" x14ac:dyDescent="0.35">
      <c r="A23" s="88"/>
      <c r="B23" s="129"/>
      <c r="C23" s="263" t="s">
        <v>195</v>
      </c>
      <c r="D23" s="275">
        <v>145.16483010102866</v>
      </c>
      <c r="E23" s="276">
        <f>D23</f>
        <v>145.16483010102866</v>
      </c>
      <c r="F23" s="276">
        <f t="shared" ref="F23:V23" si="10">E23</f>
        <v>145.16483010102866</v>
      </c>
      <c r="G23" s="276">
        <f t="shared" si="10"/>
        <v>145.16483010102866</v>
      </c>
      <c r="H23" s="276">
        <f t="shared" si="10"/>
        <v>145.16483010102866</v>
      </c>
      <c r="I23" s="276">
        <f t="shared" si="10"/>
        <v>145.16483010102866</v>
      </c>
      <c r="J23" s="276">
        <f t="shared" si="10"/>
        <v>145.16483010102866</v>
      </c>
      <c r="K23" s="276">
        <f t="shared" si="10"/>
        <v>145.16483010102866</v>
      </c>
      <c r="L23" s="276">
        <f t="shared" si="10"/>
        <v>145.16483010102866</v>
      </c>
      <c r="M23" s="276">
        <f t="shared" si="10"/>
        <v>145.16483010102866</v>
      </c>
      <c r="N23" s="276">
        <f t="shared" si="10"/>
        <v>145.16483010102866</v>
      </c>
      <c r="O23" s="276">
        <f t="shared" si="10"/>
        <v>145.16483010102866</v>
      </c>
      <c r="P23" s="276">
        <f t="shared" si="10"/>
        <v>145.16483010102866</v>
      </c>
      <c r="Q23" s="276">
        <f t="shared" si="10"/>
        <v>145.16483010102866</v>
      </c>
      <c r="R23" s="276">
        <f t="shared" si="10"/>
        <v>145.16483010102866</v>
      </c>
      <c r="S23" s="276">
        <f t="shared" si="10"/>
        <v>145.16483010102866</v>
      </c>
      <c r="T23" s="276">
        <f t="shared" si="10"/>
        <v>145.16483010102866</v>
      </c>
      <c r="U23" s="276">
        <f t="shared" si="10"/>
        <v>145.16483010102866</v>
      </c>
      <c r="V23" s="276">
        <f t="shared" si="10"/>
        <v>145.16483010102866</v>
      </c>
      <c r="W23" s="88"/>
      <c r="X23" s="129"/>
      <c r="Y23" s="263" t="s">
        <v>195</v>
      </c>
      <c r="Z23" s="275">
        <v>9.8829999999999991</v>
      </c>
      <c r="AA23" s="276">
        <f>Z23</f>
        <v>9.8829999999999991</v>
      </c>
      <c r="AB23" s="276">
        <f t="shared" ref="AB23:AR23" si="11">AA23</f>
        <v>9.8829999999999991</v>
      </c>
      <c r="AC23" s="276">
        <f t="shared" si="11"/>
        <v>9.8829999999999991</v>
      </c>
      <c r="AD23" s="276">
        <f t="shared" si="11"/>
        <v>9.8829999999999991</v>
      </c>
      <c r="AE23" s="276">
        <f t="shared" si="11"/>
        <v>9.8829999999999991</v>
      </c>
      <c r="AF23" s="276">
        <f t="shared" si="11"/>
        <v>9.8829999999999991</v>
      </c>
      <c r="AG23" s="276">
        <f t="shared" si="11"/>
        <v>9.8829999999999991</v>
      </c>
      <c r="AH23" s="276">
        <f t="shared" si="11"/>
        <v>9.8829999999999991</v>
      </c>
      <c r="AI23" s="276">
        <f t="shared" si="11"/>
        <v>9.8829999999999991</v>
      </c>
      <c r="AJ23" s="276">
        <f t="shared" si="11"/>
        <v>9.8829999999999991</v>
      </c>
      <c r="AK23" s="276">
        <f t="shared" si="11"/>
        <v>9.8829999999999991</v>
      </c>
      <c r="AL23" s="276">
        <f t="shared" si="11"/>
        <v>9.8829999999999991</v>
      </c>
      <c r="AM23" s="276">
        <f t="shared" si="11"/>
        <v>9.8829999999999991</v>
      </c>
      <c r="AN23" s="276">
        <f t="shared" si="11"/>
        <v>9.8829999999999991</v>
      </c>
      <c r="AO23" s="276">
        <f t="shared" si="11"/>
        <v>9.8829999999999991</v>
      </c>
      <c r="AP23" s="276">
        <f t="shared" si="11"/>
        <v>9.8829999999999991</v>
      </c>
      <c r="AQ23" s="276">
        <f t="shared" si="11"/>
        <v>9.8829999999999991</v>
      </c>
      <c r="AR23" s="276">
        <f t="shared" si="11"/>
        <v>9.8829999999999991</v>
      </c>
      <c r="AS23" s="89"/>
      <c r="AT23" s="94"/>
      <c r="AU23" s="94"/>
      <c r="AV23" s="94"/>
      <c r="AW23" s="94"/>
      <c r="AX23" s="94"/>
      <c r="AY23" s="94"/>
      <c r="AZ23" s="95"/>
      <c r="BA23" s="96"/>
      <c r="BB23" s="93"/>
      <c r="BC23" s="89"/>
      <c r="BD23" s="89"/>
      <c r="BE23" s="89"/>
      <c r="BF23" s="89"/>
      <c r="BG23" s="89"/>
      <c r="BH23" s="89"/>
      <c r="BI23" s="89"/>
      <c r="BJ23" s="89"/>
    </row>
    <row r="24" spans="1:62" ht="15.75" thickBot="1" x14ac:dyDescent="0.35">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x14ac:dyDescent="0.3">
      <c r="A25" s="88"/>
      <c r="B25" s="255"/>
      <c r="C25" s="88"/>
      <c r="D25" s="266">
        <v>2014</v>
      </c>
      <c r="E25" s="267">
        <v>2016</v>
      </c>
      <c r="F25" s="267">
        <v>2018</v>
      </c>
      <c r="G25" s="267">
        <v>2020</v>
      </c>
      <c r="H25" s="267">
        <v>2022</v>
      </c>
      <c r="I25" s="267">
        <v>2024</v>
      </c>
      <c r="J25" s="267">
        <v>2026</v>
      </c>
      <c r="K25" s="267">
        <v>2028</v>
      </c>
      <c r="L25" s="267">
        <v>2030</v>
      </c>
      <c r="M25" s="267">
        <v>2032</v>
      </c>
      <c r="N25" s="267">
        <v>2034</v>
      </c>
      <c r="O25" s="267">
        <v>2036</v>
      </c>
      <c r="P25" s="267">
        <v>2038</v>
      </c>
      <c r="Q25" s="267">
        <v>2040</v>
      </c>
      <c r="R25" s="267">
        <v>2042</v>
      </c>
      <c r="S25" s="267">
        <v>2044</v>
      </c>
      <c r="T25" s="267">
        <v>2046</v>
      </c>
      <c r="U25" s="267">
        <v>2048</v>
      </c>
      <c r="V25" s="268">
        <v>2050</v>
      </c>
      <c r="W25" s="88"/>
      <c r="X25" s="255"/>
      <c r="Y25" s="88"/>
      <c r="Z25" s="266">
        <v>2014</v>
      </c>
      <c r="AA25" s="267">
        <v>2016</v>
      </c>
      <c r="AB25" s="267">
        <v>2018</v>
      </c>
      <c r="AC25" s="267">
        <v>2020</v>
      </c>
      <c r="AD25" s="267">
        <v>2022</v>
      </c>
      <c r="AE25" s="267">
        <v>2024</v>
      </c>
      <c r="AF25" s="267">
        <v>2026</v>
      </c>
      <c r="AG25" s="267">
        <v>2028</v>
      </c>
      <c r="AH25" s="267">
        <v>2030</v>
      </c>
      <c r="AI25" s="267">
        <v>2032</v>
      </c>
      <c r="AJ25" s="267">
        <v>2034</v>
      </c>
      <c r="AK25" s="267">
        <v>2036</v>
      </c>
      <c r="AL25" s="267">
        <v>2038</v>
      </c>
      <c r="AM25" s="267">
        <v>2040</v>
      </c>
      <c r="AN25" s="267">
        <v>2042</v>
      </c>
      <c r="AO25" s="267">
        <v>2044</v>
      </c>
      <c r="AP25" s="267">
        <v>2046</v>
      </c>
      <c r="AQ25" s="267">
        <v>2048</v>
      </c>
      <c r="AR25" s="268">
        <v>2050</v>
      </c>
      <c r="AS25" s="89"/>
      <c r="AT25" s="94"/>
      <c r="AU25" s="94"/>
      <c r="AV25" s="94"/>
      <c r="AW25" s="94"/>
      <c r="AX25" s="94"/>
      <c r="AY25" s="94"/>
      <c r="AZ25" s="95"/>
      <c r="BA25" s="96"/>
      <c r="BB25" s="93"/>
      <c r="BC25" s="89"/>
      <c r="BD25" s="89"/>
      <c r="BE25" s="89"/>
      <c r="BF25" s="89"/>
      <c r="BG25" s="89"/>
      <c r="BH25" s="89"/>
      <c r="BI25" s="89"/>
      <c r="BJ25" s="89"/>
    </row>
    <row r="26" spans="1:62" ht="16.5" x14ac:dyDescent="0.3">
      <c r="A26" s="88"/>
      <c r="B26" s="256"/>
      <c r="C26" s="257" t="s">
        <v>110</v>
      </c>
      <c r="D26" s="269">
        <v>6593.3437240497487</v>
      </c>
      <c r="E26" s="258">
        <f>D26*(1-$D$5)^2</f>
        <v>6203.6771099584084</v>
      </c>
      <c r="F26" s="258">
        <f t="shared" ref="F26:V26" si="12">E26*(1-$D$5)^2</f>
        <v>5837.039792759866</v>
      </c>
      <c r="G26" s="258">
        <f t="shared" si="12"/>
        <v>5492.0707410077575</v>
      </c>
      <c r="H26" s="258">
        <f t="shared" si="12"/>
        <v>5167.4893602141992</v>
      </c>
      <c r="I26" s="258">
        <f t="shared" si="12"/>
        <v>4862.0907390255397</v>
      </c>
      <c r="J26" s="258">
        <f t="shared" si="12"/>
        <v>4574.74117634913</v>
      </c>
      <c r="K26" s="258">
        <f t="shared" si="12"/>
        <v>4304.3739728268965</v>
      </c>
      <c r="L26" s="258">
        <f t="shared" si="12"/>
        <v>4049.9854710328268</v>
      </c>
      <c r="M26" s="258">
        <f t="shared" si="12"/>
        <v>3810.6313296947865</v>
      </c>
      <c r="N26" s="258">
        <f t="shared" si="12"/>
        <v>3585.4230181098246</v>
      </c>
      <c r="O26" s="258">
        <f t="shared" si="12"/>
        <v>3373.5245177395336</v>
      </c>
      <c r="P26" s="258">
        <f t="shared" si="12"/>
        <v>3174.1492187411272</v>
      </c>
      <c r="Q26" s="258">
        <f t="shared" si="12"/>
        <v>2986.5569999135264</v>
      </c>
      <c r="R26" s="258">
        <f t="shared" si="12"/>
        <v>2810.051481218637</v>
      </c>
      <c r="S26" s="258">
        <f t="shared" si="12"/>
        <v>2643.9774386786153</v>
      </c>
      <c r="T26" s="258">
        <f t="shared" si="12"/>
        <v>2487.7183720527091</v>
      </c>
      <c r="U26" s="258">
        <f t="shared" si="12"/>
        <v>2340.6942162643941</v>
      </c>
      <c r="V26" s="258">
        <f t="shared" si="12"/>
        <v>2202.3591880831682</v>
      </c>
      <c r="W26" s="88"/>
      <c r="X26" s="256"/>
      <c r="Y26" s="257" t="s">
        <v>110</v>
      </c>
      <c r="Z26" s="269">
        <v>3081.0086968394335</v>
      </c>
      <c r="AA26" s="258">
        <f>Z26*(1-$D$7)^2</f>
        <v>3025.8001020007678</v>
      </c>
      <c r="AB26" s="258">
        <f t="shared" ref="AB26:AR26" si="13">AA26*(1-$D$7)^2</f>
        <v>2971.5807899730157</v>
      </c>
      <c r="AC26" s="258">
        <f t="shared" si="13"/>
        <v>2918.3330337974894</v>
      </c>
      <c r="AD26" s="258">
        <f t="shared" si="13"/>
        <v>2866.0394241648723</v>
      </c>
      <c r="AE26" s="258">
        <f t="shared" si="13"/>
        <v>2814.682863723262</v>
      </c>
      <c r="AF26" s="258">
        <f t="shared" si="13"/>
        <v>2764.2465614882049</v>
      </c>
      <c r="AG26" s="258">
        <f t="shared" si="13"/>
        <v>2714.7140273528976</v>
      </c>
      <c r="AH26" s="258">
        <f t="shared" si="13"/>
        <v>2666.0690666967607</v>
      </c>
      <c r="AI26" s="258">
        <f t="shared" si="13"/>
        <v>2618.2957750906216</v>
      </c>
      <c r="AJ26" s="258">
        <f t="shared" si="13"/>
        <v>2571.3785330967726</v>
      </c>
      <c r="AK26" s="258">
        <f t="shared" si="13"/>
        <v>2525.3020011622116</v>
      </c>
      <c r="AL26" s="258">
        <f t="shared" si="13"/>
        <v>2480.0511146033859</v>
      </c>
      <c r="AM26" s="258">
        <f t="shared" si="13"/>
        <v>2435.6110786808076</v>
      </c>
      <c r="AN26" s="258">
        <f t="shared" si="13"/>
        <v>2391.9673637619262</v>
      </c>
      <c r="AO26" s="258">
        <f t="shared" si="13"/>
        <v>2349.1057005706762</v>
      </c>
      <c r="AP26" s="258">
        <f t="shared" si="13"/>
        <v>2307.0120755221501</v>
      </c>
      <c r="AQ26" s="258">
        <f t="shared" si="13"/>
        <v>2265.6727261408687</v>
      </c>
      <c r="AR26" s="258">
        <f t="shared" si="13"/>
        <v>2225.0741365611502</v>
      </c>
      <c r="AS26" s="89"/>
      <c r="AT26" s="94"/>
      <c r="AU26" s="94"/>
      <c r="AV26" s="94"/>
      <c r="AW26" s="94"/>
      <c r="AX26" s="94"/>
      <c r="AY26" s="94"/>
      <c r="AZ26" s="95"/>
      <c r="BA26" s="96"/>
      <c r="BB26" s="93"/>
      <c r="BC26" s="89"/>
      <c r="BD26" s="89"/>
      <c r="BE26" s="89"/>
      <c r="BF26" s="89"/>
      <c r="BG26" s="89"/>
      <c r="BH26" s="89"/>
      <c r="BI26" s="89"/>
      <c r="BJ26" s="89"/>
    </row>
    <row r="27" spans="1:62" ht="20.25" x14ac:dyDescent="0.3">
      <c r="A27" s="88"/>
      <c r="B27" s="210" t="s">
        <v>133</v>
      </c>
      <c r="C27" s="259" t="s">
        <v>112</v>
      </c>
      <c r="D27" s="271">
        <v>0</v>
      </c>
      <c r="E27" s="258">
        <v>0</v>
      </c>
      <c r="F27" s="258">
        <v>0</v>
      </c>
      <c r="G27" s="258">
        <v>0</v>
      </c>
      <c r="H27" s="258">
        <v>0</v>
      </c>
      <c r="I27" s="258">
        <v>0</v>
      </c>
      <c r="J27" s="258">
        <v>0</v>
      </c>
      <c r="K27" s="258">
        <v>0</v>
      </c>
      <c r="L27" s="258">
        <v>0</v>
      </c>
      <c r="M27" s="258">
        <v>0</v>
      </c>
      <c r="N27" s="258">
        <v>0</v>
      </c>
      <c r="O27" s="258">
        <v>0</v>
      </c>
      <c r="P27" s="258">
        <v>0</v>
      </c>
      <c r="Q27" s="258">
        <v>0</v>
      </c>
      <c r="R27" s="258">
        <v>0</v>
      </c>
      <c r="S27" s="258">
        <v>0</v>
      </c>
      <c r="T27" s="258">
        <v>0</v>
      </c>
      <c r="U27" s="258">
        <v>0</v>
      </c>
      <c r="V27" s="258">
        <v>0</v>
      </c>
      <c r="W27" s="88"/>
      <c r="X27" s="210" t="s">
        <v>175</v>
      </c>
      <c r="Y27" s="259" t="s">
        <v>112</v>
      </c>
      <c r="Z27" s="271">
        <v>0</v>
      </c>
      <c r="AA27" s="258">
        <v>0</v>
      </c>
      <c r="AB27" s="258">
        <v>0</v>
      </c>
      <c r="AC27" s="258">
        <v>0</v>
      </c>
      <c r="AD27" s="258">
        <v>0</v>
      </c>
      <c r="AE27" s="258">
        <v>0</v>
      </c>
      <c r="AF27" s="258">
        <v>0</v>
      </c>
      <c r="AG27" s="258">
        <v>0</v>
      </c>
      <c r="AH27" s="258">
        <v>0</v>
      </c>
      <c r="AI27" s="258">
        <v>0</v>
      </c>
      <c r="AJ27" s="258">
        <v>0</v>
      </c>
      <c r="AK27" s="258">
        <v>0</v>
      </c>
      <c r="AL27" s="258">
        <v>0</v>
      </c>
      <c r="AM27" s="258">
        <v>0</v>
      </c>
      <c r="AN27" s="258">
        <v>0</v>
      </c>
      <c r="AO27" s="258">
        <v>0</v>
      </c>
      <c r="AP27" s="258">
        <v>0</v>
      </c>
      <c r="AQ27" s="258">
        <v>0</v>
      </c>
      <c r="AR27" s="258">
        <v>0</v>
      </c>
      <c r="AS27" s="89"/>
      <c r="AT27" s="94"/>
      <c r="AU27" s="94"/>
      <c r="AV27" s="94"/>
      <c r="AW27" s="94"/>
      <c r="AX27" s="94"/>
      <c r="AY27" s="94"/>
      <c r="AZ27" s="95"/>
      <c r="BA27" s="96"/>
      <c r="BB27" s="93"/>
      <c r="BC27" s="89"/>
      <c r="BD27" s="89"/>
      <c r="BE27" s="89"/>
      <c r="BF27" s="89"/>
      <c r="BG27" s="89"/>
      <c r="BH27" s="89"/>
      <c r="BI27" s="89"/>
      <c r="BJ27" s="89"/>
    </row>
    <row r="28" spans="1:62" ht="20.25" x14ac:dyDescent="0.3">
      <c r="A28" s="88"/>
      <c r="B28" s="260" t="s">
        <v>157</v>
      </c>
      <c r="C28" s="259" t="s">
        <v>162</v>
      </c>
      <c r="D28" s="272">
        <v>0.02</v>
      </c>
      <c r="E28" s="261">
        <v>0.02</v>
      </c>
      <c r="F28" s="261">
        <v>0.02</v>
      </c>
      <c r="G28" s="261">
        <v>0.02</v>
      </c>
      <c r="H28" s="261">
        <v>0.02</v>
      </c>
      <c r="I28" s="261">
        <v>0.02</v>
      </c>
      <c r="J28" s="261">
        <v>0.02</v>
      </c>
      <c r="K28" s="261">
        <v>0.02</v>
      </c>
      <c r="L28" s="261">
        <v>0.02</v>
      </c>
      <c r="M28" s="261">
        <v>0.02</v>
      </c>
      <c r="N28" s="261">
        <v>0.02</v>
      </c>
      <c r="O28" s="261">
        <v>0.02</v>
      </c>
      <c r="P28" s="261">
        <v>0.02</v>
      </c>
      <c r="Q28" s="261">
        <v>0.02</v>
      </c>
      <c r="R28" s="261">
        <v>0.02</v>
      </c>
      <c r="S28" s="261">
        <v>0.02</v>
      </c>
      <c r="T28" s="261">
        <v>0.02</v>
      </c>
      <c r="U28" s="261">
        <v>0.02</v>
      </c>
      <c r="V28" s="261">
        <v>0.02</v>
      </c>
      <c r="W28" s="88"/>
      <c r="X28" s="260" t="s">
        <v>157</v>
      </c>
      <c r="Y28" s="259" t="s">
        <v>162</v>
      </c>
      <c r="Z28" s="272">
        <v>0.02</v>
      </c>
      <c r="AA28" s="261">
        <v>0.02</v>
      </c>
      <c r="AB28" s="261">
        <v>0.02</v>
      </c>
      <c r="AC28" s="261">
        <v>0.02</v>
      </c>
      <c r="AD28" s="261">
        <v>0.02</v>
      </c>
      <c r="AE28" s="261">
        <v>0.02</v>
      </c>
      <c r="AF28" s="261">
        <v>0.02</v>
      </c>
      <c r="AG28" s="261">
        <v>0.02</v>
      </c>
      <c r="AH28" s="261">
        <v>0.02</v>
      </c>
      <c r="AI28" s="261">
        <v>0.02</v>
      </c>
      <c r="AJ28" s="261">
        <v>0.02</v>
      </c>
      <c r="AK28" s="261">
        <v>0.02</v>
      </c>
      <c r="AL28" s="261">
        <v>0.02</v>
      </c>
      <c r="AM28" s="261">
        <v>0.02</v>
      </c>
      <c r="AN28" s="261">
        <v>0.02</v>
      </c>
      <c r="AO28" s="261">
        <v>0.02</v>
      </c>
      <c r="AP28" s="261">
        <v>0.02</v>
      </c>
      <c r="AQ28" s="261">
        <v>0.02</v>
      </c>
      <c r="AR28" s="261">
        <v>0.02</v>
      </c>
      <c r="AS28" s="89"/>
      <c r="AT28" s="94"/>
      <c r="AU28" s="94"/>
      <c r="AV28" s="94"/>
      <c r="AW28" s="94"/>
      <c r="AX28" s="94"/>
      <c r="AY28" s="94"/>
      <c r="AZ28" s="95"/>
      <c r="BA28" s="96"/>
      <c r="BB28" s="93"/>
      <c r="BC28" s="89"/>
      <c r="BD28" s="89"/>
      <c r="BE28" s="89"/>
      <c r="BF28" s="89"/>
      <c r="BG28" s="89"/>
      <c r="BH28" s="89"/>
      <c r="BI28" s="89"/>
      <c r="BJ28" s="89"/>
    </row>
    <row r="29" spans="1:62" ht="16.5" x14ac:dyDescent="0.3">
      <c r="A29" s="88"/>
      <c r="B29" s="262"/>
      <c r="C29" s="259" t="s">
        <v>111</v>
      </c>
      <c r="D29" s="274">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2"/>
      <c r="Y29" s="259" t="s">
        <v>111</v>
      </c>
      <c r="Z29" s="274">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75" thickBot="1" x14ac:dyDescent="0.35">
      <c r="A30" s="88"/>
      <c r="B30" s="129"/>
      <c r="C30" s="263" t="s">
        <v>195</v>
      </c>
      <c r="D30" s="275">
        <v>105.41977076772139</v>
      </c>
      <c r="E30" s="276">
        <f>D30</f>
        <v>105.41977076772139</v>
      </c>
      <c r="F30" s="276">
        <f t="shared" ref="F30:V30" si="16">E30</f>
        <v>105.41977076772139</v>
      </c>
      <c r="G30" s="276">
        <f t="shared" si="16"/>
        <v>105.41977076772139</v>
      </c>
      <c r="H30" s="276">
        <f t="shared" si="16"/>
        <v>105.41977076772139</v>
      </c>
      <c r="I30" s="276">
        <f t="shared" si="16"/>
        <v>105.41977076772139</v>
      </c>
      <c r="J30" s="276">
        <f t="shared" si="16"/>
        <v>105.41977076772139</v>
      </c>
      <c r="K30" s="276">
        <f t="shared" si="16"/>
        <v>105.41977076772139</v>
      </c>
      <c r="L30" s="276">
        <f t="shared" si="16"/>
        <v>105.41977076772139</v>
      </c>
      <c r="M30" s="276">
        <f t="shared" si="16"/>
        <v>105.41977076772139</v>
      </c>
      <c r="N30" s="276">
        <f t="shared" si="16"/>
        <v>105.41977076772139</v>
      </c>
      <c r="O30" s="276">
        <f t="shared" si="16"/>
        <v>105.41977076772139</v>
      </c>
      <c r="P30" s="276">
        <f t="shared" si="16"/>
        <v>105.41977076772139</v>
      </c>
      <c r="Q30" s="276">
        <f t="shared" si="16"/>
        <v>105.41977076772139</v>
      </c>
      <c r="R30" s="276">
        <f t="shared" si="16"/>
        <v>105.41977076772139</v>
      </c>
      <c r="S30" s="276">
        <f t="shared" si="16"/>
        <v>105.41977076772139</v>
      </c>
      <c r="T30" s="276">
        <f t="shared" si="16"/>
        <v>105.41977076772139</v>
      </c>
      <c r="U30" s="276">
        <f t="shared" si="16"/>
        <v>105.41977076772139</v>
      </c>
      <c r="V30" s="276">
        <f t="shared" si="16"/>
        <v>105.41977076772139</v>
      </c>
      <c r="W30" s="88"/>
      <c r="X30" s="129"/>
      <c r="Y30" s="263" t="s">
        <v>195</v>
      </c>
      <c r="Z30" s="275">
        <v>9.0079999999999991</v>
      </c>
      <c r="AA30" s="276">
        <f>Z30</f>
        <v>9.0079999999999991</v>
      </c>
      <c r="AB30" s="276">
        <f t="shared" ref="AB30:AR30" si="17">AA30</f>
        <v>9.0079999999999991</v>
      </c>
      <c r="AC30" s="276">
        <f t="shared" si="17"/>
        <v>9.0079999999999991</v>
      </c>
      <c r="AD30" s="276">
        <f t="shared" si="17"/>
        <v>9.0079999999999991</v>
      </c>
      <c r="AE30" s="276">
        <f t="shared" si="17"/>
        <v>9.0079999999999991</v>
      </c>
      <c r="AF30" s="276">
        <f t="shared" si="17"/>
        <v>9.0079999999999991</v>
      </c>
      <c r="AG30" s="276">
        <f t="shared" si="17"/>
        <v>9.0079999999999991</v>
      </c>
      <c r="AH30" s="276">
        <f t="shared" si="17"/>
        <v>9.0079999999999991</v>
      </c>
      <c r="AI30" s="276">
        <f t="shared" si="17"/>
        <v>9.0079999999999991</v>
      </c>
      <c r="AJ30" s="276">
        <f t="shared" si="17"/>
        <v>9.0079999999999991</v>
      </c>
      <c r="AK30" s="276">
        <f t="shared" si="17"/>
        <v>9.0079999999999991</v>
      </c>
      <c r="AL30" s="276">
        <f t="shared" si="17"/>
        <v>9.0079999999999991</v>
      </c>
      <c r="AM30" s="276">
        <f t="shared" si="17"/>
        <v>9.0079999999999991</v>
      </c>
      <c r="AN30" s="276">
        <f t="shared" si="17"/>
        <v>9.0079999999999991</v>
      </c>
      <c r="AO30" s="276">
        <f t="shared" si="17"/>
        <v>9.0079999999999991</v>
      </c>
      <c r="AP30" s="276">
        <f t="shared" si="17"/>
        <v>9.0079999999999991</v>
      </c>
      <c r="AQ30" s="276">
        <f t="shared" si="17"/>
        <v>9.0079999999999991</v>
      </c>
      <c r="AR30" s="276">
        <f t="shared" si="17"/>
        <v>9.0079999999999991</v>
      </c>
      <c r="AS30" s="89"/>
      <c r="AT30" s="94"/>
      <c r="AU30" s="94"/>
      <c r="AV30" s="94"/>
      <c r="AW30" s="94"/>
      <c r="AX30" s="94"/>
      <c r="AY30" s="94"/>
      <c r="AZ30" s="95"/>
      <c r="BA30" s="96"/>
      <c r="BB30" s="93"/>
      <c r="BC30" s="89"/>
      <c r="BD30" s="89"/>
      <c r="BE30" s="89"/>
      <c r="BF30" s="89"/>
      <c r="BG30" s="89"/>
      <c r="BH30" s="89"/>
      <c r="BI30" s="89"/>
      <c r="BJ30" s="89"/>
    </row>
    <row r="31" spans="1:62" ht="15.75" thickBot="1" x14ac:dyDescent="0.35">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x14ac:dyDescent="0.3">
      <c r="A32" s="88"/>
      <c r="B32" s="255"/>
      <c r="C32" s="88"/>
      <c r="D32" s="266">
        <v>2014</v>
      </c>
      <c r="E32" s="267">
        <v>2016</v>
      </c>
      <c r="F32" s="267">
        <v>2018</v>
      </c>
      <c r="G32" s="267">
        <v>2020</v>
      </c>
      <c r="H32" s="267">
        <v>2022</v>
      </c>
      <c r="I32" s="267">
        <v>2024</v>
      </c>
      <c r="J32" s="267">
        <v>2026</v>
      </c>
      <c r="K32" s="267">
        <v>2028</v>
      </c>
      <c r="L32" s="267">
        <v>2030</v>
      </c>
      <c r="M32" s="267">
        <v>2032</v>
      </c>
      <c r="N32" s="267">
        <v>2034</v>
      </c>
      <c r="O32" s="267">
        <v>2036</v>
      </c>
      <c r="P32" s="267">
        <v>2038</v>
      </c>
      <c r="Q32" s="267">
        <v>2040</v>
      </c>
      <c r="R32" s="267">
        <v>2042</v>
      </c>
      <c r="S32" s="267">
        <v>2044</v>
      </c>
      <c r="T32" s="267">
        <v>2046</v>
      </c>
      <c r="U32" s="267">
        <v>2048</v>
      </c>
      <c r="V32" s="268">
        <v>2050</v>
      </c>
      <c r="W32" s="88"/>
      <c r="X32" s="255"/>
      <c r="Y32" s="88"/>
      <c r="Z32" s="266">
        <v>2014</v>
      </c>
      <c r="AA32" s="267">
        <v>2016</v>
      </c>
      <c r="AB32" s="267">
        <v>2018</v>
      </c>
      <c r="AC32" s="267">
        <v>2020</v>
      </c>
      <c r="AD32" s="267">
        <v>2022</v>
      </c>
      <c r="AE32" s="267">
        <v>2024</v>
      </c>
      <c r="AF32" s="267">
        <v>2026</v>
      </c>
      <c r="AG32" s="267">
        <v>2028</v>
      </c>
      <c r="AH32" s="267">
        <v>2030</v>
      </c>
      <c r="AI32" s="267">
        <v>2032</v>
      </c>
      <c r="AJ32" s="267">
        <v>2034</v>
      </c>
      <c r="AK32" s="267">
        <v>2036</v>
      </c>
      <c r="AL32" s="267">
        <v>2038</v>
      </c>
      <c r="AM32" s="267">
        <v>2040</v>
      </c>
      <c r="AN32" s="267">
        <v>2042</v>
      </c>
      <c r="AO32" s="267">
        <v>2044</v>
      </c>
      <c r="AP32" s="267">
        <v>2046</v>
      </c>
      <c r="AQ32" s="267">
        <v>2048</v>
      </c>
      <c r="AR32" s="268">
        <v>2050</v>
      </c>
      <c r="AS32" s="89"/>
      <c r="AT32" s="94"/>
      <c r="AU32" s="94"/>
      <c r="AV32" s="94"/>
      <c r="AW32" s="94"/>
      <c r="AX32" s="94"/>
      <c r="AY32" s="94"/>
      <c r="AZ32" s="95"/>
      <c r="BA32" s="96"/>
      <c r="BB32" s="93"/>
      <c r="BC32" s="89"/>
      <c r="BD32" s="89"/>
      <c r="BE32" s="89"/>
      <c r="BF32" s="89"/>
      <c r="BG32" s="89"/>
      <c r="BH32" s="89"/>
      <c r="BI32" s="89"/>
      <c r="BJ32" s="89"/>
    </row>
    <row r="33" spans="1:62" ht="16.5" x14ac:dyDescent="0.3">
      <c r="A33" s="88"/>
      <c r="B33" s="256"/>
      <c r="C33" s="257" t="s">
        <v>110</v>
      </c>
      <c r="D33" s="269">
        <v>6656.1567655584122</v>
      </c>
      <c r="E33" s="258">
        <f>D33*(1-$D$5)^2</f>
        <v>6262.7779007139097</v>
      </c>
      <c r="F33" s="258">
        <f t="shared" ref="F33:V33" si="18">E33*(1-$D$5)^2</f>
        <v>5892.6477267817172</v>
      </c>
      <c r="G33" s="258">
        <f t="shared" si="18"/>
        <v>5544.3922461289176</v>
      </c>
      <c r="H33" s="258">
        <f t="shared" si="18"/>
        <v>5216.7186643826981</v>
      </c>
      <c r="I33" s="258">
        <f t="shared" si="18"/>
        <v>4908.41059131768</v>
      </c>
      <c r="J33" s="258">
        <f t="shared" si="18"/>
        <v>4618.3235253708053</v>
      </c>
      <c r="K33" s="258">
        <f t="shared" si="18"/>
        <v>4345.3806050213907</v>
      </c>
      <c r="L33" s="258">
        <f t="shared" si="18"/>
        <v>4088.5686112646263</v>
      </c>
      <c r="M33" s="258">
        <f t="shared" si="18"/>
        <v>3846.9342063388867</v>
      </c>
      <c r="N33" s="258">
        <f t="shared" si="18"/>
        <v>3619.5803947442582</v>
      </c>
      <c r="O33" s="258">
        <f t="shared" si="18"/>
        <v>3405.6631934148722</v>
      </c>
      <c r="P33" s="258">
        <f t="shared" si="18"/>
        <v>3204.388498684053</v>
      </c>
      <c r="Q33" s="258">
        <f t="shared" si="18"/>
        <v>3015.0091384118255</v>
      </c>
      <c r="R33" s="258">
        <f t="shared" si="18"/>
        <v>2836.8220983316864</v>
      </c>
      <c r="S33" s="258">
        <f t="shared" si="18"/>
        <v>2669.1659123202835</v>
      </c>
      <c r="T33" s="258">
        <f t="shared" si="18"/>
        <v>2511.4182069021545</v>
      </c>
      <c r="U33" s="258">
        <f t="shared" si="18"/>
        <v>2362.9933908742369</v>
      </c>
      <c r="V33" s="258">
        <f t="shared" si="18"/>
        <v>2223.3404814735695</v>
      </c>
      <c r="W33" s="88"/>
      <c r="X33" s="256"/>
      <c r="Y33" s="257" t="s">
        <v>110</v>
      </c>
      <c r="Z33" s="269">
        <v>2886.5113582713989</v>
      </c>
      <c r="AA33" s="258">
        <f>Z33*(1-$D$7)^2</f>
        <v>2834.7879612425336</v>
      </c>
      <c r="AB33" s="258">
        <f t="shared" ref="AB33:AR33" si="19">AA33*(1-$D$7)^2</f>
        <v>2783.9913957650288</v>
      </c>
      <c r="AC33" s="258">
        <f t="shared" si="19"/>
        <v>2734.1050539443149</v>
      </c>
      <c r="AD33" s="258">
        <f t="shared" si="19"/>
        <v>2685.1126254826868</v>
      </c>
      <c r="AE33" s="258">
        <f t="shared" si="19"/>
        <v>2636.9980923466624</v>
      </c>
      <c r="AF33" s="258">
        <f t="shared" si="19"/>
        <v>2589.7457235299025</v>
      </c>
      <c r="AG33" s="258">
        <f t="shared" si="19"/>
        <v>2543.3400699099702</v>
      </c>
      <c r="AH33" s="258">
        <f t="shared" si="19"/>
        <v>2497.7659591972533</v>
      </c>
      <c r="AI33" s="258">
        <f t="shared" si="19"/>
        <v>2453.0084909743978</v>
      </c>
      <c r="AJ33" s="258">
        <f t="shared" si="19"/>
        <v>2409.0530318246274</v>
      </c>
      <c r="AK33" s="258">
        <f t="shared" si="19"/>
        <v>2365.885210547362</v>
      </c>
      <c r="AL33" s="258">
        <f t="shared" si="19"/>
        <v>2323.4909134595637</v>
      </c>
      <c r="AM33" s="258">
        <f t="shared" si="19"/>
        <v>2281.8562797812815</v>
      </c>
      <c r="AN33" s="258">
        <f t="shared" si="19"/>
        <v>2240.9676971038807</v>
      </c>
      <c r="AO33" s="258">
        <f t="shared" si="19"/>
        <v>2200.8117969394762</v>
      </c>
      <c r="AP33" s="258">
        <f t="shared" si="19"/>
        <v>2161.3754503501177</v>
      </c>
      <c r="AQ33" s="258">
        <f t="shared" si="19"/>
        <v>2122.6457636552941</v>
      </c>
      <c r="AR33" s="258">
        <f t="shared" si="19"/>
        <v>2084.6100742163549</v>
      </c>
      <c r="AS33" s="89"/>
      <c r="AT33" s="94"/>
      <c r="AU33" s="94"/>
      <c r="AV33" s="94"/>
      <c r="AW33" s="94"/>
      <c r="AX33" s="94"/>
      <c r="AY33" s="94"/>
      <c r="AZ33" s="95"/>
      <c r="BA33" s="96"/>
      <c r="BB33" s="93"/>
      <c r="BC33" s="89"/>
      <c r="BD33" s="89"/>
      <c r="BE33" s="89"/>
      <c r="BF33" s="89"/>
      <c r="BG33" s="89"/>
      <c r="BH33" s="89"/>
      <c r="BI33" s="89"/>
      <c r="BJ33" s="89"/>
    </row>
    <row r="34" spans="1:62" ht="20.25" x14ac:dyDescent="0.3">
      <c r="A34" s="88"/>
      <c r="B34" s="210" t="s">
        <v>132</v>
      </c>
      <c r="C34" s="259" t="s">
        <v>112</v>
      </c>
      <c r="D34" s="271">
        <v>0</v>
      </c>
      <c r="E34" s="258">
        <v>0</v>
      </c>
      <c r="F34" s="258">
        <v>0</v>
      </c>
      <c r="G34" s="258">
        <v>0</v>
      </c>
      <c r="H34" s="258">
        <v>0</v>
      </c>
      <c r="I34" s="258">
        <v>0</v>
      </c>
      <c r="J34" s="258">
        <v>0</v>
      </c>
      <c r="K34" s="258">
        <v>0</v>
      </c>
      <c r="L34" s="258">
        <v>0</v>
      </c>
      <c r="M34" s="258">
        <v>0</v>
      </c>
      <c r="N34" s="258">
        <v>0</v>
      </c>
      <c r="O34" s="258">
        <v>0</v>
      </c>
      <c r="P34" s="258">
        <v>0</v>
      </c>
      <c r="Q34" s="258">
        <v>0</v>
      </c>
      <c r="R34" s="258">
        <v>0</v>
      </c>
      <c r="S34" s="258">
        <v>0</v>
      </c>
      <c r="T34" s="258">
        <v>0</v>
      </c>
      <c r="U34" s="258">
        <v>0</v>
      </c>
      <c r="V34" s="258">
        <v>0</v>
      </c>
      <c r="W34" s="88"/>
      <c r="X34" s="210" t="s">
        <v>176</v>
      </c>
      <c r="Y34" s="259" t="s">
        <v>112</v>
      </c>
      <c r="Z34" s="271">
        <v>0</v>
      </c>
      <c r="AA34" s="258">
        <v>0</v>
      </c>
      <c r="AB34" s="258">
        <v>0</v>
      </c>
      <c r="AC34" s="258">
        <v>0</v>
      </c>
      <c r="AD34" s="258">
        <v>0</v>
      </c>
      <c r="AE34" s="258">
        <v>0</v>
      </c>
      <c r="AF34" s="258">
        <v>0</v>
      </c>
      <c r="AG34" s="258">
        <v>0</v>
      </c>
      <c r="AH34" s="258">
        <v>0</v>
      </c>
      <c r="AI34" s="258">
        <v>0</v>
      </c>
      <c r="AJ34" s="258">
        <v>0</v>
      </c>
      <c r="AK34" s="258">
        <v>0</v>
      </c>
      <c r="AL34" s="258">
        <v>0</v>
      </c>
      <c r="AM34" s="258">
        <v>0</v>
      </c>
      <c r="AN34" s="258">
        <v>0</v>
      </c>
      <c r="AO34" s="258">
        <v>0</v>
      </c>
      <c r="AP34" s="258">
        <v>0</v>
      </c>
      <c r="AQ34" s="258">
        <v>0</v>
      </c>
      <c r="AR34" s="258">
        <v>0</v>
      </c>
      <c r="AS34" s="89"/>
      <c r="AT34" s="93"/>
      <c r="AU34" s="94"/>
      <c r="AV34" s="97"/>
      <c r="AW34" s="94"/>
      <c r="AX34" s="96"/>
      <c r="AY34" s="94"/>
      <c r="AZ34" s="95"/>
      <c r="BA34" s="96"/>
      <c r="BB34" s="93"/>
      <c r="BC34" s="89"/>
      <c r="BD34" s="89"/>
      <c r="BE34" s="89"/>
      <c r="BF34" s="89"/>
      <c r="BG34" s="89"/>
      <c r="BH34" s="89"/>
      <c r="BI34" s="89"/>
      <c r="BJ34" s="89"/>
    </row>
    <row r="35" spans="1:62" ht="20.25" x14ac:dyDescent="0.3">
      <c r="A35" s="88"/>
      <c r="B35" s="260" t="s">
        <v>157</v>
      </c>
      <c r="C35" s="259" t="s">
        <v>162</v>
      </c>
      <c r="D35" s="272">
        <v>0.02</v>
      </c>
      <c r="E35" s="261">
        <v>0.02</v>
      </c>
      <c r="F35" s="261">
        <v>0.02</v>
      </c>
      <c r="G35" s="261">
        <v>0.02</v>
      </c>
      <c r="H35" s="261">
        <v>0.02</v>
      </c>
      <c r="I35" s="261">
        <v>0.02</v>
      </c>
      <c r="J35" s="261">
        <v>0.02</v>
      </c>
      <c r="K35" s="261">
        <v>0.02</v>
      </c>
      <c r="L35" s="261">
        <v>0.02</v>
      </c>
      <c r="M35" s="261">
        <v>0.02</v>
      </c>
      <c r="N35" s="261">
        <v>0.02</v>
      </c>
      <c r="O35" s="261">
        <v>0.02</v>
      </c>
      <c r="P35" s="261">
        <v>0.02</v>
      </c>
      <c r="Q35" s="261">
        <v>0.02</v>
      </c>
      <c r="R35" s="261">
        <v>0.02</v>
      </c>
      <c r="S35" s="261">
        <v>0.02</v>
      </c>
      <c r="T35" s="261">
        <v>0.02</v>
      </c>
      <c r="U35" s="261">
        <v>0.02</v>
      </c>
      <c r="V35" s="261">
        <v>0.02</v>
      </c>
      <c r="W35" s="88"/>
      <c r="X35" s="260" t="s">
        <v>157</v>
      </c>
      <c r="Y35" s="259" t="s">
        <v>162</v>
      </c>
      <c r="Z35" s="272">
        <v>0.02</v>
      </c>
      <c r="AA35" s="261">
        <v>0.02</v>
      </c>
      <c r="AB35" s="261">
        <v>0.02</v>
      </c>
      <c r="AC35" s="261">
        <v>0.02</v>
      </c>
      <c r="AD35" s="261">
        <v>0.02</v>
      </c>
      <c r="AE35" s="261">
        <v>0.02</v>
      </c>
      <c r="AF35" s="261">
        <v>0.02</v>
      </c>
      <c r="AG35" s="261">
        <v>0.02</v>
      </c>
      <c r="AH35" s="261">
        <v>0.02</v>
      </c>
      <c r="AI35" s="261">
        <v>0.02</v>
      </c>
      <c r="AJ35" s="261">
        <v>0.02</v>
      </c>
      <c r="AK35" s="261">
        <v>0.02</v>
      </c>
      <c r="AL35" s="261">
        <v>0.02</v>
      </c>
      <c r="AM35" s="261">
        <v>0.02</v>
      </c>
      <c r="AN35" s="261">
        <v>0.02</v>
      </c>
      <c r="AO35" s="261">
        <v>0.02</v>
      </c>
      <c r="AP35" s="261">
        <v>0.02</v>
      </c>
      <c r="AQ35" s="261">
        <v>0.02</v>
      </c>
      <c r="AR35" s="261">
        <v>0.02</v>
      </c>
      <c r="AS35" s="89"/>
      <c r="AT35" s="93"/>
      <c r="AU35" s="94"/>
      <c r="AV35" s="95"/>
      <c r="AW35" s="94"/>
      <c r="AX35" s="96"/>
      <c r="AY35" s="94"/>
      <c r="AZ35" s="95"/>
      <c r="BA35" s="96"/>
      <c r="BB35" s="93"/>
      <c r="BC35" s="89"/>
      <c r="BD35" s="89"/>
      <c r="BE35" s="89"/>
      <c r="BF35" s="89"/>
      <c r="BG35" s="89"/>
      <c r="BH35" s="89"/>
      <c r="BI35" s="89"/>
      <c r="BJ35" s="89"/>
    </row>
    <row r="36" spans="1:62" ht="16.5" x14ac:dyDescent="0.3">
      <c r="A36" s="88"/>
      <c r="B36" s="262"/>
      <c r="C36" s="259" t="s">
        <v>111</v>
      </c>
      <c r="D36" s="274">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2"/>
      <c r="Y36" s="259" t="s">
        <v>111</v>
      </c>
      <c r="Z36" s="274">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75" thickBot="1" x14ac:dyDescent="0.35">
      <c r="A37" s="88"/>
      <c r="B37" s="129"/>
      <c r="C37" s="263" t="s">
        <v>195</v>
      </c>
      <c r="D37" s="275">
        <v>65.674711434414149</v>
      </c>
      <c r="E37" s="276">
        <f>D37</f>
        <v>65.674711434414149</v>
      </c>
      <c r="F37" s="276">
        <f t="shared" ref="F37:V37" si="22">E37</f>
        <v>65.674711434414149</v>
      </c>
      <c r="G37" s="276">
        <f t="shared" si="22"/>
        <v>65.674711434414149</v>
      </c>
      <c r="H37" s="276">
        <f t="shared" si="22"/>
        <v>65.674711434414149</v>
      </c>
      <c r="I37" s="276">
        <f t="shared" si="22"/>
        <v>65.674711434414149</v>
      </c>
      <c r="J37" s="276">
        <f t="shared" si="22"/>
        <v>65.674711434414149</v>
      </c>
      <c r="K37" s="276">
        <f t="shared" si="22"/>
        <v>65.674711434414149</v>
      </c>
      <c r="L37" s="276">
        <f t="shared" si="22"/>
        <v>65.674711434414149</v>
      </c>
      <c r="M37" s="276">
        <f t="shared" si="22"/>
        <v>65.674711434414149</v>
      </c>
      <c r="N37" s="276">
        <f t="shared" si="22"/>
        <v>65.674711434414149</v>
      </c>
      <c r="O37" s="276">
        <f t="shared" si="22"/>
        <v>65.674711434414149</v>
      </c>
      <c r="P37" s="276">
        <f t="shared" si="22"/>
        <v>65.674711434414149</v>
      </c>
      <c r="Q37" s="276">
        <f t="shared" si="22"/>
        <v>65.674711434414149</v>
      </c>
      <c r="R37" s="276">
        <f t="shared" si="22"/>
        <v>65.674711434414149</v>
      </c>
      <c r="S37" s="276">
        <f t="shared" si="22"/>
        <v>65.674711434414149</v>
      </c>
      <c r="T37" s="276">
        <f t="shared" si="22"/>
        <v>65.674711434414149</v>
      </c>
      <c r="U37" s="276">
        <f t="shared" si="22"/>
        <v>65.674711434414149</v>
      </c>
      <c r="V37" s="276">
        <f t="shared" si="22"/>
        <v>65.674711434414149</v>
      </c>
      <c r="W37" s="88"/>
      <c r="X37" s="129"/>
      <c r="Y37" s="263" t="s">
        <v>195</v>
      </c>
      <c r="Z37" s="275">
        <v>8.1329999999999991</v>
      </c>
      <c r="AA37" s="276">
        <f>Z37</f>
        <v>8.1329999999999991</v>
      </c>
      <c r="AB37" s="276">
        <f t="shared" ref="AB37:AR37" si="23">AA37</f>
        <v>8.1329999999999991</v>
      </c>
      <c r="AC37" s="276">
        <f t="shared" si="23"/>
        <v>8.1329999999999991</v>
      </c>
      <c r="AD37" s="276">
        <f t="shared" si="23"/>
        <v>8.1329999999999991</v>
      </c>
      <c r="AE37" s="276">
        <f t="shared" si="23"/>
        <v>8.1329999999999991</v>
      </c>
      <c r="AF37" s="276">
        <f t="shared" si="23"/>
        <v>8.1329999999999991</v>
      </c>
      <c r="AG37" s="276">
        <f t="shared" si="23"/>
        <v>8.1329999999999991</v>
      </c>
      <c r="AH37" s="276">
        <f t="shared" si="23"/>
        <v>8.1329999999999991</v>
      </c>
      <c r="AI37" s="276">
        <f t="shared" si="23"/>
        <v>8.1329999999999991</v>
      </c>
      <c r="AJ37" s="276">
        <f t="shared" si="23"/>
        <v>8.1329999999999991</v>
      </c>
      <c r="AK37" s="276">
        <f t="shared" si="23"/>
        <v>8.1329999999999991</v>
      </c>
      <c r="AL37" s="276">
        <f t="shared" si="23"/>
        <v>8.1329999999999991</v>
      </c>
      <c r="AM37" s="276">
        <f t="shared" si="23"/>
        <v>8.1329999999999991</v>
      </c>
      <c r="AN37" s="276">
        <f t="shared" si="23"/>
        <v>8.1329999999999991</v>
      </c>
      <c r="AO37" s="276">
        <f t="shared" si="23"/>
        <v>8.1329999999999991</v>
      </c>
      <c r="AP37" s="276">
        <f t="shared" si="23"/>
        <v>8.1329999999999991</v>
      </c>
      <c r="AQ37" s="276">
        <f t="shared" si="23"/>
        <v>8.1329999999999991</v>
      </c>
      <c r="AR37" s="276">
        <f t="shared" si="23"/>
        <v>8.1329999999999991</v>
      </c>
      <c r="AS37" s="89"/>
      <c r="AT37" s="93"/>
      <c r="AU37" s="94"/>
      <c r="AV37" s="95"/>
      <c r="AW37" s="94"/>
      <c r="AX37" s="96"/>
      <c r="AY37" s="94"/>
      <c r="AZ37" s="97"/>
      <c r="BA37" s="96"/>
      <c r="BB37" s="93"/>
      <c r="BC37" s="89"/>
      <c r="BD37" s="89"/>
      <c r="BE37" s="89"/>
      <c r="BF37" s="89"/>
      <c r="BG37" s="89"/>
      <c r="BH37" s="89"/>
      <c r="BI37" s="89"/>
      <c r="BJ37" s="89"/>
    </row>
    <row r="38" spans="1:62" ht="15.75" thickBot="1" x14ac:dyDescent="0.35">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x14ac:dyDescent="0.3">
      <c r="A39" s="88"/>
      <c r="B39" s="255"/>
      <c r="C39" s="88"/>
      <c r="D39" s="266">
        <v>2014</v>
      </c>
      <c r="E39" s="267">
        <v>2016</v>
      </c>
      <c r="F39" s="267">
        <v>2018</v>
      </c>
      <c r="G39" s="267">
        <v>2020</v>
      </c>
      <c r="H39" s="267">
        <v>2022</v>
      </c>
      <c r="I39" s="267">
        <v>2024</v>
      </c>
      <c r="J39" s="267">
        <v>2026</v>
      </c>
      <c r="K39" s="267">
        <v>2028</v>
      </c>
      <c r="L39" s="267">
        <v>2030</v>
      </c>
      <c r="M39" s="267">
        <v>2032</v>
      </c>
      <c r="N39" s="267">
        <v>2034</v>
      </c>
      <c r="O39" s="267">
        <v>2036</v>
      </c>
      <c r="P39" s="267">
        <v>2038</v>
      </c>
      <c r="Q39" s="267">
        <v>2040</v>
      </c>
      <c r="R39" s="267">
        <v>2042</v>
      </c>
      <c r="S39" s="267">
        <v>2044</v>
      </c>
      <c r="T39" s="267">
        <v>2046</v>
      </c>
      <c r="U39" s="267">
        <v>2048</v>
      </c>
      <c r="V39" s="268">
        <v>2050</v>
      </c>
      <c r="W39" s="88"/>
      <c r="X39" s="255"/>
      <c r="Y39" s="88"/>
      <c r="Z39" s="266">
        <v>2014</v>
      </c>
      <c r="AA39" s="267">
        <v>2016</v>
      </c>
      <c r="AB39" s="267">
        <v>2018</v>
      </c>
      <c r="AC39" s="267">
        <v>2020</v>
      </c>
      <c r="AD39" s="267">
        <v>2022</v>
      </c>
      <c r="AE39" s="267">
        <v>2024</v>
      </c>
      <c r="AF39" s="267">
        <v>2026</v>
      </c>
      <c r="AG39" s="267">
        <v>2028</v>
      </c>
      <c r="AH39" s="267">
        <v>2030</v>
      </c>
      <c r="AI39" s="267">
        <v>2032</v>
      </c>
      <c r="AJ39" s="267">
        <v>2034</v>
      </c>
      <c r="AK39" s="267">
        <v>2036</v>
      </c>
      <c r="AL39" s="267">
        <v>2038</v>
      </c>
      <c r="AM39" s="267">
        <v>2040</v>
      </c>
      <c r="AN39" s="267">
        <v>2042</v>
      </c>
      <c r="AO39" s="267">
        <v>2044</v>
      </c>
      <c r="AP39" s="267">
        <v>2046</v>
      </c>
      <c r="AQ39" s="267">
        <v>2048</v>
      </c>
      <c r="AR39" s="268">
        <v>2050</v>
      </c>
      <c r="AS39" s="89"/>
      <c r="AT39" s="93"/>
      <c r="AU39" s="94"/>
      <c r="AV39" s="95"/>
      <c r="AW39" s="94"/>
      <c r="AX39" s="96"/>
      <c r="AY39" s="94"/>
      <c r="AZ39" s="97"/>
      <c r="BA39" s="96"/>
      <c r="BB39" s="93"/>
      <c r="BC39" s="89"/>
      <c r="BD39" s="89"/>
      <c r="BE39" s="89"/>
      <c r="BF39" s="89"/>
      <c r="BG39" s="89"/>
      <c r="BH39" s="89"/>
      <c r="BI39" s="89"/>
      <c r="BJ39" s="89"/>
    </row>
    <row r="40" spans="1:62" ht="16.5" x14ac:dyDescent="0.3">
      <c r="A40" s="88"/>
      <c r="B40" s="256"/>
      <c r="C40" s="257" t="s">
        <v>110</v>
      </c>
      <c r="D40" s="269">
        <v>5592.9397814192344</v>
      </c>
      <c r="E40" s="258">
        <f>D40*(1-$D$5)^2</f>
        <v>5262.3970403373578</v>
      </c>
      <c r="F40" s="258">
        <f t="shared" ref="F40:V40" si="24">E40*(1-$D$5)^2</f>
        <v>4951.3893752534195</v>
      </c>
      <c r="G40" s="258">
        <f t="shared" si="24"/>
        <v>4658.7622631759423</v>
      </c>
      <c r="H40" s="258">
        <f t="shared" si="24"/>
        <v>4383.4294134222437</v>
      </c>
      <c r="I40" s="258">
        <f t="shared" si="24"/>
        <v>4124.3687350889886</v>
      </c>
      <c r="J40" s="258">
        <f t="shared" si="24"/>
        <v>3880.6185428452291</v>
      </c>
      <c r="K40" s="258">
        <f t="shared" si="24"/>
        <v>3651.2739869630759</v>
      </c>
      <c r="L40" s="258">
        <f t="shared" si="24"/>
        <v>3435.4836943335581</v>
      </c>
      <c r="M40" s="258">
        <f t="shared" si="24"/>
        <v>3232.4466079984445</v>
      </c>
      <c r="N40" s="258">
        <f t="shared" si="24"/>
        <v>3041.4090134657363</v>
      </c>
      <c r="O40" s="258">
        <f t="shared" si="24"/>
        <v>2861.6617407699109</v>
      </c>
      <c r="P40" s="258">
        <f t="shared" si="24"/>
        <v>2692.5375318904089</v>
      </c>
      <c r="Q40" s="258">
        <f t="shared" si="24"/>
        <v>2533.4085637556855</v>
      </c>
      <c r="R40" s="258">
        <f t="shared" si="24"/>
        <v>2383.6841176377243</v>
      </c>
      <c r="S40" s="258">
        <f t="shared" si="24"/>
        <v>2242.8083862853346</v>
      </c>
      <c r="T40" s="258">
        <f t="shared" si="24"/>
        <v>2110.2584106558711</v>
      </c>
      <c r="U40" s="258">
        <f t="shared" si="24"/>
        <v>1985.5421385861091</v>
      </c>
      <c r="V40" s="258">
        <f t="shared" si="24"/>
        <v>1868.19659819567</v>
      </c>
      <c r="W40" s="88"/>
      <c r="X40" s="256"/>
      <c r="Y40" s="257" t="s">
        <v>110</v>
      </c>
      <c r="Z40" s="269">
        <v>2450.9233429740461</v>
      </c>
      <c r="AA40" s="258">
        <f>Z40*(1-$D$7)^2</f>
        <v>2407.0052475912939</v>
      </c>
      <c r="AB40" s="258">
        <f t="shared" ref="AB40:AR40" si="25">AA40*(1-$D$7)^2</f>
        <v>2363.8741205597057</v>
      </c>
      <c r="AC40" s="258">
        <f t="shared" si="25"/>
        <v>2321.5158601933963</v>
      </c>
      <c r="AD40" s="258">
        <f t="shared" si="25"/>
        <v>2279.9166174945908</v>
      </c>
      <c r="AE40" s="258">
        <f t="shared" si="25"/>
        <v>2239.0627916257054</v>
      </c>
      <c r="AF40" s="258">
        <f t="shared" si="25"/>
        <v>2198.9410254625641</v>
      </c>
      <c r="AG40" s="258">
        <f t="shared" si="25"/>
        <v>2159.5382012273003</v>
      </c>
      <c r="AH40" s="258">
        <f>AG40*(1-$D$7)^2</f>
        <v>2120.8414361995083</v>
      </c>
      <c r="AI40" s="258">
        <f t="shared" si="25"/>
        <v>2082.8380785042491</v>
      </c>
      <c r="AJ40" s="258">
        <f t="shared" si="25"/>
        <v>2045.5157029755314</v>
      </c>
      <c r="AK40" s="258">
        <f t="shared" si="25"/>
        <v>2008.8621070939128</v>
      </c>
      <c r="AL40" s="258">
        <f t="shared" si="25"/>
        <v>1972.8653069968968</v>
      </c>
      <c r="AM40" s="258">
        <f t="shared" si="25"/>
        <v>1937.5135335608195</v>
      </c>
      <c r="AN40" s="258">
        <f t="shared" si="25"/>
        <v>1902.7952285529432</v>
      </c>
      <c r="AO40" s="258">
        <f t="shared" si="25"/>
        <v>1868.699040852503</v>
      </c>
      <c r="AP40" s="258">
        <f t="shared" si="25"/>
        <v>1835.2138227394669</v>
      </c>
      <c r="AQ40" s="258">
        <f t="shared" si="25"/>
        <v>1802.3286262497984</v>
      </c>
      <c r="AR40" s="258">
        <f t="shared" si="25"/>
        <v>1770.0326995960281</v>
      </c>
      <c r="AS40" s="89"/>
      <c r="AT40" s="93"/>
      <c r="AU40" s="94"/>
      <c r="AV40" s="95"/>
      <c r="AW40" s="94"/>
      <c r="AX40" s="96"/>
      <c r="AY40" s="94"/>
      <c r="AZ40" s="95"/>
      <c r="BA40" s="96"/>
      <c r="BB40" s="93"/>
      <c r="BC40" s="89"/>
      <c r="BD40" s="89"/>
      <c r="BE40" s="89"/>
      <c r="BF40" s="89"/>
      <c r="BG40" s="89"/>
      <c r="BH40" s="89"/>
      <c r="BI40" s="89"/>
      <c r="BJ40" s="89"/>
    </row>
    <row r="41" spans="1:62" ht="20.25" x14ac:dyDescent="0.3">
      <c r="A41" s="88"/>
      <c r="B41" s="210" t="s">
        <v>134</v>
      </c>
      <c r="C41" s="259" t="s">
        <v>112</v>
      </c>
      <c r="D41" s="271">
        <v>0</v>
      </c>
      <c r="E41" s="258">
        <v>0</v>
      </c>
      <c r="F41" s="258">
        <v>0</v>
      </c>
      <c r="G41" s="258">
        <v>0</v>
      </c>
      <c r="H41" s="258">
        <v>0</v>
      </c>
      <c r="I41" s="258">
        <v>0</v>
      </c>
      <c r="J41" s="258">
        <v>0</v>
      </c>
      <c r="K41" s="258">
        <v>0</v>
      </c>
      <c r="L41" s="258">
        <v>0</v>
      </c>
      <c r="M41" s="258">
        <v>0</v>
      </c>
      <c r="N41" s="258">
        <v>0</v>
      </c>
      <c r="O41" s="258">
        <v>0</v>
      </c>
      <c r="P41" s="258">
        <v>0</v>
      </c>
      <c r="Q41" s="258">
        <v>0</v>
      </c>
      <c r="R41" s="258">
        <v>0</v>
      </c>
      <c r="S41" s="258">
        <v>0</v>
      </c>
      <c r="T41" s="258">
        <v>0</v>
      </c>
      <c r="U41" s="258">
        <v>0</v>
      </c>
      <c r="V41" s="258">
        <v>0</v>
      </c>
      <c r="W41" s="88"/>
      <c r="X41" s="210" t="s">
        <v>177</v>
      </c>
      <c r="Y41" s="259" t="s">
        <v>112</v>
      </c>
      <c r="Z41" s="271">
        <v>0</v>
      </c>
      <c r="AA41" s="258">
        <v>0</v>
      </c>
      <c r="AB41" s="258">
        <v>0</v>
      </c>
      <c r="AC41" s="258">
        <v>0</v>
      </c>
      <c r="AD41" s="258">
        <v>0</v>
      </c>
      <c r="AE41" s="258">
        <v>0</v>
      </c>
      <c r="AF41" s="258">
        <v>0</v>
      </c>
      <c r="AG41" s="258">
        <v>0</v>
      </c>
      <c r="AH41" s="258">
        <v>0</v>
      </c>
      <c r="AI41" s="258">
        <v>0</v>
      </c>
      <c r="AJ41" s="258">
        <v>0</v>
      </c>
      <c r="AK41" s="258">
        <v>0</v>
      </c>
      <c r="AL41" s="258">
        <v>0</v>
      </c>
      <c r="AM41" s="258">
        <v>0</v>
      </c>
      <c r="AN41" s="258">
        <v>0</v>
      </c>
      <c r="AO41" s="258">
        <v>0</v>
      </c>
      <c r="AP41" s="258">
        <v>0</v>
      </c>
      <c r="AQ41" s="258">
        <v>0</v>
      </c>
      <c r="AR41" s="258">
        <v>0</v>
      </c>
      <c r="AS41" s="89"/>
      <c r="AT41" s="93"/>
      <c r="AU41" s="94"/>
      <c r="AV41" s="95"/>
      <c r="AW41" s="94"/>
      <c r="AX41" s="96"/>
      <c r="AY41" s="94"/>
      <c r="AZ41" s="95"/>
      <c r="BA41" s="96"/>
      <c r="BB41" s="93"/>
      <c r="BC41" s="89"/>
      <c r="BD41" s="89"/>
      <c r="BE41" s="89"/>
      <c r="BF41" s="89"/>
      <c r="BG41" s="89"/>
      <c r="BH41" s="89"/>
      <c r="BI41" s="89"/>
      <c r="BJ41" s="89"/>
    </row>
    <row r="42" spans="1:62" ht="20.25" x14ac:dyDescent="0.3">
      <c r="A42" s="88"/>
      <c r="B42" s="260" t="s">
        <v>157</v>
      </c>
      <c r="C42" s="259" t="s">
        <v>162</v>
      </c>
      <c r="D42" s="272">
        <v>0.02</v>
      </c>
      <c r="E42" s="261">
        <v>0.02</v>
      </c>
      <c r="F42" s="261">
        <v>0.02</v>
      </c>
      <c r="G42" s="261">
        <v>0.02</v>
      </c>
      <c r="H42" s="261">
        <v>0.02</v>
      </c>
      <c r="I42" s="261">
        <v>0.02</v>
      </c>
      <c r="J42" s="261">
        <v>0.02</v>
      </c>
      <c r="K42" s="261">
        <v>0.02</v>
      </c>
      <c r="L42" s="261">
        <v>0.02</v>
      </c>
      <c r="M42" s="261">
        <v>0.02</v>
      </c>
      <c r="N42" s="261">
        <v>0.02</v>
      </c>
      <c r="O42" s="261">
        <v>0.02</v>
      </c>
      <c r="P42" s="261">
        <v>0.02</v>
      </c>
      <c r="Q42" s="261">
        <v>0.02</v>
      </c>
      <c r="R42" s="261">
        <v>0.02</v>
      </c>
      <c r="S42" s="261">
        <v>0.02</v>
      </c>
      <c r="T42" s="261">
        <v>0.02</v>
      </c>
      <c r="U42" s="261">
        <v>0.02</v>
      </c>
      <c r="V42" s="261">
        <v>0.02</v>
      </c>
      <c r="W42" s="88"/>
      <c r="X42" s="260" t="s">
        <v>157</v>
      </c>
      <c r="Y42" s="259" t="s">
        <v>162</v>
      </c>
      <c r="Z42" s="272">
        <v>0.02</v>
      </c>
      <c r="AA42" s="261">
        <v>0.02</v>
      </c>
      <c r="AB42" s="261">
        <v>0.02</v>
      </c>
      <c r="AC42" s="261">
        <v>0.02</v>
      </c>
      <c r="AD42" s="261">
        <v>0.02</v>
      </c>
      <c r="AE42" s="261">
        <v>0.02</v>
      </c>
      <c r="AF42" s="261">
        <v>0.02</v>
      </c>
      <c r="AG42" s="261">
        <v>0.02</v>
      </c>
      <c r="AH42" s="261">
        <v>0.02</v>
      </c>
      <c r="AI42" s="261">
        <v>0.02</v>
      </c>
      <c r="AJ42" s="261">
        <v>0.02</v>
      </c>
      <c r="AK42" s="261">
        <v>0.02</v>
      </c>
      <c r="AL42" s="261">
        <v>0.02</v>
      </c>
      <c r="AM42" s="261">
        <v>0.02</v>
      </c>
      <c r="AN42" s="261">
        <v>0.02</v>
      </c>
      <c r="AO42" s="261">
        <v>0.02</v>
      </c>
      <c r="AP42" s="261">
        <v>0.02</v>
      </c>
      <c r="AQ42" s="261">
        <v>0.02</v>
      </c>
      <c r="AR42" s="261">
        <v>0.02</v>
      </c>
      <c r="AS42" s="89"/>
      <c r="AT42" s="93"/>
      <c r="AU42" s="94"/>
      <c r="AV42" s="95"/>
      <c r="AW42" s="94"/>
      <c r="AX42" s="96"/>
      <c r="AY42" s="94"/>
      <c r="AZ42" s="95"/>
      <c r="BA42" s="96"/>
      <c r="BB42" s="93"/>
      <c r="BC42" s="89"/>
      <c r="BD42" s="89"/>
      <c r="BE42" s="89"/>
      <c r="BF42" s="89"/>
      <c r="BG42" s="89"/>
      <c r="BH42" s="89"/>
      <c r="BI42" s="89"/>
      <c r="BJ42" s="89"/>
    </row>
    <row r="43" spans="1:62" ht="16.5" x14ac:dyDescent="0.3">
      <c r="A43" s="88"/>
      <c r="B43" s="262"/>
      <c r="C43" s="259" t="s">
        <v>111</v>
      </c>
      <c r="D43" s="274">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2"/>
      <c r="Y43" s="259" t="s">
        <v>111</v>
      </c>
      <c r="Z43" s="274">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75" thickBot="1" x14ac:dyDescent="0.35">
      <c r="A44" s="88"/>
      <c r="B44" s="129"/>
      <c r="C44" s="263" t="s">
        <v>195</v>
      </c>
      <c r="D44" s="275">
        <v>13.134600868750084</v>
      </c>
      <c r="E44" s="276">
        <f>D44</f>
        <v>13.134600868750084</v>
      </c>
      <c r="F44" s="276">
        <f t="shared" ref="F44:V44" si="28">E44</f>
        <v>13.134600868750084</v>
      </c>
      <c r="G44" s="276">
        <f t="shared" si="28"/>
        <v>13.134600868750084</v>
      </c>
      <c r="H44" s="276">
        <f t="shared" si="28"/>
        <v>13.134600868750084</v>
      </c>
      <c r="I44" s="276">
        <f t="shared" si="28"/>
        <v>13.134600868750084</v>
      </c>
      <c r="J44" s="276">
        <f t="shared" si="28"/>
        <v>13.134600868750084</v>
      </c>
      <c r="K44" s="276">
        <f t="shared" si="28"/>
        <v>13.134600868750084</v>
      </c>
      <c r="L44" s="276">
        <f t="shared" si="28"/>
        <v>13.134600868750084</v>
      </c>
      <c r="M44" s="276">
        <f t="shared" si="28"/>
        <v>13.134600868750084</v>
      </c>
      <c r="N44" s="276">
        <f t="shared" si="28"/>
        <v>13.134600868750084</v>
      </c>
      <c r="O44" s="276">
        <f t="shared" si="28"/>
        <v>13.134600868750084</v>
      </c>
      <c r="P44" s="276">
        <f t="shared" si="28"/>
        <v>13.134600868750084</v>
      </c>
      <c r="Q44" s="276">
        <f t="shared" si="28"/>
        <v>13.134600868750084</v>
      </c>
      <c r="R44" s="276">
        <f t="shared" si="28"/>
        <v>13.134600868750084</v>
      </c>
      <c r="S44" s="276">
        <f t="shared" si="28"/>
        <v>13.134600868750084</v>
      </c>
      <c r="T44" s="276">
        <f t="shared" si="28"/>
        <v>13.134600868750084</v>
      </c>
      <c r="U44" s="276">
        <f t="shared" si="28"/>
        <v>13.134600868750084</v>
      </c>
      <c r="V44" s="276">
        <f t="shared" si="28"/>
        <v>13.134600868750084</v>
      </c>
      <c r="W44" s="88"/>
      <c r="X44" s="129"/>
      <c r="Y44" s="263" t="s">
        <v>195</v>
      </c>
      <c r="Z44" s="275">
        <v>6.3829999999999991</v>
      </c>
      <c r="AA44" s="276">
        <f>Z44</f>
        <v>6.3829999999999991</v>
      </c>
      <c r="AB44" s="276">
        <f t="shared" ref="AB44:AR44" si="29">AA44</f>
        <v>6.3829999999999991</v>
      </c>
      <c r="AC44" s="276">
        <f t="shared" si="29"/>
        <v>6.3829999999999991</v>
      </c>
      <c r="AD44" s="276">
        <f t="shared" si="29"/>
        <v>6.3829999999999991</v>
      </c>
      <c r="AE44" s="276">
        <f t="shared" si="29"/>
        <v>6.3829999999999991</v>
      </c>
      <c r="AF44" s="276">
        <f t="shared" si="29"/>
        <v>6.3829999999999991</v>
      </c>
      <c r="AG44" s="276">
        <f t="shared" si="29"/>
        <v>6.3829999999999991</v>
      </c>
      <c r="AH44" s="276">
        <f t="shared" si="29"/>
        <v>6.3829999999999991</v>
      </c>
      <c r="AI44" s="276">
        <f t="shared" si="29"/>
        <v>6.3829999999999991</v>
      </c>
      <c r="AJ44" s="276">
        <f t="shared" si="29"/>
        <v>6.3829999999999991</v>
      </c>
      <c r="AK44" s="276">
        <f t="shared" si="29"/>
        <v>6.3829999999999991</v>
      </c>
      <c r="AL44" s="276">
        <f t="shared" si="29"/>
        <v>6.3829999999999991</v>
      </c>
      <c r="AM44" s="276">
        <f t="shared" si="29"/>
        <v>6.3829999999999991</v>
      </c>
      <c r="AN44" s="276">
        <f t="shared" si="29"/>
        <v>6.3829999999999991</v>
      </c>
      <c r="AO44" s="276">
        <f t="shared" si="29"/>
        <v>6.3829999999999991</v>
      </c>
      <c r="AP44" s="276">
        <f t="shared" si="29"/>
        <v>6.3829999999999991</v>
      </c>
      <c r="AQ44" s="276">
        <f t="shared" si="29"/>
        <v>6.3829999999999991</v>
      </c>
      <c r="AR44" s="276">
        <f t="shared" si="29"/>
        <v>6.3829999999999991</v>
      </c>
      <c r="AS44" s="89"/>
      <c r="AT44" s="93"/>
      <c r="AU44" s="94"/>
      <c r="AV44" s="95"/>
      <c r="AW44" s="94"/>
      <c r="AX44" s="96"/>
      <c r="AY44" s="94"/>
      <c r="AZ44" s="95"/>
      <c r="BA44" s="96"/>
      <c r="BB44" s="93"/>
      <c r="BC44" s="89"/>
      <c r="BD44" s="89"/>
      <c r="BE44" s="89"/>
      <c r="BF44" s="89"/>
      <c r="BG44" s="89"/>
      <c r="BH44" s="89"/>
      <c r="BI44" s="89"/>
      <c r="BJ44" s="89"/>
    </row>
    <row r="45" spans="1:62" ht="15.75" thickBot="1" x14ac:dyDescent="0.35">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
      <c r="A46" s="88"/>
      <c r="B46" s="255"/>
      <c r="C46" s="88"/>
      <c r="D46" s="266">
        <v>2014</v>
      </c>
      <c r="E46" s="267">
        <v>2016</v>
      </c>
      <c r="F46" s="267">
        <v>2018</v>
      </c>
      <c r="G46" s="267">
        <v>2020</v>
      </c>
      <c r="H46" s="267">
        <v>2022</v>
      </c>
      <c r="I46" s="267">
        <v>2024</v>
      </c>
      <c r="J46" s="267">
        <v>2026</v>
      </c>
      <c r="K46" s="267">
        <v>2028</v>
      </c>
      <c r="L46" s="267">
        <v>2030</v>
      </c>
      <c r="M46" s="267">
        <v>2032</v>
      </c>
      <c r="N46" s="267">
        <v>2034</v>
      </c>
      <c r="O46" s="267">
        <v>2036</v>
      </c>
      <c r="P46" s="267">
        <v>2038</v>
      </c>
      <c r="Q46" s="267">
        <v>2040</v>
      </c>
      <c r="R46" s="267">
        <v>2042</v>
      </c>
      <c r="S46" s="267">
        <v>2044</v>
      </c>
      <c r="T46" s="267">
        <v>2046</v>
      </c>
      <c r="U46" s="267">
        <v>2048</v>
      </c>
      <c r="V46" s="268">
        <v>2050</v>
      </c>
      <c r="W46" s="88"/>
      <c r="X46" s="464" t="s">
        <v>302</v>
      </c>
      <c r="Y46" s="464"/>
      <c r="Z46" s="464"/>
      <c r="AA46" s="464"/>
      <c r="AB46" s="464"/>
      <c r="AC46" s="464"/>
      <c r="AD46" s="464"/>
      <c r="AE46" s="464"/>
      <c r="AF46" s="464"/>
      <c r="AG46" s="464"/>
      <c r="AH46" s="464"/>
      <c r="AI46" s="464"/>
      <c r="AJ46" s="464"/>
      <c r="AK46" s="464"/>
      <c r="AL46" s="464"/>
      <c r="AM46" s="464"/>
      <c r="AN46" s="464"/>
      <c r="AO46" s="464"/>
      <c r="AP46" s="464"/>
      <c r="AQ46" s="464"/>
      <c r="AR46" s="464"/>
      <c r="AS46" s="89"/>
      <c r="AT46" s="93"/>
      <c r="AU46" s="94"/>
      <c r="AV46" s="95"/>
      <c r="AW46" s="94"/>
      <c r="AX46" s="96"/>
      <c r="AY46" s="94"/>
      <c r="AZ46" s="95"/>
      <c r="BA46" s="96"/>
      <c r="BB46" s="93"/>
      <c r="BC46" s="89"/>
      <c r="BD46" s="89"/>
      <c r="BE46" s="89"/>
      <c r="BF46" s="89"/>
      <c r="BG46" s="89"/>
      <c r="BH46" s="89"/>
      <c r="BI46" s="89"/>
      <c r="BJ46" s="89"/>
    </row>
    <row r="47" spans="1:62" ht="16.5" x14ac:dyDescent="0.3">
      <c r="A47" s="88"/>
      <c r="B47" s="256"/>
      <c r="C47" s="257" t="s">
        <v>110</v>
      </c>
      <c r="D47" s="269">
        <v>5123.0532899424888</v>
      </c>
      <c r="E47" s="258">
        <f>D47*(1-$D$6)^2</f>
        <v>4970.5143782344512</v>
      </c>
      <c r="F47" s="258">
        <f t="shared" ref="F47:V47" si="30">E47*(1-$D$6)^2</f>
        <v>4822.5173126225209</v>
      </c>
      <c r="G47" s="258">
        <f t="shared" si="30"/>
        <v>4678.9268596391857</v>
      </c>
      <c r="H47" s="258">
        <f t="shared" si="30"/>
        <v>4539.6118123934293</v>
      </c>
      <c r="I47" s="258">
        <f t="shared" si="30"/>
        <v>4404.4448706794146</v>
      </c>
      <c r="J47" s="258">
        <f t="shared" si="30"/>
        <v>4273.302524654935</v>
      </c>
      <c r="K47" s="258">
        <f t="shared" si="30"/>
        <v>4146.0649419833344</v>
      </c>
      <c r="L47" s="258">
        <f t="shared" si="30"/>
        <v>4022.6158583357806</v>
      </c>
      <c r="M47" s="258">
        <f t="shared" si="30"/>
        <v>3902.8424711538328</v>
      </c>
      <c r="N47" s="258">
        <f t="shared" si="30"/>
        <v>3786.6353365752275</v>
      </c>
      <c r="O47" s="258">
        <f t="shared" si="30"/>
        <v>3673.8882694286999</v>
      </c>
      <c r="P47" s="258">
        <f t="shared" si="30"/>
        <v>3564.4982462064604</v>
      </c>
      <c r="Q47" s="258">
        <f t="shared" si="30"/>
        <v>3458.3653109256629</v>
      </c>
      <c r="R47" s="258">
        <f t="shared" si="30"/>
        <v>3355.3924837928512</v>
      </c>
      <c r="S47" s="258">
        <f t="shared" si="30"/>
        <v>3255.485672587919</v>
      </c>
      <c r="T47" s="258">
        <f t="shared" si="30"/>
        <v>3158.5535866866139</v>
      </c>
      <c r="U47" s="258">
        <f t="shared" si="30"/>
        <v>3064.5076536430201</v>
      </c>
      <c r="V47" s="258">
        <f t="shared" si="30"/>
        <v>2973.2619382557991</v>
      </c>
      <c r="W47" s="88"/>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89"/>
      <c r="AT47" s="93"/>
      <c r="AU47" s="94"/>
      <c r="AV47" s="95"/>
      <c r="AW47" s="94"/>
      <c r="AX47" s="96"/>
      <c r="AY47" s="94"/>
      <c r="AZ47" s="95"/>
      <c r="BA47" s="96"/>
      <c r="BB47" s="93"/>
      <c r="BC47" s="89"/>
      <c r="BD47" s="89"/>
      <c r="BE47" s="89"/>
      <c r="BF47" s="89"/>
      <c r="BG47" s="89"/>
      <c r="BH47" s="89"/>
      <c r="BI47" s="89"/>
      <c r="BJ47" s="89"/>
    </row>
    <row r="48" spans="1:62" ht="20.25" x14ac:dyDescent="0.3">
      <c r="A48" s="88"/>
      <c r="B48" s="210" t="s">
        <v>135</v>
      </c>
      <c r="C48" s="259" t="s">
        <v>112</v>
      </c>
      <c r="D48" s="271">
        <v>0</v>
      </c>
      <c r="E48" s="258">
        <v>0</v>
      </c>
      <c r="F48" s="258">
        <v>0</v>
      </c>
      <c r="G48" s="258">
        <v>0</v>
      </c>
      <c r="H48" s="258">
        <v>0</v>
      </c>
      <c r="I48" s="258">
        <v>0</v>
      </c>
      <c r="J48" s="258">
        <v>0</v>
      </c>
      <c r="K48" s="258">
        <v>0</v>
      </c>
      <c r="L48" s="258">
        <v>0</v>
      </c>
      <c r="M48" s="258">
        <v>0</v>
      </c>
      <c r="N48" s="258">
        <v>0</v>
      </c>
      <c r="O48" s="258">
        <v>0</v>
      </c>
      <c r="P48" s="258">
        <v>0</v>
      </c>
      <c r="Q48" s="258">
        <v>0</v>
      </c>
      <c r="R48" s="258">
        <v>0</v>
      </c>
      <c r="S48" s="258">
        <v>0</v>
      </c>
      <c r="T48" s="258">
        <v>0</v>
      </c>
      <c r="U48" s="258">
        <v>0</v>
      </c>
      <c r="V48" s="258">
        <v>0</v>
      </c>
      <c r="W48" s="88"/>
      <c r="X48" s="464"/>
      <c r="Y48" s="464"/>
      <c r="Z48" s="464"/>
      <c r="AA48" s="464"/>
      <c r="AB48" s="464"/>
      <c r="AC48" s="464"/>
      <c r="AD48" s="464"/>
      <c r="AE48" s="464"/>
      <c r="AF48" s="464"/>
      <c r="AG48" s="464"/>
      <c r="AH48" s="464"/>
      <c r="AI48" s="464"/>
      <c r="AJ48" s="464"/>
      <c r="AK48" s="464"/>
      <c r="AL48" s="464"/>
      <c r="AM48" s="464"/>
      <c r="AN48" s="464"/>
      <c r="AO48" s="464"/>
      <c r="AP48" s="464"/>
      <c r="AQ48" s="464"/>
      <c r="AR48" s="464"/>
      <c r="AS48" s="89"/>
      <c r="AT48" s="93"/>
      <c r="AU48" s="94"/>
      <c r="AV48" s="95"/>
      <c r="AW48" s="94"/>
      <c r="AX48" s="96"/>
      <c r="AY48" s="94"/>
      <c r="AZ48" s="97"/>
      <c r="BA48" s="96"/>
      <c r="BB48" s="93"/>
      <c r="BC48" s="89"/>
      <c r="BD48" s="89"/>
      <c r="BE48" s="89"/>
      <c r="BF48" s="89"/>
      <c r="BG48" s="89"/>
      <c r="BH48" s="89"/>
      <c r="BI48" s="89"/>
      <c r="BJ48" s="89"/>
    </row>
    <row r="49" spans="1:62" ht="20.25" x14ac:dyDescent="0.3">
      <c r="A49" s="88"/>
      <c r="B49" s="260" t="s">
        <v>157</v>
      </c>
      <c r="C49" s="259" t="s">
        <v>162</v>
      </c>
      <c r="D49" s="272">
        <v>0.02</v>
      </c>
      <c r="E49" s="261">
        <v>0.02</v>
      </c>
      <c r="F49" s="261">
        <v>0.02</v>
      </c>
      <c r="G49" s="261">
        <v>0.02</v>
      </c>
      <c r="H49" s="261">
        <v>0.02</v>
      </c>
      <c r="I49" s="261">
        <v>0.02</v>
      </c>
      <c r="J49" s="261">
        <v>0.02</v>
      </c>
      <c r="K49" s="261">
        <v>0.02</v>
      </c>
      <c r="L49" s="261">
        <v>0.02</v>
      </c>
      <c r="M49" s="261">
        <v>0.02</v>
      </c>
      <c r="N49" s="261">
        <v>0.02</v>
      </c>
      <c r="O49" s="261">
        <v>0.02</v>
      </c>
      <c r="P49" s="261">
        <v>0.02</v>
      </c>
      <c r="Q49" s="261">
        <v>0.02</v>
      </c>
      <c r="R49" s="261">
        <v>0.02</v>
      </c>
      <c r="S49" s="261">
        <v>0.02</v>
      </c>
      <c r="T49" s="261">
        <v>0.02</v>
      </c>
      <c r="U49" s="261">
        <v>0.02</v>
      </c>
      <c r="V49" s="261">
        <v>0.02</v>
      </c>
      <c r="W49" s="88"/>
      <c r="X49" s="464"/>
      <c r="Y49" s="464"/>
      <c r="Z49" s="464"/>
      <c r="AA49" s="464"/>
      <c r="AB49" s="464"/>
      <c r="AC49" s="464"/>
      <c r="AD49" s="464"/>
      <c r="AE49" s="464"/>
      <c r="AF49" s="464"/>
      <c r="AG49" s="464"/>
      <c r="AH49" s="464"/>
      <c r="AI49" s="464"/>
      <c r="AJ49" s="464"/>
      <c r="AK49" s="464"/>
      <c r="AL49" s="464"/>
      <c r="AM49" s="464"/>
      <c r="AN49" s="464"/>
      <c r="AO49" s="464"/>
      <c r="AP49" s="464"/>
      <c r="AQ49" s="464"/>
      <c r="AR49" s="464"/>
      <c r="AS49" s="89"/>
      <c r="AT49" s="93"/>
      <c r="AU49" s="94"/>
      <c r="AV49" s="95"/>
      <c r="AW49" s="94"/>
      <c r="AX49" s="96"/>
      <c r="AY49" s="94"/>
      <c r="AZ49" s="97"/>
      <c r="BA49" s="96"/>
      <c r="BB49" s="93"/>
      <c r="BC49" s="89"/>
      <c r="BD49" s="89"/>
      <c r="BE49" s="89"/>
      <c r="BF49" s="89"/>
      <c r="BG49" s="89"/>
      <c r="BH49" s="89"/>
      <c r="BI49" s="89"/>
      <c r="BJ49" s="89"/>
    </row>
    <row r="50" spans="1:62" ht="16.5" x14ac:dyDescent="0.3">
      <c r="A50" s="88"/>
      <c r="B50" s="262"/>
      <c r="C50" s="259" t="s">
        <v>111</v>
      </c>
      <c r="D50" s="274">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89"/>
      <c r="AT50" s="93"/>
      <c r="AU50" s="94"/>
      <c r="AV50" s="95"/>
      <c r="AW50" s="94"/>
      <c r="AX50" s="96"/>
      <c r="AY50" s="94"/>
      <c r="AZ50" s="95"/>
      <c r="BA50" s="96"/>
      <c r="BB50" s="93"/>
      <c r="BC50" s="89"/>
      <c r="BD50" s="89"/>
      <c r="BE50" s="89"/>
      <c r="BF50" s="89"/>
      <c r="BG50" s="89"/>
      <c r="BH50" s="89"/>
      <c r="BI50" s="89"/>
      <c r="BJ50" s="89"/>
    </row>
    <row r="51" spans="1:62" ht="15.75" thickBot="1" x14ac:dyDescent="0.35">
      <c r="A51" s="88"/>
      <c r="B51" s="129"/>
      <c r="C51" s="263" t="s">
        <v>195</v>
      </c>
      <c r="D51" s="275">
        <v>11.496350364963501</v>
      </c>
      <c r="E51" s="276">
        <f>D51</f>
        <v>11.496350364963501</v>
      </c>
      <c r="F51" s="276">
        <f t="shared" ref="F51:V51" si="32">E51</f>
        <v>11.496350364963501</v>
      </c>
      <c r="G51" s="276">
        <f t="shared" si="32"/>
        <v>11.496350364963501</v>
      </c>
      <c r="H51" s="276">
        <f t="shared" si="32"/>
        <v>11.496350364963501</v>
      </c>
      <c r="I51" s="276">
        <f t="shared" si="32"/>
        <v>11.496350364963501</v>
      </c>
      <c r="J51" s="276">
        <f t="shared" si="32"/>
        <v>11.496350364963501</v>
      </c>
      <c r="K51" s="276">
        <f t="shared" si="32"/>
        <v>11.496350364963501</v>
      </c>
      <c r="L51" s="276">
        <f t="shared" si="32"/>
        <v>11.496350364963501</v>
      </c>
      <c r="M51" s="276">
        <f t="shared" si="32"/>
        <v>11.496350364963501</v>
      </c>
      <c r="N51" s="276">
        <f t="shared" si="32"/>
        <v>11.496350364963501</v>
      </c>
      <c r="O51" s="276">
        <f t="shared" si="32"/>
        <v>11.496350364963501</v>
      </c>
      <c r="P51" s="276">
        <f t="shared" si="32"/>
        <v>11.496350364963501</v>
      </c>
      <c r="Q51" s="276">
        <f t="shared" si="32"/>
        <v>11.496350364963501</v>
      </c>
      <c r="R51" s="276">
        <f t="shared" si="32"/>
        <v>11.496350364963501</v>
      </c>
      <c r="S51" s="276">
        <f t="shared" si="32"/>
        <v>11.496350364963501</v>
      </c>
      <c r="T51" s="276">
        <f t="shared" si="32"/>
        <v>11.496350364963501</v>
      </c>
      <c r="U51" s="276">
        <f t="shared" si="32"/>
        <v>11.496350364963501</v>
      </c>
      <c r="V51" s="276">
        <f t="shared" si="32"/>
        <v>11.496350364963501</v>
      </c>
      <c r="W51" s="88"/>
      <c r="X51" s="464"/>
      <c r="Y51" s="464"/>
      <c r="Z51" s="464"/>
      <c r="AA51" s="464"/>
      <c r="AB51" s="464"/>
      <c r="AC51" s="464"/>
      <c r="AD51" s="464"/>
      <c r="AE51" s="464"/>
      <c r="AF51" s="464"/>
      <c r="AG51" s="464"/>
      <c r="AH51" s="464"/>
      <c r="AI51" s="464"/>
      <c r="AJ51" s="464"/>
      <c r="AK51" s="464"/>
      <c r="AL51" s="464"/>
      <c r="AM51" s="464"/>
      <c r="AN51" s="464"/>
      <c r="AO51" s="464"/>
      <c r="AP51" s="464"/>
      <c r="AQ51" s="464"/>
      <c r="AR51" s="464"/>
      <c r="AS51" s="89"/>
      <c r="AT51" s="93"/>
      <c r="AU51" s="94"/>
      <c r="AV51" s="95"/>
      <c r="AW51" s="94"/>
      <c r="AX51" s="96"/>
      <c r="AY51" s="94"/>
      <c r="AZ51" s="95"/>
      <c r="BA51" s="96"/>
      <c r="BB51" s="93"/>
      <c r="BC51" s="89"/>
      <c r="BD51" s="89"/>
      <c r="BE51" s="89"/>
      <c r="BF51" s="89"/>
      <c r="BG51" s="89"/>
      <c r="BH51" s="89"/>
      <c r="BI51" s="89"/>
      <c r="BJ51" s="89"/>
    </row>
    <row r="52" spans="1:62" x14ac:dyDescent="0.3">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1495425</xdr:colOff>
                    <xdr:row>6</xdr:row>
                    <xdr:rowOff>47625</xdr:rowOff>
                  </from>
                  <to>
                    <xdr:col>9</xdr:col>
                    <xdr:colOff>66675</xdr:colOff>
                    <xdr:row>7</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5" zoomScale="70" zoomScaleNormal="70" zoomScalePageLayoutView="70" workbookViewId="0">
      <selection activeCell="D13" sqref="D13"/>
    </sheetView>
  </sheetViews>
  <sheetFormatPr defaultColWidth="9.140625" defaultRowHeight="15" x14ac:dyDescent="0.3"/>
  <cols>
    <col min="1" max="1" width="4.85546875" style="91" customWidth="1"/>
    <col min="2" max="2" width="17.85546875" style="91" customWidth="1"/>
    <col min="3" max="3" width="11.42578125" style="91" customWidth="1"/>
    <col min="4" max="6" width="7.42578125" style="91" customWidth="1"/>
    <col min="7" max="7" width="8.42578125" style="91" customWidth="1"/>
    <col min="8" max="8" width="7.7109375" style="91" customWidth="1"/>
    <col min="9" max="9" width="7.85546875" style="91" customWidth="1"/>
    <col min="10" max="10" width="14.85546875" style="91" customWidth="1"/>
    <col min="11" max="11" width="7" style="91" customWidth="1"/>
    <col min="12" max="12" width="7.42578125" style="91" customWidth="1"/>
    <col min="13" max="13" width="6.85546875" style="91" customWidth="1"/>
    <col min="14" max="14" width="6.42578125" style="91" customWidth="1"/>
    <col min="15" max="15" width="12.7109375" style="91" customWidth="1"/>
    <col min="16" max="18" width="6.42578125" style="91" customWidth="1"/>
    <col min="19" max="19" width="6.7109375" style="91" customWidth="1"/>
    <col min="20" max="20" width="7" style="91" customWidth="1"/>
    <col min="21" max="21" width="6.42578125" style="91" customWidth="1"/>
    <col min="22" max="23" width="6.7109375" style="91" customWidth="1"/>
    <col min="24" max="24" width="6.85546875" style="91" customWidth="1"/>
    <col min="25" max="25" width="6.7109375" style="91" customWidth="1"/>
    <col min="26" max="26" width="6.42578125" style="91" customWidth="1"/>
    <col min="27" max="27" width="6.28515625" style="91" customWidth="1"/>
    <col min="28" max="28" width="14.85546875" style="91" customWidth="1"/>
    <col min="29" max="29" width="6.28515625" style="91" customWidth="1"/>
    <col min="30" max="33" width="5.42578125" style="91" customWidth="1"/>
    <col min="34" max="44" width="9.42578125" style="91" bestFit="1" customWidth="1"/>
    <col min="45" max="45" width="9.140625" style="91"/>
    <col min="46" max="46" width="12.28515625" style="91" customWidth="1"/>
    <col min="47" max="47" width="14.42578125" style="99" customWidth="1"/>
    <col min="48" max="48" width="20.7109375" style="99" customWidth="1"/>
    <col min="49" max="49" width="14.85546875" style="99" hidden="1" customWidth="1"/>
    <col min="50" max="50" width="14.85546875" style="99" customWidth="1"/>
    <col min="51" max="51" width="14.140625" style="91" customWidth="1"/>
    <col min="52" max="52" width="18.28515625" style="91" customWidth="1"/>
    <col min="53" max="53" width="16.85546875" style="91" customWidth="1"/>
    <col min="54" max="16384" width="9.140625" style="91"/>
  </cols>
  <sheetData>
    <row r="1" spans="1:121" x14ac:dyDescent="0.3">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4">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35">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35">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35">
      <c r="A6" s="100"/>
      <c r="B6" s="101"/>
      <c r="C6" s="100"/>
      <c r="D6" s="164" t="s">
        <v>138</v>
      </c>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35">
      <c r="A7" s="100"/>
      <c r="B7" s="358"/>
      <c r="C7" s="359"/>
      <c r="D7" s="286">
        <v>2014</v>
      </c>
      <c r="E7" s="287">
        <v>2016</v>
      </c>
      <c r="F7" s="287">
        <v>2018</v>
      </c>
      <c r="G7" s="287">
        <v>2020</v>
      </c>
      <c r="H7" s="287">
        <v>2022</v>
      </c>
      <c r="I7" s="287">
        <v>2024</v>
      </c>
      <c r="J7" s="287">
        <v>2026</v>
      </c>
      <c r="K7" s="287">
        <v>2028</v>
      </c>
      <c r="L7" s="287">
        <v>2030</v>
      </c>
      <c r="M7" s="287">
        <v>2032</v>
      </c>
      <c r="N7" s="287">
        <v>2034</v>
      </c>
      <c r="O7" s="287">
        <v>2036</v>
      </c>
      <c r="P7" s="287">
        <v>2038</v>
      </c>
      <c r="Q7" s="287">
        <v>2040</v>
      </c>
      <c r="R7" s="287">
        <v>2042</v>
      </c>
      <c r="S7" s="287">
        <v>2044</v>
      </c>
      <c r="T7" s="287">
        <v>2046</v>
      </c>
      <c r="U7" s="287">
        <v>2048</v>
      </c>
      <c r="V7" s="288">
        <v>2050</v>
      </c>
      <c r="W7" s="88"/>
      <c r="X7" s="164" t="s">
        <v>207</v>
      </c>
      <c r="Y7" s="163"/>
      <c r="Z7" s="163"/>
      <c r="AA7" s="163"/>
      <c r="AB7" s="163"/>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35">
      <c r="A8" s="100"/>
      <c r="B8" s="277" t="s">
        <v>173</v>
      </c>
      <c r="C8" s="283"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8">
        <v>6</v>
      </c>
      <c r="W8" s="88"/>
      <c r="X8" s="337" t="s">
        <v>208</v>
      </c>
      <c r="Y8" s="338" t="s">
        <v>209</v>
      </c>
      <c r="Z8" s="338"/>
      <c r="AA8" s="339"/>
      <c r="AB8" s="339"/>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
      <c r="A9" s="100"/>
      <c r="B9" s="277" t="s">
        <v>114</v>
      </c>
      <c r="C9" s="283"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8">
        <v>6</v>
      </c>
      <c r="W9" s="88"/>
      <c r="X9" s="340">
        <v>1</v>
      </c>
      <c r="Y9" s="341" t="s">
        <v>210</v>
      </c>
      <c r="Z9" s="342"/>
      <c r="AA9" s="342"/>
      <c r="AB9" s="343"/>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5" x14ac:dyDescent="0.3">
      <c r="A10" s="100"/>
      <c r="B10" s="279" t="s">
        <v>133</v>
      </c>
      <c r="C10" s="284"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8">
        <v>6</v>
      </c>
      <c r="W10" s="88"/>
      <c r="X10" s="344">
        <v>2</v>
      </c>
      <c r="Y10" s="345" t="s">
        <v>211</v>
      </c>
      <c r="Z10" s="346"/>
      <c r="AA10" s="346"/>
      <c r="AB10" s="347"/>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5" x14ac:dyDescent="0.3">
      <c r="A11" s="100"/>
      <c r="B11" s="279" t="s">
        <v>132</v>
      </c>
      <c r="C11" s="284"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8">
        <v>6</v>
      </c>
      <c r="W11" s="88"/>
      <c r="X11" s="348">
        <v>3</v>
      </c>
      <c r="Y11" s="349" t="s">
        <v>212</v>
      </c>
      <c r="Z11" s="350"/>
      <c r="AA11" s="350"/>
      <c r="AB11" s="351"/>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5" x14ac:dyDescent="0.3">
      <c r="A12" s="100"/>
      <c r="B12" s="279" t="s">
        <v>134</v>
      </c>
      <c r="C12" s="284"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8">
        <v>6</v>
      </c>
      <c r="W12" s="88"/>
      <c r="X12" s="348">
        <v>4</v>
      </c>
      <c r="Y12" s="349" t="s">
        <v>213</v>
      </c>
      <c r="Z12" s="350"/>
      <c r="AA12" s="350"/>
      <c r="AB12" s="351"/>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5" x14ac:dyDescent="0.3">
      <c r="A13" s="100"/>
      <c r="B13" s="279" t="s">
        <v>135</v>
      </c>
      <c r="C13" s="284"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8">
        <v>7</v>
      </c>
      <c r="W13" s="88"/>
      <c r="X13" s="348">
        <v>5</v>
      </c>
      <c r="Y13" s="349" t="s">
        <v>214</v>
      </c>
      <c r="Z13" s="350"/>
      <c r="AA13" s="350"/>
      <c r="AB13" s="351"/>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5" x14ac:dyDescent="0.3">
      <c r="A14" s="100"/>
      <c r="B14" s="279" t="s">
        <v>174</v>
      </c>
      <c r="C14" s="284"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8">
        <v>7</v>
      </c>
      <c r="W14" s="88"/>
      <c r="X14" s="348">
        <v>6</v>
      </c>
      <c r="Y14" s="349" t="s">
        <v>215</v>
      </c>
      <c r="Z14" s="350"/>
      <c r="AA14" s="350"/>
      <c r="AB14" s="351"/>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7.25" thickBot="1" x14ac:dyDescent="0.35">
      <c r="A15" s="100"/>
      <c r="B15" s="279" t="s">
        <v>136</v>
      </c>
      <c r="C15" s="284"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8">
        <v>7</v>
      </c>
      <c r="W15" s="88"/>
      <c r="X15" s="352">
        <v>7</v>
      </c>
      <c r="Y15" s="353" t="s">
        <v>216</v>
      </c>
      <c r="Z15" s="354"/>
      <c r="AA15" s="354"/>
      <c r="AB15" s="355"/>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
      <c r="A16" s="100"/>
      <c r="B16" s="279" t="s">
        <v>175</v>
      </c>
      <c r="C16" s="284"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8">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75" x14ac:dyDescent="0.3">
      <c r="A17" s="100"/>
      <c r="B17" s="279" t="s">
        <v>176</v>
      </c>
      <c r="C17" s="284"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8">
        <v>7</v>
      </c>
      <c r="W17" s="88"/>
      <c r="X17" s="410" t="s">
        <v>303</v>
      </c>
      <c r="Y17" s="411"/>
      <c r="Z17" s="411"/>
      <c r="AA17" s="411"/>
      <c r="AB17" s="412" t="s">
        <v>309</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7.25" thickBot="1" x14ac:dyDescent="0.35">
      <c r="A18" s="88"/>
      <c r="B18" s="280" t="s">
        <v>177</v>
      </c>
      <c r="C18" s="285" t="s">
        <v>139</v>
      </c>
      <c r="D18" s="281">
        <v>3</v>
      </c>
      <c r="E18" s="281">
        <v>5</v>
      </c>
      <c r="F18" s="281">
        <v>5</v>
      </c>
      <c r="G18" s="281">
        <v>7</v>
      </c>
      <c r="H18" s="281">
        <v>7</v>
      </c>
      <c r="I18" s="281">
        <v>7</v>
      </c>
      <c r="J18" s="281">
        <v>7</v>
      </c>
      <c r="K18" s="281">
        <v>7</v>
      </c>
      <c r="L18" s="281">
        <v>7</v>
      </c>
      <c r="M18" s="281">
        <v>7</v>
      </c>
      <c r="N18" s="281">
        <v>7</v>
      </c>
      <c r="O18" s="281">
        <v>7</v>
      </c>
      <c r="P18" s="281">
        <v>7</v>
      </c>
      <c r="Q18" s="281">
        <v>7</v>
      </c>
      <c r="R18" s="281">
        <v>7</v>
      </c>
      <c r="S18" s="281">
        <v>7</v>
      </c>
      <c r="T18" s="281">
        <v>7</v>
      </c>
      <c r="U18" s="281">
        <v>7</v>
      </c>
      <c r="V18" s="282">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
      <c r="A19" s="88"/>
      <c r="B19" s="390"/>
      <c r="C19" s="390"/>
      <c r="D19" s="390"/>
      <c r="E19" s="390"/>
      <c r="F19" s="390"/>
      <c r="G19" s="390"/>
      <c r="H19" s="390"/>
      <c r="I19" s="390"/>
      <c r="J19" s="390"/>
      <c r="K19" s="390"/>
      <c r="L19" s="390"/>
      <c r="M19" s="390"/>
      <c r="N19" s="390"/>
      <c r="O19" s="390"/>
      <c r="P19" s="390"/>
      <c r="Q19" s="390"/>
      <c r="R19" s="390"/>
      <c r="S19" s="390"/>
      <c r="T19" s="390"/>
      <c r="U19" s="390"/>
      <c r="V19" s="390"/>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35">
      <c r="A22" s="163"/>
      <c r="B22" s="357" t="s">
        <v>284</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35">
      <c r="A23" s="163"/>
      <c r="B23" s="187"/>
      <c r="C23" s="298"/>
      <c r="D23" s="299" t="s">
        <v>164</v>
      </c>
      <c r="E23" s="300"/>
      <c r="F23" s="300"/>
      <c r="G23" s="300"/>
      <c r="H23" s="300"/>
      <c r="I23" s="301"/>
      <c r="J23" s="203"/>
      <c r="K23" s="16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33" thickBot="1" x14ac:dyDescent="0.35">
      <c r="A24" s="163"/>
      <c r="B24" s="302" t="s">
        <v>137</v>
      </c>
      <c r="C24" s="303">
        <v>1</v>
      </c>
      <c r="D24" s="304">
        <v>2</v>
      </c>
      <c r="E24" s="304">
        <v>3</v>
      </c>
      <c r="F24" s="304">
        <v>4</v>
      </c>
      <c r="G24" s="304">
        <v>5</v>
      </c>
      <c r="H24" s="304">
        <v>6</v>
      </c>
      <c r="I24" s="305">
        <v>7</v>
      </c>
      <c r="J24" s="206" t="s">
        <v>137</v>
      </c>
      <c r="K24" s="163"/>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75" thickTop="1" x14ac:dyDescent="0.3">
      <c r="A25" s="163"/>
      <c r="B25" s="306">
        <v>1</v>
      </c>
      <c r="C25" s="204">
        <v>1E-3</v>
      </c>
      <c r="D25" s="205">
        <v>1E-3</v>
      </c>
      <c r="E25" s="205">
        <v>1E-3</v>
      </c>
      <c r="F25" s="205">
        <v>1E-3</v>
      </c>
      <c r="G25" s="205">
        <v>1E-3</v>
      </c>
      <c r="H25" s="205">
        <v>1E-3</v>
      </c>
      <c r="I25" s="307">
        <v>2E-3</v>
      </c>
      <c r="J25" s="207">
        <v>1</v>
      </c>
      <c r="K25" s="163"/>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
      <c r="A26" s="163"/>
      <c r="B26" s="306">
        <v>2</v>
      </c>
      <c r="C26" s="204">
        <v>7.0000000000000001E-3</v>
      </c>
      <c r="D26" s="205">
        <v>6.0000000000000001E-3</v>
      </c>
      <c r="E26" s="205">
        <v>8.0000000000000002E-3</v>
      </c>
      <c r="F26" s="205">
        <v>8.9999999999999993E-3</v>
      </c>
      <c r="G26" s="205">
        <v>0.01</v>
      </c>
      <c r="H26" s="205">
        <v>1.2E-2</v>
      </c>
      <c r="I26" s="307">
        <v>1.2E-2</v>
      </c>
      <c r="J26" s="207">
        <v>2</v>
      </c>
      <c r="K26" s="163"/>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
      <c r="A27" s="163"/>
      <c r="B27" s="306">
        <v>3</v>
      </c>
      <c r="C27" s="204">
        <v>2.5000000000000001E-2</v>
      </c>
      <c r="D27" s="205">
        <v>0.02</v>
      </c>
      <c r="E27" s="205">
        <v>2.8000000000000001E-2</v>
      </c>
      <c r="F27" s="205">
        <v>3.1E-2</v>
      </c>
      <c r="G27" s="205">
        <v>3.5000000000000003E-2</v>
      </c>
      <c r="H27" s="205">
        <v>0.04</v>
      </c>
      <c r="I27" s="307">
        <v>4.2000000000000003E-2</v>
      </c>
      <c r="J27" s="207">
        <v>3</v>
      </c>
      <c r="K27" s="163"/>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
      <c r="A28" s="163"/>
      <c r="B28" s="306">
        <v>4</v>
      </c>
      <c r="C28" s="204">
        <v>0.06</v>
      </c>
      <c r="D28" s="205">
        <v>4.7E-2</v>
      </c>
      <c r="E28" s="205">
        <v>6.6000000000000003E-2</v>
      </c>
      <c r="F28" s="205">
        <v>7.3999999999999996E-2</v>
      </c>
      <c r="G28" s="205">
        <v>8.2000000000000003E-2</v>
      </c>
      <c r="H28" s="205">
        <v>9.4E-2</v>
      </c>
      <c r="I28" s="307">
        <v>9.9000000000000005E-2</v>
      </c>
      <c r="J28" s="207">
        <v>4</v>
      </c>
      <c r="K28" s="163"/>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
      <c r="A29" s="163"/>
      <c r="B29" s="306">
        <v>5</v>
      </c>
      <c r="C29" s="204">
        <v>0.11700000000000001</v>
      </c>
      <c r="D29" s="205">
        <v>9.1999999999999998E-2</v>
      </c>
      <c r="E29" s="205">
        <v>0.129</v>
      </c>
      <c r="F29" s="205">
        <v>0.14499999999999999</v>
      </c>
      <c r="G29" s="205">
        <v>0.161</v>
      </c>
      <c r="H29" s="205">
        <v>0.184</v>
      </c>
      <c r="I29" s="307">
        <v>0.193</v>
      </c>
      <c r="J29" s="207">
        <v>5</v>
      </c>
      <c r="K29" s="163"/>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
      <c r="A30" s="163"/>
      <c r="B30" s="306">
        <v>6</v>
      </c>
      <c r="C30" s="204">
        <v>0.20200000000000001</v>
      </c>
      <c r="D30" s="205">
        <v>0.159</v>
      </c>
      <c r="E30" s="205">
        <v>0.222</v>
      </c>
      <c r="F30" s="205">
        <v>0.251</v>
      </c>
      <c r="G30" s="205">
        <v>0.27800000000000002</v>
      </c>
      <c r="H30" s="205">
        <v>0.318</v>
      </c>
      <c r="I30" s="307">
        <v>0.33300000000000002</v>
      </c>
      <c r="J30" s="207">
        <v>6</v>
      </c>
      <c r="K30" s="163"/>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
      <c r="A31" s="163"/>
      <c r="B31" s="306">
        <v>7</v>
      </c>
      <c r="C31" s="204">
        <v>0.32100000000000001</v>
      </c>
      <c r="D31" s="205">
        <v>0.252</v>
      </c>
      <c r="E31" s="205">
        <v>0.35299999999999998</v>
      </c>
      <c r="F31" s="205">
        <v>0.39900000000000002</v>
      </c>
      <c r="G31" s="205">
        <v>0.441</v>
      </c>
      <c r="H31" s="205">
        <v>0.504</v>
      </c>
      <c r="I31" s="307">
        <v>0.52900000000000003</v>
      </c>
      <c r="J31" s="207">
        <v>7</v>
      </c>
      <c r="K31" s="163"/>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
      <c r="A32" s="163"/>
      <c r="B32" s="306">
        <v>8</v>
      </c>
      <c r="C32" s="204">
        <v>0.48</v>
      </c>
      <c r="D32" s="205">
        <v>0.376</v>
      </c>
      <c r="E32" s="205">
        <v>0.52700000000000002</v>
      </c>
      <c r="F32" s="205">
        <v>0.59599999999999997</v>
      </c>
      <c r="G32" s="205">
        <v>0.65900000000000003</v>
      </c>
      <c r="H32" s="205">
        <v>0.753</v>
      </c>
      <c r="I32" s="307">
        <v>0.79</v>
      </c>
      <c r="J32" s="207">
        <v>8</v>
      </c>
      <c r="K32" s="163"/>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
      <c r="A33" s="163"/>
      <c r="B33" s="306">
        <v>9</v>
      </c>
      <c r="C33" s="204">
        <v>0.68300000000000005</v>
      </c>
      <c r="D33" s="205">
        <v>0.53600000000000003</v>
      </c>
      <c r="E33" s="205">
        <v>0.75</v>
      </c>
      <c r="F33" s="205">
        <v>0.84799999999999998</v>
      </c>
      <c r="G33" s="205">
        <v>0.93799999999999994</v>
      </c>
      <c r="H33" s="205">
        <v>1</v>
      </c>
      <c r="I33" s="307">
        <v>1</v>
      </c>
      <c r="J33" s="207">
        <v>9</v>
      </c>
      <c r="K33" s="163"/>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
      <c r="A34" s="163"/>
      <c r="B34" s="306">
        <v>10</v>
      </c>
      <c r="C34" s="204">
        <v>0.93700000000000006</v>
      </c>
      <c r="D34" s="205">
        <v>0.73499999999999999</v>
      </c>
      <c r="E34" s="205">
        <v>1</v>
      </c>
      <c r="F34" s="205">
        <v>1</v>
      </c>
      <c r="G34" s="205">
        <v>1</v>
      </c>
      <c r="H34" s="205">
        <v>1</v>
      </c>
      <c r="I34" s="307">
        <v>1</v>
      </c>
      <c r="J34" s="207">
        <v>10</v>
      </c>
      <c r="K34" s="163"/>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
      <c r="A35" s="163"/>
      <c r="B35" s="306">
        <v>11</v>
      </c>
      <c r="C35" s="204">
        <v>1</v>
      </c>
      <c r="D35" s="205">
        <v>0.97799999999999998</v>
      </c>
      <c r="E35" s="205">
        <v>1</v>
      </c>
      <c r="F35" s="205">
        <v>1</v>
      </c>
      <c r="G35" s="205">
        <v>1</v>
      </c>
      <c r="H35" s="205">
        <v>1</v>
      </c>
      <c r="I35" s="307">
        <v>1</v>
      </c>
      <c r="J35" s="207">
        <v>11</v>
      </c>
      <c r="K35" s="163"/>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
      <c r="A36" s="163"/>
      <c r="B36" s="306">
        <v>12</v>
      </c>
      <c r="C36" s="204">
        <v>1</v>
      </c>
      <c r="D36" s="205">
        <v>1</v>
      </c>
      <c r="E36" s="205">
        <v>1</v>
      </c>
      <c r="F36" s="205">
        <v>1</v>
      </c>
      <c r="G36" s="205">
        <v>1</v>
      </c>
      <c r="H36" s="205">
        <v>1</v>
      </c>
      <c r="I36" s="307">
        <v>1</v>
      </c>
      <c r="J36" s="207">
        <v>12</v>
      </c>
      <c r="K36" s="163"/>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
      <c r="A37" s="163"/>
      <c r="B37" s="306">
        <v>13</v>
      </c>
      <c r="C37" s="204">
        <v>1</v>
      </c>
      <c r="D37" s="205">
        <v>1</v>
      </c>
      <c r="E37" s="205">
        <v>1</v>
      </c>
      <c r="F37" s="205">
        <v>1</v>
      </c>
      <c r="G37" s="205">
        <v>1</v>
      </c>
      <c r="H37" s="205">
        <v>1</v>
      </c>
      <c r="I37" s="307">
        <v>1</v>
      </c>
      <c r="J37" s="207">
        <v>13</v>
      </c>
      <c r="K37" s="163"/>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
      <c r="A38" s="163"/>
      <c r="B38" s="306">
        <v>14</v>
      </c>
      <c r="C38" s="204">
        <v>1</v>
      </c>
      <c r="D38" s="205">
        <v>1</v>
      </c>
      <c r="E38" s="205">
        <v>1</v>
      </c>
      <c r="F38" s="205">
        <v>1</v>
      </c>
      <c r="G38" s="205">
        <v>1</v>
      </c>
      <c r="H38" s="205">
        <v>1</v>
      </c>
      <c r="I38" s="307">
        <v>1</v>
      </c>
      <c r="J38" s="207">
        <v>14</v>
      </c>
      <c r="K38" s="163"/>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
      <c r="A39" s="163"/>
      <c r="B39" s="306">
        <v>15</v>
      </c>
      <c r="C39" s="204">
        <v>1</v>
      </c>
      <c r="D39" s="205">
        <v>1</v>
      </c>
      <c r="E39" s="205">
        <v>1</v>
      </c>
      <c r="F39" s="205">
        <v>1</v>
      </c>
      <c r="G39" s="205">
        <v>1</v>
      </c>
      <c r="H39" s="205">
        <v>1</v>
      </c>
      <c r="I39" s="307">
        <v>1</v>
      </c>
      <c r="J39" s="207">
        <v>15</v>
      </c>
      <c r="K39" s="163"/>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
      <c r="A40" s="163"/>
      <c r="B40" s="306">
        <v>16</v>
      </c>
      <c r="C40" s="204">
        <v>1</v>
      </c>
      <c r="D40" s="205">
        <v>1</v>
      </c>
      <c r="E40" s="205">
        <v>1</v>
      </c>
      <c r="F40" s="205">
        <v>1</v>
      </c>
      <c r="G40" s="205">
        <v>1</v>
      </c>
      <c r="H40" s="205">
        <v>1</v>
      </c>
      <c r="I40" s="307">
        <v>1</v>
      </c>
      <c r="J40" s="207">
        <v>16</v>
      </c>
      <c r="K40" s="163"/>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
      <c r="A41" s="163"/>
      <c r="B41" s="306">
        <v>17</v>
      </c>
      <c r="C41" s="204">
        <v>1</v>
      </c>
      <c r="D41" s="205">
        <v>1</v>
      </c>
      <c r="E41" s="205">
        <v>1</v>
      </c>
      <c r="F41" s="205">
        <v>1</v>
      </c>
      <c r="G41" s="205">
        <v>1</v>
      </c>
      <c r="H41" s="205">
        <v>1</v>
      </c>
      <c r="I41" s="307">
        <v>1</v>
      </c>
      <c r="J41" s="207">
        <v>17</v>
      </c>
      <c r="K41" s="163"/>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75" thickBot="1" x14ac:dyDescent="0.35">
      <c r="A42" s="163"/>
      <c r="B42" s="308">
        <v>18</v>
      </c>
      <c r="C42" s="309">
        <v>1</v>
      </c>
      <c r="D42" s="310">
        <v>1</v>
      </c>
      <c r="E42" s="310">
        <v>1</v>
      </c>
      <c r="F42" s="310">
        <v>1</v>
      </c>
      <c r="G42" s="310">
        <v>1</v>
      </c>
      <c r="H42" s="310">
        <v>1</v>
      </c>
      <c r="I42" s="311">
        <v>1</v>
      </c>
      <c r="J42" s="356">
        <v>18</v>
      </c>
      <c r="K42" s="163"/>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35">
      <c r="A45" s="163"/>
      <c r="B45" s="88"/>
      <c r="C45" s="89"/>
      <c r="D45" s="164" t="s">
        <v>301</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75" thickBot="1" x14ac:dyDescent="0.35">
      <c r="A46" s="163"/>
      <c r="B46" s="88"/>
      <c r="C46" s="397"/>
      <c r="D46" s="406">
        <v>2014</v>
      </c>
      <c r="E46" s="407">
        <v>2016</v>
      </c>
      <c r="F46" s="407">
        <v>2018</v>
      </c>
      <c r="G46" s="407">
        <v>2020</v>
      </c>
      <c r="H46" s="407">
        <v>2022</v>
      </c>
      <c r="I46" s="407">
        <v>2024</v>
      </c>
      <c r="J46" s="407">
        <v>2026</v>
      </c>
      <c r="K46" s="407">
        <v>2028</v>
      </c>
      <c r="L46" s="407">
        <v>2030</v>
      </c>
      <c r="M46" s="407">
        <v>2032</v>
      </c>
      <c r="N46" s="407">
        <v>2034</v>
      </c>
      <c r="O46" s="407">
        <v>2036</v>
      </c>
      <c r="P46" s="407">
        <v>2038</v>
      </c>
      <c r="Q46" s="407">
        <v>2040</v>
      </c>
      <c r="R46" s="407">
        <v>2042</v>
      </c>
      <c r="S46" s="407">
        <v>2044</v>
      </c>
      <c r="T46" s="407">
        <v>2046</v>
      </c>
      <c r="U46" s="407">
        <v>2048</v>
      </c>
      <c r="V46" s="408">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8" thickTop="1" thickBot="1" x14ac:dyDescent="0.35">
      <c r="A47" s="163"/>
      <c r="B47" s="88"/>
      <c r="C47" s="398" t="s">
        <v>173</v>
      </c>
      <c r="D47" s="399">
        <v>0.85</v>
      </c>
      <c r="E47" s="399">
        <v>0.85</v>
      </c>
      <c r="F47" s="399">
        <v>0.85</v>
      </c>
      <c r="G47" s="399">
        <v>0.85</v>
      </c>
      <c r="H47" s="399">
        <v>0.85</v>
      </c>
      <c r="I47" s="399">
        <v>0.85</v>
      </c>
      <c r="J47" s="399">
        <v>0.85</v>
      </c>
      <c r="K47" s="399">
        <v>0.85</v>
      </c>
      <c r="L47" s="399">
        <v>0.85</v>
      </c>
      <c r="M47" s="399">
        <v>0.85</v>
      </c>
      <c r="N47" s="399">
        <v>0.85</v>
      </c>
      <c r="O47" s="399">
        <v>0.85</v>
      </c>
      <c r="P47" s="399">
        <v>0.85</v>
      </c>
      <c r="Q47" s="399">
        <v>0.85</v>
      </c>
      <c r="R47" s="399">
        <v>0.85</v>
      </c>
      <c r="S47" s="399">
        <v>0.85</v>
      </c>
      <c r="T47" s="399">
        <v>0.85</v>
      </c>
      <c r="U47" s="399">
        <v>0.85</v>
      </c>
      <c r="V47" s="400">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7.25" thickTop="1" x14ac:dyDescent="0.3">
      <c r="A48" s="163"/>
      <c r="B48" s="88"/>
      <c r="C48" s="398" t="s">
        <v>114</v>
      </c>
      <c r="D48" s="399">
        <v>0.85</v>
      </c>
      <c r="E48" s="399">
        <v>0.85</v>
      </c>
      <c r="F48" s="399">
        <v>0.85</v>
      </c>
      <c r="G48" s="399">
        <v>0.85</v>
      </c>
      <c r="H48" s="399">
        <v>0.85</v>
      </c>
      <c r="I48" s="399">
        <v>0.85</v>
      </c>
      <c r="J48" s="399">
        <v>0.85</v>
      </c>
      <c r="K48" s="399">
        <v>0.85</v>
      </c>
      <c r="L48" s="399">
        <v>0.85</v>
      </c>
      <c r="M48" s="399">
        <v>0.85</v>
      </c>
      <c r="N48" s="399">
        <v>0.85</v>
      </c>
      <c r="O48" s="399">
        <v>0.85</v>
      </c>
      <c r="P48" s="399">
        <v>0.85</v>
      </c>
      <c r="Q48" s="399">
        <v>0.85</v>
      </c>
      <c r="R48" s="399">
        <v>0.85</v>
      </c>
      <c r="S48" s="399">
        <v>0.85</v>
      </c>
      <c r="T48" s="399">
        <v>0.85</v>
      </c>
      <c r="U48" s="399">
        <v>0.85</v>
      </c>
      <c r="V48" s="400">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5" x14ac:dyDescent="0.3">
      <c r="A49" s="88"/>
      <c r="B49" s="88"/>
      <c r="C49" s="401" t="s">
        <v>133</v>
      </c>
      <c r="D49" s="399">
        <v>0.85</v>
      </c>
      <c r="E49" s="399">
        <v>0.85</v>
      </c>
      <c r="F49" s="399">
        <v>0.85</v>
      </c>
      <c r="G49" s="399">
        <v>0.85</v>
      </c>
      <c r="H49" s="399">
        <v>0.85</v>
      </c>
      <c r="I49" s="399">
        <v>0.85</v>
      </c>
      <c r="J49" s="399">
        <v>0.85</v>
      </c>
      <c r="K49" s="399">
        <v>0.85</v>
      </c>
      <c r="L49" s="399">
        <v>0.85</v>
      </c>
      <c r="M49" s="399">
        <v>0.85</v>
      </c>
      <c r="N49" s="399">
        <v>0.85</v>
      </c>
      <c r="O49" s="399">
        <v>0.85</v>
      </c>
      <c r="P49" s="399">
        <v>0.85</v>
      </c>
      <c r="Q49" s="399">
        <v>0.85</v>
      </c>
      <c r="R49" s="399">
        <v>0.85</v>
      </c>
      <c r="S49" s="399">
        <v>0.85</v>
      </c>
      <c r="T49" s="399">
        <v>0.85</v>
      </c>
      <c r="U49" s="399">
        <v>0.85</v>
      </c>
      <c r="V49" s="400">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5" x14ac:dyDescent="0.3">
      <c r="A50" s="88"/>
      <c r="B50" s="88"/>
      <c r="C50" s="401" t="s">
        <v>132</v>
      </c>
      <c r="D50" s="399">
        <v>0.85</v>
      </c>
      <c r="E50" s="399">
        <v>0.85</v>
      </c>
      <c r="F50" s="399">
        <v>0.85</v>
      </c>
      <c r="G50" s="399">
        <v>0.85</v>
      </c>
      <c r="H50" s="399">
        <v>0.85</v>
      </c>
      <c r="I50" s="399">
        <v>0.85</v>
      </c>
      <c r="J50" s="399">
        <v>0.85</v>
      </c>
      <c r="K50" s="399">
        <v>0.85</v>
      </c>
      <c r="L50" s="399">
        <v>0.85</v>
      </c>
      <c r="M50" s="399">
        <v>0.85</v>
      </c>
      <c r="N50" s="399">
        <v>0.85</v>
      </c>
      <c r="O50" s="399">
        <v>0.85</v>
      </c>
      <c r="P50" s="399">
        <v>0.85</v>
      </c>
      <c r="Q50" s="399">
        <v>0.85</v>
      </c>
      <c r="R50" s="402">
        <v>0.85</v>
      </c>
      <c r="S50" s="399">
        <v>0.85</v>
      </c>
      <c r="T50" s="399">
        <v>0.85</v>
      </c>
      <c r="U50" s="399">
        <v>0.85</v>
      </c>
      <c r="V50" s="400">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5" x14ac:dyDescent="0.3">
      <c r="A51" s="88"/>
      <c r="B51" s="88"/>
      <c r="C51" s="401" t="s">
        <v>134</v>
      </c>
      <c r="D51" s="399">
        <v>0.85</v>
      </c>
      <c r="E51" s="399">
        <v>0.85</v>
      </c>
      <c r="F51" s="399">
        <v>0.85</v>
      </c>
      <c r="G51" s="399">
        <v>0.85</v>
      </c>
      <c r="H51" s="399">
        <v>0.85</v>
      </c>
      <c r="I51" s="399">
        <v>0.85</v>
      </c>
      <c r="J51" s="399">
        <v>0.85</v>
      </c>
      <c r="K51" s="399">
        <v>0.85</v>
      </c>
      <c r="L51" s="399">
        <v>0.85</v>
      </c>
      <c r="M51" s="399">
        <v>0.85</v>
      </c>
      <c r="N51" s="399">
        <v>0.85</v>
      </c>
      <c r="O51" s="399">
        <v>0.85</v>
      </c>
      <c r="P51" s="399">
        <v>0.85</v>
      </c>
      <c r="Q51" s="399">
        <v>0.85</v>
      </c>
      <c r="R51" s="399">
        <v>0.85</v>
      </c>
      <c r="S51" s="399">
        <v>0.85</v>
      </c>
      <c r="T51" s="399">
        <v>0.85</v>
      </c>
      <c r="U51" s="399">
        <v>0.85</v>
      </c>
      <c r="V51" s="400">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5" x14ac:dyDescent="0.3">
      <c r="A52" s="88"/>
      <c r="B52" s="88"/>
      <c r="C52" s="401" t="s">
        <v>135</v>
      </c>
      <c r="D52" s="399">
        <v>0.85</v>
      </c>
      <c r="E52" s="399">
        <v>0.85</v>
      </c>
      <c r="F52" s="399">
        <v>0.85</v>
      </c>
      <c r="G52" s="399">
        <v>0.85</v>
      </c>
      <c r="H52" s="399">
        <v>0.85</v>
      </c>
      <c r="I52" s="399">
        <v>0.85</v>
      </c>
      <c r="J52" s="399">
        <v>0.85</v>
      </c>
      <c r="K52" s="399">
        <v>0.85</v>
      </c>
      <c r="L52" s="399">
        <v>0.85</v>
      </c>
      <c r="M52" s="399">
        <v>0.85</v>
      </c>
      <c r="N52" s="399">
        <v>0.85</v>
      </c>
      <c r="O52" s="399">
        <v>0.85</v>
      </c>
      <c r="P52" s="399">
        <v>0.85</v>
      </c>
      <c r="Q52" s="399">
        <v>0.85</v>
      </c>
      <c r="R52" s="399">
        <v>0.85</v>
      </c>
      <c r="S52" s="399">
        <v>0.85</v>
      </c>
      <c r="T52" s="399">
        <v>0.85</v>
      </c>
      <c r="U52" s="399">
        <v>0.85</v>
      </c>
      <c r="V52" s="400">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5" x14ac:dyDescent="0.3">
      <c r="A53" s="88"/>
      <c r="B53" s="88"/>
      <c r="C53" s="401" t="s">
        <v>174</v>
      </c>
      <c r="D53" s="399">
        <v>0.85</v>
      </c>
      <c r="E53" s="399">
        <v>0.85</v>
      </c>
      <c r="F53" s="399">
        <v>0.85</v>
      </c>
      <c r="G53" s="399">
        <v>0.85</v>
      </c>
      <c r="H53" s="399">
        <v>0.85</v>
      </c>
      <c r="I53" s="399">
        <v>0.85</v>
      </c>
      <c r="J53" s="399">
        <v>0.85</v>
      </c>
      <c r="K53" s="399">
        <v>0.85</v>
      </c>
      <c r="L53" s="399">
        <v>0.85</v>
      </c>
      <c r="M53" s="399">
        <v>0.85</v>
      </c>
      <c r="N53" s="399">
        <v>0.85</v>
      </c>
      <c r="O53" s="399">
        <v>0.85</v>
      </c>
      <c r="P53" s="399">
        <v>0.85</v>
      </c>
      <c r="Q53" s="399">
        <v>0.85</v>
      </c>
      <c r="R53" s="399">
        <v>0.85</v>
      </c>
      <c r="S53" s="399">
        <v>0.85</v>
      </c>
      <c r="T53" s="399">
        <v>0.85</v>
      </c>
      <c r="U53" s="399">
        <v>0.85</v>
      </c>
      <c r="V53" s="400">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5" x14ac:dyDescent="0.3">
      <c r="A54" s="88"/>
      <c r="B54" s="88"/>
      <c r="C54" s="401" t="s">
        <v>136</v>
      </c>
      <c r="D54" s="399">
        <v>0.85</v>
      </c>
      <c r="E54" s="399">
        <v>0.85</v>
      </c>
      <c r="F54" s="399">
        <v>0.85</v>
      </c>
      <c r="G54" s="399">
        <v>0.85</v>
      </c>
      <c r="H54" s="399">
        <v>0.85</v>
      </c>
      <c r="I54" s="399">
        <v>0.85</v>
      </c>
      <c r="J54" s="399">
        <v>0.85</v>
      </c>
      <c r="K54" s="399">
        <v>0.85</v>
      </c>
      <c r="L54" s="399">
        <v>0.85</v>
      </c>
      <c r="M54" s="399">
        <v>0.85</v>
      </c>
      <c r="N54" s="399">
        <v>0.85</v>
      </c>
      <c r="O54" s="399">
        <v>0.85</v>
      </c>
      <c r="P54" s="399">
        <v>0.85</v>
      </c>
      <c r="Q54" s="399">
        <v>0.85</v>
      </c>
      <c r="R54" s="399">
        <v>0.85</v>
      </c>
      <c r="S54" s="399">
        <v>0.85</v>
      </c>
      <c r="T54" s="399">
        <v>0.85</v>
      </c>
      <c r="U54" s="399">
        <v>0.85</v>
      </c>
      <c r="V54" s="400">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5" x14ac:dyDescent="0.3">
      <c r="A55" s="88"/>
      <c r="B55" s="88"/>
      <c r="C55" s="401" t="s">
        <v>175</v>
      </c>
      <c r="D55" s="399">
        <v>0.85</v>
      </c>
      <c r="E55" s="399">
        <v>0.85</v>
      </c>
      <c r="F55" s="399">
        <v>0.85</v>
      </c>
      <c r="G55" s="399">
        <v>0.85</v>
      </c>
      <c r="H55" s="399">
        <v>0.85</v>
      </c>
      <c r="I55" s="399">
        <v>0.85</v>
      </c>
      <c r="J55" s="399">
        <v>0.85</v>
      </c>
      <c r="K55" s="399">
        <v>0.85</v>
      </c>
      <c r="L55" s="399">
        <v>0.85</v>
      </c>
      <c r="M55" s="399">
        <v>0.85</v>
      </c>
      <c r="N55" s="399">
        <v>0.85</v>
      </c>
      <c r="O55" s="399">
        <v>0.85</v>
      </c>
      <c r="P55" s="399">
        <v>0.85</v>
      </c>
      <c r="Q55" s="399">
        <v>0.85</v>
      </c>
      <c r="R55" s="399">
        <v>0.85</v>
      </c>
      <c r="S55" s="399">
        <v>0.85</v>
      </c>
      <c r="T55" s="399">
        <v>0.85</v>
      </c>
      <c r="U55" s="399">
        <v>0.85</v>
      </c>
      <c r="V55" s="400">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5" x14ac:dyDescent="0.3">
      <c r="A56" s="88"/>
      <c r="B56" s="88"/>
      <c r="C56" s="401" t="s">
        <v>176</v>
      </c>
      <c r="D56" s="399">
        <v>0.85</v>
      </c>
      <c r="E56" s="399">
        <v>0.85</v>
      </c>
      <c r="F56" s="399">
        <v>0.85</v>
      </c>
      <c r="G56" s="399">
        <v>0.85</v>
      </c>
      <c r="H56" s="399">
        <v>0.85</v>
      </c>
      <c r="I56" s="399">
        <v>0.85</v>
      </c>
      <c r="J56" s="399">
        <v>0.85</v>
      </c>
      <c r="K56" s="399">
        <v>0.85</v>
      </c>
      <c r="L56" s="399">
        <v>0.85</v>
      </c>
      <c r="M56" s="399">
        <v>0.85</v>
      </c>
      <c r="N56" s="399">
        <v>0.85</v>
      </c>
      <c r="O56" s="399">
        <v>0.85</v>
      </c>
      <c r="P56" s="399">
        <v>0.85</v>
      </c>
      <c r="Q56" s="399">
        <v>0.85</v>
      </c>
      <c r="R56" s="399">
        <v>0.85</v>
      </c>
      <c r="S56" s="399">
        <v>0.85</v>
      </c>
      <c r="T56" s="399">
        <v>0.85</v>
      </c>
      <c r="U56" s="399">
        <v>0.85</v>
      </c>
      <c r="V56" s="400">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7.25" thickBot="1" x14ac:dyDescent="0.35">
      <c r="A57" s="88"/>
      <c r="B57" s="88"/>
      <c r="C57" s="403" t="s">
        <v>177</v>
      </c>
      <c r="D57" s="404">
        <v>0.85</v>
      </c>
      <c r="E57" s="404">
        <v>0.85</v>
      </c>
      <c r="F57" s="404">
        <v>0.85</v>
      </c>
      <c r="G57" s="404">
        <v>0.85</v>
      </c>
      <c r="H57" s="404">
        <v>0.85</v>
      </c>
      <c r="I57" s="404">
        <v>0.85</v>
      </c>
      <c r="J57" s="404">
        <v>0.85</v>
      </c>
      <c r="K57" s="404">
        <v>0.85</v>
      </c>
      <c r="L57" s="404">
        <v>0.85</v>
      </c>
      <c r="M57" s="404">
        <v>0.85</v>
      </c>
      <c r="N57" s="404">
        <v>0.85</v>
      </c>
      <c r="O57" s="404">
        <v>0.85</v>
      </c>
      <c r="P57" s="404">
        <v>0.85</v>
      </c>
      <c r="Q57" s="404">
        <v>0.85</v>
      </c>
      <c r="R57" s="404">
        <v>0.85</v>
      </c>
      <c r="S57" s="404">
        <v>0.85</v>
      </c>
      <c r="T57" s="404">
        <v>0.85</v>
      </c>
      <c r="U57" s="404">
        <v>0.85</v>
      </c>
      <c r="V57" s="405">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104775</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295275</xdr:colOff>
                    <xdr:row>17</xdr:row>
                    <xdr:rowOff>76200</xdr:rowOff>
                  </from>
                  <to>
                    <xdr:col>28</xdr:col>
                    <xdr:colOff>66675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6" zoomScale="85" zoomScaleNormal="85" zoomScalePageLayoutView="85" workbookViewId="0">
      <selection activeCell="F10" sqref="F10"/>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27"/>
      <c r="D6" s="214" t="s">
        <v>107</v>
      </c>
      <c r="E6" s="215">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74" t="s">
        <v>53</v>
      </c>
      <c r="D9" s="475"/>
      <c r="E9" s="393" t="s">
        <v>168</v>
      </c>
      <c r="F9" s="229" t="s">
        <v>169</v>
      </c>
      <c r="G9" s="158"/>
      <c r="H9" s="334"/>
      <c r="I9" s="334"/>
      <c r="J9" s="465" t="s">
        <v>148</v>
      </c>
      <c r="K9" s="466"/>
      <c r="L9" s="467"/>
      <c r="M9" s="197" t="s">
        <v>285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25" t="s">
        <v>143</v>
      </c>
      <c r="D10" s="225"/>
      <c r="E10" s="394">
        <v>15</v>
      </c>
      <c r="F10" s="230">
        <v>15</v>
      </c>
      <c r="G10" s="158"/>
      <c r="H10" s="159"/>
      <c r="I10" s="159"/>
      <c r="J10" s="216" t="s">
        <v>2</v>
      </c>
      <c r="K10" s="216" t="s">
        <v>155</v>
      </c>
      <c r="L10" s="216" t="s">
        <v>68</v>
      </c>
      <c r="M10" s="198" t="s">
        <v>286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25" t="s">
        <v>144</v>
      </c>
      <c r="D11" s="225"/>
      <c r="E11" s="395">
        <v>0.06</v>
      </c>
      <c r="F11" s="232">
        <v>0.06</v>
      </c>
      <c r="G11" s="158"/>
      <c r="H11" s="174"/>
      <c r="I11" s="174"/>
      <c r="J11" s="217">
        <v>1</v>
      </c>
      <c r="K11" s="218">
        <v>0.2</v>
      </c>
      <c r="L11" s="219">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25" t="s">
        <v>145</v>
      </c>
      <c r="D12" s="225"/>
      <c r="E12" s="395">
        <v>0.2</v>
      </c>
      <c r="F12" s="232">
        <v>0.2</v>
      </c>
      <c r="G12" s="158"/>
      <c r="H12" s="174"/>
      <c r="I12" s="174"/>
      <c r="J12" s="220">
        <v>2</v>
      </c>
      <c r="K12" s="196">
        <v>0.32</v>
      </c>
      <c r="L12" s="221">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25" t="s">
        <v>146</v>
      </c>
      <c r="D13" s="225"/>
      <c r="E13" s="395">
        <v>0.1</v>
      </c>
      <c r="F13" s="232">
        <v>0.1</v>
      </c>
      <c r="G13" s="158"/>
      <c r="H13" s="174"/>
      <c r="I13" s="174"/>
      <c r="J13" s="220">
        <v>3</v>
      </c>
      <c r="K13" s="196">
        <v>0.192</v>
      </c>
      <c r="L13" s="221">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25" t="s">
        <v>55</v>
      </c>
      <c r="D14" s="226"/>
      <c r="E14" s="396">
        <v>0.33</v>
      </c>
      <c r="F14" s="233">
        <v>0.33</v>
      </c>
      <c r="G14" s="158"/>
      <c r="H14" s="174"/>
      <c r="I14" s="174"/>
      <c r="J14" s="220">
        <v>4</v>
      </c>
      <c r="K14" s="196">
        <v>0.1152</v>
      </c>
      <c r="L14" s="221">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4"/>
      <c r="G15" s="171"/>
      <c r="H15" s="174"/>
      <c r="I15" s="174"/>
      <c r="J15" s="220">
        <v>5</v>
      </c>
      <c r="K15" s="196">
        <v>0.1152</v>
      </c>
      <c r="L15" s="221">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58"/>
      <c r="C16" s="158"/>
      <c r="D16" s="158"/>
      <c r="E16" s="158"/>
      <c r="F16" s="158"/>
      <c r="G16" s="79"/>
      <c r="H16" s="79"/>
      <c r="I16" s="19"/>
      <c r="J16" s="220">
        <v>6</v>
      </c>
      <c r="K16" s="196">
        <v>5.7599999999999998E-2</v>
      </c>
      <c r="L16" s="221">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68"/>
      <c r="C17" s="476" t="s">
        <v>54</v>
      </c>
      <c r="D17" s="477"/>
      <c r="E17" s="234" t="s">
        <v>168</v>
      </c>
      <c r="F17" s="235" t="s">
        <v>169</v>
      </c>
      <c r="G17" s="128"/>
      <c r="H17" s="128"/>
      <c r="I17" s="78"/>
      <c r="J17" s="220">
        <v>7</v>
      </c>
      <c r="K17" s="200">
        <v>0</v>
      </c>
      <c r="L17" s="221">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58"/>
      <c r="C18" s="227" t="s">
        <v>147</v>
      </c>
      <c r="D18" s="227"/>
      <c r="E18" s="236">
        <v>20</v>
      </c>
      <c r="F18" s="237">
        <v>20</v>
      </c>
      <c r="G18" s="21"/>
      <c r="H18" s="21"/>
      <c r="I18" s="78"/>
      <c r="J18" s="220">
        <v>8</v>
      </c>
      <c r="K18" s="200">
        <v>0</v>
      </c>
      <c r="L18" s="221">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58"/>
      <c r="C19" s="227" t="s">
        <v>144</v>
      </c>
      <c r="D19" s="227"/>
      <c r="E19" s="231">
        <v>0.06</v>
      </c>
      <c r="F19" s="232">
        <v>0.05</v>
      </c>
      <c r="G19" s="115"/>
      <c r="H19" s="115"/>
      <c r="I19" s="78"/>
      <c r="J19" s="220">
        <v>9</v>
      </c>
      <c r="K19" s="200">
        <v>0</v>
      </c>
      <c r="L19" s="221">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58"/>
      <c r="C20" s="227" t="s">
        <v>145</v>
      </c>
      <c r="D20" s="228"/>
      <c r="E20" s="231">
        <v>1</v>
      </c>
      <c r="F20" s="232">
        <v>1</v>
      </c>
      <c r="G20" s="21"/>
      <c r="H20" s="21"/>
      <c r="I20" s="78"/>
      <c r="J20" s="220">
        <v>10</v>
      </c>
      <c r="K20" s="200">
        <v>0</v>
      </c>
      <c r="L20" s="221">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58"/>
      <c r="C21" s="227" t="s">
        <v>146</v>
      </c>
      <c r="D21" s="228"/>
      <c r="E21" s="231">
        <v>0.12</v>
      </c>
      <c r="F21" s="232">
        <v>0.1</v>
      </c>
      <c r="G21" s="21"/>
      <c r="H21" s="21"/>
      <c r="I21" s="192"/>
      <c r="J21" s="220">
        <v>11</v>
      </c>
      <c r="K21" s="200">
        <v>0</v>
      </c>
      <c r="L21" s="221">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58"/>
      <c r="C22" s="227" t="s">
        <v>55</v>
      </c>
      <c r="D22" s="228"/>
      <c r="E22" s="231">
        <v>0.35</v>
      </c>
      <c r="F22" s="232">
        <v>0</v>
      </c>
      <c r="G22" s="21"/>
      <c r="H22" s="21"/>
      <c r="I22" s="78"/>
      <c r="J22" s="220">
        <v>12</v>
      </c>
      <c r="K22" s="200">
        <v>0</v>
      </c>
      <c r="L22" s="221">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58"/>
      <c r="C23" s="227" t="s">
        <v>100</v>
      </c>
      <c r="D23" s="228"/>
      <c r="E23" s="238">
        <v>25</v>
      </c>
      <c r="F23" s="239">
        <v>25</v>
      </c>
      <c r="G23" s="179"/>
      <c r="H23" s="179"/>
      <c r="I23" s="193"/>
      <c r="J23" s="220">
        <v>13</v>
      </c>
      <c r="K23" s="200">
        <v>0</v>
      </c>
      <c r="L23" s="221">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58"/>
      <c r="C24" s="158"/>
      <c r="D24" s="158"/>
      <c r="E24" s="158"/>
      <c r="F24" s="158"/>
      <c r="G24" s="158"/>
      <c r="H24" s="158"/>
      <c r="I24" s="194"/>
      <c r="J24" s="220">
        <v>14</v>
      </c>
      <c r="K24" s="200">
        <v>0</v>
      </c>
      <c r="L24" s="221">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58"/>
      <c r="C25" s="158"/>
      <c r="D25" s="158"/>
      <c r="E25" s="158"/>
      <c r="F25" s="158"/>
      <c r="G25" s="158"/>
      <c r="H25" s="158"/>
      <c r="I25" s="176"/>
      <c r="J25" s="220">
        <v>15</v>
      </c>
      <c r="K25" s="200">
        <v>0</v>
      </c>
      <c r="L25" s="221">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67"/>
      <c r="C26" s="478" t="s">
        <v>149</v>
      </c>
      <c r="D26" s="479"/>
      <c r="E26" s="240" t="s">
        <v>168</v>
      </c>
      <c r="F26" s="241" t="s">
        <v>169</v>
      </c>
      <c r="G26" s="169"/>
      <c r="H26" s="169"/>
      <c r="I26" s="171"/>
      <c r="J26" s="220">
        <v>16</v>
      </c>
      <c r="K26" s="200">
        <v>0</v>
      </c>
      <c r="L26" s="221">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27" t="s">
        <v>147</v>
      </c>
      <c r="D27" s="227"/>
      <c r="E27" s="236">
        <v>20</v>
      </c>
      <c r="F27" s="237">
        <v>20</v>
      </c>
      <c r="G27" s="21"/>
      <c r="H27" s="21"/>
      <c r="I27" s="177"/>
      <c r="J27" s="220">
        <v>17</v>
      </c>
      <c r="K27" s="200">
        <v>0</v>
      </c>
      <c r="L27" s="221">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27" t="s">
        <v>144</v>
      </c>
      <c r="D28" s="227"/>
      <c r="E28" s="231">
        <v>0.06</v>
      </c>
      <c r="F28" s="232">
        <v>0.05</v>
      </c>
      <c r="G28" s="171"/>
      <c r="H28" s="171"/>
      <c r="I28" s="177"/>
      <c r="J28" s="220">
        <v>18</v>
      </c>
      <c r="K28" s="200">
        <v>0</v>
      </c>
      <c r="L28" s="221">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27" t="s">
        <v>145</v>
      </c>
      <c r="D29" s="228"/>
      <c r="E29" s="231">
        <v>1</v>
      </c>
      <c r="F29" s="232">
        <v>1</v>
      </c>
      <c r="G29" s="171"/>
      <c r="H29" s="171"/>
      <c r="I29" s="177"/>
      <c r="J29" s="220">
        <v>19</v>
      </c>
      <c r="K29" s="200">
        <v>0</v>
      </c>
      <c r="L29" s="221">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27" t="s">
        <v>146</v>
      </c>
      <c r="D30" s="228"/>
      <c r="E30" s="231">
        <v>0.12</v>
      </c>
      <c r="F30" s="232">
        <v>0.1</v>
      </c>
      <c r="G30" s="178"/>
      <c r="H30" s="178"/>
      <c r="I30" s="177"/>
      <c r="J30" s="222">
        <v>20</v>
      </c>
      <c r="K30" s="223">
        <v>0</v>
      </c>
      <c r="L30" s="224">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27" t="s">
        <v>55</v>
      </c>
      <c r="D31" s="228"/>
      <c r="E31" s="231">
        <v>0.35</v>
      </c>
      <c r="F31" s="232">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27" t="s">
        <v>100</v>
      </c>
      <c r="D32" s="228"/>
      <c r="E32" s="238">
        <v>25</v>
      </c>
      <c r="F32" s="239">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64" t="s">
        <v>206</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24"/>
      <c r="D35" s="468" t="s">
        <v>125</v>
      </c>
      <c r="E35" s="469"/>
      <c r="F35" s="470" t="s">
        <v>126</v>
      </c>
      <c r="G35" s="471"/>
      <c r="H35" s="472" t="s">
        <v>127</v>
      </c>
      <c r="I35" s="47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25" t="s">
        <v>2</v>
      </c>
      <c r="D36" s="326" t="s">
        <v>193</v>
      </c>
      <c r="E36" s="326" t="s">
        <v>194</v>
      </c>
      <c r="F36" s="326" t="s">
        <v>193</v>
      </c>
      <c r="G36" s="326" t="s">
        <v>194</v>
      </c>
      <c r="H36" s="326" t="s">
        <v>193</v>
      </c>
      <c r="I36" s="327" t="s">
        <v>194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28">
        <v>0</v>
      </c>
      <c r="D37" s="329">
        <v>0.9</v>
      </c>
      <c r="E37" s="329">
        <v>0.9</v>
      </c>
      <c r="F37" s="329">
        <v>0.9</v>
      </c>
      <c r="G37" s="329">
        <v>0.9</v>
      </c>
      <c r="H37" s="329">
        <v>0.9</v>
      </c>
      <c r="I37" s="32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28">
        <v>1</v>
      </c>
      <c r="D38" s="329">
        <v>0.62</v>
      </c>
      <c r="E38" s="329">
        <v>0.62</v>
      </c>
      <c r="F38" s="329">
        <v>0.62</v>
      </c>
      <c r="G38" s="329">
        <v>0.62</v>
      </c>
      <c r="H38" s="329">
        <v>0.62</v>
      </c>
      <c r="I38" s="33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28">
        <v>2</v>
      </c>
      <c r="D39" s="329">
        <v>0.3</v>
      </c>
      <c r="E39" s="329">
        <v>0.3</v>
      </c>
      <c r="F39" s="329">
        <v>0.3</v>
      </c>
      <c r="G39" s="329">
        <v>0.3</v>
      </c>
      <c r="H39" s="329">
        <v>0.3</v>
      </c>
      <c r="I39" s="33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28">
        <v>3</v>
      </c>
      <c r="D40" s="329">
        <v>0.18</v>
      </c>
      <c r="E40" s="329">
        <v>0.18</v>
      </c>
      <c r="F40" s="329">
        <v>0.18</v>
      </c>
      <c r="G40" s="329">
        <v>0.18</v>
      </c>
      <c r="H40" s="329">
        <v>0.18</v>
      </c>
      <c r="I40" s="33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28">
        <v>4</v>
      </c>
      <c r="D41" s="329">
        <v>0.13999999999999999</v>
      </c>
      <c r="E41" s="329">
        <v>0.13999999999999999</v>
      </c>
      <c r="F41" s="329">
        <v>0.13999999999999999</v>
      </c>
      <c r="G41" s="329">
        <v>0.13999999999999999</v>
      </c>
      <c r="H41" s="329">
        <v>0.13999999999999999</v>
      </c>
      <c r="I41" s="33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28">
        <v>5</v>
      </c>
      <c r="D42" s="329">
        <v>0.1</v>
      </c>
      <c r="E42" s="329">
        <v>0.1</v>
      </c>
      <c r="F42" s="329">
        <v>0.1</v>
      </c>
      <c r="G42" s="329">
        <v>0.1</v>
      </c>
      <c r="H42" s="329">
        <v>0.1</v>
      </c>
      <c r="I42" s="33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28">
        <v>6</v>
      </c>
      <c r="D43" s="329">
        <v>0.08</v>
      </c>
      <c r="E43" s="329">
        <v>0.08</v>
      </c>
      <c r="F43" s="329">
        <v>0.08</v>
      </c>
      <c r="G43" s="329">
        <v>0.08</v>
      </c>
      <c r="H43" s="329">
        <v>0.08</v>
      </c>
      <c r="I43" s="33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28">
        <v>7</v>
      </c>
      <c r="D44" s="329">
        <v>6.5000000000000002E-2</v>
      </c>
      <c r="E44" s="329">
        <v>6.5000000000000002E-2</v>
      </c>
      <c r="F44" s="329">
        <v>6.5000000000000002E-2</v>
      </c>
      <c r="G44" s="329">
        <v>6.5000000000000002E-2</v>
      </c>
      <c r="H44" s="329">
        <v>6.5000000000000002E-2</v>
      </c>
      <c r="I44" s="33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28">
        <v>8</v>
      </c>
      <c r="D45" s="329">
        <v>0.05</v>
      </c>
      <c r="E45" s="329">
        <v>0.05</v>
      </c>
      <c r="F45" s="329">
        <v>0.05</v>
      </c>
      <c r="G45" s="329">
        <v>0.05</v>
      </c>
      <c r="H45" s="329">
        <v>0.05</v>
      </c>
      <c r="I45" s="33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28">
        <v>9</v>
      </c>
      <c r="D46" s="329">
        <v>0.05</v>
      </c>
      <c r="E46" s="329">
        <v>0.05</v>
      </c>
      <c r="F46" s="329">
        <v>0.05</v>
      </c>
      <c r="G46" s="329">
        <v>0.05</v>
      </c>
      <c r="H46" s="329">
        <v>0.05</v>
      </c>
      <c r="I46" s="33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28">
        <v>10</v>
      </c>
      <c r="D47" s="329">
        <v>0.04</v>
      </c>
      <c r="E47" s="329">
        <v>0.04</v>
      </c>
      <c r="F47" s="329">
        <v>0.04</v>
      </c>
      <c r="G47" s="329">
        <v>0.04</v>
      </c>
      <c r="H47" s="329">
        <v>0.04</v>
      </c>
      <c r="I47" s="33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28">
        <v>11</v>
      </c>
      <c r="D48" s="329">
        <v>3.7999999999999999E-2</v>
      </c>
      <c r="E48" s="329">
        <v>3.7999999999999999E-2</v>
      </c>
      <c r="F48" s="329">
        <v>3.7999999999999999E-2</v>
      </c>
      <c r="G48" s="329">
        <v>3.7999999999999999E-2</v>
      </c>
      <c r="H48" s="329">
        <v>3.7999999999999999E-2</v>
      </c>
      <c r="I48" s="33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28">
        <v>12</v>
      </c>
      <c r="D49" s="329">
        <v>3.5999999999999997E-2</v>
      </c>
      <c r="E49" s="329">
        <v>3.5999999999999997E-2</v>
      </c>
      <c r="F49" s="329">
        <v>3.5999999999999997E-2</v>
      </c>
      <c r="G49" s="329">
        <v>3.5999999999999997E-2</v>
      </c>
      <c r="H49" s="329">
        <v>3.5999999999999997E-2</v>
      </c>
      <c r="I49" s="33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28">
        <v>13</v>
      </c>
      <c r="D50" s="329">
        <v>3.3999999999999996E-2</v>
      </c>
      <c r="E50" s="329">
        <v>3.3999999999999996E-2</v>
      </c>
      <c r="F50" s="329">
        <v>3.3999999999999996E-2</v>
      </c>
      <c r="G50" s="329">
        <v>3.3999999999999996E-2</v>
      </c>
      <c r="H50" s="329">
        <v>3.3999999999999996E-2</v>
      </c>
      <c r="I50" s="33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28">
        <v>14</v>
      </c>
      <c r="D51" s="329">
        <v>3.2000000000000001E-2</v>
      </c>
      <c r="E51" s="329">
        <v>3.2000000000000001E-2</v>
      </c>
      <c r="F51" s="329">
        <v>3.2000000000000001E-2</v>
      </c>
      <c r="G51" s="329">
        <v>3.2000000000000001E-2</v>
      </c>
      <c r="H51" s="329">
        <v>3.2000000000000001E-2</v>
      </c>
      <c r="I51" s="33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28">
        <v>15</v>
      </c>
      <c r="D52" s="329">
        <v>0.03</v>
      </c>
      <c r="E52" s="329">
        <v>0.03</v>
      </c>
      <c r="F52" s="329">
        <v>0.03</v>
      </c>
      <c r="G52" s="329">
        <v>0.03</v>
      </c>
      <c r="H52" s="329">
        <v>0.03</v>
      </c>
      <c r="I52" s="33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28">
        <v>16</v>
      </c>
      <c r="D53" s="329">
        <v>2.7999999999999997E-2</v>
      </c>
      <c r="E53" s="329">
        <v>2.7999999999999997E-2</v>
      </c>
      <c r="F53" s="329">
        <v>2.7999999999999997E-2</v>
      </c>
      <c r="G53" s="329">
        <v>2.7999999999999997E-2</v>
      </c>
      <c r="H53" s="329">
        <v>2.7999999999999997E-2</v>
      </c>
      <c r="I53" s="33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28">
        <v>17</v>
      </c>
      <c r="D54" s="329">
        <v>2.6000000000000002E-2</v>
      </c>
      <c r="E54" s="329">
        <v>2.6000000000000002E-2</v>
      </c>
      <c r="F54" s="329">
        <v>2.6000000000000002E-2</v>
      </c>
      <c r="G54" s="329">
        <v>2.6000000000000002E-2</v>
      </c>
      <c r="H54" s="329">
        <v>2.6000000000000002E-2</v>
      </c>
      <c r="I54" s="33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28">
        <v>18</v>
      </c>
      <c r="D55" s="329">
        <v>2.4E-2</v>
      </c>
      <c r="E55" s="329">
        <v>2.4E-2</v>
      </c>
      <c r="F55" s="329">
        <v>2.4E-2</v>
      </c>
      <c r="G55" s="329">
        <v>2.4E-2</v>
      </c>
      <c r="H55" s="329">
        <v>2.4E-2</v>
      </c>
      <c r="I55" s="33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28">
        <v>19</v>
      </c>
      <c r="D56" s="329">
        <v>2.2000000000000002E-2</v>
      </c>
      <c r="E56" s="329">
        <v>2.2000000000000002E-2</v>
      </c>
      <c r="F56" s="329">
        <v>2.2000000000000002E-2</v>
      </c>
      <c r="G56" s="329">
        <v>2.2000000000000002E-2</v>
      </c>
      <c r="H56" s="329">
        <v>2.2000000000000002E-2</v>
      </c>
      <c r="I56" s="33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28">
        <v>20</v>
      </c>
      <c r="D57" s="329">
        <v>0.02</v>
      </c>
      <c r="E57" s="329">
        <v>0.02</v>
      </c>
      <c r="F57" s="329">
        <v>0.02</v>
      </c>
      <c r="G57" s="329">
        <v>0.02</v>
      </c>
      <c r="H57" s="329">
        <v>0.02</v>
      </c>
      <c r="I57" s="33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28">
        <v>21</v>
      </c>
      <c r="D58" s="329">
        <v>1.7999999999999999E-2</v>
      </c>
      <c r="E58" s="329">
        <v>1.7999999999999999E-2</v>
      </c>
      <c r="F58" s="329">
        <v>1.7999999999999999E-2</v>
      </c>
      <c r="G58" s="329">
        <v>1.7999999999999999E-2</v>
      </c>
      <c r="H58" s="329">
        <v>1.7999999999999999E-2</v>
      </c>
      <c r="I58" s="33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28">
        <v>22</v>
      </c>
      <c r="D59" s="329">
        <v>1.6E-2</v>
      </c>
      <c r="E59" s="329">
        <v>1.6E-2</v>
      </c>
      <c r="F59" s="329">
        <v>1.6E-2</v>
      </c>
      <c r="G59" s="329">
        <v>1.6E-2</v>
      </c>
      <c r="H59" s="329">
        <v>1.6E-2</v>
      </c>
      <c r="I59" s="33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28">
        <v>23</v>
      </c>
      <c r="D60" s="329">
        <v>1.3999999999999999E-2</v>
      </c>
      <c r="E60" s="329">
        <v>1.3999999999999999E-2</v>
      </c>
      <c r="F60" s="329">
        <v>1.3999999999999999E-2</v>
      </c>
      <c r="G60" s="329">
        <v>1.3999999999999999E-2</v>
      </c>
      <c r="H60" s="329">
        <v>1.3999999999999999E-2</v>
      </c>
      <c r="I60" s="33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28">
        <v>24</v>
      </c>
      <c r="D61" s="329">
        <v>1.2E-2</v>
      </c>
      <c r="E61" s="329">
        <v>1.2E-2</v>
      </c>
      <c r="F61" s="329">
        <v>1.2E-2</v>
      </c>
      <c r="G61" s="329">
        <v>1.2E-2</v>
      </c>
      <c r="H61" s="329">
        <v>1.2E-2</v>
      </c>
      <c r="I61" s="33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28">
        <v>25</v>
      </c>
      <c r="D62" s="329">
        <v>0.01</v>
      </c>
      <c r="E62" s="329">
        <v>0.01</v>
      </c>
      <c r="F62" s="329">
        <v>0.01</v>
      </c>
      <c r="G62" s="329">
        <v>0.01</v>
      </c>
      <c r="H62" s="329">
        <v>0.01</v>
      </c>
      <c r="I62" s="33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28">
        <v>26</v>
      </c>
      <c r="D63" s="329">
        <v>8.0000000000000002E-3</v>
      </c>
      <c r="E63" s="329">
        <v>8.0000000000000002E-3</v>
      </c>
      <c r="F63" s="329">
        <v>8.0000000000000002E-3</v>
      </c>
      <c r="G63" s="329">
        <v>8.0000000000000002E-3</v>
      </c>
      <c r="H63" s="329">
        <v>8.0000000000000002E-3</v>
      </c>
      <c r="I63" s="33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28">
        <v>27</v>
      </c>
      <c r="D64" s="329">
        <v>6.0000000000000001E-3</v>
      </c>
      <c r="E64" s="329">
        <v>6.0000000000000001E-3</v>
      </c>
      <c r="F64" s="329">
        <v>6.0000000000000001E-3</v>
      </c>
      <c r="G64" s="329">
        <v>6.0000000000000001E-3</v>
      </c>
      <c r="H64" s="329">
        <v>6.0000000000000001E-3</v>
      </c>
      <c r="I64" s="33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28">
        <v>28</v>
      </c>
      <c r="D65" s="329">
        <v>4.0000000000000001E-3</v>
      </c>
      <c r="E65" s="329">
        <v>4.0000000000000001E-3</v>
      </c>
      <c r="F65" s="329">
        <v>4.0000000000000001E-3</v>
      </c>
      <c r="G65" s="329">
        <v>4.0000000000000001E-3</v>
      </c>
      <c r="H65" s="329">
        <v>4.0000000000000001E-3</v>
      </c>
      <c r="I65" s="33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28">
        <v>29</v>
      </c>
      <c r="D66" s="329">
        <v>2E-3</v>
      </c>
      <c r="E66" s="329">
        <v>2E-3</v>
      </c>
      <c r="F66" s="329">
        <v>2E-3</v>
      </c>
      <c r="G66" s="329">
        <v>2E-3</v>
      </c>
      <c r="H66" s="329">
        <v>2E-3</v>
      </c>
      <c r="I66" s="33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31">
        <v>30</v>
      </c>
      <c r="D67" s="332">
        <v>0</v>
      </c>
      <c r="E67" s="332">
        <v>0</v>
      </c>
      <c r="F67" s="332">
        <v>0</v>
      </c>
      <c r="G67" s="332">
        <v>0</v>
      </c>
      <c r="H67" s="332">
        <v>0</v>
      </c>
      <c r="I67" s="33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topLeftCell="A25" zoomScale="90" zoomScaleNormal="90" zoomScalePageLayoutView="90" workbookViewId="0">
      <selection activeCell="G32" sqref="G32"/>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91">
        <v>2014</v>
      </c>
      <c r="D7" s="292">
        <v>2016</v>
      </c>
      <c r="E7" s="292">
        <v>2018</v>
      </c>
      <c r="F7" s="292">
        <v>2020</v>
      </c>
      <c r="G7" s="292">
        <v>2022</v>
      </c>
      <c r="H7" s="292">
        <v>2024</v>
      </c>
      <c r="I7" s="292">
        <v>2026</v>
      </c>
      <c r="J7" s="292">
        <v>2028</v>
      </c>
      <c r="K7" s="292">
        <v>2030</v>
      </c>
      <c r="L7" s="292">
        <v>2032</v>
      </c>
      <c r="M7" s="292">
        <v>2034</v>
      </c>
      <c r="N7" s="292">
        <v>2036</v>
      </c>
      <c r="O7" s="292">
        <v>2038</v>
      </c>
      <c r="P7" s="292">
        <v>2040</v>
      </c>
      <c r="Q7" s="292">
        <v>2042</v>
      </c>
      <c r="R7" s="292">
        <v>2044</v>
      </c>
      <c r="S7" s="292">
        <v>2046</v>
      </c>
      <c r="T7" s="292">
        <v>2048</v>
      </c>
      <c r="U7" s="29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0" t="s">
        <v>140</v>
      </c>
      <c r="C8" s="294">
        <v>4.47</v>
      </c>
      <c r="D8" s="209">
        <v>4.47</v>
      </c>
      <c r="E8" s="209">
        <v>5.0599999999999996</v>
      </c>
      <c r="F8" s="209">
        <v>5.07</v>
      </c>
      <c r="G8" s="209">
        <v>5.29</v>
      </c>
      <c r="H8" s="209">
        <v>5.62</v>
      </c>
      <c r="I8" s="209">
        <v>5.81</v>
      </c>
      <c r="J8" s="209">
        <v>6.03</v>
      </c>
      <c r="K8" s="209">
        <v>6.49</v>
      </c>
      <c r="L8" s="209">
        <v>6.73</v>
      </c>
      <c r="M8" s="209">
        <v>7.09</v>
      </c>
      <c r="N8" s="209">
        <v>7.57</v>
      </c>
      <c r="O8" s="209">
        <v>7.68</v>
      </c>
      <c r="P8" s="209">
        <v>8.16</v>
      </c>
      <c r="Q8" s="209">
        <v>8.16</v>
      </c>
      <c r="R8" s="209">
        <v>8.16</v>
      </c>
      <c r="S8" s="209">
        <v>8.16</v>
      </c>
      <c r="T8" s="209">
        <v>8.16</v>
      </c>
      <c r="U8" s="295">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08" t="s">
        <v>165</v>
      </c>
      <c r="C9" s="294">
        <v>2.33</v>
      </c>
      <c r="D9" s="209">
        <v>2.42</v>
      </c>
      <c r="E9" s="209">
        <v>2.5499999999999998</v>
      </c>
      <c r="F9" s="209">
        <v>2.61</v>
      </c>
      <c r="G9" s="209">
        <v>2.68</v>
      </c>
      <c r="H9" s="209">
        <v>2.74</v>
      </c>
      <c r="I9" s="209">
        <v>2.81</v>
      </c>
      <c r="J9" s="209">
        <v>2.86</v>
      </c>
      <c r="K9" s="209">
        <v>2.93</v>
      </c>
      <c r="L9" s="209">
        <v>2.97</v>
      </c>
      <c r="M9" s="209">
        <v>3.02</v>
      </c>
      <c r="N9" s="209">
        <v>3.08</v>
      </c>
      <c r="O9" s="209">
        <v>3.12</v>
      </c>
      <c r="P9" s="209">
        <v>3.19</v>
      </c>
      <c r="Q9" s="209">
        <v>3.19</v>
      </c>
      <c r="R9" s="209">
        <v>3.19</v>
      </c>
      <c r="S9" s="209">
        <v>3.19</v>
      </c>
      <c r="T9" s="209">
        <v>3.19</v>
      </c>
      <c r="U9" s="295">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0" t="s">
        <v>57</v>
      </c>
      <c r="C10" s="296">
        <v>0</v>
      </c>
      <c r="D10" s="290">
        <v>0</v>
      </c>
      <c r="E10" s="290">
        <v>0</v>
      </c>
      <c r="F10" s="290">
        <v>0</v>
      </c>
      <c r="G10" s="290">
        <v>20</v>
      </c>
      <c r="H10" s="290">
        <v>20</v>
      </c>
      <c r="I10" s="290">
        <v>20</v>
      </c>
      <c r="J10" s="290">
        <v>20</v>
      </c>
      <c r="K10" s="290">
        <v>30</v>
      </c>
      <c r="L10" s="290">
        <v>30</v>
      </c>
      <c r="M10" s="290">
        <v>30</v>
      </c>
      <c r="N10" s="290">
        <v>30</v>
      </c>
      <c r="O10" s="290">
        <v>40</v>
      </c>
      <c r="P10" s="290">
        <v>40</v>
      </c>
      <c r="Q10" s="290">
        <v>40</v>
      </c>
      <c r="R10" s="290">
        <v>40</v>
      </c>
      <c r="S10" s="290">
        <v>50</v>
      </c>
      <c r="T10" s="290">
        <v>50</v>
      </c>
      <c r="U10" s="297">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0" t="s">
        <v>185</v>
      </c>
      <c r="C11" s="413">
        <v>1</v>
      </c>
      <c r="D11" s="414">
        <v>1.0249999999999999</v>
      </c>
      <c r="E11" s="414">
        <v>1.0506249999999999</v>
      </c>
      <c r="F11" s="414">
        <v>1.0768906249999999</v>
      </c>
      <c r="G11" s="414">
        <v>1.1038128906249998</v>
      </c>
      <c r="H11" s="414">
        <v>1.1314082128906247</v>
      </c>
      <c r="I11" s="414">
        <v>1.1596934182128902</v>
      </c>
      <c r="J11" s="414">
        <v>1.1886857536682123</v>
      </c>
      <c r="K11" s="414">
        <v>1.2184028975099175</v>
      </c>
      <c r="L11" s="414">
        <v>1.2488629699476652</v>
      </c>
      <c r="M11" s="414">
        <v>1.2800845441963566</v>
      </c>
      <c r="N11" s="414">
        <v>1.3120866578012655</v>
      </c>
      <c r="O11" s="414">
        <v>1.3448888242462971</v>
      </c>
      <c r="P11" s="414">
        <v>1.3785110448524545</v>
      </c>
      <c r="Q11" s="414">
        <v>1.4129738209737657</v>
      </c>
      <c r="R11" s="414">
        <v>1.4482981664981096</v>
      </c>
      <c r="S11" s="414">
        <v>1.4845056206605622</v>
      </c>
      <c r="T11" s="414">
        <v>1.5216182611770761</v>
      </c>
      <c r="U11" s="415">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0" t="s">
        <v>186</v>
      </c>
      <c r="C12" s="413">
        <v>1</v>
      </c>
      <c r="D12" s="414">
        <v>1.0249999999999999</v>
      </c>
      <c r="E12" s="414">
        <v>1.0506249999999999</v>
      </c>
      <c r="F12" s="414">
        <v>1.0768906249999999</v>
      </c>
      <c r="G12" s="414">
        <v>1.1038128906249998</v>
      </c>
      <c r="H12" s="414">
        <v>1.1314082128906247</v>
      </c>
      <c r="I12" s="414">
        <v>1.1596934182128902</v>
      </c>
      <c r="J12" s="414">
        <v>1.1886857536682123</v>
      </c>
      <c r="K12" s="414">
        <v>1.2184028975099175</v>
      </c>
      <c r="L12" s="414">
        <v>1.2488629699476652</v>
      </c>
      <c r="M12" s="414">
        <v>1.2800845441963566</v>
      </c>
      <c r="N12" s="414">
        <v>1.3120866578012655</v>
      </c>
      <c r="O12" s="414">
        <v>1.3448888242462971</v>
      </c>
      <c r="P12" s="414">
        <v>1.3785110448524545</v>
      </c>
      <c r="Q12" s="414">
        <v>1.4129738209737657</v>
      </c>
      <c r="R12" s="414">
        <v>1.4482981664981096</v>
      </c>
      <c r="S12" s="414">
        <v>1.4845056206605622</v>
      </c>
      <c r="T12" s="414">
        <v>1.5216182611770761</v>
      </c>
      <c r="U12" s="41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0" t="s">
        <v>187</v>
      </c>
      <c r="C13" s="416">
        <v>1</v>
      </c>
      <c r="D13" s="414">
        <v>1.0249999999999999</v>
      </c>
      <c r="E13" s="414">
        <v>1.0506249999999999</v>
      </c>
      <c r="F13" s="414">
        <v>1.0768906249999999</v>
      </c>
      <c r="G13" s="414">
        <v>1.1038128906249998</v>
      </c>
      <c r="H13" s="414">
        <v>1.1314082128906247</v>
      </c>
      <c r="I13" s="414">
        <v>1.1596934182128902</v>
      </c>
      <c r="J13" s="414">
        <v>1.1886857536682123</v>
      </c>
      <c r="K13" s="414">
        <v>1.2184028975099175</v>
      </c>
      <c r="L13" s="414">
        <v>1.2488629699476652</v>
      </c>
      <c r="M13" s="414">
        <v>1.2800845441963566</v>
      </c>
      <c r="N13" s="414">
        <v>1.3120866578012655</v>
      </c>
      <c r="O13" s="414">
        <v>1.3448888242462971</v>
      </c>
      <c r="P13" s="414">
        <v>1.3785110448524545</v>
      </c>
      <c r="Q13" s="414">
        <v>1.4129738209737657</v>
      </c>
      <c r="R13" s="414">
        <v>1.4482981664981096</v>
      </c>
      <c r="S13" s="414">
        <v>1.4845056206605622</v>
      </c>
      <c r="T13" s="414">
        <v>1.5216182611770761</v>
      </c>
      <c r="U13" s="41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12" t="s">
        <v>307</v>
      </c>
      <c r="C14" s="417">
        <v>1.0249999999999999</v>
      </c>
      <c r="D14" s="418">
        <v>1.0249999999999999</v>
      </c>
      <c r="E14" s="418">
        <v>1.0249999999999999</v>
      </c>
      <c r="F14" s="418">
        <v>1.0249999999999999</v>
      </c>
      <c r="G14" s="418">
        <v>1.0249999999999999</v>
      </c>
      <c r="H14" s="418">
        <v>1.0249999999999999</v>
      </c>
      <c r="I14" s="418">
        <v>1.0249999999999999</v>
      </c>
      <c r="J14" s="418">
        <v>1.0249999999999999</v>
      </c>
      <c r="K14" s="418">
        <v>1.0249999999999999</v>
      </c>
      <c r="L14" s="418">
        <v>1.0249999999999999</v>
      </c>
      <c r="M14" s="418">
        <v>1.0249999999999999</v>
      </c>
      <c r="N14" s="418">
        <v>1.0249999999999999</v>
      </c>
      <c r="O14" s="418">
        <v>1.0249999999999999</v>
      </c>
      <c r="P14" s="418">
        <v>1.0249999999999999</v>
      </c>
      <c r="Q14" s="418">
        <v>1.0249999999999999</v>
      </c>
      <c r="R14" s="418">
        <v>1.0249999999999999</v>
      </c>
      <c r="S14" s="418">
        <v>1.0249999999999999</v>
      </c>
      <c r="T14" s="418">
        <v>1.0249999999999999</v>
      </c>
      <c r="U14" s="418">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19"/>
      <c r="C16" s="120"/>
      <c r="D16" s="121"/>
      <c r="E16" s="120"/>
      <c r="F16" s="85"/>
      <c r="G16" s="123"/>
      <c r="H16" s="85"/>
      <c r="I16" s="81"/>
      <c r="J16" s="81"/>
      <c r="K16" s="35"/>
      <c r="L16" s="35"/>
      <c r="M16" s="35"/>
      <c r="N16" s="35"/>
      <c r="O16" s="35"/>
      <c r="P16" s="35"/>
      <c r="Q16" s="35"/>
      <c r="R16" s="35"/>
      <c r="S16" s="35"/>
      <c r="T16" s="35"/>
      <c r="U16" s="35"/>
      <c r="V16" s="35"/>
      <c r="W16" s="35"/>
      <c r="X16" s="360"/>
      <c r="Y16" s="362" t="s">
        <v>268</v>
      </c>
      <c r="Z16" s="362" t="s">
        <v>269</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19"/>
      <c r="C17" s="120"/>
      <c r="D17" s="121"/>
      <c r="E17" s="120"/>
      <c r="F17" s="85"/>
      <c r="G17" s="85"/>
      <c r="H17" s="85"/>
      <c r="I17" s="81"/>
      <c r="J17" s="81"/>
      <c r="K17" s="35"/>
      <c r="L17" s="35"/>
      <c r="M17" s="35"/>
      <c r="N17" s="35"/>
      <c r="O17" s="35"/>
      <c r="P17" s="35"/>
      <c r="Q17" s="35"/>
      <c r="R17" s="35"/>
      <c r="S17" s="35"/>
      <c r="T17" s="35"/>
      <c r="U17" s="35"/>
      <c r="V17" s="35"/>
      <c r="W17" s="35"/>
      <c r="X17" s="180" t="s">
        <v>218</v>
      </c>
      <c r="Y17" s="361">
        <v>2.744201934324435E-4</v>
      </c>
      <c r="Z17" s="36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19"/>
      <c r="C18" s="120"/>
      <c r="D18" s="121"/>
      <c r="E18" s="120"/>
      <c r="F18" s="85"/>
      <c r="G18" s="85"/>
      <c r="H18" s="85"/>
      <c r="I18" s="81"/>
      <c r="J18" s="81"/>
      <c r="K18" s="35"/>
      <c r="L18" s="35"/>
      <c r="M18" s="35"/>
      <c r="N18" s="35"/>
      <c r="O18" s="35"/>
      <c r="P18" s="35"/>
      <c r="Q18" s="35"/>
      <c r="R18" s="35"/>
      <c r="S18" s="35"/>
      <c r="T18" s="35"/>
      <c r="U18" s="35"/>
      <c r="V18" s="35"/>
      <c r="W18" s="35"/>
      <c r="X18" s="180" t="s">
        <v>221</v>
      </c>
      <c r="Y18" s="361">
        <v>2.8579410620991442E-4</v>
      </c>
      <c r="Z18" s="36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19"/>
      <c r="C19" s="120"/>
      <c r="D19" s="121"/>
      <c r="E19" s="120"/>
      <c r="F19" s="85"/>
      <c r="G19" s="85"/>
      <c r="H19" s="85"/>
      <c r="I19" s="81"/>
      <c r="J19" s="81"/>
      <c r="K19" s="35"/>
      <c r="L19" s="35"/>
      <c r="M19" s="35"/>
      <c r="N19" s="35"/>
      <c r="O19" s="35"/>
      <c r="P19" s="35"/>
      <c r="Q19" s="35"/>
      <c r="R19" s="35"/>
      <c r="S19" s="35"/>
      <c r="T19" s="35"/>
      <c r="U19" s="35"/>
      <c r="V19" s="35"/>
      <c r="W19" s="35"/>
      <c r="X19" s="180" t="s">
        <v>220</v>
      </c>
      <c r="Y19" s="361">
        <v>4.7716993008320446E-4</v>
      </c>
      <c r="Z19" s="36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19"/>
      <c r="C20" s="120"/>
      <c r="D20" s="121"/>
      <c r="E20" s="120"/>
      <c r="F20" s="85"/>
      <c r="G20" s="85"/>
      <c r="H20" s="85"/>
      <c r="I20" s="81"/>
      <c r="J20" s="81"/>
      <c r="K20" s="35"/>
      <c r="L20" s="35"/>
      <c r="M20" s="35"/>
      <c r="N20" s="35"/>
      <c r="O20" s="35"/>
      <c r="P20" s="35"/>
      <c r="Q20" s="35"/>
      <c r="R20" s="35"/>
      <c r="S20" s="35"/>
      <c r="T20" s="35"/>
      <c r="U20" s="35"/>
      <c r="V20" s="35"/>
      <c r="W20" s="35"/>
      <c r="X20" s="180" t="s">
        <v>222</v>
      </c>
      <c r="Y20" s="361">
        <v>2.0499097618064069E-4</v>
      </c>
      <c r="Z20" s="36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19"/>
      <c r="C21" s="120"/>
      <c r="D21" s="121"/>
      <c r="E21" s="120"/>
      <c r="F21" s="85"/>
      <c r="G21" s="85"/>
      <c r="H21" s="85"/>
      <c r="I21" s="81"/>
      <c r="J21" s="81"/>
      <c r="K21" s="35"/>
      <c r="L21" s="35"/>
      <c r="M21" s="35"/>
      <c r="N21" s="35"/>
      <c r="O21" s="35"/>
      <c r="P21" s="35"/>
      <c r="Q21" s="35"/>
      <c r="R21" s="35"/>
      <c r="S21" s="35"/>
      <c r="T21" s="35"/>
      <c r="U21" s="35"/>
      <c r="V21" s="35"/>
      <c r="W21" s="35"/>
      <c r="X21" s="180" t="s">
        <v>223</v>
      </c>
      <c r="Y21" s="361">
        <v>7.3634398159432295E-4</v>
      </c>
      <c r="Z21" s="361">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19"/>
      <c r="C22" s="120"/>
      <c r="D22" s="121"/>
      <c r="E22" s="120"/>
      <c r="F22" s="85"/>
      <c r="G22" s="85"/>
      <c r="H22" s="85"/>
      <c r="I22" s="81"/>
      <c r="J22" s="81"/>
      <c r="K22" s="35"/>
      <c r="L22" s="35"/>
      <c r="M22" s="35"/>
      <c r="N22" s="35"/>
      <c r="O22" s="35"/>
      <c r="P22" s="35"/>
      <c r="Q22" s="35"/>
      <c r="R22" s="35"/>
      <c r="S22" s="35"/>
      <c r="T22" s="35"/>
      <c r="U22" s="35"/>
      <c r="V22" s="35"/>
      <c r="W22" s="35"/>
      <c r="X22" s="180" t="s">
        <v>224</v>
      </c>
      <c r="Y22" s="361">
        <v>1.5933500996702843E-4</v>
      </c>
      <c r="Z22" s="36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1">
        <v>5.0685048336163163E-4</v>
      </c>
      <c r="Z23" s="36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19"/>
      <c r="C24" s="120"/>
      <c r="D24" s="121"/>
      <c r="E24" s="120"/>
      <c r="F24" s="105"/>
      <c r="G24" s="105"/>
      <c r="H24" s="85"/>
      <c r="I24" s="81"/>
      <c r="J24" s="81"/>
      <c r="K24" s="35"/>
      <c r="L24" s="35"/>
      <c r="M24" s="35"/>
      <c r="N24" s="35"/>
      <c r="O24" s="35"/>
      <c r="P24" s="35"/>
      <c r="Q24" s="35"/>
      <c r="R24" s="35"/>
      <c r="S24" s="35"/>
      <c r="T24" s="35"/>
      <c r="U24" s="35"/>
      <c r="V24" s="35"/>
      <c r="W24" s="35"/>
      <c r="X24" s="180" t="s">
        <v>225</v>
      </c>
      <c r="Y24" s="361">
        <v>8.3442486284763834E-4</v>
      </c>
      <c r="Z24" s="36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19"/>
      <c r="C25" s="120"/>
      <c r="D25" s="121"/>
      <c r="E25" s="120"/>
      <c r="F25" s="86"/>
      <c r="G25" s="86"/>
      <c r="H25" s="85"/>
      <c r="I25" s="81"/>
      <c r="J25" s="81"/>
      <c r="K25" s="35"/>
      <c r="L25" s="35"/>
      <c r="M25" s="35"/>
      <c r="N25" s="35"/>
      <c r="O25" s="35"/>
      <c r="P25" s="35"/>
      <c r="Q25" s="35"/>
      <c r="R25" s="35"/>
      <c r="S25" s="35"/>
      <c r="T25" s="35"/>
      <c r="U25" s="35"/>
      <c r="V25" s="35"/>
      <c r="W25" s="35"/>
      <c r="X25" s="180" t="s">
        <v>226</v>
      </c>
      <c r="Y25" s="361">
        <v>4.5283915436484851E-4</v>
      </c>
      <c r="Z25" s="36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19"/>
      <c r="C26" s="120"/>
      <c r="D26" s="121"/>
      <c r="E26" s="120"/>
      <c r="F26" s="85"/>
      <c r="G26" s="85"/>
      <c r="H26" s="85"/>
      <c r="I26" s="81"/>
      <c r="J26" s="81"/>
      <c r="K26" s="35"/>
      <c r="L26" s="35"/>
      <c r="M26" s="35"/>
      <c r="N26" s="35"/>
      <c r="O26" s="35"/>
      <c r="P26" s="35"/>
      <c r="Q26" s="35"/>
      <c r="R26" s="35"/>
      <c r="S26" s="35"/>
      <c r="T26" s="35"/>
      <c r="U26" s="35"/>
      <c r="V26" s="35"/>
      <c r="W26" s="35"/>
      <c r="X26" s="180" t="s">
        <v>227</v>
      </c>
      <c r="Y26" s="361">
        <v>3.486895207898603E-4</v>
      </c>
      <c r="Z26" s="36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19"/>
      <c r="C27" s="120"/>
      <c r="D27" s="121"/>
      <c r="E27" s="120"/>
      <c r="F27" s="85"/>
      <c r="G27" s="85"/>
      <c r="H27" s="85"/>
      <c r="I27" s="81"/>
      <c r="J27" s="81"/>
      <c r="K27" s="35"/>
      <c r="L27" s="35"/>
      <c r="M27" s="35"/>
      <c r="N27" s="35"/>
      <c r="O27" s="35"/>
      <c r="P27" s="35"/>
      <c r="Q27" s="35"/>
      <c r="R27" s="35"/>
      <c r="S27" s="35"/>
      <c r="T27" s="35"/>
      <c r="U27" s="35"/>
      <c r="V27" s="35"/>
      <c r="W27" s="35"/>
      <c r="X27" s="180" t="s">
        <v>232</v>
      </c>
      <c r="Y27" s="361">
        <v>6.1012381532656111E-4</v>
      </c>
      <c r="Z27" s="36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19"/>
      <c r="C28" s="120"/>
      <c r="D28" s="121"/>
      <c r="E28" s="120"/>
      <c r="F28" s="85"/>
      <c r="G28" s="85"/>
      <c r="H28" s="85"/>
      <c r="I28" s="81"/>
      <c r="J28" s="81"/>
      <c r="K28" s="35"/>
      <c r="L28" s="35"/>
      <c r="M28" s="35"/>
      <c r="N28" s="35"/>
      <c r="O28" s="35"/>
      <c r="P28" s="35"/>
      <c r="Q28" s="35"/>
      <c r="R28" s="35"/>
      <c r="S28" s="35"/>
      <c r="T28" s="35"/>
      <c r="U28" s="35"/>
      <c r="V28" s="35"/>
      <c r="W28" s="35"/>
      <c r="X28" s="180" t="s">
        <v>229</v>
      </c>
      <c r="Y28" s="361">
        <v>3.9139311155092061E-5</v>
      </c>
      <c r="Z28" s="361">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19"/>
      <c r="C29" s="120"/>
      <c r="D29" s="121"/>
      <c r="E29" s="120"/>
      <c r="F29" s="85"/>
      <c r="G29" s="85"/>
      <c r="H29" s="85"/>
      <c r="I29" s="81"/>
      <c r="J29" s="81"/>
      <c r="K29" s="35"/>
      <c r="L29" s="35"/>
      <c r="M29" s="35"/>
      <c r="N29" s="35"/>
      <c r="O29" s="35"/>
      <c r="P29" s="35"/>
      <c r="Q29" s="35"/>
      <c r="R29" s="35"/>
      <c r="S29" s="35"/>
      <c r="T29" s="35"/>
      <c r="U29" s="35"/>
      <c r="V29" s="35"/>
      <c r="W29" s="35"/>
      <c r="X29" s="180" t="s">
        <v>230</v>
      </c>
      <c r="Y29" s="361">
        <v>3.2453938138303045E-4</v>
      </c>
      <c r="Z29" s="361">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6.5" thickBot="1" x14ac:dyDescent="0.35">
      <c r="A30" s="21"/>
      <c r="B30" s="119"/>
      <c r="C30" s="120"/>
      <c r="D30" s="121"/>
      <c r="E30" s="120"/>
      <c r="F30" s="85"/>
      <c r="G30" s="85"/>
      <c r="H30" s="85"/>
      <c r="I30" s="81"/>
      <c r="J30" s="81"/>
      <c r="K30" s="35"/>
      <c r="L30" s="35"/>
      <c r="M30" s="35"/>
      <c r="N30" s="35"/>
      <c r="O30" s="35"/>
      <c r="P30" s="35"/>
      <c r="Q30" s="35"/>
      <c r="R30" s="35"/>
      <c r="S30" s="35"/>
      <c r="T30" s="35"/>
      <c r="U30" s="35"/>
      <c r="V30" s="35"/>
      <c r="W30" s="35"/>
      <c r="X30" s="180" t="s">
        <v>231</v>
      </c>
      <c r="Y30" s="361">
        <v>7.9415196034054991E-4</v>
      </c>
      <c r="Z30" s="361">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5" thickBot="1" x14ac:dyDescent="0.45">
      <c r="A31" s="21"/>
      <c r="B31" s="119"/>
      <c r="C31" s="31" t="s">
        <v>317</v>
      </c>
      <c r="D31" s="131"/>
      <c r="E31" s="131"/>
      <c r="F31" s="131"/>
      <c r="G31" s="442"/>
      <c r="H31" s="442"/>
      <c r="I31" s="443"/>
      <c r="J31" s="443"/>
      <c r="K31" s="360"/>
      <c r="L31" s="360"/>
      <c r="M31" s="360"/>
      <c r="N31" s="444"/>
      <c r="O31" s="158" t="s">
        <v>318</v>
      </c>
      <c r="P31" s="360"/>
      <c r="Q31" s="360"/>
      <c r="R31" s="360"/>
      <c r="S31" s="360"/>
      <c r="T31" s="360"/>
      <c r="U31" s="360"/>
      <c r="V31" s="360"/>
      <c r="W31" s="28"/>
      <c r="X31" s="180" t="s">
        <v>233</v>
      </c>
      <c r="Y31" s="361">
        <v>3.2602707909398565E-4</v>
      </c>
      <c r="Z31" s="361">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119"/>
      <c r="C32" s="480" t="s">
        <v>319</v>
      </c>
      <c r="D32" s="480"/>
      <c r="E32" s="480"/>
      <c r="F32" s="481"/>
      <c r="G32" s="253">
        <v>2020</v>
      </c>
      <c r="H32" s="442"/>
      <c r="I32" s="443"/>
      <c r="J32" s="443"/>
      <c r="K32" s="360"/>
      <c r="L32" s="360"/>
      <c r="M32" s="360"/>
      <c r="N32" s="360"/>
      <c r="O32" s="360"/>
      <c r="P32" s="360"/>
      <c r="Q32" s="360"/>
      <c r="R32" s="360"/>
      <c r="S32" s="360"/>
      <c r="T32" s="360"/>
      <c r="U32" s="360"/>
      <c r="V32" s="360"/>
      <c r="W32" s="80"/>
      <c r="X32" s="180" t="s">
        <v>234</v>
      </c>
      <c r="Y32" s="361">
        <v>8.465955465067626E-4</v>
      </c>
      <c r="Z32" s="361">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6.5" thickBot="1" x14ac:dyDescent="0.35">
      <c r="A33" s="21"/>
      <c r="B33" s="119"/>
      <c r="C33" s="445"/>
      <c r="D33" s="446"/>
      <c r="E33" s="445"/>
      <c r="F33" s="86"/>
      <c r="G33" s="86"/>
      <c r="H33" s="86"/>
      <c r="I33" s="82"/>
      <c r="J33" s="82"/>
      <c r="K33" s="28"/>
      <c r="L33" s="28"/>
      <c r="M33" s="28"/>
      <c r="N33" s="28"/>
      <c r="O33" s="28"/>
      <c r="P33" s="28"/>
      <c r="Q33" s="28"/>
      <c r="R33" s="28"/>
      <c r="S33" s="28"/>
      <c r="T33" s="28"/>
      <c r="U33" s="28"/>
      <c r="V33" s="28"/>
      <c r="W33" s="37"/>
      <c r="X33" s="180" t="s">
        <v>235</v>
      </c>
      <c r="Y33" s="361">
        <v>3.0858219124592655E-4</v>
      </c>
      <c r="Z33" s="36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19"/>
      <c r="C34" s="447"/>
      <c r="D34" s="292">
        <v>2014</v>
      </c>
      <c r="E34" s="292">
        <v>2016</v>
      </c>
      <c r="F34" s="292">
        <v>2018</v>
      </c>
      <c r="G34" s="292">
        <v>2020</v>
      </c>
      <c r="H34" s="292">
        <v>2022</v>
      </c>
      <c r="I34" s="292">
        <v>2024</v>
      </c>
      <c r="J34" s="292">
        <v>2026</v>
      </c>
      <c r="K34" s="292">
        <v>2028</v>
      </c>
      <c r="L34" s="292">
        <v>2030</v>
      </c>
      <c r="M34" s="292">
        <v>2032</v>
      </c>
      <c r="N34" s="292">
        <v>2034</v>
      </c>
      <c r="O34" s="292">
        <v>2036</v>
      </c>
      <c r="P34" s="292">
        <v>2038</v>
      </c>
      <c r="Q34" s="292">
        <v>2040</v>
      </c>
      <c r="R34" s="292">
        <v>2042</v>
      </c>
      <c r="S34" s="292">
        <v>2044</v>
      </c>
      <c r="T34" s="292">
        <v>2046</v>
      </c>
      <c r="U34" s="292">
        <v>2048</v>
      </c>
      <c r="V34" s="293">
        <v>2050</v>
      </c>
      <c r="W34" s="37"/>
      <c r="X34" s="180" t="s">
        <v>238</v>
      </c>
      <c r="Y34" s="361">
        <v>2.7443623595127412E-4</v>
      </c>
      <c r="Z34" s="361">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19"/>
      <c r="C35" s="448" t="s">
        <v>218</v>
      </c>
      <c r="D35" s="449" t="b">
        <v>0</v>
      </c>
      <c r="E35" s="450" t="b">
        <v>0</v>
      </c>
      <c r="F35" s="449" t="b">
        <v>0</v>
      </c>
      <c r="G35" s="451" t="b">
        <v>1</v>
      </c>
      <c r="H35" s="451" t="b">
        <v>1</v>
      </c>
      <c r="I35" s="451" t="b">
        <v>1</v>
      </c>
      <c r="J35" s="451" t="b">
        <v>1</v>
      </c>
      <c r="K35" s="451" t="b">
        <v>1</v>
      </c>
      <c r="L35" s="452" t="b">
        <v>1</v>
      </c>
      <c r="M35" s="452" t="b">
        <v>1</v>
      </c>
      <c r="N35" s="452" t="b">
        <v>1</v>
      </c>
      <c r="O35" s="452" t="b">
        <v>1</v>
      </c>
      <c r="P35" s="452" t="b">
        <v>1</v>
      </c>
      <c r="Q35" s="452" t="b">
        <v>1</v>
      </c>
      <c r="R35" s="452" t="b">
        <v>1</v>
      </c>
      <c r="S35" s="452" t="b">
        <v>1</v>
      </c>
      <c r="T35" s="452" t="b">
        <v>1</v>
      </c>
      <c r="U35" s="452" t="b">
        <v>1</v>
      </c>
      <c r="V35" s="453" t="b">
        <v>1</v>
      </c>
      <c r="W35" s="37"/>
      <c r="X35" s="180" t="s">
        <v>237</v>
      </c>
      <c r="Y35" s="361">
        <v>5.3598020242062749E-4</v>
      </c>
      <c r="Z35" s="36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19"/>
      <c r="C36" s="448" t="s">
        <v>220</v>
      </c>
      <c r="D36" s="449" t="b">
        <v>0</v>
      </c>
      <c r="E36" s="450" t="b">
        <v>0</v>
      </c>
      <c r="F36" s="449" t="b">
        <v>0</v>
      </c>
      <c r="G36" s="451" t="b">
        <v>1</v>
      </c>
      <c r="H36" s="451" t="b">
        <v>1</v>
      </c>
      <c r="I36" s="451" t="b">
        <v>1</v>
      </c>
      <c r="J36" s="451" t="b">
        <v>1</v>
      </c>
      <c r="K36" s="451" t="b">
        <v>1</v>
      </c>
      <c r="L36" s="452" t="b">
        <v>1</v>
      </c>
      <c r="M36" s="452" t="b">
        <v>1</v>
      </c>
      <c r="N36" s="452" t="b">
        <v>1</v>
      </c>
      <c r="O36" s="452" t="b">
        <v>1</v>
      </c>
      <c r="P36" s="452" t="b">
        <v>1</v>
      </c>
      <c r="Q36" s="452" t="b">
        <v>1</v>
      </c>
      <c r="R36" s="452" t="b">
        <v>1</v>
      </c>
      <c r="S36" s="452" t="b">
        <v>1</v>
      </c>
      <c r="T36" s="452" t="b">
        <v>1</v>
      </c>
      <c r="U36" s="452" t="b">
        <v>1</v>
      </c>
      <c r="V36" s="453" t="b">
        <v>1</v>
      </c>
      <c r="W36" s="37"/>
      <c r="X36" s="180" t="s">
        <v>236</v>
      </c>
      <c r="Y36" s="361">
        <v>2.0322708687071074E-4</v>
      </c>
      <c r="Z36" s="36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19"/>
      <c r="C37" s="454" t="s">
        <v>221</v>
      </c>
      <c r="D37" s="449" t="b">
        <v>1</v>
      </c>
      <c r="E37" s="450" t="b">
        <v>1</v>
      </c>
      <c r="F37" s="449" t="b">
        <v>1</v>
      </c>
      <c r="G37" s="451" t="b">
        <v>1</v>
      </c>
      <c r="H37" s="451" t="b">
        <v>1</v>
      </c>
      <c r="I37" s="451" t="b">
        <v>1</v>
      </c>
      <c r="J37" s="451" t="b">
        <v>1</v>
      </c>
      <c r="K37" s="451" t="b">
        <v>1</v>
      </c>
      <c r="L37" s="452" t="b">
        <v>1</v>
      </c>
      <c r="M37" s="452" t="b">
        <v>1</v>
      </c>
      <c r="N37" s="455" t="b">
        <v>1</v>
      </c>
      <c r="O37" s="452" t="b">
        <v>1</v>
      </c>
      <c r="P37" s="452" t="b">
        <v>1</v>
      </c>
      <c r="Q37" s="452" t="b">
        <v>1</v>
      </c>
      <c r="R37" s="452" t="b">
        <v>1</v>
      </c>
      <c r="S37" s="452" t="b">
        <v>1</v>
      </c>
      <c r="T37" s="452" t="b">
        <v>1</v>
      </c>
      <c r="U37" s="452" t="b">
        <v>1</v>
      </c>
      <c r="V37" s="453" t="b">
        <v>1</v>
      </c>
      <c r="W37" s="37"/>
      <c r="X37" s="180" t="s">
        <v>239</v>
      </c>
      <c r="Y37" s="361">
        <v>5.0054878730029545E-4</v>
      </c>
      <c r="Z37" s="36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19"/>
      <c r="C38" s="454" t="s">
        <v>222</v>
      </c>
      <c r="D38" s="449" t="b">
        <v>1</v>
      </c>
      <c r="E38" s="450" t="b">
        <v>1</v>
      </c>
      <c r="F38" s="449" t="b">
        <v>1</v>
      </c>
      <c r="G38" s="451" t="b">
        <v>1</v>
      </c>
      <c r="H38" s="451" t="b">
        <v>1</v>
      </c>
      <c r="I38" s="451" t="b">
        <v>1</v>
      </c>
      <c r="J38" s="451" t="b">
        <v>1</v>
      </c>
      <c r="K38" s="451" t="b">
        <v>1</v>
      </c>
      <c r="L38" s="452" t="b">
        <v>1</v>
      </c>
      <c r="M38" s="452" t="b">
        <v>1</v>
      </c>
      <c r="N38" s="452" t="b">
        <v>1</v>
      </c>
      <c r="O38" s="452" t="b">
        <v>1</v>
      </c>
      <c r="P38" s="452" t="b">
        <v>1</v>
      </c>
      <c r="Q38" s="452" t="b">
        <v>1</v>
      </c>
      <c r="R38" s="452" t="b">
        <v>1</v>
      </c>
      <c r="S38" s="452" t="b">
        <v>1</v>
      </c>
      <c r="T38" s="452" t="b">
        <v>1</v>
      </c>
      <c r="U38" s="452" t="b">
        <v>1</v>
      </c>
      <c r="V38" s="453" t="b">
        <v>1</v>
      </c>
      <c r="W38" s="37"/>
      <c r="X38" s="180" t="s">
        <v>240</v>
      </c>
      <c r="Y38" s="361">
        <v>5.4427544121789305E-4</v>
      </c>
      <c r="Z38" s="36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19"/>
      <c r="C39" s="454" t="s">
        <v>223</v>
      </c>
      <c r="D39" s="449" t="b">
        <v>1</v>
      </c>
      <c r="E39" s="450" t="b">
        <v>1</v>
      </c>
      <c r="F39" s="449" t="b">
        <v>1</v>
      </c>
      <c r="G39" s="451" t="b">
        <v>1</v>
      </c>
      <c r="H39" s="451" t="b">
        <v>1</v>
      </c>
      <c r="I39" s="451" t="b">
        <v>1</v>
      </c>
      <c r="J39" s="451" t="b">
        <v>1</v>
      </c>
      <c r="K39" s="451" t="b">
        <v>1</v>
      </c>
      <c r="L39" s="452" t="b">
        <v>1</v>
      </c>
      <c r="M39" s="452" t="b">
        <v>1</v>
      </c>
      <c r="N39" s="452" t="b">
        <v>1</v>
      </c>
      <c r="O39" s="452" t="b">
        <v>1</v>
      </c>
      <c r="P39" s="452" t="b">
        <v>1</v>
      </c>
      <c r="Q39" s="452" t="b">
        <v>1</v>
      </c>
      <c r="R39" s="452" t="b">
        <v>1</v>
      </c>
      <c r="S39" s="452" t="b">
        <v>1</v>
      </c>
      <c r="T39" s="452" t="b">
        <v>1</v>
      </c>
      <c r="U39" s="452" t="b">
        <v>1</v>
      </c>
      <c r="V39" s="453" t="b">
        <v>1</v>
      </c>
      <c r="W39" s="37"/>
      <c r="X39" s="180" t="s">
        <v>242</v>
      </c>
      <c r="Y39" s="361">
        <v>6.8060201713878701E-4</v>
      </c>
      <c r="Z39" s="36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19"/>
      <c r="C40" s="454" t="s">
        <v>224</v>
      </c>
      <c r="D40" s="449" t="b">
        <v>1</v>
      </c>
      <c r="E40" s="450" t="b">
        <v>1</v>
      </c>
      <c r="F40" s="449" t="b">
        <v>1</v>
      </c>
      <c r="G40" s="451" t="b">
        <v>1</v>
      </c>
      <c r="H40" s="451" t="b">
        <v>1</v>
      </c>
      <c r="I40" s="451" t="b">
        <v>1</v>
      </c>
      <c r="J40" s="451" t="b">
        <v>1</v>
      </c>
      <c r="K40" s="451" t="b">
        <v>1</v>
      </c>
      <c r="L40" s="452" t="b">
        <v>1</v>
      </c>
      <c r="M40" s="452" t="b">
        <v>1</v>
      </c>
      <c r="N40" s="452" t="b">
        <v>1</v>
      </c>
      <c r="O40" s="452" t="b">
        <v>1</v>
      </c>
      <c r="P40" s="452" t="b">
        <v>1</v>
      </c>
      <c r="Q40" s="452" t="b">
        <v>1</v>
      </c>
      <c r="R40" s="452" t="b">
        <v>1</v>
      </c>
      <c r="S40" s="452" t="b">
        <v>1</v>
      </c>
      <c r="T40" s="452" t="b">
        <v>1</v>
      </c>
      <c r="U40" s="452" t="b">
        <v>1</v>
      </c>
      <c r="V40" s="453" t="b">
        <v>1</v>
      </c>
      <c r="W40" s="37"/>
      <c r="X40" s="180" t="s">
        <v>241</v>
      </c>
      <c r="Y40" s="361">
        <v>3.457177533004125E-4</v>
      </c>
      <c r="Z40" s="361">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19"/>
      <c r="C41" s="454" t="s">
        <v>225</v>
      </c>
      <c r="D41" s="449" t="b">
        <v>1</v>
      </c>
      <c r="E41" s="450" t="b">
        <v>1</v>
      </c>
      <c r="F41" s="449" t="b">
        <v>1</v>
      </c>
      <c r="G41" s="451" t="b">
        <v>1</v>
      </c>
      <c r="H41" s="451" t="b">
        <v>1</v>
      </c>
      <c r="I41" s="451" t="b">
        <v>1</v>
      </c>
      <c r="J41" s="451" t="b">
        <v>1</v>
      </c>
      <c r="K41" s="451" t="b">
        <v>1</v>
      </c>
      <c r="L41" s="452" t="b">
        <v>1</v>
      </c>
      <c r="M41" s="452" t="b">
        <v>1</v>
      </c>
      <c r="N41" s="452" t="b">
        <v>1</v>
      </c>
      <c r="O41" s="452" t="b">
        <v>1</v>
      </c>
      <c r="P41" s="452" t="b">
        <v>1</v>
      </c>
      <c r="Q41" s="452" t="b">
        <v>1</v>
      </c>
      <c r="R41" s="452" t="b">
        <v>1</v>
      </c>
      <c r="S41" s="452" t="b">
        <v>1</v>
      </c>
      <c r="T41" s="452" t="b">
        <v>1</v>
      </c>
      <c r="U41" s="452" t="b">
        <v>1</v>
      </c>
      <c r="V41" s="453" t="b">
        <v>1</v>
      </c>
      <c r="W41" s="35"/>
      <c r="X41" s="180" t="s">
        <v>243</v>
      </c>
      <c r="Y41" s="361">
        <v>2.7139739187690266E-4</v>
      </c>
      <c r="Z41" s="36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19"/>
      <c r="C42" s="454" t="s">
        <v>11</v>
      </c>
      <c r="D42" s="449" t="b">
        <v>1</v>
      </c>
      <c r="E42" s="450" t="b">
        <v>1</v>
      </c>
      <c r="F42" s="449" t="b">
        <v>1</v>
      </c>
      <c r="G42" s="451" t="b">
        <v>1</v>
      </c>
      <c r="H42" s="451" t="b">
        <v>1</v>
      </c>
      <c r="I42" s="451" t="b">
        <v>1</v>
      </c>
      <c r="J42" s="451" t="b">
        <v>1</v>
      </c>
      <c r="K42" s="451" t="b">
        <v>1</v>
      </c>
      <c r="L42" s="452" t="b">
        <v>1</v>
      </c>
      <c r="M42" s="452" t="b">
        <v>1</v>
      </c>
      <c r="N42" s="452" t="b">
        <v>1</v>
      </c>
      <c r="O42" s="452" t="b">
        <v>1</v>
      </c>
      <c r="P42" s="452" t="b">
        <v>1</v>
      </c>
      <c r="Q42" s="452" t="b">
        <v>1</v>
      </c>
      <c r="R42" s="452" t="b">
        <v>1</v>
      </c>
      <c r="S42" s="452" t="b">
        <v>1</v>
      </c>
      <c r="T42" s="452" t="b">
        <v>1</v>
      </c>
      <c r="U42" s="452" t="b">
        <v>1</v>
      </c>
      <c r="V42" s="453" t="b">
        <v>1</v>
      </c>
      <c r="W42" s="35"/>
      <c r="X42" s="180" t="s">
        <v>250</v>
      </c>
      <c r="Y42" s="361">
        <v>4.6005555553392324E-4</v>
      </c>
      <c r="Z42" s="36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19"/>
      <c r="C43" s="448" t="s">
        <v>226</v>
      </c>
      <c r="D43" s="449" t="b">
        <v>0</v>
      </c>
      <c r="E43" s="450" t="b">
        <v>0</v>
      </c>
      <c r="F43" s="449" t="b">
        <v>0</v>
      </c>
      <c r="G43" s="456" t="b">
        <v>1</v>
      </c>
      <c r="H43" s="456" t="b">
        <v>1</v>
      </c>
      <c r="I43" s="456" t="b">
        <v>1</v>
      </c>
      <c r="J43" s="456" t="b">
        <v>1</v>
      </c>
      <c r="K43" s="456" t="b">
        <v>1</v>
      </c>
      <c r="L43" s="457" t="b">
        <v>1</v>
      </c>
      <c r="M43" s="457" t="b">
        <v>1</v>
      </c>
      <c r="N43" s="457" t="b">
        <v>1</v>
      </c>
      <c r="O43" s="457" t="b">
        <v>1</v>
      </c>
      <c r="P43" s="457" t="b">
        <v>1</v>
      </c>
      <c r="Q43" s="457" t="b">
        <v>1</v>
      </c>
      <c r="R43" s="457" t="b">
        <v>1</v>
      </c>
      <c r="S43" s="457" t="b">
        <v>1</v>
      </c>
      <c r="T43" s="457" t="b">
        <v>1</v>
      </c>
      <c r="U43" s="457" t="b">
        <v>1</v>
      </c>
      <c r="V43" s="458" t="b">
        <v>1</v>
      </c>
      <c r="W43" s="35"/>
      <c r="X43" s="180" t="s">
        <v>251</v>
      </c>
      <c r="Y43" s="361">
        <v>7.7706033252806421E-4</v>
      </c>
      <c r="Z43" s="36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19"/>
      <c r="C44" s="448" t="s">
        <v>227</v>
      </c>
      <c r="D44" s="449" t="b">
        <v>0</v>
      </c>
      <c r="E44" s="450" t="b">
        <v>0</v>
      </c>
      <c r="F44" s="449" t="b">
        <v>0</v>
      </c>
      <c r="G44" s="456" t="b">
        <v>1</v>
      </c>
      <c r="H44" s="456" t="b">
        <v>1</v>
      </c>
      <c r="I44" s="456" t="b">
        <v>1</v>
      </c>
      <c r="J44" s="456" t="b">
        <v>1</v>
      </c>
      <c r="K44" s="456" t="b">
        <v>1</v>
      </c>
      <c r="L44" s="457" t="b">
        <v>1</v>
      </c>
      <c r="M44" s="457" t="b">
        <v>1</v>
      </c>
      <c r="N44" s="457" t="b">
        <v>1</v>
      </c>
      <c r="O44" s="457" t="b">
        <v>1</v>
      </c>
      <c r="P44" s="457" t="b">
        <v>1</v>
      </c>
      <c r="Q44" s="457" t="b">
        <v>1</v>
      </c>
      <c r="R44" s="457" t="b">
        <v>1</v>
      </c>
      <c r="S44" s="457" t="b">
        <v>1</v>
      </c>
      <c r="T44" s="457" t="b">
        <v>1</v>
      </c>
      <c r="U44" s="457" t="b">
        <v>1</v>
      </c>
      <c r="V44" s="458" t="b">
        <v>1</v>
      </c>
      <c r="W44" s="35"/>
      <c r="X44" s="180" t="s">
        <v>244</v>
      </c>
      <c r="Y44" s="361">
        <v>6.5903358116509451E-4</v>
      </c>
      <c r="Z44" s="361">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19"/>
      <c r="C45" s="448" t="s">
        <v>229</v>
      </c>
      <c r="D45" s="449" t="b">
        <v>0</v>
      </c>
      <c r="E45" s="450" t="b">
        <v>0</v>
      </c>
      <c r="F45" s="449" t="b">
        <v>0</v>
      </c>
      <c r="G45" s="456" t="b">
        <v>1</v>
      </c>
      <c r="H45" s="456" t="b">
        <v>1</v>
      </c>
      <c r="I45" s="456" t="b">
        <v>1</v>
      </c>
      <c r="J45" s="456" t="b">
        <v>1</v>
      </c>
      <c r="K45" s="456" t="b">
        <v>1</v>
      </c>
      <c r="L45" s="457" t="b">
        <v>1</v>
      </c>
      <c r="M45" s="457" t="b">
        <v>1</v>
      </c>
      <c r="N45" s="457" t="b">
        <v>1</v>
      </c>
      <c r="O45" s="457" t="b">
        <v>1</v>
      </c>
      <c r="P45" s="457" t="b">
        <v>1</v>
      </c>
      <c r="Q45" s="457" t="b">
        <v>1</v>
      </c>
      <c r="R45" s="457" t="b">
        <v>1</v>
      </c>
      <c r="S45" s="457" t="b">
        <v>1</v>
      </c>
      <c r="T45" s="457" t="b">
        <v>1</v>
      </c>
      <c r="U45" s="457" t="b">
        <v>1</v>
      </c>
      <c r="V45" s="458" t="b">
        <v>1</v>
      </c>
      <c r="W45" s="35"/>
      <c r="X45" s="180" t="s">
        <v>246</v>
      </c>
      <c r="Y45" s="361">
        <v>1.3708824581532242E-4</v>
      </c>
      <c r="Z45" s="36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19"/>
      <c r="C46" s="448" t="s">
        <v>230</v>
      </c>
      <c r="D46" s="449" t="b">
        <v>0</v>
      </c>
      <c r="E46" s="450" t="b">
        <v>0</v>
      </c>
      <c r="F46" s="449" t="b">
        <v>0</v>
      </c>
      <c r="G46" s="457" t="b">
        <v>1</v>
      </c>
      <c r="H46" s="457" t="b">
        <v>1</v>
      </c>
      <c r="I46" s="457" t="b">
        <v>1</v>
      </c>
      <c r="J46" s="457" t="b">
        <v>1</v>
      </c>
      <c r="K46" s="457" t="b">
        <v>1</v>
      </c>
      <c r="L46" s="457" t="b">
        <v>1</v>
      </c>
      <c r="M46" s="457" t="b">
        <v>1</v>
      </c>
      <c r="N46" s="457" t="b">
        <v>1</v>
      </c>
      <c r="O46" s="457" t="b">
        <v>1</v>
      </c>
      <c r="P46" s="457" t="b">
        <v>1</v>
      </c>
      <c r="Q46" s="457" t="b">
        <v>1</v>
      </c>
      <c r="R46" s="457" t="b">
        <v>1</v>
      </c>
      <c r="S46" s="457" t="b">
        <v>1</v>
      </c>
      <c r="T46" s="457" t="b">
        <v>1</v>
      </c>
      <c r="U46" s="457" t="b">
        <v>1</v>
      </c>
      <c r="V46" s="458" t="b">
        <v>1</v>
      </c>
      <c r="W46" s="35"/>
      <c r="X46" s="180" t="s">
        <v>247</v>
      </c>
      <c r="Y46" s="361">
        <v>2.4826092420676649E-4</v>
      </c>
      <c r="Z46" s="36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19"/>
      <c r="C47" s="454" t="s">
        <v>231</v>
      </c>
      <c r="D47" s="449" t="b">
        <v>1</v>
      </c>
      <c r="E47" s="450" t="b">
        <v>1</v>
      </c>
      <c r="F47" s="449" t="b">
        <v>1</v>
      </c>
      <c r="G47" s="457" t="b">
        <v>1</v>
      </c>
      <c r="H47" s="457" t="b">
        <v>1</v>
      </c>
      <c r="I47" s="457" t="b">
        <v>1</v>
      </c>
      <c r="J47" s="457" t="b">
        <v>1</v>
      </c>
      <c r="K47" s="457" t="b">
        <v>1</v>
      </c>
      <c r="L47" s="457" t="b">
        <v>1</v>
      </c>
      <c r="M47" s="457" t="b">
        <v>1</v>
      </c>
      <c r="N47" s="457" t="b">
        <v>1</v>
      </c>
      <c r="O47" s="457" t="b">
        <v>1</v>
      </c>
      <c r="P47" s="457" t="b">
        <v>1</v>
      </c>
      <c r="Q47" s="457" t="b">
        <v>1</v>
      </c>
      <c r="R47" s="457" t="b">
        <v>1</v>
      </c>
      <c r="S47" s="457" t="b">
        <v>1</v>
      </c>
      <c r="T47" s="457" t="b">
        <v>1</v>
      </c>
      <c r="U47" s="457" t="b">
        <v>1</v>
      </c>
      <c r="V47" s="458" t="b">
        <v>1</v>
      </c>
      <c r="W47" s="35"/>
      <c r="X47" s="180" t="s">
        <v>248</v>
      </c>
      <c r="Y47" s="361">
        <v>6.5123632733018436E-4</v>
      </c>
      <c r="Z47" s="36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19"/>
      <c r="C48" s="448" t="s">
        <v>232</v>
      </c>
      <c r="D48" s="449" t="b">
        <v>0</v>
      </c>
      <c r="E48" s="450" t="b">
        <v>0</v>
      </c>
      <c r="F48" s="449" t="b">
        <v>0</v>
      </c>
      <c r="G48" s="457" t="b">
        <v>1</v>
      </c>
      <c r="H48" s="457" t="b">
        <v>1</v>
      </c>
      <c r="I48" s="457" t="b">
        <v>1</v>
      </c>
      <c r="J48" s="457" t="b">
        <v>1</v>
      </c>
      <c r="K48" s="457" t="b">
        <v>1</v>
      </c>
      <c r="L48" s="457" t="b">
        <v>1</v>
      </c>
      <c r="M48" s="457" t="b">
        <v>1</v>
      </c>
      <c r="N48" s="457" t="b">
        <v>1</v>
      </c>
      <c r="O48" s="457" t="b">
        <v>1</v>
      </c>
      <c r="P48" s="457" t="b">
        <v>1</v>
      </c>
      <c r="Q48" s="457" t="b">
        <v>1</v>
      </c>
      <c r="R48" s="457" t="b">
        <v>1</v>
      </c>
      <c r="S48" s="457" t="b">
        <v>1</v>
      </c>
      <c r="T48" s="457" t="b">
        <v>1</v>
      </c>
      <c r="U48" s="457" t="b">
        <v>1</v>
      </c>
      <c r="V48" s="458" t="b">
        <v>1</v>
      </c>
      <c r="W48" s="35"/>
      <c r="X48" s="180" t="s">
        <v>245</v>
      </c>
      <c r="Y48" s="361">
        <v>4.4027318096914698E-4</v>
      </c>
      <c r="Z48" s="36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19"/>
      <c r="C49" s="448" t="s">
        <v>233</v>
      </c>
      <c r="D49" s="449" t="b">
        <v>0</v>
      </c>
      <c r="E49" s="450" t="b">
        <v>0</v>
      </c>
      <c r="F49" s="449" t="b">
        <v>0</v>
      </c>
      <c r="G49" s="457" t="b">
        <v>1</v>
      </c>
      <c r="H49" s="457" t="b">
        <v>1</v>
      </c>
      <c r="I49" s="457" t="b">
        <v>1</v>
      </c>
      <c r="J49" s="457" t="b">
        <v>1</v>
      </c>
      <c r="K49" s="457" t="b">
        <v>1</v>
      </c>
      <c r="L49" s="457" t="b">
        <v>1</v>
      </c>
      <c r="M49" s="457" t="b">
        <v>1</v>
      </c>
      <c r="N49" s="457" t="b">
        <v>1</v>
      </c>
      <c r="O49" s="457" t="b">
        <v>1</v>
      </c>
      <c r="P49" s="457" t="b">
        <v>1</v>
      </c>
      <c r="Q49" s="457" t="b">
        <v>1</v>
      </c>
      <c r="R49" s="457" t="b">
        <v>1</v>
      </c>
      <c r="S49" s="457" t="b">
        <v>1</v>
      </c>
      <c r="T49" s="457" t="b">
        <v>1</v>
      </c>
      <c r="U49" s="457" t="b">
        <v>1</v>
      </c>
      <c r="V49" s="458" t="b">
        <v>1</v>
      </c>
      <c r="W49" s="35"/>
      <c r="X49" s="180" t="s">
        <v>249</v>
      </c>
      <c r="Y49" s="361">
        <v>1.931816909789435E-4</v>
      </c>
      <c r="Z49" s="36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19"/>
      <c r="C50" s="448" t="s">
        <v>234</v>
      </c>
      <c r="D50" s="449" t="b">
        <v>0</v>
      </c>
      <c r="E50" s="450" t="b">
        <v>0</v>
      </c>
      <c r="F50" s="449" t="b">
        <v>0</v>
      </c>
      <c r="G50" s="457" t="b">
        <v>1</v>
      </c>
      <c r="H50" s="457" t="b">
        <v>1</v>
      </c>
      <c r="I50" s="457" t="b">
        <v>1</v>
      </c>
      <c r="J50" s="457" t="b">
        <v>1</v>
      </c>
      <c r="K50" s="457" t="b">
        <v>1</v>
      </c>
      <c r="L50" s="457" t="b">
        <v>1</v>
      </c>
      <c r="M50" s="457" t="b">
        <v>1</v>
      </c>
      <c r="N50" s="457" t="b">
        <v>1</v>
      </c>
      <c r="O50" s="457" t="b">
        <v>1</v>
      </c>
      <c r="P50" s="457" t="b">
        <v>1</v>
      </c>
      <c r="Q50" s="457" t="b">
        <v>1</v>
      </c>
      <c r="R50" s="457" t="b">
        <v>1</v>
      </c>
      <c r="S50" s="457" t="b">
        <v>1</v>
      </c>
      <c r="T50" s="457" t="b">
        <v>1</v>
      </c>
      <c r="U50" s="457" t="b">
        <v>1</v>
      </c>
      <c r="V50" s="458" t="b">
        <v>1</v>
      </c>
      <c r="W50" s="35"/>
      <c r="X50" s="180" t="s">
        <v>252</v>
      </c>
      <c r="Y50" s="361">
        <v>7.0176185178426537E-4</v>
      </c>
      <c r="Z50" s="36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19"/>
      <c r="C51" s="448" t="s">
        <v>235</v>
      </c>
      <c r="D51" s="449" t="b">
        <v>0</v>
      </c>
      <c r="E51" s="450" t="b">
        <v>0</v>
      </c>
      <c r="F51" s="449" t="b">
        <v>0</v>
      </c>
      <c r="G51" s="457" t="b">
        <v>1</v>
      </c>
      <c r="H51" s="457" t="b">
        <v>1</v>
      </c>
      <c r="I51" s="457" t="b">
        <v>1</v>
      </c>
      <c r="J51" s="457" t="b">
        <v>1</v>
      </c>
      <c r="K51" s="457" t="b">
        <v>1</v>
      </c>
      <c r="L51" s="457" t="b">
        <v>1</v>
      </c>
      <c r="M51" s="457" t="b">
        <v>1</v>
      </c>
      <c r="N51" s="457" t="b">
        <v>1</v>
      </c>
      <c r="O51" s="457" t="b">
        <v>1</v>
      </c>
      <c r="P51" s="457" t="b">
        <v>1</v>
      </c>
      <c r="Q51" s="457" t="b">
        <v>1</v>
      </c>
      <c r="R51" s="457" t="b">
        <v>1</v>
      </c>
      <c r="S51" s="457" t="b">
        <v>1</v>
      </c>
      <c r="T51" s="457" t="b">
        <v>1</v>
      </c>
      <c r="U51" s="457" t="b">
        <v>1</v>
      </c>
      <c r="V51" s="458" t="b">
        <v>1</v>
      </c>
      <c r="W51" s="35"/>
      <c r="X51" s="180" t="s">
        <v>253</v>
      </c>
      <c r="Y51" s="361">
        <v>3.7480116346849359E-4</v>
      </c>
      <c r="Z51" s="36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19"/>
      <c r="C52" s="454" t="s">
        <v>236</v>
      </c>
      <c r="D52" s="449" t="b">
        <v>1</v>
      </c>
      <c r="E52" s="450" t="b">
        <v>1</v>
      </c>
      <c r="F52" s="449" t="b">
        <v>1</v>
      </c>
      <c r="G52" s="457" t="b">
        <v>1</v>
      </c>
      <c r="H52" s="457" t="b">
        <v>1</v>
      </c>
      <c r="I52" s="457" t="b">
        <v>1</v>
      </c>
      <c r="J52" s="457" t="b">
        <v>1</v>
      </c>
      <c r="K52" s="457" t="b">
        <v>1</v>
      </c>
      <c r="L52" s="457" t="b">
        <v>1</v>
      </c>
      <c r="M52" s="457" t="b">
        <v>1</v>
      </c>
      <c r="N52" s="457" t="b">
        <v>1</v>
      </c>
      <c r="O52" s="457" t="b">
        <v>1</v>
      </c>
      <c r="P52" s="457" t="b">
        <v>1</v>
      </c>
      <c r="Q52" s="457" t="b">
        <v>1</v>
      </c>
      <c r="R52" s="457" t="b">
        <v>1</v>
      </c>
      <c r="S52" s="457" t="b">
        <v>1</v>
      </c>
      <c r="T52" s="457" t="b">
        <v>1</v>
      </c>
      <c r="U52" s="457" t="b">
        <v>1</v>
      </c>
      <c r="V52" s="458" t="b">
        <v>1</v>
      </c>
      <c r="W52" s="35"/>
      <c r="X52" s="180" t="s">
        <v>254</v>
      </c>
      <c r="Y52" s="361">
        <v>1.2706954449993432E-4</v>
      </c>
      <c r="Z52" s="361">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19"/>
      <c r="C53" s="454" t="s">
        <v>237</v>
      </c>
      <c r="D53" s="449" t="b">
        <v>1</v>
      </c>
      <c r="E53" s="450" t="b">
        <v>1</v>
      </c>
      <c r="F53" s="449" t="b">
        <v>1</v>
      </c>
      <c r="G53" s="457" t="b">
        <v>1</v>
      </c>
      <c r="H53" s="457" t="b">
        <v>1</v>
      </c>
      <c r="I53" s="457" t="b">
        <v>1</v>
      </c>
      <c r="J53" s="457" t="b">
        <v>1</v>
      </c>
      <c r="K53" s="457" t="b">
        <v>1</v>
      </c>
      <c r="L53" s="457" t="b">
        <v>1</v>
      </c>
      <c r="M53" s="457" t="b">
        <v>1</v>
      </c>
      <c r="N53" s="457" t="b">
        <v>1</v>
      </c>
      <c r="O53" s="457" t="b">
        <v>1</v>
      </c>
      <c r="P53" s="457" t="b">
        <v>1</v>
      </c>
      <c r="Q53" s="457" t="b">
        <v>1</v>
      </c>
      <c r="R53" s="457" t="b">
        <v>1</v>
      </c>
      <c r="S53" s="457" t="b">
        <v>1</v>
      </c>
      <c r="T53" s="457" t="b">
        <v>1</v>
      </c>
      <c r="U53" s="457" t="b">
        <v>1</v>
      </c>
      <c r="V53" s="458" t="b">
        <v>1</v>
      </c>
      <c r="W53" s="35"/>
      <c r="X53" s="180" t="s">
        <v>255</v>
      </c>
      <c r="Y53" s="361">
        <v>4.3552522745260029E-4</v>
      </c>
      <c r="Z53" s="36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19"/>
      <c r="C54" s="448" t="s">
        <v>238</v>
      </c>
      <c r="D54" s="449" t="b">
        <v>0</v>
      </c>
      <c r="E54" s="450" t="b">
        <v>0</v>
      </c>
      <c r="F54" s="449" t="b">
        <v>0</v>
      </c>
      <c r="G54" s="457" t="b">
        <v>1</v>
      </c>
      <c r="H54" s="457" t="b">
        <v>1</v>
      </c>
      <c r="I54" s="457" t="b">
        <v>1</v>
      </c>
      <c r="J54" s="457" t="b">
        <v>1</v>
      </c>
      <c r="K54" s="457" t="b">
        <v>1</v>
      </c>
      <c r="L54" s="457" t="b">
        <v>1</v>
      </c>
      <c r="M54" s="457" t="b">
        <v>1</v>
      </c>
      <c r="N54" s="457" t="b">
        <v>1</v>
      </c>
      <c r="O54" s="457" t="b">
        <v>1</v>
      </c>
      <c r="P54" s="457" t="b">
        <v>1</v>
      </c>
      <c r="Q54" s="457" t="b">
        <v>1</v>
      </c>
      <c r="R54" s="457" t="b">
        <v>1</v>
      </c>
      <c r="S54" s="457" t="b">
        <v>1</v>
      </c>
      <c r="T54" s="457" t="b">
        <v>1</v>
      </c>
      <c r="U54" s="457" t="b">
        <v>1</v>
      </c>
      <c r="V54" s="458" t="b">
        <v>1</v>
      </c>
      <c r="W54" s="35"/>
      <c r="X54" s="180" t="s">
        <v>256</v>
      </c>
      <c r="Y54" s="361">
        <v>3.7217229024403897E-4</v>
      </c>
      <c r="Z54" s="361">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19"/>
      <c r="C55" s="454" t="s">
        <v>239</v>
      </c>
      <c r="D55" s="449" t="b">
        <v>1</v>
      </c>
      <c r="E55" s="450" t="b">
        <v>1</v>
      </c>
      <c r="F55" s="449" t="b">
        <v>1</v>
      </c>
      <c r="G55" s="457" t="b">
        <v>1</v>
      </c>
      <c r="H55" s="457" t="b">
        <v>1</v>
      </c>
      <c r="I55" s="457" t="b">
        <v>1</v>
      </c>
      <c r="J55" s="457" t="b">
        <v>1</v>
      </c>
      <c r="K55" s="457" t="b">
        <v>1</v>
      </c>
      <c r="L55" s="457" t="b">
        <v>1</v>
      </c>
      <c r="M55" s="457" t="b">
        <v>1</v>
      </c>
      <c r="N55" s="457" t="b">
        <v>1</v>
      </c>
      <c r="O55" s="457" t="b">
        <v>1</v>
      </c>
      <c r="P55" s="457" t="b">
        <v>1</v>
      </c>
      <c r="Q55" s="457" t="b">
        <v>1</v>
      </c>
      <c r="R55" s="457" t="b">
        <v>1</v>
      </c>
      <c r="S55" s="457" t="b">
        <v>1</v>
      </c>
      <c r="T55" s="457" t="b">
        <v>1</v>
      </c>
      <c r="U55" s="457" t="b">
        <v>1</v>
      </c>
      <c r="V55" s="458" t="b">
        <v>1</v>
      </c>
      <c r="W55" s="35"/>
      <c r="X55" s="180" t="s">
        <v>257</v>
      </c>
      <c r="Y55" s="361">
        <v>2.3421760822486782E-4</v>
      </c>
      <c r="Z55" s="36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19"/>
      <c r="C56" s="448" t="s">
        <v>240</v>
      </c>
      <c r="D56" s="449" t="b">
        <v>0</v>
      </c>
      <c r="E56" s="450" t="b">
        <v>0</v>
      </c>
      <c r="F56" s="449" t="b">
        <v>0</v>
      </c>
      <c r="G56" s="457" t="b">
        <v>1</v>
      </c>
      <c r="H56" s="457" t="b">
        <v>1</v>
      </c>
      <c r="I56" s="457" t="b">
        <v>1</v>
      </c>
      <c r="J56" s="457" t="b">
        <v>1</v>
      </c>
      <c r="K56" s="457" t="b">
        <v>1</v>
      </c>
      <c r="L56" s="457" t="b">
        <v>1</v>
      </c>
      <c r="M56" s="457" t="b">
        <v>1</v>
      </c>
      <c r="N56" s="457" t="b">
        <v>1</v>
      </c>
      <c r="O56" s="457" t="b">
        <v>1</v>
      </c>
      <c r="P56" s="457" t="b">
        <v>1</v>
      </c>
      <c r="Q56" s="457" t="b">
        <v>1</v>
      </c>
      <c r="R56" s="457" t="b">
        <v>1</v>
      </c>
      <c r="S56" s="457" t="b">
        <v>1</v>
      </c>
      <c r="T56" s="457" t="b">
        <v>1</v>
      </c>
      <c r="U56" s="457" t="b">
        <v>1</v>
      </c>
      <c r="V56" s="458" t="b">
        <v>1</v>
      </c>
      <c r="W56" s="35"/>
      <c r="X56" s="180" t="s">
        <v>258</v>
      </c>
      <c r="Y56" s="361">
        <v>3.9218138779391148E-4</v>
      </c>
      <c r="Z56" s="361">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19"/>
      <c r="C57" s="448" t="s">
        <v>241</v>
      </c>
      <c r="D57" s="449" t="b">
        <v>0</v>
      </c>
      <c r="E57" s="450" t="b">
        <v>0</v>
      </c>
      <c r="F57" s="449" t="b">
        <v>0</v>
      </c>
      <c r="G57" s="457" t="b">
        <v>1</v>
      </c>
      <c r="H57" s="457" t="b">
        <v>1</v>
      </c>
      <c r="I57" s="457" t="b">
        <v>1</v>
      </c>
      <c r="J57" s="457" t="b">
        <v>1</v>
      </c>
      <c r="K57" s="457" t="b">
        <v>1</v>
      </c>
      <c r="L57" s="457" t="b">
        <v>1</v>
      </c>
      <c r="M57" s="457" t="b">
        <v>1</v>
      </c>
      <c r="N57" s="457" t="b">
        <v>1</v>
      </c>
      <c r="O57" s="457" t="b">
        <v>1</v>
      </c>
      <c r="P57" s="457" t="b">
        <v>1</v>
      </c>
      <c r="Q57" s="457" t="b">
        <v>1</v>
      </c>
      <c r="R57" s="457" t="b">
        <v>1</v>
      </c>
      <c r="S57" s="457" t="b">
        <v>1</v>
      </c>
      <c r="T57" s="457" t="b">
        <v>1</v>
      </c>
      <c r="U57" s="457" t="b">
        <v>1</v>
      </c>
      <c r="V57" s="458" t="b">
        <v>1</v>
      </c>
      <c r="W57" s="35"/>
      <c r="X57" s="180" t="s">
        <v>259</v>
      </c>
      <c r="Y57" s="361">
        <v>2.51710742463223E-4</v>
      </c>
      <c r="Z57" s="361">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19"/>
      <c r="C58" s="448" t="s">
        <v>242</v>
      </c>
      <c r="D58" s="449" t="b">
        <v>0</v>
      </c>
      <c r="E58" s="450" t="b">
        <v>0</v>
      </c>
      <c r="F58" s="449" t="b">
        <v>0</v>
      </c>
      <c r="G58" s="457" t="b">
        <v>1</v>
      </c>
      <c r="H58" s="457" t="b">
        <v>1</v>
      </c>
      <c r="I58" s="457" t="b">
        <v>1</v>
      </c>
      <c r="J58" s="457" t="b">
        <v>1</v>
      </c>
      <c r="K58" s="457" t="b">
        <v>1</v>
      </c>
      <c r="L58" s="457" t="b">
        <v>1</v>
      </c>
      <c r="M58" s="457" t="b">
        <v>1</v>
      </c>
      <c r="N58" s="457" t="b">
        <v>1</v>
      </c>
      <c r="O58" s="457" t="b">
        <v>1</v>
      </c>
      <c r="P58" s="457" t="b">
        <v>1</v>
      </c>
      <c r="Q58" s="457" t="b">
        <v>1</v>
      </c>
      <c r="R58" s="457" t="b">
        <v>1</v>
      </c>
      <c r="S58" s="457" t="b">
        <v>1</v>
      </c>
      <c r="T58" s="457" t="b">
        <v>1</v>
      </c>
      <c r="U58" s="457" t="b">
        <v>1</v>
      </c>
      <c r="V58" s="458" t="b">
        <v>1</v>
      </c>
      <c r="W58" s="35"/>
      <c r="X58" s="180" t="s">
        <v>260</v>
      </c>
      <c r="Y58" s="361">
        <v>4.9438144200333368E-4</v>
      </c>
      <c r="Z58" s="36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19"/>
      <c r="C59" s="448" t="s">
        <v>243</v>
      </c>
      <c r="D59" s="449" t="b">
        <v>0</v>
      </c>
      <c r="E59" s="450" t="b">
        <v>0</v>
      </c>
      <c r="F59" s="449" t="b">
        <v>0</v>
      </c>
      <c r="G59" s="457" t="b">
        <v>1</v>
      </c>
      <c r="H59" s="457" t="b">
        <v>1</v>
      </c>
      <c r="I59" s="457" t="b">
        <v>1</v>
      </c>
      <c r="J59" s="457" t="b">
        <v>1</v>
      </c>
      <c r="K59" s="457" t="b">
        <v>1</v>
      </c>
      <c r="L59" s="457" t="b">
        <v>1</v>
      </c>
      <c r="M59" s="457" t="b">
        <v>1</v>
      </c>
      <c r="N59" s="457" t="b">
        <v>1</v>
      </c>
      <c r="O59" s="457" t="b">
        <v>1</v>
      </c>
      <c r="P59" s="457" t="b">
        <v>1</v>
      </c>
      <c r="Q59" s="457" t="b">
        <v>1</v>
      </c>
      <c r="R59" s="457" t="b">
        <v>1</v>
      </c>
      <c r="S59" s="457" t="b">
        <v>1</v>
      </c>
      <c r="T59" s="457" t="b">
        <v>1</v>
      </c>
      <c r="U59" s="457" t="b">
        <v>1</v>
      </c>
      <c r="V59" s="458" t="b">
        <v>1</v>
      </c>
      <c r="W59" s="35"/>
      <c r="X59" s="180" t="s">
        <v>261</v>
      </c>
      <c r="Y59" s="361">
        <v>7.6676322767228755E-4</v>
      </c>
      <c r="Z59" s="36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19"/>
      <c r="C60" s="448" t="s">
        <v>244</v>
      </c>
      <c r="D60" s="449" t="b">
        <v>0</v>
      </c>
      <c r="E60" s="450" t="b">
        <v>0</v>
      </c>
      <c r="F60" s="449" t="b">
        <v>0</v>
      </c>
      <c r="G60" s="457" t="b">
        <v>1</v>
      </c>
      <c r="H60" s="457" t="b">
        <v>1</v>
      </c>
      <c r="I60" s="457" t="b">
        <v>1</v>
      </c>
      <c r="J60" s="457" t="b">
        <v>1</v>
      </c>
      <c r="K60" s="457" t="b">
        <v>1</v>
      </c>
      <c r="L60" s="457" t="b">
        <v>1</v>
      </c>
      <c r="M60" s="457" t="b">
        <v>1</v>
      </c>
      <c r="N60" s="457" t="b">
        <v>1</v>
      </c>
      <c r="O60" s="457" t="b">
        <v>1</v>
      </c>
      <c r="P60" s="457" t="b">
        <v>1</v>
      </c>
      <c r="Q60" s="457" t="b">
        <v>1</v>
      </c>
      <c r="R60" s="457" t="b">
        <v>1</v>
      </c>
      <c r="S60" s="457" t="b">
        <v>1</v>
      </c>
      <c r="T60" s="457" t="b">
        <v>1</v>
      </c>
      <c r="U60" s="457" t="b">
        <v>1</v>
      </c>
      <c r="V60" s="458" t="b">
        <v>1</v>
      </c>
      <c r="W60" s="35"/>
      <c r="X60" s="180" t="s">
        <v>263</v>
      </c>
      <c r="Y60" s="361">
        <v>3.3864707385370345E-4</v>
      </c>
      <c r="Z60" s="36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19"/>
      <c r="C61" s="448" t="s">
        <v>245</v>
      </c>
      <c r="D61" s="449" t="b">
        <v>0</v>
      </c>
      <c r="E61" s="450" t="b">
        <v>0</v>
      </c>
      <c r="F61" s="449" t="b">
        <v>0</v>
      </c>
      <c r="G61" s="457" t="b">
        <v>1</v>
      </c>
      <c r="H61" s="457" t="b">
        <v>1</v>
      </c>
      <c r="I61" s="457" t="b">
        <v>1</v>
      </c>
      <c r="J61" s="457" t="b">
        <v>1</v>
      </c>
      <c r="K61" s="457" t="b">
        <v>1</v>
      </c>
      <c r="L61" s="457" t="b">
        <v>1</v>
      </c>
      <c r="M61" s="457" t="b">
        <v>1</v>
      </c>
      <c r="N61" s="457" t="b">
        <v>1</v>
      </c>
      <c r="O61" s="457" t="b">
        <v>1</v>
      </c>
      <c r="P61" s="457" t="b">
        <v>1</v>
      </c>
      <c r="Q61" s="457" t="b">
        <v>1</v>
      </c>
      <c r="R61" s="457" t="b">
        <v>1</v>
      </c>
      <c r="S61" s="457" t="b">
        <v>1</v>
      </c>
      <c r="T61" s="457" t="b">
        <v>1</v>
      </c>
      <c r="U61" s="457" t="b">
        <v>1</v>
      </c>
      <c r="V61" s="458" t="b">
        <v>1</v>
      </c>
      <c r="W61" s="35"/>
      <c r="X61" s="180" t="s">
        <v>262</v>
      </c>
      <c r="Y61" s="361">
        <v>0</v>
      </c>
      <c r="Z61" s="36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19"/>
      <c r="C62" s="448" t="s">
        <v>246</v>
      </c>
      <c r="D62" s="449" t="b">
        <v>0</v>
      </c>
      <c r="E62" s="450" t="b">
        <v>0</v>
      </c>
      <c r="F62" s="449" t="b">
        <v>0</v>
      </c>
      <c r="G62" s="457" t="b">
        <v>1</v>
      </c>
      <c r="H62" s="457" t="b">
        <v>1</v>
      </c>
      <c r="I62" s="457" t="b">
        <v>1</v>
      </c>
      <c r="J62" s="457" t="b">
        <v>1</v>
      </c>
      <c r="K62" s="457" t="b">
        <v>1</v>
      </c>
      <c r="L62" s="457" t="b">
        <v>1</v>
      </c>
      <c r="M62" s="457" t="b">
        <v>1</v>
      </c>
      <c r="N62" s="457" t="b">
        <v>1</v>
      </c>
      <c r="O62" s="457" t="b">
        <v>1</v>
      </c>
      <c r="P62" s="457" t="b">
        <v>1</v>
      </c>
      <c r="Q62" s="457" t="b">
        <v>1</v>
      </c>
      <c r="R62" s="457" t="b">
        <v>1</v>
      </c>
      <c r="S62" s="457" t="b">
        <v>1</v>
      </c>
      <c r="T62" s="457" t="b">
        <v>1</v>
      </c>
      <c r="U62" s="457" t="b">
        <v>1</v>
      </c>
      <c r="V62" s="458" t="b">
        <v>1</v>
      </c>
      <c r="W62" s="35"/>
      <c r="X62" s="180" t="s">
        <v>264</v>
      </c>
      <c r="Y62" s="361">
        <v>2.2923348213669437E-5</v>
      </c>
      <c r="Z62" s="36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19"/>
      <c r="C63" s="454" t="s">
        <v>247</v>
      </c>
      <c r="D63" s="449" t="b">
        <v>1</v>
      </c>
      <c r="E63" s="450" t="b">
        <v>1</v>
      </c>
      <c r="F63" s="449" t="b">
        <v>1</v>
      </c>
      <c r="G63" s="457" t="b">
        <v>1</v>
      </c>
      <c r="H63" s="457" t="b">
        <v>1</v>
      </c>
      <c r="I63" s="457" t="b">
        <v>1</v>
      </c>
      <c r="J63" s="457" t="b">
        <v>1</v>
      </c>
      <c r="K63" s="457" t="b">
        <v>1</v>
      </c>
      <c r="L63" s="457" t="b">
        <v>1</v>
      </c>
      <c r="M63" s="457" t="b">
        <v>1</v>
      </c>
      <c r="N63" s="457" t="b">
        <v>1</v>
      </c>
      <c r="O63" s="457" t="b">
        <v>1</v>
      </c>
      <c r="P63" s="457" t="b">
        <v>1</v>
      </c>
      <c r="Q63" s="457" t="b">
        <v>1</v>
      </c>
      <c r="R63" s="457" t="b">
        <v>1</v>
      </c>
      <c r="S63" s="457" t="b">
        <v>1</v>
      </c>
      <c r="T63" s="457" t="b">
        <v>1</v>
      </c>
      <c r="U63" s="457" t="b">
        <v>1</v>
      </c>
      <c r="V63" s="458" t="b">
        <v>1</v>
      </c>
      <c r="W63" s="35"/>
      <c r="X63" s="180" t="s">
        <v>266</v>
      </c>
      <c r="Y63" s="361">
        <v>5.8465338475716154E-4</v>
      </c>
      <c r="Z63" s="36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19"/>
      <c r="C64" s="454" t="s">
        <v>248</v>
      </c>
      <c r="D64" s="449" t="b">
        <v>1</v>
      </c>
      <c r="E64" s="450" t="b">
        <v>1</v>
      </c>
      <c r="F64" s="449" t="b">
        <v>1</v>
      </c>
      <c r="G64" s="457" t="b">
        <v>1</v>
      </c>
      <c r="H64" s="457" t="b">
        <v>1</v>
      </c>
      <c r="I64" s="457" t="b">
        <v>1</v>
      </c>
      <c r="J64" s="457" t="b">
        <v>1</v>
      </c>
      <c r="K64" s="457" t="b">
        <v>1</v>
      </c>
      <c r="L64" s="457" t="b">
        <v>1</v>
      </c>
      <c r="M64" s="457" t="b">
        <v>1</v>
      </c>
      <c r="N64" s="457" t="b">
        <v>1</v>
      </c>
      <c r="O64" s="457" t="b">
        <v>1</v>
      </c>
      <c r="P64" s="457" t="b">
        <v>1</v>
      </c>
      <c r="Q64" s="457" t="b">
        <v>1</v>
      </c>
      <c r="R64" s="457" t="b">
        <v>1</v>
      </c>
      <c r="S64" s="457" t="b">
        <v>1</v>
      </c>
      <c r="T64" s="457" t="b">
        <v>1</v>
      </c>
      <c r="U64" s="457" t="b">
        <v>1</v>
      </c>
      <c r="V64" s="458" t="b">
        <v>1</v>
      </c>
      <c r="W64" s="35"/>
      <c r="X64" s="180" t="s">
        <v>265</v>
      </c>
      <c r="Y64" s="361">
        <v>8.3039048317398809E-4</v>
      </c>
      <c r="Z64" s="361">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19"/>
      <c r="C65" s="454" t="s">
        <v>249</v>
      </c>
      <c r="D65" s="449" t="b">
        <v>1</v>
      </c>
      <c r="E65" s="450" t="b">
        <v>1</v>
      </c>
      <c r="F65" s="449" t="b">
        <v>1</v>
      </c>
      <c r="G65" s="457" t="b">
        <v>1</v>
      </c>
      <c r="H65" s="457" t="b">
        <v>1</v>
      </c>
      <c r="I65" s="457" t="b">
        <v>1</v>
      </c>
      <c r="J65" s="457" t="b">
        <v>1</v>
      </c>
      <c r="K65" s="457" t="b">
        <v>1</v>
      </c>
      <c r="L65" s="457" t="b">
        <v>1</v>
      </c>
      <c r="M65" s="457" t="b">
        <v>1</v>
      </c>
      <c r="N65" s="457" t="b">
        <v>1</v>
      </c>
      <c r="O65" s="457" t="b">
        <v>1</v>
      </c>
      <c r="P65" s="457" t="b">
        <v>1</v>
      </c>
      <c r="Q65" s="457" t="b">
        <v>1</v>
      </c>
      <c r="R65" s="457" t="b">
        <v>1</v>
      </c>
      <c r="S65" s="457" t="b">
        <v>1</v>
      </c>
      <c r="T65" s="457" t="b">
        <v>1</v>
      </c>
      <c r="U65" s="457" t="b">
        <v>1</v>
      </c>
      <c r="V65" s="458" t="b">
        <v>1</v>
      </c>
      <c r="W65" s="35"/>
      <c r="X65" s="180" t="s">
        <v>267</v>
      </c>
      <c r="Y65" s="361">
        <v>7.5840059121394163E-4</v>
      </c>
      <c r="Z65" s="361">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19"/>
      <c r="C66" s="454" t="s">
        <v>250</v>
      </c>
      <c r="D66" s="449" t="b">
        <v>1</v>
      </c>
      <c r="E66" s="450" t="b">
        <v>1</v>
      </c>
      <c r="F66" s="449" t="b">
        <v>1</v>
      </c>
      <c r="G66" s="457" t="b">
        <v>1</v>
      </c>
      <c r="H66" s="457" t="b">
        <v>1</v>
      </c>
      <c r="I66" s="457" t="b">
        <v>1</v>
      </c>
      <c r="J66" s="457" t="b">
        <v>1</v>
      </c>
      <c r="K66" s="457" t="b">
        <v>1</v>
      </c>
      <c r="L66" s="457" t="b">
        <v>1</v>
      </c>
      <c r="M66" s="457" t="b">
        <v>1</v>
      </c>
      <c r="N66" s="457" t="b">
        <v>1</v>
      </c>
      <c r="O66" s="457" t="b">
        <v>1</v>
      </c>
      <c r="P66" s="457" t="b">
        <v>1</v>
      </c>
      <c r="Q66" s="457" t="b">
        <v>1</v>
      </c>
      <c r="R66" s="457" t="b">
        <v>1</v>
      </c>
      <c r="S66" s="457" t="b">
        <v>1</v>
      </c>
      <c r="T66" s="457" t="b">
        <v>1</v>
      </c>
      <c r="U66" s="457" t="b">
        <v>1</v>
      </c>
      <c r="V66" s="458"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19"/>
      <c r="C67" s="454" t="s">
        <v>251</v>
      </c>
      <c r="D67" s="449" t="b">
        <v>1</v>
      </c>
      <c r="E67" s="450" t="b">
        <v>1</v>
      </c>
      <c r="F67" s="449" t="b">
        <v>1</v>
      </c>
      <c r="G67" s="457" t="b">
        <v>1</v>
      </c>
      <c r="H67" s="457" t="b">
        <v>1</v>
      </c>
      <c r="I67" s="457" t="b">
        <v>1</v>
      </c>
      <c r="J67" s="457" t="b">
        <v>1</v>
      </c>
      <c r="K67" s="457" t="b">
        <v>1</v>
      </c>
      <c r="L67" s="457" t="b">
        <v>1</v>
      </c>
      <c r="M67" s="457" t="b">
        <v>1</v>
      </c>
      <c r="N67" s="457" t="b">
        <v>1</v>
      </c>
      <c r="O67" s="457" t="b">
        <v>1</v>
      </c>
      <c r="P67" s="457" t="b">
        <v>1</v>
      </c>
      <c r="Q67" s="457" t="b">
        <v>1</v>
      </c>
      <c r="R67" s="457" t="b">
        <v>1</v>
      </c>
      <c r="S67" s="457" t="b">
        <v>1</v>
      </c>
      <c r="T67" s="457" t="b">
        <v>1</v>
      </c>
      <c r="U67" s="457" t="b">
        <v>1</v>
      </c>
      <c r="V67" s="458"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4"/>
      <c r="C68" s="454" t="s">
        <v>252</v>
      </c>
      <c r="D68" s="449" t="b">
        <v>1</v>
      </c>
      <c r="E68" s="450" t="b">
        <v>1</v>
      </c>
      <c r="F68" s="449" t="b">
        <v>1</v>
      </c>
      <c r="G68" s="457" t="b">
        <v>1</v>
      </c>
      <c r="H68" s="457" t="b">
        <v>1</v>
      </c>
      <c r="I68" s="457" t="b">
        <v>1</v>
      </c>
      <c r="J68" s="457" t="b">
        <v>1</v>
      </c>
      <c r="K68" s="457" t="b">
        <v>1</v>
      </c>
      <c r="L68" s="457" t="b">
        <v>1</v>
      </c>
      <c r="M68" s="457" t="b">
        <v>1</v>
      </c>
      <c r="N68" s="457" t="b">
        <v>1</v>
      </c>
      <c r="O68" s="457" t="b">
        <v>1</v>
      </c>
      <c r="P68" s="457" t="b">
        <v>1</v>
      </c>
      <c r="Q68" s="457" t="b">
        <v>1</v>
      </c>
      <c r="R68" s="457" t="b">
        <v>1</v>
      </c>
      <c r="S68" s="457" t="b">
        <v>1</v>
      </c>
      <c r="T68" s="457" t="b">
        <v>1</v>
      </c>
      <c r="U68" s="457" t="b">
        <v>1</v>
      </c>
      <c r="V68" s="458"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7"/>
      <c r="C69" s="448" t="s">
        <v>253</v>
      </c>
      <c r="D69" s="449" t="b">
        <v>0</v>
      </c>
      <c r="E69" s="450" t="b">
        <v>0</v>
      </c>
      <c r="F69" s="449" t="b">
        <v>0</v>
      </c>
      <c r="G69" s="457" t="b">
        <v>1</v>
      </c>
      <c r="H69" s="457" t="b">
        <v>1</v>
      </c>
      <c r="I69" s="457" t="b">
        <v>1</v>
      </c>
      <c r="J69" s="457" t="b">
        <v>1</v>
      </c>
      <c r="K69" s="457" t="b">
        <v>1</v>
      </c>
      <c r="L69" s="457" t="b">
        <v>1</v>
      </c>
      <c r="M69" s="457" t="b">
        <v>1</v>
      </c>
      <c r="N69" s="457" t="b">
        <v>1</v>
      </c>
      <c r="O69" s="457" t="b">
        <v>1</v>
      </c>
      <c r="P69" s="457" t="b">
        <v>1</v>
      </c>
      <c r="Q69" s="457" t="b">
        <v>1</v>
      </c>
      <c r="R69" s="457" t="b">
        <v>1</v>
      </c>
      <c r="S69" s="457" t="b">
        <v>1</v>
      </c>
      <c r="T69" s="457" t="b">
        <v>1</v>
      </c>
      <c r="U69" s="457" t="b">
        <v>1</v>
      </c>
      <c r="V69" s="458"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7"/>
      <c r="C70" s="454" t="s">
        <v>254</v>
      </c>
      <c r="D70" s="459" t="b">
        <v>1</v>
      </c>
      <c r="E70" s="457" t="b">
        <v>1</v>
      </c>
      <c r="F70" s="460" t="b">
        <v>1</v>
      </c>
      <c r="G70" s="457" t="b">
        <v>1</v>
      </c>
      <c r="H70" s="457" t="b">
        <v>1</v>
      </c>
      <c r="I70" s="457" t="b">
        <v>1</v>
      </c>
      <c r="J70" s="457" t="b">
        <v>1</v>
      </c>
      <c r="K70" s="457" t="b">
        <v>1</v>
      </c>
      <c r="L70" s="457" t="b">
        <v>1</v>
      </c>
      <c r="M70" s="457" t="b">
        <v>1</v>
      </c>
      <c r="N70" s="457" t="b">
        <v>1</v>
      </c>
      <c r="O70" s="457" t="b">
        <v>1</v>
      </c>
      <c r="P70" s="457" t="b">
        <v>1</v>
      </c>
      <c r="Q70" s="457" t="b">
        <v>1</v>
      </c>
      <c r="R70" s="457" t="b">
        <v>1</v>
      </c>
      <c r="S70" s="457" t="b">
        <v>1</v>
      </c>
      <c r="T70" s="457" t="b">
        <v>1</v>
      </c>
      <c r="U70" s="457" t="b">
        <v>1</v>
      </c>
      <c r="V70" s="458"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7"/>
      <c r="C71" s="454" t="s">
        <v>255</v>
      </c>
      <c r="D71" s="457" t="b">
        <v>1</v>
      </c>
      <c r="E71" s="457" t="b">
        <v>1</v>
      </c>
      <c r="F71" s="457" t="b">
        <v>1</v>
      </c>
      <c r="G71" s="457" t="b">
        <v>1</v>
      </c>
      <c r="H71" s="457" t="b">
        <v>1</v>
      </c>
      <c r="I71" s="457" t="b">
        <v>1</v>
      </c>
      <c r="J71" s="457" t="b">
        <v>1</v>
      </c>
      <c r="K71" s="457" t="b">
        <v>1</v>
      </c>
      <c r="L71" s="457" t="b">
        <v>1</v>
      </c>
      <c r="M71" s="457" t="b">
        <v>1</v>
      </c>
      <c r="N71" s="457" t="b">
        <v>1</v>
      </c>
      <c r="O71" s="457" t="b">
        <v>1</v>
      </c>
      <c r="P71" s="457" t="b">
        <v>1</v>
      </c>
      <c r="Q71" s="457" t="b">
        <v>1</v>
      </c>
      <c r="R71" s="457" t="b">
        <v>1</v>
      </c>
      <c r="S71" s="457" t="b">
        <v>1</v>
      </c>
      <c r="T71" s="457" t="b">
        <v>1</v>
      </c>
      <c r="U71" s="457" t="b">
        <v>1</v>
      </c>
      <c r="V71" s="458"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7"/>
      <c r="C72" s="454" t="s">
        <v>256</v>
      </c>
      <c r="D72" s="457" t="b">
        <v>1</v>
      </c>
      <c r="E72" s="457" t="b">
        <v>1</v>
      </c>
      <c r="F72" s="457" t="b">
        <v>1</v>
      </c>
      <c r="G72" s="457" t="b">
        <v>1</v>
      </c>
      <c r="H72" s="457" t="b">
        <v>1</v>
      </c>
      <c r="I72" s="457" t="b">
        <v>1</v>
      </c>
      <c r="J72" s="457" t="b">
        <v>1</v>
      </c>
      <c r="K72" s="457" t="b">
        <v>1</v>
      </c>
      <c r="L72" s="457" t="b">
        <v>1</v>
      </c>
      <c r="M72" s="457" t="b">
        <v>1</v>
      </c>
      <c r="N72" s="457" t="b">
        <v>1</v>
      </c>
      <c r="O72" s="457" t="b">
        <v>1</v>
      </c>
      <c r="P72" s="457" t="b">
        <v>1</v>
      </c>
      <c r="Q72" s="457" t="b">
        <v>1</v>
      </c>
      <c r="R72" s="457" t="b">
        <v>1</v>
      </c>
      <c r="S72" s="457" t="b">
        <v>1</v>
      </c>
      <c r="T72" s="457" t="b">
        <v>1</v>
      </c>
      <c r="U72" s="457" t="b">
        <v>1</v>
      </c>
      <c r="V72" s="458"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7"/>
      <c r="C73" s="448" t="s">
        <v>257</v>
      </c>
      <c r="D73" s="457" t="b">
        <v>0</v>
      </c>
      <c r="E73" s="457" t="b">
        <v>0</v>
      </c>
      <c r="F73" s="457" t="b">
        <v>0</v>
      </c>
      <c r="G73" s="457" t="b">
        <v>1</v>
      </c>
      <c r="H73" s="457" t="b">
        <v>1</v>
      </c>
      <c r="I73" s="457" t="b">
        <v>1</v>
      </c>
      <c r="J73" s="457" t="b">
        <v>1</v>
      </c>
      <c r="K73" s="457" t="b">
        <v>1</v>
      </c>
      <c r="L73" s="457" t="b">
        <v>1</v>
      </c>
      <c r="M73" s="457" t="b">
        <v>1</v>
      </c>
      <c r="N73" s="457" t="b">
        <v>1</v>
      </c>
      <c r="O73" s="457" t="b">
        <v>1</v>
      </c>
      <c r="P73" s="457" t="b">
        <v>1</v>
      </c>
      <c r="Q73" s="457" t="b">
        <v>1</v>
      </c>
      <c r="R73" s="457" t="b">
        <v>1</v>
      </c>
      <c r="S73" s="457" t="b">
        <v>1</v>
      </c>
      <c r="T73" s="457" t="b">
        <v>1</v>
      </c>
      <c r="U73" s="457" t="b">
        <v>1</v>
      </c>
      <c r="V73" s="458"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7"/>
      <c r="C74" s="448" t="s">
        <v>258</v>
      </c>
      <c r="D74" s="457" t="b">
        <v>0</v>
      </c>
      <c r="E74" s="457" t="b">
        <v>0</v>
      </c>
      <c r="F74" s="457" t="b">
        <v>0</v>
      </c>
      <c r="G74" s="457" t="b">
        <v>1</v>
      </c>
      <c r="H74" s="457" t="b">
        <v>1</v>
      </c>
      <c r="I74" s="457" t="b">
        <v>1</v>
      </c>
      <c r="J74" s="457" t="b">
        <v>1</v>
      </c>
      <c r="K74" s="457" t="b">
        <v>1</v>
      </c>
      <c r="L74" s="457" t="b">
        <v>1</v>
      </c>
      <c r="M74" s="457" t="b">
        <v>1</v>
      </c>
      <c r="N74" s="457" t="b">
        <v>1</v>
      </c>
      <c r="O74" s="457" t="b">
        <v>1</v>
      </c>
      <c r="P74" s="457" t="b">
        <v>1</v>
      </c>
      <c r="Q74" s="457" t="b">
        <v>1</v>
      </c>
      <c r="R74" s="457" t="b">
        <v>1</v>
      </c>
      <c r="S74" s="457" t="b">
        <v>1</v>
      </c>
      <c r="T74" s="457" t="b">
        <v>1</v>
      </c>
      <c r="U74" s="457" t="b">
        <v>1</v>
      </c>
      <c r="V74" s="458"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7"/>
      <c r="C75" s="448" t="s">
        <v>259</v>
      </c>
      <c r="D75" s="457" t="b">
        <v>0</v>
      </c>
      <c r="E75" s="457" t="b">
        <v>0</v>
      </c>
      <c r="F75" s="457" t="b">
        <v>0</v>
      </c>
      <c r="G75" s="457" t="b">
        <v>1</v>
      </c>
      <c r="H75" s="457" t="b">
        <v>1</v>
      </c>
      <c r="I75" s="457" t="b">
        <v>1</v>
      </c>
      <c r="J75" s="457" t="b">
        <v>1</v>
      </c>
      <c r="K75" s="457" t="b">
        <v>1</v>
      </c>
      <c r="L75" s="457" t="b">
        <v>1</v>
      </c>
      <c r="M75" s="457" t="b">
        <v>1</v>
      </c>
      <c r="N75" s="457" t="b">
        <v>1</v>
      </c>
      <c r="O75" s="457" t="b">
        <v>1</v>
      </c>
      <c r="P75" s="457" t="b">
        <v>1</v>
      </c>
      <c r="Q75" s="457" t="b">
        <v>1</v>
      </c>
      <c r="R75" s="457" t="b">
        <v>1</v>
      </c>
      <c r="S75" s="457" t="b">
        <v>1</v>
      </c>
      <c r="T75" s="457" t="b">
        <v>1</v>
      </c>
      <c r="U75" s="457" t="b">
        <v>1</v>
      </c>
      <c r="V75" s="458"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7"/>
      <c r="C76" s="454" t="s">
        <v>260</v>
      </c>
      <c r="D76" s="457" t="b">
        <v>1</v>
      </c>
      <c r="E76" s="457" t="b">
        <v>1</v>
      </c>
      <c r="F76" s="457" t="b">
        <v>1</v>
      </c>
      <c r="G76" s="457" t="b">
        <v>1</v>
      </c>
      <c r="H76" s="457" t="b">
        <v>1</v>
      </c>
      <c r="I76" s="457" t="b">
        <v>1</v>
      </c>
      <c r="J76" s="457" t="b">
        <v>1</v>
      </c>
      <c r="K76" s="457" t="b">
        <v>1</v>
      </c>
      <c r="L76" s="457" t="b">
        <v>1</v>
      </c>
      <c r="M76" s="457" t="b">
        <v>1</v>
      </c>
      <c r="N76" s="457" t="b">
        <v>1</v>
      </c>
      <c r="O76" s="457" t="b">
        <v>1</v>
      </c>
      <c r="P76" s="457" t="b">
        <v>1</v>
      </c>
      <c r="Q76" s="457" t="b">
        <v>1</v>
      </c>
      <c r="R76" s="457" t="b">
        <v>1</v>
      </c>
      <c r="S76" s="457" t="b">
        <v>1</v>
      </c>
      <c r="T76" s="457" t="b">
        <v>1</v>
      </c>
      <c r="U76" s="457" t="b">
        <v>1</v>
      </c>
      <c r="V76" s="458"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454" t="s">
        <v>261</v>
      </c>
      <c r="D77" s="457" t="b">
        <v>1</v>
      </c>
      <c r="E77" s="457" t="b">
        <v>1</v>
      </c>
      <c r="F77" s="457" t="b">
        <v>1</v>
      </c>
      <c r="G77" s="457" t="b">
        <v>1</v>
      </c>
      <c r="H77" s="457" t="b">
        <v>1</v>
      </c>
      <c r="I77" s="457" t="b">
        <v>1</v>
      </c>
      <c r="J77" s="457" t="b">
        <v>1</v>
      </c>
      <c r="K77" s="457" t="b">
        <v>1</v>
      </c>
      <c r="L77" s="457" t="b">
        <v>1</v>
      </c>
      <c r="M77" s="457" t="b">
        <v>1</v>
      </c>
      <c r="N77" s="457" t="b">
        <v>1</v>
      </c>
      <c r="O77" s="457" t="b">
        <v>1</v>
      </c>
      <c r="P77" s="457" t="b">
        <v>1</v>
      </c>
      <c r="Q77" s="457" t="b">
        <v>1</v>
      </c>
      <c r="R77" s="457" t="b">
        <v>1</v>
      </c>
      <c r="S77" s="457" t="b">
        <v>1</v>
      </c>
      <c r="T77" s="457" t="b">
        <v>1</v>
      </c>
      <c r="U77" s="457" t="b">
        <v>1</v>
      </c>
      <c r="V77" s="458"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448" t="s">
        <v>262</v>
      </c>
      <c r="D78" s="457" t="b">
        <v>0</v>
      </c>
      <c r="E78" s="457" t="b">
        <v>0</v>
      </c>
      <c r="F78" s="457" t="b">
        <v>0</v>
      </c>
      <c r="G78" s="457" t="b">
        <v>1</v>
      </c>
      <c r="H78" s="457" t="b">
        <v>1</v>
      </c>
      <c r="I78" s="457" t="b">
        <v>1</v>
      </c>
      <c r="J78" s="457" t="b">
        <v>1</v>
      </c>
      <c r="K78" s="457" t="b">
        <v>1</v>
      </c>
      <c r="L78" s="457" t="b">
        <v>1</v>
      </c>
      <c r="M78" s="457" t="b">
        <v>1</v>
      </c>
      <c r="N78" s="457" t="b">
        <v>1</v>
      </c>
      <c r="O78" s="457" t="b">
        <v>1</v>
      </c>
      <c r="P78" s="457" t="b">
        <v>1</v>
      </c>
      <c r="Q78" s="457" t="b">
        <v>1</v>
      </c>
      <c r="R78" s="457" t="b">
        <v>1</v>
      </c>
      <c r="S78" s="457" t="b">
        <v>1</v>
      </c>
      <c r="T78" s="457" t="b">
        <v>1</v>
      </c>
      <c r="U78" s="457" t="b">
        <v>1</v>
      </c>
      <c r="V78" s="458"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454" t="s">
        <v>263</v>
      </c>
      <c r="D79" s="457" t="b">
        <v>1</v>
      </c>
      <c r="E79" s="457" t="b">
        <v>1</v>
      </c>
      <c r="F79" s="457" t="b">
        <v>1</v>
      </c>
      <c r="G79" s="457" t="b">
        <v>1</v>
      </c>
      <c r="H79" s="457" t="b">
        <v>1</v>
      </c>
      <c r="I79" s="457" t="b">
        <v>1</v>
      </c>
      <c r="J79" s="457" t="b">
        <v>1</v>
      </c>
      <c r="K79" s="457" t="b">
        <v>1</v>
      </c>
      <c r="L79" s="457" t="b">
        <v>1</v>
      </c>
      <c r="M79" s="457" t="b">
        <v>1</v>
      </c>
      <c r="N79" s="457" t="b">
        <v>1</v>
      </c>
      <c r="O79" s="457" t="b">
        <v>1</v>
      </c>
      <c r="P79" s="457" t="b">
        <v>1</v>
      </c>
      <c r="Q79" s="457" t="b">
        <v>1</v>
      </c>
      <c r="R79" s="457" t="b">
        <v>1</v>
      </c>
      <c r="S79" s="457" t="b">
        <v>1</v>
      </c>
      <c r="T79" s="457" t="b">
        <v>1</v>
      </c>
      <c r="U79" s="457" t="b">
        <v>1</v>
      </c>
      <c r="V79" s="458"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448" t="s">
        <v>264</v>
      </c>
      <c r="D80" s="457" t="b">
        <v>0</v>
      </c>
      <c r="E80" s="457" t="b">
        <v>0</v>
      </c>
      <c r="F80" s="457" t="b">
        <v>0</v>
      </c>
      <c r="G80" s="457" t="b">
        <v>1</v>
      </c>
      <c r="H80" s="457" t="b">
        <v>1</v>
      </c>
      <c r="I80" s="457" t="b">
        <v>1</v>
      </c>
      <c r="J80" s="457" t="b">
        <v>1</v>
      </c>
      <c r="K80" s="457" t="b">
        <v>1</v>
      </c>
      <c r="L80" s="457" t="b">
        <v>1</v>
      </c>
      <c r="M80" s="457" t="b">
        <v>1</v>
      </c>
      <c r="N80" s="457" t="b">
        <v>1</v>
      </c>
      <c r="O80" s="457" t="b">
        <v>1</v>
      </c>
      <c r="P80" s="457" t="b">
        <v>1</v>
      </c>
      <c r="Q80" s="457" t="b">
        <v>1</v>
      </c>
      <c r="R80" s="457" t="b">
        <v>1</v>
      </c>
      <c r="S80" s="457" t="b">
        <v>1</v>
      </c>
      <c r="T80" s="457" t="b">
        <v>1</v>
      </c>
      <c r="U80" s="457" t="b">
        <v>1</v>
      </c>
      <c r="V80" s="458"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448" t="s">
        <v>265</v>
      </c>
      <c r="D81" s="457" t="b">
        <v>0</v>
      </c>
      <c r="E81" s="457" t="b">
        <v>0</v>
      </c>
      <c r="F81" s="457" t="b">
        <v>0</v>
      </c>
      <c r="G81" s="457" t="b">
        <v>1</v>
      </c>
      <c r="H81" s="457" t="b">
        <v>1</v>
      </c>
      <c r="I81" s="457" t="b">
        <v>1</v>
      </c>
      <c r="J81" s="457" t="b">
        <v>1</v>
      </c>
      <c r="K81" s="457" t="b">
        <v>1</v>
      </c>
      <c r="L81" s="457" t="b">
        <v>1</v>
      </c>
      <c r="M81" s="457" t="b">
        <v>1</v>
      </c>
      <c r="N81" s="457" t="b">
        <v>1</v>
      </c>
      <c r="O81" s="457" t="b">
        <v>1</v>
      </c>
      <c r="P81" s="457" t="b">
        <v>1</v>
      </c>
      <c r="Q81" s="457" t="b">
        <v>1</v>
      </c>
      <c r="R81" s="457" t="b">
        <v>1</v>
      </c>
      <c r="S81" s="457" t="b">
        <v>1</v>
      </c>
      <c r="T81" s="457" t="b">
        <v>1</v>
      </c>
      <c r="U81" s="457" t="b">
        <v>1</v>
      </c>
      <c r="V81" s="458"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448" t="s">
        <v>266</v>
      </c>
      <c r="D82" s="457" t="b">
        <v>0</v>
      </c>
      <c r="E82" s="457" t="b">
        <v>0</v>
      </c>
      <c r="F82" s="457" t="b">
        <v>0</v>
      </c>
      <c r="G82" s="457" t="b">
        <v>1</v>
      </c>
      <c r="H82" s="457" t="b">
        <v>1</v>
      </c>
      <c r="I82" s="457" t="b">
        <v>1</v>
      </c>
      <c r="J82" s="457" t="b">
        <v>1</v>
      </c>
      <c r="K82" s="457" t="b">
        <v>1</v>
      </c>
      <c r="L82" s="457" t="b">
        <v>1</v>
      </c>
      <c r="M82" s="457" t="b">
        <v>1</v>
      </c>
      <c r="N82" s="457" t="b">
        <v>1</v>
      </c>
      <c r="O82" s="457" t="b">
        <v>1</v>
      </c>
      <c r="P82" s="457" t="b">
        <v>1</v>
      </c>
      <c r="Q82" s="457" t="b">
        <v>1</v>
      </c>
      <c r="R82" s="457" t="b">
        <v>1</v>
      </c>
      <c r="S82" s="457" t="b">
        <v>1</v>
      </c>
      <c r="T82" s="457" t="b">
        <v>1</v>
      </c>
      <c r="U82" s="457" t="b">
        <v>1</v>
      </c>
      <c r="V82" s="458"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35"/>
      <c r="C83" s="461" t="s">
        <v>267</v>
      </c>
      <c r="D83" s="462" t="b">
        <v>0</v>
      </c>
      <c r="E83" s="462" t="b">
        <v>0</v>
      </c>
      <c r="F83" s="462" t="b">
        <v>0</v>
      </c>
      <c r="G83" s="462" t="b">
        <v>1</v>
      </c>
      <c r="H83" s="462" t="b">
        <v>1</v>
      </c>
      <c r="I83" s="462" t="b">
        <v>1</v>
      </c>
      <c r="J83" s="462" t="b">
        <v>1</v>
      </c>
      <c r="K83" s="462" t="b">
        <v>1</v>
      </c>
      <c r="L83" s="462" t="b">
        <v>1</v>
      </c>
      <c r="M83" s="462" t="b">
        <v>1</v>
      </c>
      <c r="N83" s="462" t="b">
        <v>1</v>
      </c>
      <c r="O83" s="462" t="b">
        <v>1</v>
      </c>
      <c r="P83" s="462" t="b">
        <v>1</v>
      </c>
      <c r="Q83" s="462" t="b">
        <v>1</v>
      </c>
      <c r="R83" s="462" t="b">
        <v>1</v>
      </c>
      <c r="S83" s="462" t="b">
        <v>1</v>
      </c>
      <c r="T83" s="462" t="b">
        <v>1</v>
      </c>
      <c r="U83" s="462" t="b">
        <v>1</v>
      </c>
      <c r="V83" s="46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3]!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3" r:id="rId4" name="Button 5">
              <controlPr defaultSize="0" print="0" autoFill="0" autoPict="0" macro="[3]!EnterLeasingAvail.ClearLeaseAvail">
                <anchor moveWithCells="1" sizeWithCells="1">
                  <from>
                    <xdr:col>7</xdr:col>
                    <xdr:colOff>295275</xdr:colOff>
                    <xdr:row>31</xdr:row>
                    <xdr:rowOff>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1"/>
      <c r="B2" s="33"/>
      <c r="C2" s="33"/>
      <c r="D2" s="384" t="s">
        <v>122</v>
      </c>
      <c r="E2" s="131"/>
      <c r="F2" s="131"/>
      <c r="G2" s="131"/>
      <c r="H2" s="131"/>
      <c r="I2" s="33"/>
      <c r="J2" s="33"/>
      <c r="K2" s="30"/>
      <c r="L2" s="33"/>
      <c r="M2" s="384" t="s">
        <v>170</v>
      </c>
      <c r="N2" s="131"/>
      <c r="O2" s="131"/>
      <c r="P2" s="131"/>
      <c r="Q2" s="131"/>
      <c r="R2" s="33"/>
      <c r="S2" s="33"/>
      <c r="T2" s="33"/>
      <c r="U2" s="33"/>
      <c r="V2" s="131"/>
      <c r="W2" s="131"/>
      <c r="X2" s="131"/>
      <c r="Y2" s="131"/>
      <c r="Z2" s="131"/>
      <c r="AA2" s="390"/>
      <c r="AB2" s="390"/>
      <c r="AC2" s="390"/>
      <c r="AD2" s="390"/>
      <c r="AE2" s="390"/>
      <c r="AF2" s="158"/>
      <c r="AG2" s="158"/>
      <c r="AH2" s="387"/>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1"/>
      <c r="B3" s="33"/>
      <c r="C3" s="33"/>
      <c r="D3" s="33"/>
      <c r="E3" s="131"/>
      <c r="F3" s="33"/>
      <c r="G3" s="131"/>
      <c r="H3" s="131"/>
      <c r="I3" s="30"/>
      <c r="J3" s="33"/>
      <c r="K3" s="131"/>
      <c r="L3" s="33"/>
      <c r="M3" s="128" t="s">
        <v>171</v>
      </c>
      <c r="N3" s="128"/>
      <c r="O3" s="128"/>
      <c r="P3" s="253" t="b">
        <v>0</v>
      </c>
      <c r="Q3" s="392" t="s">
        <v>294</v>
      </c>
      <c r="R3" s="33"/>
      <c r="S3" s="33"/>
      <c r="T3" s="33"/>
      <c r="U3" s="33"/>
      <c r="V3" s="131"/>
      <c r="W3" s="131"/>
      <c r="X3" s="131"/>
      <c r="Y3" s="131"/>
      <c r="Z3" s="131"/>
      <c r="AA3" s="390"/>
      <c r="AB3" s="390"/>
      <c r="AC3" s="390"/>
      <c r="AD3" s="390"/>
      <c r="AE3" s="390"/>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1"/>
      <c r="B4" s="33"/>
      <c r="C4" s="189" t="s">
        <v>304</v>
      </c>
      <c r="D4" s="33"/>
      <c r="E4" s="131"/>
      <c r="F4" s="33"/>
      <c r="G4" s="131"/>
      <c r="H4" s="131"/>
      <c r="I4" s="30"/>
      <c r="J4" s="33"/>
      <c r="K4" s="131"/>
      <c r="L4" s="33"/>
      <c r="M4" s="245" t="s">
        <v>290</v>
      </c>
      <c r="N4" s="128"/>
      <c r="O4" s="128"/>
      <c r="P4" s="246">
        <v>2014</v>
      </c>
      <c r="Q4" s="383" t="s">
        <v>172</v>
      </c>
      <c r="R4" s="33"/>
      <c r="S4" s="33"/>
      <c r="T4" s="33"/>
      <c r="U4" s="33"/>
      <c r="V4" s="131"/>
      <c r="W4" s="131"/>
      <c r="X4" s="131"/>
      <c r="Y4" s="131"/>
      <c r="Z4" s="131"/>
      <c r="AA4" s="390"/>
      <c r="AB4" s="390"/>
      <c r="AC4" s="390"/>
      <c r="AD4" s="390"/>
      <c r="AE4" s="390"/>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1"/>
      <c r="B5" s="33"/>
      <c r="C5" s="189" t="s">
        <v>305</v>
      </c>
      <c r="D5" s="33"/>
      <c r="E5" s="131"/>
      <c r="F5" s="33"/>
      <c r="G5" s="131"/>
      <c r="H5" s="131"/>
      <c r="I5" s="30"/>
      <c r="J5" s="33"/>
      <c r="K5" s="131"/>
      <c r="L5" s="33"/>
      <c r="M5" s="128" t="s">
        <v>289</v>
      </c>
      <c r="N5" s="128"/>
      <c r="O5" s="386"/>
      <c r="P5" s="253" t="b">
        <v>0</v>
      </c>
      <c r="Q5" s="391" t="s">
        <v>293</v>
      </c>
      <c r="R5" s="134"/>
      <c r="S5" s="33"/>
      <c r="T5" s="33"/>
      <c r="U5" s="33"/>
      <c r="V5" s="131"/>
      <c r="W5" s="131"/>
      <c r="X5" s="131"/>
      <c r="Y5" s="131"/>
      <c r="Z5" s="131"/>
      <c r="AA5" s="390"/>
      <c r="AB5" s="390"/>
      <c r="AC5" s="390"/>
      <c r="AD5" s="390"/>
      <c r="AE5" s="390"/>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1"/>
      <c r="B6" s="33"/>
      <c r="C6" s="189" t="s">
        <v>306</v>
      </c>
      <c r="D6" s="33"/>
      <c r="E6" s="131"/>
      <c r="F6" s="33"/>
      <c r="G6" s="131"/>
      <c r="H6" s="131"/>
      <c r="I6" s="131"/>
      <c r="J6" s="131"/>
      <c r="K6" s="33"/>
      <c r="L6" s="33"/>
      <c r="M6" s="245" t="s">
        <v>291</v>
      </c>
      <c r="N6" s="134"/>
      <c r="O6" s="134"/>
      <c r="P6" s="389" t="s">
        <v>281</v>
      </c>
      <c r="Q6" s="388" t="s">
        <v>292</v>
      </c>
      <c r="R6" s="134"/>
      <c r="S6" s="131"/>
      <c r="T6" s="131"/>
      <c r="U6" s="131"/>
      <c r="V6" s="131"/>
      <c r="W6" s="131"/>
      <c r="X6" s="131"/>
      <c r="Y6" s="131"/>
      <c r="Z6" s="131"/>
      <c r="AA6" s="390"/>
      <c r="AB6" s="390"/>
      <c r="AC6" s="390"/>
      <c r="AD6" s="390"/>
      <c r="AE6" s="390"/>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1"/>
      <c r="B7" s="175"/>
      <c r="C7" s="132"/>
      <c r="D7" s="133"/>
      <c r="E7" s="190" t="s">
        <v>129</v>
      </c>
      <c r="F7" s="191" t="s">
        <v>288</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1"/>
      <c r="B8" s="158"/>
      <c r="C8" s="132"/>
      <c r="D8" s="133"/>
      <c r="E8" s="247" t="s">
        <v>130</v>
      </c>
      <c r="F8" s="250"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1"/>
      <c r="B9" s="158"/>
      <c r="C9" s="132"/>
      <c r="D9" s="133"/>
      <c r="E9" s="248" t="s">
        <v>131</v>
      </c>
      <c r="F9" s="251"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1"/>
      <c r="B10" s="158"/>
      <c r="C10" s="132"/>
      <c r="D10" s="133"/>
      <c r="E10" s="248" t="s">
        <v>151</v>
      </c>
      <c r="F10" s="251"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1"/>
      <c r="B11" s="158"/>
      <c r="C11" s="132"/>
      <c r="D11" s="133"/>
      <c r="E11" s="249" t="s">
        <v>152</v>
      </c>
      <c r="F11" s="252"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45" customHeight="1" thickBot="1" x14ac:dyDescent="0.45">
      <c r="A13" s="155"/>
      <c r="B13" s="31" t="s">
        <v>287</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x14ac:dyDescent="0.35">
      <c r="A14" s="131"/>
      <c r="B14" s="368"/>
      <c r="C14" s="369" t="s">
        <v>123</v>
      </c>
      <c r="D14" s="370"/>
      <c r="E14" s="370"/>
      <c r="F14" s="370"/>
      <c r="G14" s="370"/>
      <c r="H14" s="370"/>
      <c r="I14" s="370"/>
      <c r="J14" s="370"/>
      <c r="K14" s="370"/>
      <c r="L14" s="369" t="s">
        <v>128</v>
      </c>
      <c r="M14" s="370"/>
      <c r="N14" s="370"/>
      <c r="O14" s="370"/>
      <c r="P14" s="370"/>
      <c r="Q14" s="370"/>
      <c r="R14" s="370"/>
      <c r="S14" s="370"/>
      <c r="T14" s="370"/>
      <c r="U14" s="369" t="s">
        <v>124</v>
      </c>
      <c r="V14" s="370"/>
      <c r="W14" s="370"/>
      <c r="X14" s="370"/>
      <c r="Y14" s="370"/>
      <c r="Z14" s="370"/>
      <c r="AA14" s="370"/>
      <c r="AB14" s="370"/>
      <c r="AC14" s="370"/>
      <c r="AD14" s="369" t="s">
        <v>270</v>
      </c>
      <c r="AE14" s="370"/>
      <c r="AF14" s="371"/>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1"/>
      <c r="B15" s="372"/>
      <c r="C15" s="483" t="s">
        <v>125</v>
      </c>
      <c r="D15" s="482"/>
      <c r="E15" s="482"/>
      <c r="F15" s="482" t="s">
        <v>126</v>
      </c>
      <c r="G15" s="482"/>
      <c r="H15" s="482"/>
      <c r="I15" s="482" t="s">
        <v>127</v>
      </c>
      <c r="J15" s="484"/>
      <c r="K15" s="484"/>
      <c r="L15" s="483" t="s">
        <v>125</v>
      </c>
      <c r="M15" s="482"/>
      <c r="N15" s="482"/>
      <c r="O15" s="482" t="s">
        <v>126</v>
      </c>
      <c r="P15" s="482"/>
      <c r="Q15" s="482"/>
      <c r="R15" s="482" t="s">
        <v>127</v>
      </c>
      <c r="S15" s="484"/>
      <c r="T15" s="484"/>
      <c r="U15" s="483" t="s">
        <v>125</v>
      </c>
      <c r="V15" s="482"/>
      <c r="W15" s="482"/>
      <c r="X15" s="482" t="s">
        <v>126</v>
      </c>
      <c r="Y15" s="482"/>
      <c r="Z15" s="482"/>
      <c r="AA15" s="482" t="s">
        <v>127</v>
      </c>
      <c r="AB15" s="482"/>
      <c r="AC15" s="482"/>
      <c r="AD15" s="363" t="s">
        <v>125</v>
      </c>
      <c r="AE15" s="364" t="s">
        <v>126</v>
      </c>
      <c r="AF15" s="373"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1"/>
      <c r="B16" s="374" t="s">
        <v>115</v>
      </c>
      <c r="C16" s="318" t="s">
        <v>116</v>
      </c>
      <c r="D16" s="319" t="s">
        <v>117</v>
      </c>
      <c r="E16" s="319" t="s">
        <v>118</v>
      </c>
      <c r="F16" s="320" t="s">
        <v>116</v>
      </c>
      <c r="G16" s="319" t="s">
        <v>117</v>
      </c>
      <c r="H16" s="319" t="s">
        <v>118</v>
      </c>
      <c r="I16" s="320" t="s">
        <v>116</v>
      </c>
      <c r="J16" s="319" t="s">
        <v>117</v>
      </c>
      <c r="K16" s="319" t="s">
        <v>118</v>
      </c>
      <c r="L16" s="321" t="s">
        <v>119</v>
      </c>
      <c r="M16" s="319" t="s">
        <v>120</v>
      </c>
      <c r="N16" s="322" t="s">
        <v>118</v>
      </c>
      <c r="O16" s="323" t="s">
        <v>119</v>
      </c>
      <c r="P16" s="319" t="s">
        <v>120</v>
      </c>
      <c r="Q16" s="319" t="s">
        <v>118</v>
      </c>
      <c r="R16" s="320" t="s">
        <v>119</v>
      </c>
      <c r="S16" s="319" t="s">
        <v>120</v>
      </c>
      <c r="T16" s="322" t="s">
        <v>118</v>
      </c>
      <c r="U16" s="321" t="s">
        <v>121</v>
      </c>
      <c r="V16" s="319" t="s">
        <v>117</v>
      </c>
      <c r="W16" s="322" t="s">
        <v>118</v>
      </c>
      <c r="X16" s="323" t="s">
        <v>121</v>
      </c>
      <c r="Y16" s="319" t="s">
        <v>117</v>
      </c>
      <c r="Z16" s="319" t="s">
        <v>118</v>
      </c>
      <c r="AA16" s="320" t="s">
        <v>121</v>
      </c>
      <c r="AB16" s="319" t="s">
        <v>117</v>
      </c>
      <c r="AC16" s="319" t="s">
        <v>118</v>
      </c>
      <c r="AD16" s="365" t="s">
        <v>271</v>
      </c>
      <c r="AE16" s="366" t="s">
        <v>271</v>
      </c>
      <c r="AF16" s="375" t="s">
        <v>271</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1"/>
      <c r="B17" s="376" t="s">
        <v>218</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7"/>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1"/>
      <c r="B18" s="376" t="s">
        <v>219</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7"/>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1"/>
      <c r="B19" s="376" t="s">
        <v>220</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7"/>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1"/>
      <c r="B20" s="376" t="s">
        <v>221</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7"/>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1"/>
      <c r="B21" s="376" t="s">
        <v>222</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7"/>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1"/>
      <c r="B22" s="376" t="s">
        <v>223</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7"/>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1"/>
      <c r="B23" s="376" t="s">
        <v>224</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7"/>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1"/>
      <c r="B24" s="376" t="s">
        <v>225</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7"/>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1"/>
      <c r="B25" s="37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7"/>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1"/>
      <c r="B26" s="376" t="s">
        <v>226</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7"/>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1"/>
      <c r="B27" s="376" t="s">
        <v>227</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7"/>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1"/>
      <c r="B28" s="376" t="s">
        <v>228</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7"/>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1"/>
      <c r="B29" s="376" t="s">
        <v>229</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7"/>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1"/>
      <c r="B30" s="376" t="s">
        <v>230</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7"/>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1"/>
      <c r="B31" s="376" t="s">
        <v>231</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7"/>
      <c r="AG31" s="161" t="s">
        <v>16</v>
      </c>
      <c r="AH31" s="139"/>
      <c r="AI31" s="139"/>
      <c r="AJ31" s="367"/>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1"/>
      <c r="B32" s="376" t="s">
        <v>232</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7"/>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1"/>
      <c r="B33" s="376" t="s">
        <v>233</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7"/>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1"/>
      <c r="B34" s="376" t="s">
        <v>234</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7"/>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1"/>
      <c r="B35" s="376" t="s">
        <v>235</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7"/>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1"/>
      <c r="B36" s="376" t="s">
        <v>236</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7"/>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1"/>
      <c r="B37" s="376" t="s">
        <v>237</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7"/>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1"/>
      <c r="B38" s="376" t="s">
        <v>238</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7"/>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1"/>
      <c r="B39" s="376" t="s">
        <v>239</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7"/>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1"/>
      <c r="B40" s="376" t="s">
        <v>240</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7"/>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1"/>
      <c r="B41" s="376" t="s">
        <v>241</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7"/>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1"/>
      <c r="B42" s="376" t="s">
        <v>242</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7"/>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1"/>
      <c r="B43" s="376" t="s">
        <v>243</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7"/>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1"/>
      <c r="B44" s="376" t="s">
        <v>244</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7"/>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1"/>
      <c r="B45" s="376" t="s">
        <v>245</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7"/>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1"/>
      <c r="B46" s="376" t="s">
        <v>246</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7"/>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1"/>
      <c r="B47" s="376" t="s">
        <v>247</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7"/>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1"/>
      <c r="B48" s="376" t="s">
        <v>248</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7"/>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1"/>
      <c r="B49" s="376" t="s">
        <v>249</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7"/>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1"/>
      <c r="B50" s="376" t="s">
        <v>250</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7"/>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1"/>
      <c r="B51" s="376" t="s">
        <v>251</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7"/>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1"/>
      <c r="B52" s="376" t="s">
        <v>252</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7"/>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1"/>
      <c r="B53" s="376" t="s">
        <v>253</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7"/>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1"/>
      <c r="B54" s="376" t="s">
        <v>254</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7"/>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1"/>
      <c r="B55" s="376" t="s">
        <v>255</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7"/>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1"/>
      <c r="B56" s="376" t="s">
        <v>256</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7"/>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1"/>
      <c r="B57" s="376" t="s">
        <v>257</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7"/>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1"/>
      <c r="B58" s="376" t="s">
        <v>258</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7"/>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1"/>
      <c r="B59" s="376" t="s">
        <v>259</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7"/>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1"/>
      <c r="B60" s="376" t="s">
        <v>260</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7"/>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1"/>
      <c r="B61" s="376" t="s">
        <v>261</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7"/>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1"/>
      <c r="B62" s="376" t="s">
        <v>262</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7"/>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1"/>
      <c r="B63" s="376" t="s">
        <v>263</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7"/>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1"/>
      <c r="B64" s="376" t="s">
        <v>264</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7"/>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1"/>
      <c r="B65" s="376" t="s">
        <v>265</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7"/>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4"/>
      <c r="B66" s="376" t="s">
        <v>266</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7"/>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34"/>
      <c r="B67" s="378" t="s">
        <v>267</v>
      </c>
      <c r="C67" s="140"/>
      <c r="D67" s="379"/>
      <c r="E67" s="137"/>
      <c r="F67" s="138"/>
      <c r="G67" s="379"/>
      <c r="H67" s="137"/>
      <c r="I67" s="138"/>
      <c r="J67" s="379"/>
      <c r="K67" s="136"/>
      <c r="L67" s="379"/>
      <c r="M67" s="379"/>
      <c r="N67" s="379"/>
      <c r="O67" s="379"/>
      <c r="P67" s="379"/>
      <c r="Q67" s="379"/>
      <c r="R67" s="379"/>
      <c r="S67" s="379"/>
      <c r="T67" s="379"/>
      <c r="U67" s="379"/>
      <c r="V67" s="379"/>
      <c r="W67" s="379"/>
      <c r="X67" s="379"/>
      <c r="Y67" s="379"/>
      <c r="Z67" s="379"/>
      <c r="AA67" s="379"/>
      <c r="AB67" s="379"/>
      <c r="AC67" s="379"/>
      <c r="AD67" s="379"/>
      <c r="AE67" s="379"/>
      <c r="AF67" s="380"/>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5"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5" t="s">
        <v>275</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5" t="s">
        <v>277</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5" t="s">
        <v>217</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5" t="s">
        <v>276</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5" t="s">
        <v>272</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5" t="s">
        <v>278</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5" t="s">
        <v>273</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5" t="s">
        <v>279</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5" t="s">
        <v>274</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5" t="s">
        <v>280</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5" t="s">
        <v>281</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5" t="s">
        <v>282</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2014-11-17T18:33:24Z</dcterms:modified>
</cp:coreProperties>
</file>