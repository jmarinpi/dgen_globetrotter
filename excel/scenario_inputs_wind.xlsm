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0" yWindow="0" windowWidth="38400" windowHeight="19400" tabRatio="782"/>
  </bookViews>
  <sheets>
    <sheet name="Main" sheetId="8" r:id="rId1"/>
    <sheet name="Wind Cost" sheetId="34" r:id="rId2"/>
    <sheet name="Wind Performance" sheetId="35" r:id="rId3"/>
    <sheet name="Finance" sheetId="15" r:id="rId4"/>
    <sheet name="Market Projections" sheetId="37" r:id="rId5"/>
    <sheet name="Wind Policies" sheetId="36" r:id="rId6"/>
    <sheet name="Net Metering" sheetId="38" r:id="rId7"/>
  </sheets>
  <externalReferences>
    <externalReference r:id="rId8"/>
    <externalReference r:id="rId9"/>
    <externalReference r:id="rId10"/>
  </externalReferences>
  <definedNames>
    <definedName name="_xlnm._FilterDatabase" localSheetId="0" hidden="1">Main!$E$153:$E$155</definedName>
    <definedName name="Analysis_End_Year">Main!$D$12</definedName>
    <definedName name="Annual_Inflation">Finance!$E$6</definedName>
    <definedName name="Batch_Runs" localSheetId="6">[1]Main!#REF!</definedName>
    <definedName name="Batch_Runs">Main!#REF!</definedName>
    <definedName name="Building_Type_Run_Scenario">Main!$D$13</definedName>
    <definedName name="Carbon_Scenario">Main!$D$28</definedName>
    <definedName name="Com_Max_Market">Main!$D$21</definedName>
    <definedName name="Com_Payback_Metric" localSheetId="6">[1]Main!#REF!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6">[1]Main!#REF!</definedName>
    <definedName name="Fed_Tax_Scenario">Main!#REF!</definedName>
    <definedName name="incent_start_year">'Wind Policies'!$P$4</definedName>
    <definedName name="Incentive_Budgets" localSheetId="6">[1]Main!#REF!</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Main!$D$11:$D$30</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6">[1]Main!#REF!</definedName>
    <definedName name="Local_Incentive_Scenario">Main!#REF!</definedName>
    <definedName name="man_net_metering">'Wind Policies'!$B$17:$B$67,'Wind Policies'!$AD$17:$AF$67</definedName>
    <definedName name="Market_Projections">'Market Projections'!$C$7:$U$14</definedName>
    <definedName name="Metering_Availability_Scenario">Main!$D$27</definedName>
    <definedName name="Metering_Cap_Scenario" localSheetId="4">Main!#REF!</definedName>
    <definedName name="Metering_Cap_Scenario" localSheetId="6">[1]Main!#REF!</definedName>
    <definedName name="Metering_Cap_Scenario" localSheetId="1">[2]Main!#REF!</definedName>
    <definedName name="Metering_Cap_Scenario" localSheetId="2">[2]Main!#REF!</definedName>
    <definedName name="Metering_Cap_Scenario" localSheetId="5">[3]Main!#REF!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6">[1]Policies!$B$17:$B$67,[1]Policies!$AD$17:$AF$67</definedName>
    <definedName name="nm" localSheetId="6">[1]Policies!$B$17:$B$67,[1]Policies!$AD$17:$AF$67</definedName>
    <definedName name="nm">'Wind Policies'!$B$17:$B$67,'Wind Policies'!$AD$17:$AF$67</definedName>
    <definedName name="Normalized_Wind_Power_Curves" localSheetId="6">#REF!</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6">[1]Main!#REF!</definedName>
    <definedName name="Price_Escalation_Scenario" localSheetId="1">[2]Main!#REF!</definedName>
    <definedName name="Price_Escalation_Scenario" localSheetId="2">[2]Main!#REF!</definedName>
    <definedName name="Price_Escalation_Scenario" localSheetId="5">[3]Main!#REF!</definedName>
    <definedName name="Price_Escalation_Scenario">Main!#REF!</definedName>
    <definedName name="PV_Base_Installed" localSheetId="4">Main!#REF!</definedName>
    <definedName name="PV_Base_Installed" localSheetId="6">[1]Main!#REF!</definedName>
    <definedName name="PV_Base_Installed" localSheetId="2">Main!#REF!</definedName>
    <definedName name="PV_Base_Installed" localSheetId="5">[3]Main!#REF!</definedName>
    <definedName name="PV_Base_Installed">Main!#REF!</definedName>
    <definedName name="PV_Efficiency" localSheetId="6">[1]Main!#REF!</definedName>
    <definedName name="PV_Efficiency">Main!#REF!</definedName>
    <definedName name="PV_Price_Scenario" localSheetId="6">[1]Main!#REF!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5">[3]Main!$C$7</definedName>
    <definedName name="ud_rates">'Market Projections'!$C$88:$F$138</definedName>
    <definedName name="user_defined_max_market_share">Finance!$C$35:$I$67</definedName>
    <definedName name="User_Elec_Growth_Rate">Main!$D$14</definedName>
    <definedName name="Wind_Cost_Projections_10_kw" localSheetId="6">#REF!</definedName>
    <definedName name="Wind_Cost_Projections_10_kw">'Wind Cost'!$D$25:$V$30</definedName>
    <definedName name="Wind_Cost_Projections_100_kw" localSheetId="6">#REF!</definedName>
    <definedName name="Wind_Cost_Projections_100_kw">'Wind Cost'!$D$46:$V$51</definedName>
    <definedName name="Wind_Cost_Projections_1000_kw" localSheetId="6">#REF!</definedName>
    <definedName name="Wind_Cost_Projections_1000_kw">'Wind Cost'!$Z$32:$AR$37</definedName>
    <definedName name="Wind_Cost_Projections_1500_kw" localSheetId="6">#REF!</definedName>
    <definedName name="Wind_Cost_Projections_1500_kw">'Wind Cost'!$Z$39:$AR$44</definedName>
    <definedName name="Wind_Cost_Projections_2.5_kw" localSheetId="6">#REF!</definedName>
    <definedName name="Wind_Cost_Projections_2.5_kw">'Wind Cost'!$D$11:$V$16</definedName>
    <definedName name="Wind_Cost_Projections_20_kw" localSheetId="6">#REF!</definedName>
    <definedName name="Wind_Cost_Projections_20_kw">'Wind Cost'!$D$32:$V$37</definedName>
    <definedName name="Wind_Cost_Projections_250_kw" localSheetId="6">#REF!</definedName>
    <definedName name="Wind_Cost_Projections_250_kw">'Wind Cost'!$Z$11:$AR$16</definedName>
    <definedName name="Wind_Cost_Projections_5_kw" localSheetId="6">#REF!</definedName>
    <definedName name="Wind_Cost_Projections_5_kw">'Wind Cost'!$D$18:$V$23</definedName>
    <definedName name="Wind_Cost_Projections_50_kw" localSheetId="6">#REF!</definedName>
    <definedName name="Wind_Cost_Projections_50_kw">'Wind Cost'!$D$39:$V$44</definedName>
    <definedName name="Wind_Cost_Projections_500_kw" localSheetId="6">#REF!</definedName>
    <definedName name="Wind_Cost_Projections_500_kw">'Wind Cost'!$Z$18:$AR$23</definedName>
    <definedName name="Wind_Cost_Projections_750_kw" localSheetId="6">#REF!</definedName>
    <definedName name="Wind_Cost_Projections_750_kw">'Wind Cost'!$Z$25:$AR$30</definedName>
    <definedName name="Wind_Derate_Factors" localSheetId="6">#REF!</definedName>
    <definedName name="Wind_Derate_Factors">'Wind Performance'!$C$46:$V$57</definedName>
    <definedName name="Wind_Performance_Improvements" localSheetId="6">#REF!</definedName>
    <definedName name="Wind_Performance_Improvements">'Wind Performance'!$B$7:$V$18</definedName>
    <definedName name="Year_Start" localSheetId="4">Main!#REF!</definedName>
    <definedName name="Year_Start" localSheetId="6">[1]Main!#REF!</definedName>
    <definedName name="Year_Start" localSheetId="1">[2]Main!#REF!</definedName>
    <definedName name="Year_Start" localSheetId="2">[2]Main!#REF!</definedName>
    <definedName name="Year_Start" localSheetId="5">[3]Main!#REF!</definedName>
    <definedName name="Year_Start">Main!#REF!</definedName>
    <definedName name="Year_Stop" localSheetId="4">Main!#REF!</definedName>
    <definedName name="Year_Stop" localSheetId="6">[1]Main!#REF!</definedName>
    <definedName name="Year_Stop" localSheetId="1">[2]Main!#REF!</definedName>
    <definedName name="Year_Stop" localSheetId="2">[2]Main!#REF!</definedName>
    <definedName name="Year_Stop" localSheetId="5">[3]Main!#REF!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38" l="1"/>
  <c r="AA40" i="34"/>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30"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<sst xmlns="http://schemas.openxmlformats.org/spreadsheetml/2006/main" count="1177" uniqueCount="362">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</sst>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91"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ont>
    <font>
      <b/>
      <sz val="16"/>
      <color indexed="18"/>
      <name val="Arial"/>
    </font>
    <font>
      <b/>
      <sz val="16"/>
      <name val="Arial"/>
    </font>
    <font>
      <sz val="10"/>
      <color theme="0" tint="-0.34998626667073579"/>
      <name val="Arial"/>
    </font>
    <font>
      <sz val="11"/>
      <color theme="1"/>
      <name val="Calibri"/>
      <family val="2"/>
      <scheme val="minor"/>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s>
  <borders count="133">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s>
  <cellStyleXfs count="30">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44" fontId="1" fillId="0" borderId="0" applyFont="0" applyFill="0" applyBorder="0" applyAlignment="0" applyProtection="0"/>
    <xf numFmtId="0" fontId="90" fillId="0" borderId="0"/>
    <xf numFmtId="9" fontId="1" fillId="0" borderId="0" applyFont="0" applyFill="0" applyBorder="0" applyAlignment="0" applyProtection="0"/>
  </cellStyleXfs>
  <cellXfs count="559">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2" fontId="0" fillId="0" borderId="50" xfId="0" applyNumberFormat="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31" fillId="4" borderId="87" xfId="5" applyFont="1" applyFill="1" applyBorder="1" applyAlignment="1">
      <alignment horizontal="center" wrapText="1"/>
    </xf>
    <xf numFmtId="0" fontId="31" fillId="4" borderId="88" xfId="5" applyFont="1" applyFill="1" applyBorder="1" applyAlignment="1">
      <alignment horizontal="center" wrapText="1"/>
    </xf>
    <xf numFmtId="0" fontId="19" fillId="3" borderId="87" xfId="5" applyFont="1" applyFill="1" applyBorder="1" applyAlignment="1">
      <alignment horizontal="center" wrapText="1"/>
    </xf>
    <xf numFmtId="0" fontId="19" fillId="3" borderId="88" xfId="5" applyFont="1" applyFill="1" applyBorder="1" applyAlignment="1">
      <alignment horizontal="center" wrapText="1"/>
    </xf>
    <xf numFmtId="1" fontId="19" fillId="3" borderId="89" xfId="3" applyNumberFormat="1" applyFont="1" applyFill="1" applyBorder="1"/>
    <xf numFmtId="0" fontId="45" fillId="3" borderId="60" xfId="3" applyFont="1" applyFill="1" applyBorder="1"/>
    <xf numFmtId="0" fontId="45" fillId="0" borderId="61" xfId="3" applyFont="1" applyFill="1" applyBorder="1"/>
    <xf numFmtId="0" fontId="45" fillId="3" borderId="61" xfId="3" applyFont="1" applyFill="1" applyBorder="1"/>
    <xf numFmtId="0" fontId="45" fillId="3" borderId="62" xfId="3" applyFont="1" applyFill="1" applyBorder="1"/>
    <xf numFmtId="0" fontId="14" fillId="3" borderId="51" xfId="5" applyFont="1" applyFill="1" applyBorder="1" applyAlignment="1">
      <alignment horizontal="center"/>
    </xf>
    <xf numFmtId="0" fontId="31" fillId="4" borderId="90" xfId="5" applyFont="1" applyFill="1" applyBorder="1" applyAlignment="1">
      <alignment horizontal="center" wrapText="1"/>
    </xf>
    <xf numFmtId="0" fontId="14" fillId="11" borderId="91" xfId="5" applyFont="1" applyFill="1" applyBorder="1" applyAlignment="1">
      <alignment horizontal="center" wrapText="1"/>
    </xf>
    <xf numFmtId="0" fontId="19" fillId="3" borderId="90"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81"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92" xfId="3" applyFont="1" applyFill="1" applyBorder="1" applyProtection="1">
      <protection locked="0"/>
    </xf>
    <xf numFmtId="0" fontId="9" fillId="10" borderId="92" xfId="3" applyFont="1" applyFill="1" applyBorder="1" applyProtection="1">
      <protection locked="0"/>
    </xf>
    <xf numFmtId="0" fontId="59" fillId="10" borderId="92" xfId="3" applyFont="1" applyFill="1" applyBorder="1" applyProtection="1">
      <protection locked="0"/>
    </xf>
    <xf numFmtId="0" fontId="9" fillId="3" borderId="93" xfId="3" applyFont="1" applyFill="1" applyBorder="1" applyProtection="1">
      <protection locked="0"/>
    </xf>
    <xf numFmtId="0" fontId="39" fillId="3" borderId="0" xfId="3" applyFont="1" applyFill="1" applyBorder="1" applyProtection="1">
      <protection locked="0"/>
    </xf>
    <xf numFmtId="0" fontId="78" fillId="10" borderId="0" xfId="3" applyFont="1" applyFill="1" applyBorder="1" applyProtection="1">
      <protection locked="0"/>
    </xf>
    <xf numFmtId="0" fontId="39" fillId="10" borderId="0" xfId="3" applyFont="1" applyFill="1" applyBorder="1" applyProtection="1">
      <protection locked="0"/>
    </xf>
    <xf numFmtId="0" fontId="9" fillId="3" borderId="94" xfId="3" applyFont="1" applyFill="1" applyBorder="1" applyProtection="1">
      <protection locked="0"/>
    </xf>
    <xf numFmtId="0" fontId="82" fillId="10" borderId="0" xfId="3" applyFont="1" applyFill="1" applyBorder="1" applyProtection="1">
      <protection locked="0"/>
    </xf>
    <xf numFmtId="0" fontId="2" fillId="10" borderId="95" xfId="3" applyFill="1" applyBorder="1" applyProtection="1">
      <protection locked="0"/>
    </xf>
    <xf numFmtId="0" fontId="2" fillId="10" borderId="96"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3"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3"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7"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8"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4" fillId="10" borderId="0" xfId="0" applyNumberFormat="1" applyFont="1" applyFill="1" applyBorder="1"/>
    <xf numFmtId="164" fontId="84" fillId="10" borderId="0" xfId="3" applyNumberFormat="1" applyFont="1" applyFill="1" applyBorder="1" applyAlignment="1"/>
    <xf numFmtId="1" fontId="84" fillId="10" borderId="0" xfId="1" applyNumberFormat="1" applyFont="1" applyFill="1" applyBorder="1" applyAlignment="1"/>
    <xf numFmtId="168" fontId="84" fillId="10" borderId="0" xfId="1" applyNumberFormat="1" applyFont="1" applyFill="1" applyBorder="1" applyAlignment="1"/>
    <xf numFmtId="168" fontId="84" fillId="10" borderId="50" xfId="1" applyNumberFormat="1" applyFont="1" applyFill="1" applyBorder="1" applyAlignment="1"/>
    <xf numFmtId="0" fontId="20" fillId="15" borderId="51" xfId="5" applyFont="1" applyFill="1" applyBorder="1"/>
    <xf numFmtId="44" fontId="84" fillId="10" borderId="0" xfId="1" applyNumberFormat="1" applyFont="1" applyFill="1" applyBorder="1" applyAlignment="1"/>
    <xf numFmtId="1" fontId="84" fillId="10" borderId="0" xfId="3" applyNumberFormat="1" applyFont="1" applyFill="1" applyBorder="1" applyAlignment="1"/>
    <xf numFmtId="0" fontId="84" fillId="10" borderId="0" xfId="3" applyFont="1" applyFill="1" applyBorder="1" applyAlignment="1"/>
    <xf numFmtId="0" fontId="84" fillId="10" borderId="50" xfId="3" applyFont="1" applyFill="1" applyBorder="1" applyAlignment="1"/>
    <xf numFmtId="0" fontId="84" fillId="10" borderId="0" xfId="0" applyFont="1" applyFill="1" applyBorder="1"/>
    <xf numFmtId="0" fontId="85" fillId="10" borderId="0" xfId="0" applyFont="1" applyFill="1" applyBorder="1" applyAlignment="1">
      <alignment wrapText="1"/>
    </xf>
    <xf numFmtId="0" fontId="20" fillId="16" borderId="52" xfId="5" applyFont="1" applyFill="1" applyBorder="1"/>
    <xf numFmtId="0" fontId="84" fillId="10" borderId="53" xfId="3" applyFont="1" applyFill="1" applyBorder="1" applyAlignment="1"/>
    <xf numFmtId="0" fontId="84"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6" fillId="3" borderId="0" xfId="3" applyFont="1" applyFill="1" applyAlignment="1"/>
    <xf numFmtId="0" fontId="1" fillId="3" borderId="99" xfId="0" applyFont="1" applyFill="1" applyBorder="1" applyAlignment="1">
      <alignment horizontal="center" vertical="center"/>
    </xf>
    <xf numFmtId="0" fontId="0" fillId="3" borderId="99" xfId="3" applyFont="1" applyFill="1" applyBorder="1" applyAlignment="1">
      <alignment horizontal="center" vertical="center" wrapText="1"/>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0" fillId="10" borderId="106" xfId="5" applyFont="1" applyFill="1" applyBorder="1"/>
    <xf numFmtId="2" fontId="1" fillId="3" borderId="107" xfId="3" applyNumberFormat="1" applyFont="1" applyFill="1" applyBorder="1" applyAlignment="1">
      <alignment horizontal="center"/>
    </xf>
    <xf numFmtId="2" fontId="1" fillId="3" borderId="108" xfId="3" applyNumberFormat="1" applyFont="1" applyFill="1" applyBorder="1" applyAlignment="1">
      <alignment horizontal="center"/>
    </xf>
    <xf numFmtId="0" fontId="2" fillId="0" borderId="110" xfId="0" applyFont="1" applyBorder="1" applyAlignment="1">
      <alignment horizontal="center" vertical="center"/>
    </xf>
    <xf numFmtId="0" fontId="0" fillId="17" borderId="111" xfId="0" applyFill="1" applyBorder="1" applyAlignment="1">
      <alignment horizontal="center" vertical="center"/>
    </xf>
    <xf numFmtId="0" fontId="0" fillId="17" borderId="112" xfId="0" applyFill="1" applyBorder="1" applyAlignment="1">
      <alignment horizontal="center" vertical="center" wrapText="1"/>
    </xf>
    <xf numFmtId="0" fontId="0" fillId="17" borderId="113" xfId="0" applyFill="1" applyBorder="1"/>
    <xf numFmtId="0" fontId="0" fillId="17" borderId="109" xfId="0" applyFill="1" applyBorder="1"/>
    <xf numFmtId="0" fontId="0" fillId="17" borderId="114" xfId="0" applyFill="1" applyBorder="1"/>
    <xf numFmtId="0" fontId="0" fillId="17" borderId="115" xfId="0" applyFill="1" applyBorder="1"/>
    <xf numFmtId="0" fontId="0" fillId="17" borderId="116" xfId="0" applyFill="1" applyBorder="1"/>
    <xf numFmtId="0" fontId="0" fillId="17" borderId="117" xfId="0" applyFill="1" applyBorder="1"/>
    <xf numFmtId="0" fontId="0" fillId="17" borderId="118"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7" fillId="3" borderId="0" xfId="3" applyFont="1" applyFill="1" applyProtection="1">
      <protection locked="0"/>
    </xf>
    <xf numFmtId="0" fontId="88"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9" xfId="0" applyFont="1" applyFill="1" applyBorder="1" applyAlignment="1" applyProtection="1">
      <alignment horizontal="center" vertical="center" wrapText="1"/>
      <protection locked="0"/>
    </xf>
    <xf numFmtId="0" fontId="31" fillId="19" borderId="120" xfId="0" applyFont="1" applyFill="1" applyBorder="1" applyAlignment="1" applyProtection="1">
      <alignment horizontal="center" vertical="center" wrapText="1"/>
      <protection locked="0"/>
    </xf>
    <xf numFmtId="0" fontId="31" fillId="19" borderId="121"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22"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3"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6"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8" xfId="0" applyFont="1" applyFill="1" applyBorder="1" applyAlignment="1" applyProtection="1">
      <alignment horizontal="center"/>
    </xf>
    <xf numFmtId="0" fontId="0" fillId="20" borderId="127" xfId="0" applyFont="1" applyFill="1" applyBorder="1" applyAlignment="1" applyProtection="1">
      <alignment horizontal="center"/>
    </xf>
    <xf numFmtId="0" fontId="0" fillId="18" borderId="128" xfId="0" applyFont="1" applyFill="1" applyBorder="1" applyAlignment="1" applyProtection="1">
      <alignment horizontal="center"/>
    </xf>
    <xf numFmtId="0" fontId="0" fillId="18" borderId="128"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9"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30" xfId="0" applyFont="1" applyFill="1" applyBorder="1" applyAlignment="1" applyProtection="1">
      <alignment horizontal="center"/>
    </xf>
    <xf numFmtId="0" fontId="0" fillId="20" borderId="131" xfId="0" applyFont="1" applyFill="1" applyBorder="1" applyAlignment="1" applyProtection="1">
      <alignment horizontal="center"/>
    </xf>
    <xf numFmtId="0" fontId="0" fillId="18" borderId="132" xfId="0" applyFont="1" applyFill="1" applyBorder="1" applyAlignment="1" applyProtection="1">
      <alignment horizontal="center"/>
    </xf>
    <xf numFmtId="0" fontId="0" fillId="18" borderId="132" xfId="0" applyFill="1" applyBorder="1" applyAlignment="1" applyProtection="1">
      <alignment horizontal="center"/>
    </xf>
    <xf numFmtId="0" fontId="0" fillId="18" borderId="54" xfId="0" applyFill="1" applyBorder="1" applyAlignment="1" applyProtection="1">
      <alignment horizontal="center"/>
    </xf>
    <xf numFmtId="0" fontId="89" fillId="10" borderId="0" xfId="0" applyFont="1" applyFill="1" applyProtection="1">
      <protection locked="0"/>
    </xf>
    <xf numFmtId="0" fontId="89" fillId="10" borderId="0" xfId="0" applyFont="1" applyFill="1" applyAlignment="1" applyProtection="1">
      <alignment horizontal="left"/>
      <protection locked="0"/>
    </xf>
    <xf numFmtId="0" fontId="89"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0" fontId="11" fillId="10" borderId="0" xfId="0" applyFont="1"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30">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externalLink" Target="externalLinks/externalLink2.xml"/><Relationship Id="rId10" Type="http://schemas.openxmlformats.org/officeDocument/2006/relationships/externalLink" Target="externalLinks/externalLink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095603416"/>
        <c:axId val="-2095449944"/>
      </c:scatterChart>
      <c:valAx>
        <c:axId val="-209560341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95449944"/>
        <c:crosses val="autoZero"/>
        <c:crossBetween val="midCat"/>
      </c:valAx>
      <c:valAx>
        <c:axId val="-209544994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95603416"/>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95606920"/>
        <c:axId val="-2095569160"/>
      </c:scatterChart>
      <c:valAx>
        <c:axId val="-209560692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5569160"/>
        <c:crosses val="autoZero"/>
        <c:crossBetween val="midCat"/>
      </c:valAx>
      <c:valAx>
        <c:axId val="-209556916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560692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95392056"/>
        <c:axId val="2126724680"/>
      </c:scatterChart>
      <c:valAx>
        <c:axId val="-209539205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6724680"/>
        <c:crosses val="autoZero"/>
        <c:crossBetween val="midCat"/>
      </c:valAx>
      <c:valAx>
        <c:axId val="212672468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539205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Policies"/>
      <sheetName val="Net Metering"/>
      <sheetName val="Customer Behavior"/>
    </sheetNames>
    <sheetDataSet>
      <sheetData sheetId="0"/>
      <sheetData sheetId="1"/>
      <sheetData sheetId="2"/>
      <sheetData sheetId="3"/>
      <sheetData sheetId="4"/>
      <sheetData sheetId="5">
        <row r="17">
          <cell r="B17" t="str">
            <v>AL</v>
          </cell>
          <cell r="AD17">
            <v>4000</v>
          </cell>
          <cell r="AE17">
            <v>4000</v>
          </cell>
          <cell r="AF17">
            <v>4000</v>
          </cell>
        </row>
        <row r="18">
          <cell r="B18" t="str">
            <v>AK</v>
          </cell>
          <cell r="AD18">
            <v>4000</v>
          </cell>
          <cell r="AE18">
            <v>4000</v>
          </cell>
          <cell r="AF18">
            <v>4000</v>
          </cell>
        </row>
        <row r="19">
          <cell r="B19" t="str">
            <v>AZ</v>
          </cell>
          <cell r="AD19">
            <v>4000</v>
          </cell>
          <cell r="AE19">
            <v>4000</v>
          </cell>
          <cell r="AF19">
            <v>4000</v>
          </cell>
        </row>
        <row r="20">
          <cell r="B20" t="str">
            <v>AR</v>
          </cell>
          <cell r="AD20">
            <v>4000</v>
          </cell>
          <cell r="AE20">
            <v>4000</v>
          </cell>
          <cell r="AF20">
            <v>4000</v>
          </cell>
        </row>
        <row r="21">
          <cell r="B21" t="str">
            <v>CA</v>
          </cell>
          <cell r="AD21">
            <v>4000</v>
          </cell>
          <cell r="AE21">
            <v>4000</v>
          </cell>
          <cell r="AF21">
            <v>4000</v>
          </cell>
        </row>
        <row r="22">
          <cell r="B22" t="str">
            <v>CO</v>
          </cell>
          <cell r="AD22">
            <v>4000</v>
          </cell>
          <cell r="AE22">
            <v>4000</v>
          </cell>
          <cell r="AF22">
            <v>4000</v>
          </cell>
        </row>
        <row r="23">
          <cell r="B23" t="str">
            <v>CT</v>
          </cell>
          <cell r="AD23">
            <v>4000</v>
          </cell>
          <cell r="AE23">
            <v>4000</v>
          </cell>
          <cell r="AF23">
            <v>4000</v>
          </cell>
        </row>
        <row r="24">
          <cell r="B24" t="str">
            <v>DE</v>
          </cell>
          <cell r="AD24">
            <v>4000</v>
          </cell>
          <cell r="AE24">
            <v>4000</v>
          </cell>
          <cell r="AF24">
            <v>4000</v>
          </cell>
        </row>
        <row r="25">
          <cell r="B25" t="str">
            <v>DC</v>
          </cell>
          <cell r="AD25">
            <v>4000</v>
          </cell>
          <cell r="AE25">
            <v>4000</v>
          </cell>
          <cell r="AF25">
            <v>4000</v>
          </cell>
        </row>
        <row r="26">
          <cell r="B26" t="str">
            <v>FL</v>
          </cell>
          <cell r="AD26">
            <v>4000</v>
          </cell>
          <cell r="AE26">
            <v>4000</v>
          </cell>
          <cell r="AF26">
            <v>4000</v>
          </cell>
        </row>
        <row r="27">
          <cell r="B27" t="str">
            <v>GA</v>
          </cell>
          <cell r="AD27">
            <v>4000</v>
          </cell>
          <cell r="AE27">
            <v>4000</v>
          </cell>
          <cell r="AF27">
            <v>4000</v>
          </cell>
        </row>
        <row r="28">
          <cell r="B28" t="str">
            <v>HI</v>
          </cell>
          <cell r="AD28">
            <v>4000</v>
          </cell>
          <cell r="AE28">
            <v>4000</v>
          </cell>
          <cell r="AF28">
            <v>4000</v>
          </cell>
        </row>
        <row r="29">
          <cell r="B29" t="str">
            <v>ID</v>
          </cell>
          <cell r="AD29">
            <v>4000</v>
          </cell>
          <cell r="AE29">
            <v>4000</v>
          </cell>
          <cell r="AF29">
            <v>4000</v>
          </cell>
        </row>
        <row r="30">
          <cell r="B30" t="str">
            <v>IL</v>
          </cell>
          <cell r="AD30">
            <v>4000</v>
          </cell>
          <cell r="AE30">
            <v>4000</v>
          </cell>
          <cell r="AF30">
            <v>4000</v>
          </cell>
        </row>
        <row r="31">
          <cell r="B31" t="str">
            <v>IN</v>
          </cell>
          <cell r="AD31">
            <v>4000</v>
          </cell>
          <cell r="AE31">
            <v>4000</v>
          </cell>
          <cell r="AF31">
            <v>4000</v>
          </cell>
        </row>
        <row r="32">
          <cell r="B32" t="str">
            <v>IA</v>
          </cell>
          <cell r="AD32">
            <v>4000</v>
          </cell>
          <cell r="AE32">
            <v>4000</v>
          </cell>
          <cell r="AF32">
            <v>4000</v>
          </cell>
        </row>
        <row r="33">
          <cell r="B33" t="str">
            <v>KS</v>
          </cell>
          <cell r="AD33">
            <v>4000</v>
          </cell>
          <cell r="AE33">
            <v>4000</v>
          </cell>
          <cell r="AF33">
            <v>4000</v>
          </cell>
        </row>
        <row r="34">
          <cell r="B34" t="str">
            <v>KY</v>
          </cell>
          <cell r="AD34">
            <v>4000</v>
          </cell>
          <cell r="AE34">
            <v>4000</v>
          </cell>
          <cell r="AF34">
            <v>4000</v>
          </cell>
        </row>
        <row r="35">
          <cell r="B35" t="str">
            <v>LA</v>
          </cell>
          <cell r="AD35">
            <v>4000</v>
          </cell>
          <cell r="AE35">
            <v>4000</v>
          </cell>
          <cell r="AF35">
            <v>4000</v>
          </cell>
        </row>
        <row r="36">
          <cell r="B36" t="str">
            <v>ME</v>
          </cell>
          <cell r="AD36">
            <v>4000</v>
          </cell>
          <cell r="AE36">
            <v>4000</v>
          </cell>
          <cell r="AF36">
            <v>4000</v>
          </cell>
        </row>
        <row r="37">
          <cell r="B37" t="str">
            <v>MD</v>
          </cell>
          <cell r="AD37">
            <v>4000</v>
          </cell>
          <cell r="AE37">
            <v>4000</v>
          </cell>
          <cell r="AF37">
            <v>4000</v>
          </cell>
        </row>
        <row r="38">
          <cell r="B38" t="str">
            <v>MA</v>
          </cell>
          <cell r="AD38">
            <v>4000</v>
          </cell>
          <cell r="AE38">
            <v>4000</v>
          </cell>
          <cell r="AF38">
            <v>4000</v>
          </cell>
        </row>
        <row r="39">
          <cell r="B39" t="str">
            <v>MI</v>
          </cell>
          <cell r="AD39">
            <v>4000</v>
          </cell>
          <cell r="AE39">
            <v>4000</v>
          </cell>
          <cell r="AF39">
            <v>4000</v>
          </cell>
        </row>
        <row r="40">
          <cell r="B40" t="str">
            <v>MN</v>
          </cell>
          <cell r="AD40">
            <v>4000</v>
          </cell>
          <cell r="AE40">
            <v>4000</v>
          </cell>
          <cell r="AF40">
            <v>4000</v>
          </cell>
        </row>
        <row r="41">
          <cell r="B41" t="str">
            <v>MS</v>
          </cell>
          <cell r="AD41">
            <v>4000</v>
          </cell>
          <cell r="AE41">
            <v>4000</v>
          </cell>
          <cell r="AF41">
            <v>4000</v>
          </cell>
        </row>
        <row r="42">
          <cell r="B42" t="str">
            <v>MO</v>
          </cell>
          <cell r="AD42">
            <v>4000</v>
          </cell>
          <cell r="AE42">
            <v>4000</v>
          </cell>
          <cell r="AF42">
            <v>4000</v>
          </cell>
        </row>
        <row r="43">
          <cell r="B43" t="str">
            <v>MT</v>
          </cell>
          <cell r="AD43">
            <v>4000</v>
          </cell>
          <cell r="AE43">
            <v>4000</v>
          </cell>
          <cell r="AF43">
            <v>4000</v>
          </cell>
        </row>
        <row r="44">
          <cell r="B44" t="str">
            <v>NE</v>
          </cell>
          <cell r="AD44">
            <v>4000</v>
          </cell>
          <cell r="AE44">
            <v>4000</v>
          </cell>
          <cell r="AF44">
            <v>4000</v>
          </cell>
        </row>
        <row r="45">
          <cell r="B45" t="str">
            <v>NV</v>
          </cell>
          <cell r="AD45">
            <v>4000</v>
          </cell>
          <cell r="AE45">
            <v>4000</v>
          </cell>
          <cell r="AF45">
            <v>4000</v>
          </cell>
        </row>
        <row r="46">
          <cell r="B46" t="str">
            <v>NH</v>
          </cell>
          <cell r="AD46">
            <v>4000</v>
          </cell>
          <cell r="AE46">
            <v>4000</v>
          </cell>
          <cell r="AF46">
            <v>4000</v>
          </cell>
        </row>
        <row r="47">
          <cell r="B47" t="str">
            <v>NJ</v>
          </cell>
          <cell r="AD47">
            <v>4000</v>
          </cell>
          <cell r="AE47">
            <v>4000</v>
          </cell>
          <cell r="AF47">
            <v>4000</v>
          </cell>
        </row>
        <row r="48">
          <cell r="B48" t="str">
            <v>NM</v>
          </cell>
          <cell r="AD48">
            <v>4000</v>
          </cell>
          <cell r="AE48">
            <v>4000</v>
          </cell>
          <cell r="AF48">
            <v>4000</v>
          </cell>
        </row>
        <row r="49">
          <cell r="B49" t="str">
            <v>NY</v>
          </cell>
          <cell r="AD49">
            <v>4000</v>
          </cell>
          <cell r="AE49">
            <v>4000</v>
          </cell>
          <cell r="AF49">
            <v>4000</v>
          </cell>
        </row>
        <row r="50">
          <cell r="B50" t="str">
            <v>NC</v>
          </cell>
          <cell r="AD50">
            <v>4000</v>
          </cell>
          <cell r="AE50">
            <v>4000</v>
          </cell>
          <cell r="AF50">
            <v>4000</v>
          </cell>
        </row>
        <row r="51">
          <cell r="B51" t="str">
            <v>ND</v>
          </cell>
          <cell r="AD51">
            <v>4000</v>
          </cell>
          <cell r="AE51">
            <v>4000</v>
          </cell>
          <cell r="AF51">
            <v>4000</v>
          </cell>
        </row>
        <row r="52">
          <cell r="B52" t="str">
            <v>OH</v>
          </cell>
          <cell r="AD52">
            <v>4000</v>
          </cell>
          <cell r="AE52">
            <v>4000</v>
          </cell>
          <cell r="AF52">
            <v>4000</v>
          </cell>
        </row>
        <row r="53">
          <cell r="B53" t="str">
            <v>OK</v>
          </cell>
          <cell r="AD53">
            <v>4000</v>
          </cell>
          <cell r="AE53">
            <v>4000</v>
          </cell>
          <cell r="AF53">
            <v>4000</v>
          </cell>
        </row>
        <row r="54">
          <cell r="B54" t="str">
            <v>OR</v>
          </cell>
          <cell r="AD54">
            <v>4000</v>
          </cell>
          <cell r="AE54">
            <v>4000</v>
          </cell>
          <cell r="AF54">
            <v>4000</v>
          </cell>
        </row>
        <row r="55">
          <cell r="B55" t="str">
            <v>PA</v>
          </cell>
          <cell r="AD55">
            <v>4000</v>
          </cell>
          <cell r="AE55">
            <v>4000</v>
          </cell>
          <cell r="AF55">
            <v>4000</v>
          </cell>
        </row>
        <row r="56">
          <cell r="B56" t="str">
            <v>RI</v>
          </cell>
          <cell r="AD56">
            <v>4000</v>
          </cell>
          <cell r="AE56">
            <v>4000</v>
          </cell>
          <cell r="AF56">
            <v>4000</v>
          </cell>
        </row>
        <row r="57">
          <cell r="B57" t="str">
            <v>SC</v>
          </cell>
          <cell r="AD57">
            <v>4000</v>
          </cell>
          <cell r="AE57">
            <v>4000</v>
          </cell>
          <cell r="AF57">
            <v>4000</v>
          </cell>
        </row>
        <row r="58">
          <cell r="B58" t="str">
            <v>SD</v>
          </cell>
          <cell r="AD58">
            <v>4000</v>
          </cell>
          <cell r="AE58">
            <v>4000</v>
          </cell>
          <cell r="AF58">
            <v>4000</v>
          </cell>
        </row>
        <row r="59">
          <cell r="B59" t="str">
            <v>TN</v>
          </cell>
          <cell r="AD59">
            <v>4000</v>
          </cell>
          <cell r="AE59">
            <v>4000</v>
          </cell>
          <cell r="AF59">
            <v>4000</v>
          </cell>
        </row>
        <row r="60">
          <cell r="B60" t="str">
            <v>TX</v>
          </cell>
          <cell r="AD60">
            <v>4000</v>
          </cell>
          <cell r="AE60">
            <v>4000</v>
          </cell>
          <cell r="AF60">
            <v>4000</v>
          </cell>
        </row>
        <row r="61">
          <cell r="B61" t="str">
            <v>UT</v>
          </cell>
          <cell r="AD61">
            <v>4000</v>
          </cell>
          <cell r="AE61">
            <v>4000</v>
          </cell>
          <cell r="AF61">
            <v>4000</v>
          </cell>
        </row>
        <row r="62">
          <cell r="B62" t="str">
            <v>VT</v>
          </cell>
          <cell r="AD62">
            <v>4000</v>
          </cell>
          <cell r="AE62">
            <v>4000</v>
          </cell>
          <cell r="AF62">
            <v>4000</v>
          </cell>
        </row>
        <row r="63">
          <cell r="B63" t="str">
            <v>VA</v>
          </cell>
          <cell r="AD63">
            <v>4000</v>
          </cell>
          <cell r="AE63">
            <v>4000</v>
          </cell>
          <cell r="AF63">
            <v>4000</v>
          </cell>
        </row>
        <row r="64">
          <cell r="B64" t="str">
            <v>WA</v>
          </cell>
          <cell r="AD64">
            <v>4000</v>
          </cell>
          <cell r="AE64">
            <v>4000</v>
          </cell>
          <cell r="AF64">
            <v>4000</v>
          </cell>
        </row>
        <row r="65">
          <cell r="B65" t="str">
            <v>WV</v>
          </cell>
          <cell r="AD65">
            <v>4000</v>
          </cell>
          <cell r="AE65">
            <v>4000</v>
          </cell>
          <cell r="AF65">
            <v>4000</v>
          </cell>
        </row>
        <row r="66">
          <cell r="B66" t="str">
            <v>WI</v>
          </cell>
          <cell r="AD66">
            <v>4000</v>
          </cell>
          <cell r="AE66">
            <v>4000</v>
          </cell>
          <cell r="AF66">
            <v>4000</v>
          </cell>
        </row>
        <row r="67">
          <cell r="B67" t="str">
            <v>WY</v>
          </cell>
          <cell r="AD67">
            <v>4000</v>
          </cell>
          <cell r="AE67">
            <v>4000</v>
          </cell>
          <cell r="AF67">
            <v>4000</v>
          </cell>
        </row>
      </sheetData>
      <sheetData sheetId="6"/>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workbookViewId="0">
      <selection activeCell="D11" sqref="D11"/>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18" t="s">
        <v>300</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1"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2" t="s">
        <v>69</v>
      </c>
      <c r="D11" s="241" t="s">
        <v>8</v>
      </c>
      <c r="E11" s="61"/>
      <c r="F11" s="131"/>
      <c r="G11" s="61"/>
      <c r="H11" s="38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3" t="s">
        <v>101</v>
      </c>
      <c r="D12" s="242">
        <v>2020</v>
      </c>
      <c r="E12" s="61"/>
      <c r="F12" s="131"/>
      <c r="G12" s="61" t="s">
        <v>275</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3" t="s">
        <v>153</v>
      </c>
      <c r="D13" s="288" t="s">
        <v>202</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4"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4"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4" t="s">
        <v>65</v>
      </c>
      <c r="D16" s="242" t="s">
        <v>320</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4"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5"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4" t="s">
        <v>66</v>
      </c>
      <c r="D19" s="242" t="s">
        <v>320</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4"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5"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5" t="s">
        <v>287</v>
      </c>
      <c r="D22" s="242">
        <v>0.2</v>
      </c>
      <c r="E22" s="61"/>
      <c r="F22" s="131"/>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14" t="s">
        <v>183</v>
      </c>
      <c r="D23" s="242" t="s">
        <v>320</v>
      </c>
      <c r="E23" s="61"/>
      <c r="F23" s="131"/>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15" t="s">
        <v>181</v>
      </c>
      <c r="D24" s="242" t="s">
        <v>180</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15" t="s">
        <v>182</v>
      </c>
      <c r="D25" s="24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5" t="s">
        <v>288</v>
      </c>
      <c r="D26" s="242">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15" t="s">
        <v>62</v>
      </c>
      <c r="D27" s="242" t="s">
        <v>289</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14" t="s">
        <v>63</v>
      </c>
      <c r="D28" s="242"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440" t="s">
        <v>191</v>
      </c>
      <c r="D29" s="242" t="s">
        <v>187</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 thickBot="1">
      <c r="A30" s="21"/>
      <c r="B30" s="21"/>
      <c r="C30" s="316" t="s">
        <v>308</v>
      </c>
      <c r="D30" s="243">
        <v>1</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108"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108"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106"/>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107"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109"/>
      <c r="G154" s="107"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109"/>
      <c r="G155" s="106"/>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2"/>
      <c r="F156" s="109"/>
      <c r="G156" s="106"/>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t="s">
        <v>289</v>
      </c>
      <c r="F157" s="109"/>
      <c r="G157" s="106"/>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290</v>
      </c>
      <c r="F158" s="109"/>
      <c r="G158" s="107"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9" t="s">
        <v>291</v>
      </c>
      <c r="F159" s="109"/>
      <c r="G159" s="107" t="s">
        <v>60</v>
      </c>
      <c r="H159" s="67"/>
      <c r="I159" s="111"/>
      <c r="J159" s="67" t="s">
        <v>10</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t="s">
        <v>292</v>
      </c>
      <c r="F160" s="109"/>
      <c r="G160" s="110" t="s">
        <v>67</v>
      </c>
      <c r="H160" s="67"/>
      <c r="I160" s="111"/>
      <c r="J160" s="67" t="s">
        <v>201</v>
      </c>
      <c r="K160" s="111"/>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109"/>
      <c r="G161" s="110" t="s">
        <v>61</v>
      </c>
      <c r="H161" s="67"/>
      <c r="I161" s="111"/>
      <c r="J161" s="67" t="s">
        <v>12</v>
      </c>
      <c r="K161" s="111"/>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c r="F162" s="109"/>
      <c r="G162" s="61"/>
      <c r="H162" s="111"/>
      <c r="I162" s="111"/>
      <c r="J162" s="67" t="s">
        <v>13</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t="s">
        <v>59</v>
      </c>
      <c r="F163" s="109"/>
      <c r="G163" s="61"/>
      <c r="H163" s="111"/>
      <c r="I163" s="111"/>
      <c r="J163" s="67" t="s">
        <v>14</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09" t="s">
        <v>64</v>
      </c>
      <c r="F164" s="109"/>
      <c r="G164" s="61"/>
      <c r="H164" s="111"/>
      <c r="I164" s="111"/>
      <c r="J164" s="67" t="s">
        <v>15</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109"/>
      <c r="F165" s="61"/>
      <c r="G165" s="61"/>
      <c r="H165" s="111"/>
      <c r="I165" s="111"/>
      <c r="J165" s="67" t="s">
        <v>16</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9" t="s">
        <v>88</v>
      </c>
      <c r="F166" s="61"/>
      <c r="G166" s="61"/>
      <c r="H166" s="111"/>
      <c r="I166" s="111"/>
      <c r="J166" s="67" t="s">
        <v>17</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111"/>
      <c r="I167" s="111"/>
      <c r="J167" s="67" t="s">
        <v>18</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111"/>
      <c r="I168" s="111"/>
      <c r="J168" s="67" t="s">
        <v>19</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111"/>
      <c r="I169" s="111"/>
      <c r="J169" s="67" t="s">
        <v>20</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111"/>
      <c r="I170" s="109"/>
      <c r="J170" s="67" t="s">
        <v>21</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108" t="s">
        <v>96</v>
      </c>
      <c r="F171" s="61"/>
      <c r="G171" s="61"/>
      <c r="H171" s="111"/>
      <c r="I171" s="109"/>
      <c r="J171" s="67" t="s">
        <v>22</v>
      </c>
      <c r="K171" s="109"/>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113" t="s">
        <v>87</v>
      </c>
      <c r="F172" s="61"/>
      <c r="G172" s="61"/>
      <c r="H172" s="67"/>
      <c r="I172" s="109"/>
      <c r="J172" s="67" t="s">
        <v>23</v>
      </c>
      <c r="K172" s="109"/>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109"/>
      <c r="J173" s="67" t="s">
        <v>24</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203</v>
      </c>
      <c r="F174" s="61"/>
      <c r="G174" s="61"/>
      <c r="H174" s="61"/>
      <c r="I174" s="109"/>
      <c r="J174" s="67" t="s">
        <v>25</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202</v>
      </c>
      <c r="F175" s="61"/>
      <c r="G175" s="61"/>
      <c r="H175" s="61"/>
      <c r="I175" s="109"/>
      <c r="J175" s="67" t="s">
        <v>26</v>
      </c>
      <c r="K175" s="109"/>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204</v>
      </c>
      <c r="F176" s="61"/>
      <c r="G176" s="61"/>
      <c r="H176" s="61"/>
      <c r="I176" s="109"/>
      <c r="J176" s="67" t="s">
        <v>27</v>
      </c>
      <c r="K176" s="109"/>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179</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16">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16">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16">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6">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6">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16">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16">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108" t="s">
        <v>84</v>
      </c>
      <c r="F211" s="61"/>
      <c r="G211" s="61"/>
      <c r="H211" s="61"/>
      <c r="I211" s="61"/>
      <c r="J211" s="116">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16">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6">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187</v>
      </c>
      <c r="F214" s="61"/>
      <c r="G214" s="61"/>
      <c r="H214" s="61"/>
      <c r="I214" s="61"/>
      <c r="J214" s="116">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188</v>
      </c>
      <c r="F215" s="61"/>
      <c r="G215" s="61"/>
      <c r="H215" s="61"/>
      <c r="I215" s="61"/>
      <c r="J215" s="116">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189</v>
      </c>
      <c r="F216" s="61"/>
      <c r="G216" s="61"/>
      <c r="H216" s="61"/>
      <c r="I216" s="61"/>
      <c r="J216" s="116">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190</v>
      </c>
      <c r="F217" s="61"/>
      <c r="G217" s="61"/>
      <c r="H217" s="61"/>
      <c r="I217" s="61"/>
      <c r="J217" s="116">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6">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6">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196</v>
      </c>
      <c r="F220" s="61"/>
      <c r="G220" s="61"/>
      <c r="H220" s="61"/>
      <c r="I220" s="61"/>
      <c r="J220" s="116">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197</v>
      </c>
      <c r="F221" s="61"/>
      <c r="G221" s="61"/>
      <c r="H221" s="61"/>
      <c r="I221" s="61"/>
      <c r="J221" s="116">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198</v>
      </c>
      <c r="F222" s="61"/>
      <c r="G222" s="61"/>
      <c r="H222" s="61"/>
      <c r="I222" s="61"/>
      <c r="J222" s="116">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199</v>
      </c>
      <c r="F223" s="61"/>
      <c r="G223" s="61"/>
      <c r="H223" s="61"/>
      <c r="I223" s="61"/>
      <c r="J223" s="116">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200</v>
      </c>
      <c r="F224" s="61"/>
      <c r="G224" s="61"/>
      <c r="H224" s="61"/>
      <c r="I224" s="61"/>
      <c r="J224" s="116">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320</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321</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322</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3">
    <dataValidation type="list" allowBlank="1" showInputMessage="1" showErrorMessage="1" sqref="D28">
      <formula1>"No Carbon Price, Price Based On State Carbon Intensity, Price Based On NG Offset"</formula1>
    </dataValidation>
    <dataValidation type="list" allowBlank="1" showInputMessage="1" showErrorMessage="1" sqref="D23">
      <formula1>$J$227:$J$229</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 type="whole" showInputMessage="1" showErrorMessage="1" sqref="D30">
      <formula1>-10000000000</formula1>
      <formula2>10000000000</formula2>
    </dataValidation>
    <dataValidation type="list" allowBlank="1" showInputMessage="1" showErrorMessage="1" sqref="D16 D19">
      <formula1>$J$227:$J$229</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89"/>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80" t="s">
        <v>109</v>
      </c>
      <c r="D2" s="89"/>
      <c r="E2" s="88"/>
      <c r="F2" s="88"/>
      <c r="G2" s="88"/>
      <c r="H2" s="88"/>
      <c r="I2" s="88"/>
      <c r="J2" s="88"/>
      <c r="K2" s="88"/>
      <c r="L2" s="88"/>
      <c r="M2" s="88"/>
      <c r="N2" s="88"/>
      <c r="O2" s="88"/>
      <c r="P2" s="88"/>
      <c r="Q2" s="88"/>
      <c r="R2" s="88"/>
      <c r="S2" s="88"/>
      <c r="T2" s="88"/>
      <c r="U2" s="88"/>
      <c r="V2" s="88"/>
      <c r="W2" s="88"/>
      <c r="X2" s="88"/>
      <c r="Y2" s="432"/>
      <c r="Z2" s="432"/>
      <c r="AA2" s="432"/>
      <c r="AB2" s="432"/>
      <c r="AC2" s="432"/>
      <c r="AD2" s="432"/>
      <c r="AE2" s="432"/>
      <c r="AF2" s="432"/>
      <c r="AG2" s="432"/>
      <c r="AH2" s="432"/>
      <c r="AI2" s="432"/>
      <c r="AJ2" s="432"/>
      <c r="AK2" s="432"/>
      <c r="AL2" s="432"/>
      <c r="AM2" s="432"/>
      <c r="AN2" s="432"/>
      <c r="AO2" s="432"/>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88"/>
      <c r="X3" s="88"/>
      <c r="Y3" s="432"/>
      <c r="Z3" s="432"/>
      <c r="AA3" s="432"/>
      <c r="AB3" s="432"/>
      <c r="AC3" s="432"/>
      <c r="AD3" s="432"/>
      <c r="AE3" s="432"/>
      <c r="AF3" s="432"/>
      <c r="AG3" s="432"/>
      <c r="AH3" s="432"/>
      <c r="AI3" s="432"/>
      <c r="AJ3" s="432"/>
      <c r="AK3" s="432"/>
      <c r="AL3" s="432"/>
      <c r="AM3" s="432"/>
      <c r="AN3" s="432"/>
      <c r="AO3" s="432"/>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20"/>
      <c r="D4" s="421"/>
      <c r="E4" s="421"/>
      <c r="F4" s="422"/>
      <c r="G4" s="423" t="s">
        <v>305</v>
      </c>
      <c r="H4" s="422"/>
      <c r="I4" s="421"/>
      <c r="J4" s="424"/>
      <c r="K4" s="88"/>
      <c r="L4" s="88"/>
      <c r="M4" s="88"/>
      <c r="N4" s="88"/>
      <c r="O4" s="88"/>
      <c r="P4" s="88"/>
      <c r="Q4" s="88"/>
      <c r="R4" s="88"/>
      <c r="S4" s="88"/>
      <c r="T4" s="88"/>
      <c r="U4" s="88"/>
      <c r="V4" s="88"/>
      <c r="W4" s="88"/>
      <c r="X4" s="88"/>
      <c r="Y4" s="432"/>
      <c r="Z4" s="432"/>
      <c r="AA4" s="432"/>
      <c r="AB4" s="432"/>
      <c r="AC4" s="432"/>
      <c r="AD4" s="432"/>
      <c r="AE4" s="432"/>
      <c r="AF4" s="432"/>
      <c r="AG4" s="432"/>
      <c r="AH4" s="432"/>
      <c r="AI4" s="432"/>
      <c r="AJ4" s="432"/>
      <c r="AK4" s="432"/>
      <c r="AL4" s="432"/>
      <c r="AM4" s="432"/>
      <c r="AN4" s="432"/>
      <c r="AO4" s="432"/>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36" t="s">
        <v>160</v>
      </c>
      <c r="D5" s="434">
        <v>0.03</v>
      </c>
      <c r="E5" s="425" t="s">
        <v>161</v>
      </c>
      <c r="F5" s="426"/>
      <c r="G5" s="427" t="s">
        <v>302</v>
      </c>
      <c r="H5" s="426"/>
      <c r="I5" s="433" t="s">
        <v>306</v>
      </c>
      <c r="J5" s="428"/>
      <c r="K5" s="88"/>
      <c r="L5" s="88"/>
      <c r="M5" s="88"/>
      <c r="N5" s="88"/>
      <c r="O5" s="88"/>
      <c r="P5" s="88"/>
      <c r="Q5" s="88"/>
      <c r="R5" s="88"/>
      <c r="S5" s="88"/>
      <c r="T5" s="88"/>
      <c r="U5" s="88"/>
      <c r="V5" s="88"/>
      <c r="W5" s="88"/>
      <c r="X5" s="88"/>
      <c r="Y5" s="432"/>
      <c r="Z5" s="432"/>
      <c r="AA5" s="432"/>
      <c r="AB5" s="432"/>
      <c r="AC5" s="432"/>
      <c r="AD5" s="432"/>
      <c r="AE5" s="432"/>
      <c r="AF5" s="432"/>
      <c r="AG5" s="432"/>
      <c r="AH5" s="432"/>
      <c r="AI5" s="432"/>
      <c r="AJ5" s="432"/>
      <c r="AK5" s="432"/>
      <c r="AL5" s="432"/>
      <c r="AM5" s="432"/>
      <c r="AN5" s="432"/>
      <c r="AO5" s="432"/>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35"/>
      <c r="C6" s="437"/>
      <c r="D6" s="434">
        <v>1.4999999999999999E-2</v>
      </c>
      <c r="E6" s="425" t="s">
        <v>161</v>
      </c>
      <c r="F6" s="426"/>
      <c r="G6" s="427" t="s">
        <v>303</v>
      </c>
      <c r="H6" s="429"/>
      <c r="I6" s="439" t="s">
        <v>307</v>
      </c>
      <c r="J6" s="428"/>
      <c r="K6" s="88"/>
      <c r="L6" s="88"/>
      <c r="M6" s="88"/>
      <c r="N6" s="88"/>
      <c r="O6" s="88"/>
      <c r="P6" s="88"/>
      <c r="Q6" s="88"/>
      <c r="R6" s="88"/>
      <c r="S6" s="88"/>
      <c r="T6" s="88"/>
      <c r="U6" s="88"/>
      <c r="V6" s="88"/>
      <c r="W6" s="88"/>
      <c r="X6" s="88"/>
      <c r="Y6" s="432"/>
      <c r="Z6" s="432"/>
      <c r="AA6" s="432"/>
      <c r="AB6" s="432"/>
      <c r="AC6" s="432"/>
      <c r="AD6" s="432"/>
      <c r="AE6" s="432"/>
      <c r="AF6" s="432"/>
      <c r="AG6" s="432"/>
      <c r="AH6" s="432"/>
      <c r="AI6" s="432"/>
      <c r="AJ6" s="432"/>
      <c r="AK6" s="432"/>
      <c r="AL6" s="432"/>
      <c r="AM6" s="432"/>
      <c r="AN6" s="432"/>
      <c r="AO6" s="432"/>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35"/>
      <c r="C7" s="437"/>
      <c r="D7" s="434">
        <v>8.9999999999999993E-3</v>
      </c>
      <c r="E7" s="425" t="s">
        <v>161</v>
      </c>
      <c r="F7" s="429"/>
      <c r="G7" s="427" t="s">
        <v>304</v>
      </c>
      <c r="H7" s="429"/>
      <c r="I7" s="254"/>
      <c r="J7" s="428"/>
      <c r="K7" s="88"/>
      <c r="L7" s="88"/>
      <c r="M7" s="88"/>
      <c r="N7" s="88"/>
      <c r="O7" s="88"/>
      <c r="P7" s="88"/>
      <c r="Q7" s="88"/>
      <c r="R7" s="88"/>
      <c r="S7" s="88"/>
      <c r="T7" s="88"/>
      <c r="U7" s="88"/>
      <c r="V7" s="88"/>
      <c r="W7" s="88"/>
      <c r="X7" s="88"/>
      <c r="Y7" s="88"/>
      <c r="Z7" s="88"/>
      <c r="AA7" s="88"/>
      <c r="AB7" s="88"/>
      <c r="AC7" s="88"/>
      <c r="AD7" s="88"/>
      <c r="AE7" s="88"/>
      <c r="AF7" s="88"/>
      <c r="AG7" s="408"/>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38"/>
      <c r="D8" s="430"/>
      <c r="E8" s="430"/>
      <c r="F8" s="430"/>
      <c r="G8" s="430"/>
      <c r="H8" s="430"/>
      <c r="I8" s="430"/>
      <c r="J8" s="431"/>
      <c r="K8" s="88"/>
      <c r="L8" s="88"/>
      <c r="M8" s="88"/>
      <c r="N8" s="202"/>
      <c r="O8" s="202"/>
      <c r="P8" s="202"/>
      <c r="Q8" s="202"/>
      <c r="R8" s="202"/>
      <c r="S8" s="202"/>
      <c r="T8" s="202"/>
      <c r="U8" s="202"/>
      <c r="V8" s="202"/>
      <c r="W8" s="408"/>
      <c r="X8" s="88"/>
      <c r="Y8" s="88"/>
      <c r="Z8" s="88"/>
      <c r="AA8" s="88"/>
      <c r="AB8" s="88"/>
      <c r="AC8" s="88"/>
      <c r="AD8" s="88"/>
      <c r="AE8" s="88"/>
      <c r="AF8" s="88"/>
      <c r="AG8" s="408"/>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19"/>
      <c r="D9" s="88"/>
      <c r="E9" s="88"/>
      <c r="F9" s="88"/>
      <c r="G9" s="88"/>
      <c r="H9" s="88"/>
      <c r="I9" s="88"/>
      <c r="J9" s="88"/>
      <c r="K9" s="88"/>
      <c r="L9" s="88"/>
      <c r="M9" s="88"/>
      <c r="N9" s="88"/>
      <c r="O9" s="88"/>
      <c r="P9" s="88"/>
      <c r="Q9" s="88"/>
      <c r="R9" s="88"/>
      <c r="S9" s="88"/>
      <c r="T9" s="88"/>
      <c r="U9" s="88"/>
      <c r="V9" s="88"/>
      <c r="W9" s="408"/>
      <c r="X9" s="88"/>
      <c r="Y9" s="88"/>
      <c r="Z9" s="88"/>
      <c r="AA9" s="88"/>
      <c r="AB9" s="88"/>
      <c r="AC9" s="88"/>
      <c r="AD9" s="88"/>
      <c r="AE9" s="88"/>
      <c r="AF9" s="88"/>
      <c r="AG9" s="408"/>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408"/>
      <c r="X10" s="88"/>
      <c r="Y10" s="88"/>
      <c r="Z10" s="88"/>
      <c r="AA10" s="88"/>
      <c r="AB10" s="88"/>
      <c r="AC10" s="88"/>
      <c r="AD10" s="88"/>
      <c r="AE10" s="88"/>
      <c r="AF10" s="88"/>
      <c r="AG10" s="408"/>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254"/>
      <c r="C11" s="88"/>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408"/>
      <c r="X11" s="254"/>
      <c r="Y11" s="88"/>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14057.532827154573</v>
      </c>
      <c r="E12" s="257">
        <f>D12*(1-$D$5)^2</f>
        <v>13226.732637069737</v>
      </c>
      <c r="F12" s="257">
        <f t="shared" ref="F12:V12" si="0">E12*(1-$D$5)^2</f>
        <v>12445.032738218915</v>
      </c>
      <c r="G12" s="257">
        <f t="shared" si="0"/>
        <v>11709.531303390177</v>
      </c>
      <c r="H12" s="257">
        <f t="shared" si="0"/>
        <v>11017.498003359817</v>
      </c>
      <c r="I12" s="257">
        <f t="shared" si="0"/>
        <v>10366.363871361251</v>
      </c>
      <c r="J12" s="257">
        <f t="shared" si="0"/>
        <v>9753.7117665637998</v>
      </c>
      <c r="K12" s="257">
        <f t="shared" si="0"/>
        <v>9177.2674011598792</v>
      </c>
      <c r="L12" s="257">
        <f t="shared" si="0"/>
        <v>8634.8908977513292</v>
      </c>
      <c r="M12" s="257">
        <f t="shared" si="0"/>
        <v>8124.5688456942253</v>
      </c>
      <c r="N12" s="257">
        <f t="shared" si="0"/>
        <v>7644.406826913696</v>
      </c>
      <c r="O12" s="257">
        <f t="shared" si="0"/>
        <v>7192.6223834430966</v>
      </c>
      <c r="P12" s="257">
        <f t="shared" si="0"/>
        <v>6767.5384005816095</v>
      </c>
      <c r="Q12" s="257">
        <f t="shared" si="0"/>
        <v>6367.5768811072357</v>
      </c>
      <c r="R12" s="257">
        <f t="shared" si="0"/>
        <v>5991.2530874337981</v>
      </c>
      <c r="S12" s="257">
        <f t="shared" si="0"/>
        <v>5637.1700299664608</v>
      </c>
      <c r="T12" s="257">
        <f t="shared" si="0"/>
        <v>5304.0132811954427</v>
      </c>
      <c r="U12" s="257">
        <f t="shared" si="0"/>
        <v>4990.546096276792</v>
      </c>
      <c r="V12" s="257">
        <f t="shared" si="0"/>
        <v>4695.6048219868335</v>
      </c>
      <c r="W12" s="253"/>
      <c r="X12" s="255"/>
      <c r="Y12" s="256" t="s">
        <v>110</v>
      </c>
      <c r="Z12" s="268">
        <v>4196.0970660021721</v>
      </c>
      <c r="AA12" s="257">
        <f>Z12*(1-$D$6)^2</f>
        <v>4071.1582758619575</v>
      </c>
      <c r="AB12" s="257">
        <f t="shared" ref="AB12:AR12" si="1">AA12*(1-$D$6)^2</f>
        <v>3949.9395381981676</v>
      </c>
      <c r="AC12" s="257">
        <f t="shared" si="1"/>
        <v>3832.3300884483174</v>
      </c>
      <c r="AD12" s="257">
        <f t="shared" si="1"/>
        <v>3718.2224600647687</v>
      </c>
      <c r="AE12" s="257">
        <f t="shared" si="1"/>
        <v>3607.5123863163403</v>
      </c>
      <c r="AF12" s="257">
        <f t="shared" si="1"/>
        <v>3500.0987050137715</v>
      </c>
      <c r="AG12" s="257">
        <f t="shared" si="1"/>
        <v>3395.8832660719863</v>
      </c>
      <c r="AH12" s="257">
        <f t="shared" si="1"/>
        <v>3294.770841824693</v>
      </c>
      <c r="AI12" s="257">
        <f t="shared" si="1"/>
        <v>3196.6690400093626</v>
      </c>
      <c r="AJ12" s="257">
        <f t="shared" si="1"/>
        <v>3101.488219343084</v>
      </c>
      <c r="AK12" s="257">
        <f t="shared" si="1"/>
        <v>3009.1414076121437</v>
      </c>
      <c r="AL12" s="257">
        <f t="shared" si="1"/>
        <v>2919.5442222004922</v>
      </c>
      <c r="AM12" s="257">
        <f t="shared" si="1"/>
        <v>2832.6147929844724</v>
      </c>
      <c r="AN12" s="257">
        <f t="shared" si="1"/>
        <v>2748.2736875233595</v>
      </c>
      <c r="AO12" s="257">
        <f t="shared" si="1"/>
        <v>2666.4438384773516</v>
      </c>
      <c r="AP12" s="257">
        <f t="shared" si="1"/>
        <v>2587.0504731866886</v>
      </c>
      <c r="AQ12" s="257">
        <f t="shared" si="1"/>
        <v>2510.0210453475547</v>
      </c>
      <c r="AR12" s="257">
        <f t="shared" si="1"/>
        <v>2435.2851687223315</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0.02</v>
      </c>
      <c r="E14" s="260">
        <v>0.02</v>
      </c>
      <c r="F14" s="260">
        <v>0.02</v>
      </c>
      <c r="G14" s="260">
        <v>0.02</v>
      </c>
      <c r="H14" s="260">
        <v>0.02</v>
      </c>
      <c r="I14" s="260">
        <v>0.02</v>
      </c>
      <c r="J14" s="260">
        <v>0.02</v>
      </c>
      <c r="K14" s="260">
        <v>0.02</v>
      </c>
      <c r="L14" s="260">
        <v>0.02</v>
      </c>
      <c r="M14" s="260">
        <v>0.02</v>
      </c>
      <c r="N14" s="260">
        <v>0.02</v>
      </c>
      <c r="O14" s="260">
        <v>0.02</v>
      </c>
      <c r="P14" s="260">
        <v>0.02</v>
      </c>
      <c r="Q14" s="260">
        <v>0.02</v>
      </c>
      <c r="R14" s="260">
        <v>0.02</v>
      </c>
      <c r="S14" s="260">
        <v>0.02</v>
      </c>
      <c r="T14" s="260">
        <v>0.02</v>
      </c>
      <c r="U14" s="260">
        <v>0.02</v>
      </c>
      <c r="V14" s="272">
        <v>0.02</v>
      </c>
      <c r="W14" s="88"/>
      <c r="X14" s="259" t="s">
        <v>157</v>
      </c>
      <c r="Y14" s="258" t="s">
        <v>162</v>
      </c>
      <c r="Z14" s="271">
        <v>0.02</v>
      </c>
      <c r="AA14" s="260">
        <v>0.02</v>
      </c>
      <c r="AB14" s="260">
        <v>0.02</v>
      </c>
      <c r="AC14" s="260">
        <v>0.02</v>
      </c>
      <c r="AD14" s="260">
        <v>0.02</v>
      </c>
      <c r="AE14" s="260">
        <v>0.02</v>
      </c>
      <c r="AF14" s="260">
        <v>0.02</v>
      </c>
      <c r="AG14" s="260">
        <v>0.02</v>
      </c>
      <c r="AH14" s="260">
        <v>0.02</v>
      </c>
      <c r="AI14" s="260">
        <v>0.02</v>
      </c>
      <c r="AJ14" s="260">
        <v>0.02</v>
      </c>
      <c r="AK14" s="260">
        <v>0.02</v>
      </c>
      <c r="AL14" s="260">
        <v>0.02</v>
      </c>
      <c r="AM14" s="260">
        <v>0.02</v>
      </c>
      <c r="AN14" s="260">
        <v>0.02</v>
      </c>
      <c r="AO14" s="260">
        <v>0.02</v>
      </c>
      <c r="AP14" s="260">
        <v>0.02</v>
      </c>
      <c r="AQ14" s="260">
        <v>0.02</v>
      </c>
      <c r="AR14" s="260">
        <v>0.02</v>
      </c>
      <c r="AS14" s="89"/>
      <c r="AT14" s="94"/>
      <c r="AU14" s="94"/>
      <c r="AV14" s="94"/>
      <c r="AW14" s="94"/>
      <c r="AX14" s="94"/>
      <c r="AY14" s="94"/>
      <c r="AZ14" s="89"/>
      <c r="BA14" s="89"/>
      <c r="BB14" s="89"/>
      <c r="BC14" s="89"/>
      <c r="BD14" s="89"/>
      <c r="BE14" s="89"/>
      <c r="BF14" s="89"/>
    </row>
    <row r="15" spans="1:121" ht="14.25" customHeight="1">
      <c r="A15" s="100"/>
      <c r="B15" s="261"/>
      <c r="C15" s="258" t="s">
        <v>111</v>
      </c>
      <c r="D15" s="273">
        <v>30</v>
      </c>
      <c r="E15" s="117">
        <f>D15</f>
        <v>30</v>
      </c>
      <c r="F15" s="117">
        <f t="shared" ref="F15:V15" si="2">E15</f>
        <v>30</v>
      </c>
      <c r="G15" s="117">
        <f t="shared" si="2"/>
        <v>30</v>
      </c>
      <c r="H15" s="117">
        <f t="shared" si="2"/>
        <v>30</v>
      </c>
      <c r="I15" s="117">
        <f t="shared" si="2"/>
        <v>30</v>
      </c>
      <c r="J15" s="117">
        <f t="shared" si="2"/>
        <v>30</v>
      </c>
      <c r="K15" s="117">
        <f t="shared" si="2"/>
        <v>30</v>
      </c>
      <c r="L15" s="117">
        <f t="shared" si="2"/>
        <v>30</v>
      </c>
      <c r="M15" s="117">
        <f t="shared" si="2"/>
        <v>30</v>
      </c>
      <c r="N15" s="117">
        <f t="shared" si="2"/>
        <v>30</v>
      </c>
      <c r="O15" s="117">
        <f t="shared" si="2"/>
        <v>30</v>
      </c>
      <c r="P15" s="117">
        <f t="shared" si="2"/>
        <v>30</v>
      </c>
      <c r="Q15" s="117">
        <f t="shared" si="2"/>
        <v>30</v>
      </c>
      <c r="R15" s="117">
        <f t="shared" si="2"/>
        <v>30</v>
      </c>
      <c r="S15" s="117">
        <f t="shared" si="2"/>
        <v>30</v>
      </c>
      <c r="T15" s="117">
        <f t="shared" si="2"/>
        <v>30</v>
      </c>
      <c r="U15" s="117">
        <f t="shared" si="2"/>
        <v>30</v>
      </c>
      <c r="V15" s="117">
        <f t="shared" si="2"/>
        <v>30</v>
      </c>
      <c r="W15" s="88"/>
      <c r="X15" s="261"/>
      <c r="Y15" s="258" t="s">
        <v>111</v>
      </c>
      <c r="Z15" s="273">
        <v>50</v>
      </c>
      <c r="AA15" s="117">
        <f>Z15</f>
        <v>50</v>
      </c>
      <c r="AB15" s="117">
        <f t="shared" ref="AB15:AR15" si="3">AA15</f>
        <v>50</v>
      </c>
      <c r="AC15" s="117">
        <f t="shared" si="3"/>
        <v>50</v>
      </c>
      <c r="AD15" s="117">
        <f t="shared" si="3"/>
        <v>50</v>
      </c>
      <c r="AE15" s="117">
        <f t="shared" si="3"/>
        <v>50</v>
      </c>
      <c r="AF15" s="117">
        <f t="shared" si="3"/>
        <v>50</v>
      </c>
      <c r="AG15" s="117">
        <f t="shared" si="3"/>
        <v>50</v>
      </c>
      <c r="AH15" s="117">
        <f t="shared" si="3"/>
        <v>50</v>
      </c>
      <c r="AI15" s="117">
        <f t="shared" si="3"/>
        <v>50</v>
      </c>
      <c r="AJ15" s="117">
        <f t="shared" si="3"/>
        <v>50</v>
      </c>
      <c r="AK15" s="117">
        <f t="shared" si="3"/>
        <v>50</v>
      </c>
      <c r="AL15" s="117">
        <f t="shared" si="3"/>
        <v>50</v>
      </c>
      <c r="AM15" s="117">
        <f t="shared" si="3"/>
        <v>50</v>
      </c>
      <c r="AN15" s="117">
        <f t="shared" si="3"/>
        <v>50</v>
      </c>
      <c r="AO15" s="117">
        <f t="shared" si="3"/>
        <v>50</v>
      </c>
      <c r="AP15" s="117">
        <f t="shared" si="3"/>
        <v>50</v>
      </c>
      <c r="AQ15" s="117">
        <f t="shared" si="3"/>
        <v>50</v>
      </c>
      <c r="AR15" s="117">
        <f t="shared" si="3"/>
        <v>50</v>
      </c>
      <c r="AS15" s="90"/>
      <c r="AT15" s="94"/>
      <c r="AU15" s="94"/>
      <c r="AV15" s="94"/>
      <c r="AW15" s="94"/>
      <c r="AX15" s="94"/>
      <c r="AY15" s="94"/>
      <c r="AZ15" s="89"/>
      <c r="BA15" s="89"/>
      <c r="BB15" s="89"/>
      <c r="BC15" s="89"/>
      <c r="BD15" s="89"/>
      <c r="BE15" s="89"/>
      <c r="BF15" s="89"/>
    </row>
    <row r="16" spans="1:121" ht="18.75" customHeight="1" thickBot="1">
      <c r="A16" s="88"/>
      <c r="B16" s="129"/>
      <c r="C16" s="262" t="s">
        <v>194</v>
      </c>
      <c r="D16" s="274">
        <v>336</v>
      </c>
      <c r="E16" s="335">
        <f>D16</f>
        <v>336</v>
      </c>
      <c r="F16" s="335">
        <f t="shared" ref="F16:V16" si="4">E16</f>
        <v>336</v>
      </c>
      <c r="G16" s="335">
        <f t="shared" si="4"/>
        <v>336</v>
      </c>
      <c r="H16" s="335">
        <f t="shared" si="4"/>
        <v>336</v>
      </c>
      <c r="I16" s="335">
        <f t="shared" si="4"/>
        <v>336</v>
      </c>
      <c r="J16" s="335">
        <f t="shared" si="4"/>
        <v>336</v>
      </c>
      <c r="K16" s="335">
        <f t="shared" si="4"/>
        <v>336</v>
      </c>
      <c r="L16" s="335">
        <f t="shared" si="4"/>
        <v>336</v>
      </c>
      <c r="M16" s="335">
        <f t="shared" si="4"/>
        <v>336</v>
      </c>
      <c r="N16" s="335">
        <f t="shared" si="4"/>
        <v>336</v>
      </c>
      <c r="O16" s="335">
        <f t="shared" si="4"/>
        <v>336</v>
      </c>
      <c r="P16" s="335">
        <f t="shared" si="4"/>
        <v>336</v>
      </c>
      <c r="Q16" s="335">
        <f t="shared" si="4"/>
        <v>336</v>
      </c>
      <c r="R16" s="335">
        <f t="shared" si="4"/>
        <v>336</v>
      </c>
      <c r="S16" s="335">
        <f t="shared" si="4"/>
        <v>336</v>
      </c>
      <c r="T16" s="335">
        <f t="shared" si="4"/>
        <v>336</v>
      </c>
      <c r="U16" s="335">
        <f t="shared" si="4"/>
        <v>336</v>
      </c>
      <c r="V16" s="335">
        <f t="shared" si="4"/>
        <v>336</v>
      </c>
      <c r="W16" s="88"/>
      <c r="X16" s="129"/>
      <c r="Y16" s="262" t="s">
        <v>194</v>
      </c>
      <c r="Z16" s="274">
        <v>10.757999999999999</v>
      </c>
      <c r="AA16" s="275">
        <f>Z16</f>
        <v>10.757999999999999</v>
      </c>
      <c r="AB16" s="275">
        <f t="shared" ref="AB16:AR16" si="5">AA16</f>
        <v>10.757999999999999</v>
      </c>
      <c r="AC16" s="275">
        <f t="shared" si="5"/>
        <v>10.757999999999999</v>
      </c>
      <c r="AD16" s="275">
        <f t="shared" si="5"/>
        <v>10.757999999999999</v>
      </c>
      <c r="AE16" s="275">
        <f t="shared" si="5"/>
        <v>10.757999999999999</v>
      </c>
      <c r="AF16" s="275">
        <f t="shared" si="5"/>
        <v>10.757999999999999</v>
      </c>
      <c r="AG16" s="275">
        <f t="shared" si="5"/>
        <v>10.757999999999999</v>
      </c>
      <c r="AH16" s="275">
        <f t="shared" si="5"/>
        <v>10.757999999999999</v>
      </c>
      <c r="AI16" s="275">
        <f t="shared" si="5"/>
        <v>10.757999999999999</v>
      </c>
      <c r="AJ16" s="275">
        <f t="shared" si="5"/>
        <v>10.757999999999999</v>
      </c>
      <c r="AK16" s="275">
        <f t="shared" si="5"/>
        <v>10.757999999999999</v>
      </c>
      <c r="AL16" s="275">
        <f t="shared" si="5"/>
        <v>10.757999999999999</v>
      </c>
      <c r="AM16" s="275">
        <f t="shared" si="5"/>
        <v>10.757999999999999</v>
      </c>
      <c r="AN16" s="275">
        <f t="shared" si="5"/>
        <v>10.757999999999999</v>
      </c>
      <c r="AO16" s="275">
        <f t="shared" si="5"/>
        <v>10.757999999999999</v>
      </c>
      <c r="AP16" s="275">
        <f t="shared" si="5"/>
        <v>10.757999999999999</v>
      </c>
      <c r="AQ16" s="275">
        <f t="shared" si="5"/>
        <v>10.757999999999999</v>
      </c>
      <c r="AR16" s="275">
        <f t="shared" si="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c r="A18" s="88"/>
      <c r="B18" s="254"/>
      <c r="C18" s="88"/>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88"/>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8006.4074732891868</v>
      </c>
      <c r="E19" s="257">
        <f>D19*(1-$D$5)^2</f>
        <v>7533.2287916177957</v>
      </c>
      <c r="F19" s="257">
        <f t="shared" ref="F19:V19" si="6">E19*(1-$D$5)^2</f>
        <v>7088.014970033184</v>
      </c>
      <c r="G19" s="257">
        <f t="shared" si="6"/>
        <v>6669.1132853042227</v>
      </c>
      <c r="H19" s="257">
        <f t="shared" si="6"/>
        <v>6274.9686901427431</v>
      </c>
      <c r="I19" s="257">
        <f t="shared" si="6"/>
        <v>5904.1180405553068</v>
      </c>
      <c r="J19" s="257">
        <f t="shared" si="6"/>
        <v>5555.1846643584877</v>
      </c>
      <c r="K19" s="257">
        <f t="shared" si="6"/>
        <v>5226.8732506949009</v>
      </c>
      <c r="L19" s="257">
        <f t="shared" si="6"/>
        <v>4917.9650415788319</v>
      </c>
      <c r="M19" s="257">
        <f t="shared" si="6"/>
        <v>4627.3133076215227</v>
      </c>
      <c r="N19" s="257">
        <f t="shared" si="6"/>
        <v>4353.8390911410906</v>
      </c>
      <c r="O19" s="257">
        <f t="shared" si="6"/>
        <v>4096.5272008546517</v>
      </c>
      <c r="P19" s="257">
        <f t="shared" si="6"/>
        <v>3854.4224432841415</v>
      </c>
      <c r="Q19" s="257">
        <f t="shared" si="6"/>
        <v>3626.6260768860484</v>
      </c>
      <c r="R19" s="257">
        <f t="shared" si="6"/>
        <v>3412.2924757420828</v>
      </c>
      <c r="S19" s="257">
        <f t="shared" si="6"/>
        <v>3210.6259904257258</v>
      </c>
      <c r="T19" s="257">
        <f t="shared" si="6"/>
        <v>3020.8779943915652</v>
      </c>
      <c r="U19" s="257">
        <f t="shared" si="6"/>
        <v>2842.3441049230237</v>
      </c>
      <c r="V19" s="257">
        <f t="shared" si="6"/>
        <v>2674.3615683220728</v>
      </c>
      <c r="W19" s="88"/>
      <c r="X19" s="255"/>
      <c r="Y19" s="256" t="s">
        <v>110</v>
      </c>
      <c r="Z19" s="268">
        <v>3471.5567121367853</v>
      </c>
      <c r="AA19" s="257">
        <f>Z19*(1-$D$6)^2</f>
        <v>3368.1911110329124</v>
      </c>
      <c r="AB19" s="257">
        <f t="shared" ref="AB19:AR19" si="7">AA19*(1-$D$6)^2</f>
        <v>3267.9032207019077</v>
      </c>
      <c r="AC19" s="257">
        <f t="shared" si="7"/>
        <v>3170.6014023055086</v>
      </c>
      <c r="AD19" s="257">
        <f t="shared" si="7"/>
        <v>3076.196745551862</v>
      </c>
      <c r="AE19" s="257">
        <f t="shared" si="7"/>
        <v>2984.6029874530554</v>
      </c>
      <c r="AF19" s="257">
        <f t="shared" si="7"/>
        <v>2895.7364335016409</v>
      </c>
      <c r="AG19" s="257">
        <f t="shared" si="7"/>
        <v>2809.5158811941296</v>
      </c>
      <c r="AH19" s="257">
        <f t="shared" si="7"/>
        <v>2725.8625458315746</v>
      </c>
      <c r="AI19" s="257">
        <f t="shared" si="7"/>
        <v>2644.6999885294395</v>
      </c>
      <c r="AJ19" s="257">
        <f t="shared" si="7"/>
        <v>2565.9540463709754</v>
      </c>
      <c r="AK19" s="257">
        <f t="shared" si="7"/>
        <v>2489.5527646402797</v>
      </c>
      <c r="AL19" s="257">
        <f t="shared" si="7"/>
        <v>2415.4263310731153</v>
      </c>
      <c r="AM19" s="257">
        <f t="shared" si="7"/>
        <v>2343.5070120654132</v>
      </c>
      <c r="AN19" s="257">
        <f t="shared" si="7"/>
        <v>2273.7290907811657</v>
      </c>
      <c r="AO19" s="257">
        <f t="shared" si="7"/>
        <v>2206.0288071031564</v>
      </c>
      <c r="AP19" s="257">
        <f t="shared" si="7"/>
        <v>2140.3442993716599</v>
      </c>
      <c r="AQ19" s="257">
        <f t="shared" si="7"/>
        <v>2076.6155478578689</v>
      </c>
      <c r="AR19" s="257">
        <f t="shared" si="7"/>
        <v>2014.784319920401</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0.02</v>
      </c>
      <c r="E21" s="260">
        <v>0.02</v>
      </c>
      <c r="F21" s="260">
        <v>0.02</v>
      </c>
      <c r="G21" s="260">
        <v>0.02</v>
      </c>
      <c r="H21" s="260">
        <v>0.02</v>
      </c>
      <c r="I21" s="260">
        <v>0.02</v>
      </c>
      <c r="J21" s="260">
        <v>0.02</v>
      </c>
      <c r="K21" s="260">
        <v>0.02</v>
      </c>
      <c r="L21" s="260">
        <v>0.02</v>
      </c>
      <c r="M21" s="260">
        <v>0.02</v>
      </c>
      <c r="N21" s="260">
        <v>0.02</v>
      </c>
      <c r="O21" s="260">
        <v>0.02</v>
      </c>
      <c r="P21" s="260">
        <v>0.02</v>
      </c>
      <c r="Q21" s="260">
        <v>0.02</v>
      </c>
      <c r="R21" s="260">
        <v>0.02</v>
      </c>
      <c r="S21" s="260">
        <v>0.02</v>
      </c>
      <c r="T21" s="260">
        <v>0.02</v>
      </c>
      <c r="U21" s="260">
        <v>0.02</v>
      </c>
      <c r="V21" s="260">
        <v>0.02</v>
      </c>
      <c r="W21" s="88"/>
      <c r="X21" s="259" t="s">
        <v>157</v>
      </c>
      <c r="Y21" s="258" t="s">
        <v>162</v>
      </c>
      <c r="Z21" s="271">
        <v>0.02</v>
      </c>
      <c r="AA21" s="260">
        <v>0.02</v>
      </c>
      <c r="AB21" s="260">
        <v>0.02</v>
      </c>
      <c r="AC21" s="260">
        <v>0.02</v>
      </c>
      <c r="AD21" s="260">
        <v>0.02</v>
      </c>
      <c r="AE21" s="260">
        <v>0.02</v>
      </c>
      <c r="AF21" s="260">
        <v>0.02</v>
      </c>
      <c r="AG21" s="260">
        <v>0.02</v>
      </c>
      <c r="AH21" s="260">
        <v>0.02</v>
      </c>
      <c r="AI21" s="260">
        <v>0.02</v>
      </c>
      <c r="AJ21" s="260">
        <v>0.02</v>
      </c>
      <c r="AK21" s="260">
        <v>0.02</v>
      </c>
      <c r="AL21" s="260">
        <v>0.02</v>
      </c>
      <c r="AM21" s="260">
        <v>0.02</v>
      </c>
      <c r="AN21" s="260">
        <v>0.02</v>
      </c>
      <c r="AO21" s="260">
        <v>0.02</v>
      </c>
      <c r="AP21" s="260">
        <v>0.02</v>
      </c>
      <c r="AQ21" s="260">
        <v>0.02</v>
      </c>
      <c r="AR21" s="260">
        <v>0.02</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3">
        <v>30</v>
      </c>
      <c r="E22" s="117">
        <f>D22</f>
        <v>30</v>
      </c>
      <c r="F22" s="117">
        <f t="shared" ref="F22:V22" si="8">E22</f>
        <v>30</v>
      </c>
      <c r="G22" s="117">
        <f t="shared" si="8"/>
        <v>30</v>
      </c>
      <c r="H22" s="117">
        <f t="shared" si="8"/>
        <v>30</v>
      </c>
      <c r="I22" s="117">
        <f t="shared" si="8"/>
        <v>30</v>
      </c>
      <c r="J22" s="117">
        <f t="shared" si="8"/>
        <v>30</v>
      </c>
      <c r="K22" s="117">
        <f t="shared" si="8"/>
        <v>30</v>
      </c>
      <c r="L22" s="117">
        <f t="shared" si="8"/>
        <v>30</v>
      </c>
      <c r="M22" s="117">
        <f t="shared" si="8"/>
        <v>30</v>
      </c>
      <c r="N22" s="117">
        <f t="shared" si="8"/>
        <v>30</v>
      </c>
      <c r="O22" s="117">
        <f t="shared" si="8"/>
        <v>30</v>
      </c>
      <c r="P22" s="117">
        <f t="shared" si="8"/>
        <v>30</v>
      </c>
      <c r="Q22" s="117">
        <f t="shared" si="8"/>
        <v>30</v>
      </c>
      <c r="R22" s="117">
        <f t="shared" si="8"/>
        <v>30</v>
      </c>
      <c r="S22" s="117">
        <f t="shared" si="8"/>
        <v>30</v>
      </c>
      <c r="T22" s="117">
        <f t="shared" si="8"/>
        <v>30</v>
      </c>
      <c r="U22" s="117">
        <f t="shared" si="8"/>
        <v>30</v>
      </c>
      <c r="V22" s="117">
        <f t="shared" si="8"/>
        <v>30</v>
      </c>
      <c r="W22" s="88"/>
      <c r="X22" s="261"/>
      <c r="Y22" s="258" t="s">
        <v>111</v>
      </c>
      <c r="Z22" s="273">
        <v>50</v>
      </c>
      <c r="AA22" s="117">
        <f>Z22</f>
        <v>50</v>
      </c>
      <c r="AB22" s="117">
        <f t="shared" ref="AB22:AR22" si="9">AA22</f>
        <v>50</v>
      </c>
      <c r="AC22" s="117">
        <f t="shared" si="9"/>
        <v>50</v>
      </c>
      <c r="AD22" s="117">
        <f t="shared" si="9"/>
        <v>50</v>
      </c>
      <c r="AE22" s="117">
        <f t="shared" si="9"/>
        <v>50</v>
      </c>
      <c r="AF22" s="117">
        <f t="shared" si="9"/>
        <v>50</v>
      </c>
      <c r="AG22" s="117">
        <f t="shared" si="9"/>
        <v>50</v>
      </c>
      <c r="AH22" s="117">
        <f t="shared" si="9"/>
        <v>50</v>
      </c>
      <c r="AI22" s="117">
        <f t="shared" si="9"/>
        <v>50</v>
      </c>
      <c r="AJ22" s="117">
        <f t="shared" si="9"/>
        <v>50</v>
      </c>
      <c r="AK22" s="117">
        <f t="shared" si="9"/>
        <v>50</v>
      </c>
      <c r="AL22" s="117">
        <f t="shared" si="9"/>
        <v>50</v>
      </c>
      <c r="AM22" s="117">
        <f t="shared" si="9"/>
        <v>50</v>
      </c>
      <c r="AN22" s="117">
        <f t="shared" si="9"/>
        <v>50</v>
      </c>
      <c r="AO22" s="117">
        <f t="shared" si="9"/>
        <v>50</v>
      </c>
      <c r="AP22" s="117">
        <f t="shared" si="9"/>
        <v>50</v>
      </c>
      <c r="AQ22" s="117">
        <f t="shared" si="9"/>
        <v>50</v>
      </c>
      <c r="AR22" s="117">
        <f t="shared" si="9"/>
        <v>50</v>
      </c>
      <c r="AS22" s="89"/>
      <c r="AT22" s="94"/>
      <c r="AU22" s="94"/>
      <c r="AV22" s="94"/>
      <c r="AW22" s="94"/>
      <c r="AX22" s="94"/>
      <c r="AY22" s="94"/>
      <c r="AZ22" s="334"/>
      <c r="BA22" s="96"/>
      <c r="BB22" s="93"/>
      <c r="BC22" s="89"/>
      <c r="BD22" s="89"/>
      <c r="BE22" s="89"/>
      <c r="BF22" s="89"/>
      <c r="BG22" s="89"/>
      <c r="BH22" s="89"/>
      <c r="BI22" s="89"/>
      <c r="BJ22" s="89"/>
    </row>
    <row r="23" spans="1:62" ht="15" thickBot="1">
      <c r="A23" s="88"/>
      <c r="B23" s="129"/>
      <c r="C23" s="262" t="s">
        <v>194</v>
      </c>
      <c r="D23" s="274">
        <v>145.16483010102866</v>
      </c>
      <c r="E23" s="275">
        <f>D23</f>
        <v>145.16483010102866</v>
      </c>
      <c r="F23" s="275">
        <f t="shared" ref="F23:V23" si="10">E23</f>
        <v>145.16483010102866</v>
      </c>
      <c r="G23" s="275">
        <f t="shared" si="10"/>
        <v>145.16483010102866</v>
      </c>
      <c r="H23" s="275">
        <f t="shared" si="10"/>
        <v>145.16483010102866</v>
      </c>
      <c r="I23" s="275">
        <f t="shared" si="10"/>
        <v>145.16483010102866</v>
      </c>
      <c r="J23" s="275">
        <f t="shared" si="10"/>
        <v>145.16483010102866</v>
      </c>
      <c r="K23" s="275">
        <f t="shared" si="10"/>
        <v>145.16483010102866</v>
      </c>
      <c r="L23" s="275">
        <f t="shared" si="10"/>
        <v>145.16483010102866</v>
      </c>
      <c r="M23" s="275">
        <f t="shared" si="10"/>
        <v>145.16483010102866</v>
      </c>
      <c r="N23" s="275">
        <f t="shared" si="10"/>
        <v>145.16483010102866</v>
      </c>
      <c r="O23" s="275">
        <f t="shared" si="10"/>
        <v>145.16483010102866</v>
      </c>
      <c r="P23" s="275">
        <f t="shared" si="10"/>
        <v>145.16483010102866</v>
      </c>
      <c r="Q23" s="275">
        <f t="shared" si="10"/>
        <v>145.16483010102866</v>
      </c>
      <c r="R23" s="275">
        <f t="shared" si="10"/>
        <v>145.16483010102866</v>
      </c>
      <c r="S23" s="275">
        <f t="shared" si="10"/>
        <v>145.16483010102866</v>
      </c>
      <c r="T23" s="275">
        <f t="shared" si="10"/>
        <v>145.16483010102866</v>
      </c>
      <c r="U23" s="275">
        <f t="shared" si="10"/>
        <v>145.16483010102866</v>
      </c>
      <c r="V23" s="275">
        <f t="shared" si="10"/>
        <v>145.16483010102866</v>
      </c>
      <c r="W23" s="88"/>
      <c r="X23" s="129"/>
      <c r="Y23" s="262" t="s">
        <v>194</v>
      </c>
      <c r="Z23" s="274">
        <v>9.8829999999999991</v>
      </c>
      <c r="AA23" s="275">
        <f>Z23</f>
        <v>9.8829999999999991</v>
      </c>
      <c r="AB23" s="275">
        <f t="shared" ref="AB23:AR23" si="11">AA23</f>
        <v>9.8829999999999991</v>
      </c>
      <c r="AC23" s="275">
        <f t="shared" si="11"/>
        <v>9.8829999999999991</v>
      </c>
      <c r="AD23" s="275">
        <f t="shared" si="11"/>
        <v>9.8829999999999991</v>
      </c>
      <c r="AE23" s="275">
        <f t="shared" si="11"/>
        <v>9.8829999999999991</v>
      </c>
      <c r="AF23" s="275">
        <f t="shared" si="11"/>
        <v>9.8829999999999991</v>
      </c>
      <c r="AG23" s="275">
        <f t="shared" si="11"/>
        <v>9.8829999999999991</v>
      </c>
      <c r="AH23" s="275">
        <f t="shared" si="11"/>
        <v>9.8829999999999991</v>
      </c>
      <c r="AI23" s="275">
        <f t="shared" si="11"/>
        <v>9.8829999999999991</v>
      </c>
      <c r="AJ23" s="275">
        <f t="shared" si="11"/>
        <v>9.8829999999999991</v>
      </c>
      <c r="AK23" s="275">
        <f t="shared" si="11"/>
        <v>9.8829999999999991</v>
      </c>
      <c r="AL23" s="275">
        <f t="shared" si="11"/>
        <v>9.8829999999999991</v>
      </c>
      <c r="AM23" s="275">
        <f t="shared" si="11"/>
        <v>9.8829999999999991</v>
      </c>
      <c r="AN23" s="275">
        <f t="shared" si="11"/>
        <v>9.8829999999999991</v>
      </c>
      <c r="AO23" s="275">
        <f t="shared" si="11"/>
        <v>9.8829999999999991</v>
      </c>
      <c r="AP23" s="275">
        <f t="shared" si="11"/>
        <v>9.8829999999999991</v>
      </c>
      <c r="AQ23" s="275">
        <f t="shared" si="11"/>
        <v>9.8829999999999991</v>
      </c>
      <c r="AR23" s="275">
        <f t="shared" si="1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c r="A25" s="88"/>
      <c r="B25" s="254"/>
      <c r="C25" s="88"/>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88"/>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6593.3437240497487</v>
      </c>
      <c r="E26" s="257">
        <f>D26*(1-$D$5)^2</f>
        <v>6203.6771099584084</v>
      </c>
      <c r="F26" s="257">
        <f t="shared" ref="F26:V26" si="12">E26*(1-$D$5)^2</f>
        <v>5837.039792759866</v>
      </c>
      <c r="G26" s="257">
        <f t="shared" si="12"/>
        <v>5492.0707410077575</v>
      </c>
      <c r="H26" s="257">
        <f t="shared" si="12"/>
        <v>5167.4893602141992</v>
      </c>
      <c r="I26" s="257">
        <f t="shared" si="12"/>
        <v>4862.0907390255397</v>
      </c>
      <c r="J26" s="257">
        <f t="shared" si="12"/>
        <v>4574.74117634913</v>
      </c>
      <c r="K26" s="257">
        <f t="shared" si="12"/>
        <v>4304.3739728268965</v>
      </c>
      <c r="L26" s="257">
        <f t="shared" si="12"/>
        <v>4049.9854710328268</v>
      </c>
      <c r="M26" s="257">
        <f t="shared" si="12"/>
        <v>3810.6313296947865</v>
      </c>
      <c r="N26" s="257">
        <f t="shared" si="12"/>
        <v>3585.4230181098246</v>
      </c>
      <c r="O26" s="257">
        <f t="shared" si="12"/>
        <v>3373.5245177395336</v>
      </c>
      <c r="P26" s="257">
        <f t="shared" si="12"/>
        <v>3174.1492187411272</v>
      </c>
      <c r="Q26" s="257">
        <f t="shared" si="12"/>
        <v>2986.5569999135264</v>
      </c>
      <c r="R26" s="257">
        <f t="shared" si="12"/>
        <v>2810.051481218637</v>
      </c>
      <c r="S26" s="257">
        <f t="shared" si="12"/>
        <v>2643.9774386786153</v>
      </c>
      <c r="T26" s="257">
        <f t="shared" si="12"/>
        <v>2487.7183720527091</v>
      </c>
      <c r="U26" s="257">
        <f t="shared" si="12"/>
        <v>2340.6942162643941</v>
      </c>
      <c r="V26" s="257">
        <f t="shared" si="12"/>
        <v>2202.3591880831682</v>
      </c>
      <c r="W26" s="88"/>
      <c r="X26" s="255"/>
      <c r="Y26" s="256" t="s">
        <v>110</v>
      </c>
      <c r="Z26" s="268">
        <v>3081.0086968394335</v>
      </c>
      <c r="AA26" s="257">
        <f>Z26*(1-$D$7)^2</f>
        <v>3025.8001020007678</v>
      </c>
      <c r="AB26" s="257">
        <f t="shared" ref="AB26:AR26" si="13">AA26*(1-$D$7)^2</f>
        <v>2971.5807899730157</v>
      </c>
      <c r="AC26" s="257">
        <f t="shared" si="13"/>
        <v>2918.3330337974894</v>
      </c>
      <c r="AD26" s="257">
        <f t="shared" si="13"/>
        <v>2866.0394241648723</v>
      </c>
      <c r="AE26" s="257">
        <f t="shared" si="13"/>
        <v>2814.682863723262</v>
      </c>
      <c r="AF26" s="257">
        <f t="shared" si="13"/>
        <v>2764.2465614882049</v>
      </c>
      <c r="AG26" s="257">
        <f t="shared" si="13"/>
        <v>2714.7140273528976</v>
      </c>
      <c r="AH26" s="257">
        <f t="shared" si="13"/>
        <v>2666.0690666967607</v>
      </c>
      <c r="AI26" s="257">
        <f t="shared" si="13"/>
        <v>2618.2957750906216</v>
      </c>
      <c r="AJ26" s="257">
        <f t="shared" si="13"/>
        <v>2571.3785330967726</v>
      </c>
      <c r="AK26" s="257">
        <f t="shared" si="13"/>
        <v>2525.3020011622116</v>
      </c>
      <c r="AL26" s="257">
        <f t="shared" si="13"/>
        <v>2480.0511146033859</v>
      </c>
      <c r="AM26" s="257">
        <f t="shared" si="13"/>
        <v>2435.6110786808076</v>
      </c>
      <c r="AN26" s="257">
        <f t="shared" si="13"/>
        <v>2391.9673637619262</v>
      </c>
      <c r="AO26" s="257">
        <f t="shared" si="13"/>
        <v>2349.1057005706762</v>
      </c>
      <c r="AP26" s="257">
        <f t="shared" si="13"/>
        <v>2307.0120755221501</v>
      </c>
      <c r="AQ26" s="257">
        <f t="shared" si="13"/>
        <v>2265.6727261408687</v>
      </c>
      <c r="AR26" s="257">
        <f t="shared" si="13"/>
        <v>2225.0741365611502</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0.02</v>
      </c>
      <c r="E28" s="260">
        <v>0.02</v>
      </c>
      <c r="F28" s="260">
        <v>0.02</v>
      </c>
      <c r="G28" s="260">
        <v>0.02</v>
      </c>
      <c r="H28" s="260">
        <v>0.02</v>
      </c>
      <c r="I28" s="260">
        <v>0.02</v>
      </c>
      <c r="J28" s="260">
        <v>0.02</v>
      </c>
      <c r="K28" s="260">
        <v>0.02</v>
      </c>
      <c r="L28" s="260">
        <v>0.02</v>
      </c>
      <c r="M28" s="260">
        <v>0.02</v>
      </c>
      <c r="N28" s="260">
        <v>0.02</v>
      </c>
      <c r="O28" s="260">
        <v>0.02</v>
      </c>
      <c r="P28" s="260">
        <v>0.02</v>
      </c>
      <c r="Q28" s="260">
        <v>0.02</v>
      </c>
      <c r="R28" s="260">
        <v>0.02</v>
      </c>
      <c r="S28" s="260">
        <v>0.02</v>
      </c>
      <c r="T28" s="260">
        <v>0.02</v>
      </c>
      <c r="U28" s="260">
        <v>0.02</v>
      </c>
      <c r="V28" s="260">
        <v>0.02</v>
      </c>
      <c r="W28" s="88"/>
      <c r="X28" s="259" t="s">
        <v>157</v>
      </c>
      <c r="Y28" s="258" t="s">
        <v>162</v>
      </c>
      <c r="Z28" s="271">
        <v>0.02</v>
      </c>
      <c r="AA28" s="260">
        <v>0.02</v>
      </c>
      <c r="AB28" s="260">
        <v>0.02</v>
      </c>
      <c r="AC28" s="260">
        <v>0.02</v>
      </c>
      <c r="AD28" s="260">
        <v>0.02</v>
      </c>
      <c r="AE28" s="260">
        <v>0.02</v>
      </c>
      <c r="AF28" s="260">
        <v>0.02</v>
      </c>
      <c r="AG28" s="260">
        <v>0.02</v>
      </c>
      <c r="AH28" s="260">
        <v>0.02</v>
      </c>
      <c r="AI28" s="260">
        <v>0.02</v>
      </c>
      <c r="AJ28" s="260">
        <v>0.02</v>
      </c>
      <c r="AK28" s="260">
        <v>0.02</v>
      </c>
      <c r="AL28" s="260">
        <v>0.02</v>
      </c>
      <c r="AM28" s="260">
        <v>0.02</v>
      </c>
      <c r="AN28" s="260">
        <v>0.02</v>
      </c>
      <c r="AO28" s="260">
        <v>0.02</v>
      </c>
      <c r="AP28" s="260">
        <v>0.02</v>
      </c>
      <c r="AQ28" s="260">
        <v>0.02</v>
      </c>
      <c r="AR28" s="260">
        <v>0.02</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3">
        <v>30</v>
      </c>
      <c r="E29" s="117">
        <f>D29</f>
        <v>30</v>
      </c>
      <c r="F29" s="117">
        <f t="shared" ref="F29:V29" si="14">E29</f>
        <v>30</v>
      </c>
      <c r="G29" s="117">
        <f t="shared" si="14"/>
        <v>30</v>
      </c>
      <c r="H29" s="117">
        <f t="shared" si="14"/>
        <v>30</v>
      </c>
      <c r="I29" s="117">
        <f t="shared" si="14"/>
        <v>30</v>
      </c>
      <c r="J29" s="117">
        <f t="shared" si="14"/>
        <v>30</v>
      </c>
      <c r="K29" s="117">
        <f t="shared" si="14"/>
        <v>30</v>
      </c>
      <c r="L29" s="117">
        <f t="shared" si="14"/>
        <v>30</v>
      </c>
      <c r="M29" s="117">
        <f t="shared" si="14"/>
        <v>30</v>
      </c>
      <c r="N29" s="117">
        <f t="shared" si="14"/>
        <v>30</v>
      </c>
      <c r="O29" s="117">
        <f t="shared" si="14"/>
        <v>30</v>
      </c>
      <c r="P29" s="117">
        <f t="shared" si="14"/>
        <v>30</v>
      </c>
      <c r="Q29" s="117">
        <f t="shared" si="14"/>
        <v>30</v>
      </c>
      <c r="R29" s="117">
        <f t="shared" si="14"/>
        <v>30</v>
      </c>
      <c r="S29" s="117">
        <f t="shared" si="14"/>
        <v>30</v>
      </c>
      <c r="T29" s="117">
        <f t="shared" si="14"/>
        <v>30</v>
      </c>
      <c r="U29" s="117">
        <f t="shared" si="14"/>
        <v>30</v>
      </c>
      <c r="V29" s="117">
        <f t="shared" si="14"/>
        <v>30</v>
      </c>
      <c r="W29" s="88"/>
      <c r="X29" s="261"/>
      <c r="Y29" s="258" t="s">
        <v>111</v>
      </c>
      <c r="Z29" s="273">
        <v>50</v>
      </c>
      <c r="AA29" s="117">
        <f>Z29</f>
        <v>50</v>
      </c>
      <c r="AB29" s="117">
        <f t="shared" ref="AB29:AR29" si="15">AA29</f>
        <v>50</v>
      </c>
      <c r="AC29" s="117">
        <f t="shared" si="15"/>
        <v>50</v>
      </c>
      <c r="AD29" s="117">
        <f t="shared" si="15"/>
        <v>50</v>
      </c>
      <c r="AE29" s="117">
        <f t="shared" si="15"/>
        <v>50</v>
      </c>
      <c r="AF29" s="117">
        <f t="shared" si="15"/>
        <v>50</v>
      </c>
      <c r="AG29" s="117">
        <f t="shared" si="15"/>
        <v>50</v>
      </c>
      <c r="AH29" s="117">
        <f t="shared" si="15"/>
        <v>50</v>
      </c>
      <c r="AI29" s="117">
        <f t="shared" si="15"/>
        <v>50</v>
      </c>
      <c r="AJ29" s="117">
        <f t="shared" si="15"/>
        <v>50</v>
      </c>
      <c r="AK29" s="117">
        <f t="shared" si="15"/>
        <v>50</v>
      </c>
      <c r="AL29" s="117">
        <f t="shared" si="15"/>
        <v>50</v>
      </c>
      <c r="AM29" s="117">
        <f t="shared" si="15"/>
        <v>50</v>
      </c>
      <c r="AN29" s="117">
        <f t="shared" si="15"/>
        <v>50</v>
      </c>
      <c r="AO29" s="117">
        <f t="shared" si="15"/>
        <v>50</v>
      </c>
      <c r="AP29" s="117">
        <f t="shared" si="15"/>
        <v>50</v>
      </c>
      <c r="AQ29" s="117">
        <f t="shared" si="15"/>
        <v>50</v>
      </c>
      <c r="AR29" s="117">
        <f t="shared" si="1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194</v>
      </c>
      <c r="D30" s="274">
        <v>105.41977076772139</v>
      </c>
      <c r="E30" s="275">
        <f>D30</f>
        <v>105.41977076772139</v>
      </c>
      <c r="F30" s="275">
        <f t="shared" ref="F30:V30" si="16">E30</f>
        <v>105.41977076772139</v>
      </c>
      <c r="G30" s="275">
        <f t="shared" si="16"/>
        <v>105.41977076772139</v>
      </c>
      <c r="H30" s="275">
        <f t="shared" si="16"/>
        <v>105.41977076772139</v>
      </c>
      <c r="I30" s="275">
        <f t="shared" si="16"/>
        <v>105.41977076772139</v>
      </c>
      <c r="J30" s="275">
        <f t="shared" si="16"/>
        <v>105.41977076772139</v>
      </c>
      <c r="K30" s="275">
        <f t="shared" si="16"/>
        <v>105.41977076772139</v>
      </c>
      <c r="L30" s="275">
        <f t="shared" si="16"/>
        <v>105.41977076772139</v>
      </c>
      <c r="M30" s="275">
        <f t="shared" si="16"/>
        <v>105.41977076772139</v>
      </c>
      <c r="N30" s="275">
        <f t="shared" si="16"/>
        <v>105.41977076772139</v>
      </c>
      <c r="O30" s="275">
        <f t="shared" si="16"/>
        <v>105.41977076772139</v>
      </c>
      <c r="P30" s="275">
        <f t="shared" si="16"/>
        <v>105.41977076772139</v>
      </c>
      <c r="Q30" s="275">
        <f t="shared" si="16"/>
        <v>105.41977076772139</v>
      </c>
      <c r="R30" s="275">
        <f t="shared" si="16"/>
        <v>105.41977076772139</v>
      </c>
      <c r="S30" s="275">
        <f t="shared" si="16"/>
        <v>105.41977076772139</v>
      </c>
      <c r="T30" s="275">
        <f t="shared" si="16"/>
        <v>105.41977076772139</v>
      </c>
      <c r="U30" s="275">
        <f t="shared" si="16"/>
        <v>105.41977076772139</v>
      </c>
      <c r="V30" s="275">
        <f t="shared" si="16"/>
        <v>105.41977076772139</v>
      </c>
      <c r="W30" s="88"/>
      <c r="X30" s="129"/>
      <c r="Y30" s="262" t="s">
        <v>194</v>
      </c>
      <c r="Z30" s="274">
        <v>9.0079999999999991</v>
      </c>
      <c r="AA30" s="275">
        <f>Z30</f>
        <v>9.0079999999999991</v>
      </c>
      <c r="AB30" s="275">
        <f t="shared" ref="AB30:AR30" si="17">AA30</f>
        <v>9.0079999999999991</v>
      </c>
      <c r="AC30" s="275">
        <f t="shared" si="17"/>
        <v>9.0079999999999991</v>
      </c>
      <c r="AD30" s="275">
        <f t="shared" si="17"/>
        <v>9.0079999999999991</v>
      </c>
      <c r="AE30" s="275">
        <f t="shared" si="17"/>
        <v>9.0079999999999991</v>
      </c>
      <c r="AF30" s="275">
        <f t="shared" si="17"/>
        <v>9.0079999999999991</v>
      </c>
      <c r="AG30" s="275">
        <f t="shared" si="17"/>
        <v>9.0079999999999991</v>
      </c>
      <c r="AH30" s="275">
        <f t="shared" si="17"/>
        <v>9.0079999999999991</v>
      </c>
      <c r="AI30" s="275">
        <f t="shared" si="17"/>
        <v>9.0079999999999991</v>
      </c>
      <c r="AJ30" s="275">
        <f t="shared" si="17"/>
        <v>9.0079999999999991</v>
      </c>
      <c r="AK30" s="275">
        <f t="shared" si="17"/>
        <v>9.0079999999999991</v>
      </c>
      <c r="AL30" s="275">
        <f t="shared" si="17"/>
        <v>9.0079999999999991</v>
      </c>
      <c r="AM30" s="275">
        <f t="shared" si="17"/>
        <v>9.0079999999999991</v>
      </c>
      <c r="AN30" s="275">
        <f t="shared" si="17"/>
        <v>9.0079999999999991</v>
      </c>
      <c r="AO30" s="275">
        <f t="shared" si="17"/>
        <v>9.0079999999999991</v>
      </c>
      <c r="AP30" s="275">
        <f t="shared" si="17"/>
        <v>9.0079999999999991</v>
      </c>
      <c r="AQ30" s="275">
        <f t="shared" si="17"/>
        <v>9.0079999999999991</v>
      </c>
      <c r="AR30" s="275">
        <f t="shared" si="1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c r="A32" s="88"/>
      <c r="B32" s="254"/>
      <c r="C32" s="88"/>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88"/>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6656.1567655584122</v>
      </c>
      <c r="E33" s="257">
        <f>D33*(1-$D$5)^2</f>
        <v>6262.7779007139097</v>
      </c>
      <c r="F33" s="257">
        <f t="shared" ref="F33:V33" si="18">E33*(1-$D$5)^2</f>
        <v>5892.6477267817172</v>
      </c>
      <c r="G33" s="257">
        <f t="shared" si="18"/>
        <v>5544.3922461289176</v>
      </c>
      <c r="H33" s="257">
        <f t="shared" si="18"/>
        <v>5216.7186643826981</v>
      </c>
      <c r="I33" s="257">
        <f t="shared" si="18"/>
        <v>4908.41059131768</v>
      </c>
      <c r="J33" s="257">
        <f t="shared" si="18"/>
        <v>4618.3235253708053</v>
      </c>
      <c r="K33" s="257">
        <f t="shared" si="18"/>
        <v>4345.3806050213907</v>
      </c>
      <c r="L33" s="257">
        <f t="shared" si="18"/>
        <v>4088.5686112646263</v>
      </c>
      <c r="M33" s="257">
        <f t="shared" si="18"/>
        <v>3846.9342063388867</v>
      </c>
      <c r="N33" s="257">
        <f t="shared" si="18"/>
        <v>3619.5803947442582</v>
      </c>
      <c r="O33" s="257">
        <f t="shared" si="18"/>
        <v>3405.6631934148722</v>
      </c>
      <c r="P33" s="257">
        <f t="shared" si="18"/>
        <v>3204.388498684053</v>
      </c>
      <c r="Q33" s="257">
        <f t="shared" si="18"/>
        <v>3015.0091384118255</v>
      </c>
      <c r="R33" s="257">
        <f t="shared" si="18"/>
        <v>2836.8220983316864</v>
      </c>
      <c r="S33" s="257">
        <f t="shared" si="18"/>
        <v>2669.1659123202835</v>
      </c>
      <c r="T33" s="257">
        <f t="shared" si="18"/>
        <v>2511.4182069021545</v>
      </c>
      <c r="U33" s="257">
        <f t="shared" si="18"/>
        <v>2362.9933908742369</v>
      </c>
      <c r="V33" s="257">
        <f t="shared" si="18"/>
        <v>2223.3404814735695</v>
      </c>
      <c r="W33" s="88"/>
      <c r="X33" s="255"/>
      <c r="Y33" s="256" t="s">
        <v>110</v>
      </c>
      <c r="Z33" s="268">
        <v>2886.5113582713989</v>
      </c>
      <c r="AA33" s="257">
        <f>Z33*(1-$D$7)^2</f>
        <v>2834.7879612425336</v>
      </c>
      <c r="AB33" s="257">
        <f t="shared" ref="AB33:AR33" si="19">AA33*(1-$D$7)^2</f>
        <v>2783.9913957650288</v>
      </c>
      <c r="AC33" s="257">
        <f t="shared" si="19"/>
        <v>2734.1050539443149</v>
      </c>
      <c r="AD33" s="257">
        <f t="shared" si="19"/>
        <v>2685.1126254826868</v>
      </c>
      <c r="AE33" s="257">
        <f t="shared" si="19"/>
        <v>2636.9980923466624</v>
      </c>
      <c r="AF33" s="257">
        <f t="shared" si="19"/>
        <v>2589.7457235299025</v>
      </c>
      <c r="AG33" s="257">
        <f t="shared" si="19"/>
        <v>2543.3400699099702</v>
      </c>
      <c r="AH33" s="257">
        <f t="shared" si="19"/>
        <v>2497.7659591972533</v>
      </c>
      <c r="AI33" s="257">
        <f t="shared" si="19"/>
        <v>2453.0084909743978</v>
      </c>
      <c r="AJ33" s="257">
        <f t="shared" si="19"/>
        <v>2409.0530318246274</v>
      </c>
      <c r="AK33" s="257">
        <f t="shared" si="19"/>
        <v>2365.885210547362</v>
      </c>
      <c r="AL33" s="257">
        <f t="shared" si="19"/>
        <v>2323.4909134595637</v>
      </c>
      <c r="AM33" s="257">
        <f t="shared" si="19"/>
        <v>2281.8562797812815</v>
      </c>
      <c r="AN33" s="257">
        <f t="shared" si="19"/>
        <v>2240.9676971038807</v>
      </c>
      <c r="AO33" s="257">
        <f t="shared" si="19"/>
        <v>2200.8117969394762</v>
      </c>
      <c r="AP33" s="257">
        <f t="shared" si="19"/>
        <v>2161.3754503501177</v>
      </c>
      <c r="AQ33" s="257">
        <f t="shared" si="19"/>
        <v>2122.6457636552941</v>
      </c>
      <c r="AR33" s="257">
        <f t="shared" si="19"/>
        <v>2084.6100742163549</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0.02</v>
      </c>
      <c r="E35" s="260">
        <v>0.02</v>
      </c>
      <c r="F35" s="260">
        <v>0.02</v>
      </c>
      <c r="G35" s="260">
        <v>0.02</v>
      </c>
      <c r="H35" s="260">
        <v>0.02</v>
      </c>
      <c r="I35" s="260">
        <v>0.02</v>
      </c>
      <c r="J35" s="260">
        <v>0.02</v>
      </c>
      <c r="K35" s="260">
        <v>0.02</v>
      </c>
      <c r="L35" s="260">
        <v>0.02</v>
      </c>
      <c r="M35" s="260">
        <v>0.02</v>
      </c>
      <c r="N35" s="260">
        <v>0.02</v>
      </c>
      <c r="O35" s="260">
        <v>0.02</v>
      </c>
      <c r="P35" s="260">
        <v>0.02</v>
      </c>
      <c r="Q35" s="260">
        <v>0.02</v>
      </c>
      <c r="R35" s="260">
        <v>0.02</v>
      </c>
      <c r="S35" s="260">
        <v>0.02</v>
      </c>
      <c r="T35" s="260">
        <v>0.02</v>
      </c>
      <c r="U35" s="260">
        <v>0.02</v>
      </c>
      <c r="V35" s="260">
        <v>0.02</v>
      </c>
      <c r="W35" s="88"/>
      <c r="X35" s="259" t="s">
        <v>157</v>
      </c>
      <c r="Y35" s="258" t="s">
        <v>162</v>
      </c>
      <c r="Z35" s="271">
        <v>0.02</v>
      </c>
      <c r="AA35" s="260">
        <v>0.02</v>
      </c>
      <c r="AB35" s="260">
        <v>0.02</v>
      </c>
      <c r="AC35" s="260">
        <v>0.02</v>
      </c>
      <c r="AD35" s="260">
        <v>0.02</v>
      </c>
      <c r="AE35" s="260">
        <v>0.02</v>
      </c>
      <c r="AF35" s="260">
        <v>0.02</v>
      </c>
      <c r="AG35" s="260">
        <v>0.02</v>
      </c>
      <c r="AH35" s="260">
        <v>0.02</v>
      </c>
      <c r="AI35" s="260">
        <v>0.02</v>
      </c>
      <c r="AJ35" s="260">
        <v>0.02</v>
      </c>
      <c r="AK35" s="260">
        <v>0.02</v>
      </c>
      <c r="AL35" s="260">
        <v>0.02</v>
      </c>
      <c r="AM35" s="260">
        <v>0.02</v>
      </c>
      <c r="AN35" s="260">
        <v>0.02</v>
      </c>
      <c r="AO35" s="260">
        <v>0.02</v>
      </c>
      <c r="AP35" s="260">
        <v>0.02</v>
      </c>
      <c r="AQ35" s="260">
        <v>0.02</v>
      </c>
      <c r="AR35" s="260">
        <v>0.02</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3">
        <v>30</v>
      </c>
      <c r="E36" s="117">
        <f>D36</f>
        <v>30</v>
      </c>
      <c r="F36" s="117">
        <f t="shared" ref="F36:V36" si="20">E36</f>
        <v>30</v>
      </c>
      <c r="G36" s="117">
        <f t="shared" si="20"/>
        <v>30</v>
      </c>
      <c r="H36" s="117">
        <f t="shared" si="20"/>
        <v>30</v>
      </c>
      <c r="I36" s="117">
        <f t="shared" si="20"/>
        <v>30</v>
      </c>
      <c r="J36" s="117">
        <f t="shared" si="20"/>
        <v>30</v>
      </c>
      <c r="K36" s="117">
        <f t="shared" si="20"/>
        <v>30</v>
      </c>
      <c r="L36" s="117">
        <f t="shared" si="20"/>
        <v>30</v>
      </c>
      <c r="M36" s="117">
        <f t="shared" si="20"/>
        <v>30</v>
      </c>
      <c r="N36" s="117">
        <f t="shared" si="20"/>
        <v>30</v>
      </c>
      <c r="O36" s="117">
        <f t="shared" si="20"/>
        <v>30</v>
      </c>
      <c r="P36" s="117">
        <f t="shared" si="20"/>
        <v>30</v>
      </c>
      <c r="Q36" s="117">
        <f t="shared" si="20"/>
        <v>30</v>
      </c>
      <c r="R36" s="117">
        <f t="shared" si="20"/>
        <v>30</v>
      </c>
      <c r="S36" s="117">
        <f t="shared" si="20"/>
        <v>30</v>
      </c>
      <c r="T36" s="117">
        <f t="shared" si="20"/>
        <v>30</v>
      </c>
      <c r="U36" s="117">
        <f t="shared" si="20"/>
        <v>30</v>
      </c>
      <c r="V36" s="117">
        <f t="shared" si="20"/>
        <v>30</v>
      </c>
      <c r="W36" s="88"/>
      <c r="X36" s="261"/>
      <c r="Y36" s="258" t="s">
        <v>111</v>
      </c>
      <c r="Z36" s="273">
        <v>80</v>
      </c>
      <c r="AA36" s="117">
        <f>Z36</f>
        <v>80</v>
      </c>
      <c r="AB36" s="117">
        <f t="shared" ref="AB36:AR36" si="21">AA36</f>
        <v>80</v>
      </c>
      <c r="AC36" s="117">
        <f t="shared" si="21"/>
        <v>80</v>
      </c>
      <c r="AD36" s="117">
        <f t="shared" si="21"/>
        <v>80</v>
      </c>
      <c r="AE36" s="117">
        <f t="shared" si="21"/>
        <v>80</v>
      </c>
      <c r="AF36" s="117">
        <f t="shared" si="21"/>
        <v>80</v>
      </c>
      <c r="AG36" s="117">
        <f t="shared" si="21"/>
        <v>80</v>
      </c>
      <c r="AH36" s="117">
        <f t="shared" si="21"/>
        <v>80</v>
      </c>
      <c r="AI36" s="117">
        <f t="shared" si="21"/>
        <v>80</v>
      </c>
      <c r="AJ36" s="117">
        <f t="shared" si="21"/>
        <v>80</v>
      </c>
      <c r="AK36" s="117">
        <f t="shared" si="21"/>
        <v>80</v>
      </c>
      <c r="AL36" s="117">
        <f t="shared" si="21"/>
        <v>80</v>
      </c>
      <c r="AM36" s="117">
        <f t="shared" si="21"/>
        <v>80</v>
      </c>
      <c r="AN36" s="117">
        <f t="shared" si="21"/>
        <v>80</v>
      </c>
      <c r="AO36" s="117">
        <f t="shared" si="21"/>
        <v>80</v>
      </c>
      <c r="AP36" s="117">
        <f t="shared" si="21"/>
        <v>80</v>
      </c>
      <c r="AQ36" s="117">
        <f t="shared" si="21"/>
        <v>80</v>
      </c>
      <c r="AR36" s="117">
        <f t="shared" si="2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194</v>
      </c>
      <c r="D37" s="274">
        <v>65.674711434414149</v>
      </c>
      <c r="E37" s="275">
        <f>D37</f>
        <v>65.674711434414149</v>
      </c>
      <c r="F37" s="275">
        <f t="shared" ref="F37:V37" si="22">E37</f>
        <v>65.674711434414149</v>
      </c>
      <c r="G37" s="275">
        <f t="shared" si="22"/>
        <v>65.674711434414149</v>
      </c>
      <c r="H37" s="275">
        <f t="shared" si="22"/>
        <v>65.674711434414149</v>
      </c>
      <c r="I37" s="275">
        <f t="shared" si="22"/>
        <v>65.674711434414149</v>
      </c>
      <c r="J37" s="275">
        <f t="shared" si="22"/>
        <v>65.674711434414149</v>
      </c>
      <c r="K37" s="275">
        <f t="shared" si="22"/>
        <v>65.674711434414149</v>
      </c>
      <c r="L37" s="275">
        <f t="shared" si="22"/>
        <v>65.674711434414149</v>
      </c>
      <c r="M37" s="275">
        <f t="shared" si="22"/>
        <v>65.674711434414149</v>
      </c>
      <c r="N37" s="275">
        <f t="shared" si="22"/>
        <v>65.674711434414149</v>
      </c>
      <c r="O37" s="275">
        <f t="shared" si="22"/>
        <v>65.674711434414149</v>
      </c>
      <c r="P37" s="275">
        <f t="shared" si="22"/>
        <v>65.674711434414149</v>
      </c>
      <c r="Q37" s="275">
        <f t="shared" si="22"/>
        <v>65.674711434414149</v>
      </c>
      <c r="R37" s="275">
        <f t="shared" si="22"/>
        <v>65.674711434414149</v>
      </c>
      <c r="S37" s="275">
        <f t="shared" si="22"/>
        <v>65.674711434414149</v>
      </c>
      <c r="T37" s="275">
        <f t="shared" si="22"/>
        <v>65.674711434414149</v>
      </c>
      <c r="U37" s="275">
        <f t="shared" si="22"/>
        <v>65.674711434414149</v>
      </c>
      <c r="V37" s="275">
        <f t="shared" si="22"/>
        <v>65.674711434414149</v>
      </c>
      <c r="W37" s="88"/>
      <c r="X37" s="129"/>
      <c r="Y37" s="262" t="s">
        <v>194</v>
      </c>
      <c r="Z37" s="274">
        <v>8.1329999999999991</v>
      </c>
      <c r="AA37" s="275">
        <f>Z37</f>
        <v>8.1329999999999991</v>
      </c>
      <c r="AB37" s="275">
        <f t="shared" ref="AB37:AR37" si="23">AA37</f>
        <v>8.1329999999999991</v>
      </c>
      <c r="AC37" s="275">
        <f t="shared" si="23"/>
        <v>8.1329999999999991</v>
      </c>
      <c r="AD37" s="275">
        <f t="shared" si="23"/>
        <v>8.1329999999999991</v>
      </c>
      <c r="AE37" s="275">
        <f t="shared" si="23"/>
        <v>8.1329999999999991</v>
      </c>
      <c r="AF37" s="275">
        <f t="shared" si="23"/>
        <v>8.1329999999999991</v>
      </c>
      <c r="AG37" s="275">
        <f t="shared" si="23"/>
        <v>8.1329999999999991</v>
      </c>
      <c r="AH37" s="275">
        <f t="shared" si="23"/>
        <v>8.1329999999999991</v>
      </c>
      <c r="AI37" s="275">
        <f t="shared" si="23"/>
        <v>8.1329999999999991</v>
      </c>
      <c r="AJ37" s="275">
        <f t="shared" si="23"/>
        <v>8.1329999999999991</v>
      </c>
      <c r="AK37" s="275">
        <f t="shared" si="23"/>
        <v>8.1329999999999991</v>
      </c>
      <c r="AL37" s="275">
        <f t="shared" si="23"/>
        <v>8.1329999999999991</v>
      </c>
      <c r="AM37" s="275">
        <f t="shared" si="23"/>
        <v>8.1329999999999991</v>
      </c>
      <c r="AN37" s="275">
        <f t="shared" si="23"/>
        <v>8.1329999999999991</v>
      </c>
      <c r="AO37" s="275">
        <f t="shared" si="23"/>
        <v>8.1329999999999991</v>
      </c>
      <c r="AP37" s="275">
        <f t="shared" si="23"/>
        <v>8.1329999999999991</v>
      </c>
      <c r="AQ37" s="275">
        <f t="shared" si="23"/>
        <v>8.1329999999999991</v>
      </c>
      <c r="AR37" s="275">
        <f t="shared" si="2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c r="A39" s="88"/>
      <c r="B39" s="254"/>
      <c r="C39" s="88"/>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88"/>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5592.9397814192344</v>
      </c>
      <c r="E40" s="257">
        <f>D40*(1-$D$5)^2</f>
        <v>5262.3970403373578</v>
      </c>
      <c r="F40" s="257">
        <f t="shared" ref="F40:V40" si="24">E40*(1-$D$5)^2</f>
        <v>4951.3893752534195</v>
      </c>
      <c r="G40" s="257">
        <f t="shared" si="24"/>
        <v>4658.7622631759423</v>
      </c>
      <c r="H40" s="257">
        <f t="shared" si="24"/>
        <v>4383.4294134222437</v>
      </c>
      <c r="I40" s="257">
        <f t="shared" si="24"/>
        <v>4124.3687350889886</v>
      </c>
      <c r="J40" s="257">
        <f t="shared" si="24"/>
        <v>3880.6185428452291</v>
      </c>
      <c r="K40" s="257">
        <f t="shared" si="24"/>
        <v>3651.2739869630759</v>
      </c>
      <c r="L40" s="257">
        <f t="shared" si="24"/>
        <v>3435.4836943335581</v>
      </c>
      <c r="M40" s="257">
        <f t="shared" si="24"/>
        <v>3232.4466079984445</v>
      </c>
      <c r="N40" s="257">
        <f t="shared" si="24"/>
        <v>3041.4090134657363</v>
      </c>
      <c r="O40" s="257">
        <f t="shared" si="24"/>
        <v>2861.6617407699109</v>
      </c>
      <c r="P40" s="257">
        <f t="shared" si="24"/>
        <v>2692.5375318904089</v>
      </c>
      <c r="Q40" s="257">
        <f t="shared" si="24"/>
        <v>2533.4085637556855</v>
      </c>
      <c r="R40" s="257">
        <f t="shared" si="24"/>
        <v>2383.6841176377243</v>
      </c>
      <c r="S40" s="257">
        <f t="shared" si="24"/>
        <v>2242.8083862853346</v>
      </c>
      <c r="T40" s="257">
        <f t="shared" si="24"/>
        <v>2110.2584106558711</v>
      </c>
      <c r="U40" s="257">
        <f t="shared" si="24"/>
        <v>1985.5421385861091</v>
      </c>
      <c r="V40" s="257">
        <f t="shared" si="24"/>
        <v>1868.19659819567</v>
      </c>
      <c r="W40" s="88"/>
      <c r="X40" s="255"/>
      <c r="Y40" s="256" t="s">
        <v>110</v>
      </c>
      <c r="Z40" s="268">
        <v>2450.9233429740461</v>
      </c>
      <c r="AA40" s="257">
        <f>Z40*(1-$D$7)^2</f>
        <v>2407.0052475912939</v>
      </c>
      <c r="AB40" s="257">
        <f t="shared" ref="AB40:AR40" si="25">AA40*(1-$D$7)^2</f>
        <v>2363.8741205597057</v>
      </c>
      <c r="AC40" s="257">
        <f t="shared" si="25"/>
        <v>2321.5158601933963</v>
      </c>
      <c r="AD40" s="257">
        <f t="shared" si="25"/>
        <v>2279.9166174945908</v>
      </c>
      <c r="AE40" s="257">
        <f t="shared" si="25"/>
        <v>2239.0627916257054</v>
      </c>
      <c r="AF40" s="257">
        <f t="shared" si="25"/>
        <v>2198.9410254625641</v>
      </c>
      <c r="AG40" s="257">
        <f t="shared" si="25"/>
        <v>2159.5382012273003</v>
      </c>
      <c r="AH40" s="257">
        <f>AG40*(1-$D$7)^2</f>
        <v>2120.8414361995083</v>
      </c>
      <c r="AI40" s="257">
        <f t="shared" si="25"/>
        <v>2082.8380785042491</v>
      </c>
      <c r="AJ40" s="257">
        <f t="shared" si="25"/>
        <v>2045.5157029755314</v>
      </c>
      <c r="AK40" s="257">
        <f t="shared" si="25"/>
        <v>2008.8621070939128</v>
      </c>
      <c r="AL40" s="257">
        <f t="shared" si="25"/>
        <v>1972.8653069968968</v>
      </c>
      <c r="AM40" s="257">
        <f t="shared" si="25"/>
        <v>1937.5135335608195</v>
      </c>
      <c r="AN40" s="257">
        <f t="shared" si="25"/>
        <v>1902.7952285529432</v>
      </c>
      <c r="AO40" s="257">
        <f t="shared" si="25"/>
        <v>1868.699040852503</v>
      </c>
      <c r="AP40" s="257">
        <f t="shared" si="25"/>
        <v>1835.2138227394669</v>
      </c>
      <c r="AQ40" s="257">
        <f t="shared" si="25"/>
        <v>1802.3286262497984</v>
      </c>
      <c r="AR40" s="257">
        <f t="shared" si="25"/>
        <v>1770.0326995960281</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0.02</v>
      </c>
      <c r="E42" s="260">
        <v>0.02</v>
      </c>
      <c r="F42" s="260">
        <v>0.02</v>
      </c>
      <c r="G42" s="260">
        <v>0.02</v>
      </c>
      <c r="H42" s="260">
        <v>0.02</v>
      </c>
      <c r="I42" s="260">
        <v>0.02</v>
      </c>
      <c r="J42" s="260">
        <v>0.02</v>
      </c>
      <c r="K42" s="260">
        <v>0.02</v>
      </c>
      <c r="L42" s="260">
        <v>0.02</v>
      </c>
      <c r="M42" s="260">
        <v>0.02</v>
      </c>
      <c r="N42" s="260">
        <v>0.02</v>
      </c>
      <c r="O42" s="260">
        <v>0.02</v>
      </c>
      <c r="P42" s="260">
        <v>0.02</v>
      </c>
      <c r="Q42" s="260">
        <v>0.02</v>
      </c>
      <c r="R42" s="260">
        <v>0.02</v>
      </c>
      <c r="S42" s="260">
        <v>0.02</v>
      </c>
      <c r="T42" s="260">
        <v>0.02</v>
      </c>
      <c r="U42" s="260">
        <v>0.02</v>
      </c>
      <c r="V42" s="260">
        <v>0.02</v>
      </c>
      <c r="W42" s="88"/>
      <c r="X42" s="259" t="s">
        <v>157</v>
      </c>
      <c r="Y42" s="258" t="s">
        <v>162</v>
      </c>
      <c r="Z42" s="271">
        <v>0.02</v>
      </c>
      <c r="AA42" s="260">
        <v>0.02</v>
      </c>
      <c r="AB42" s="260">
        <v>0.02</v>
      </c>
      <c r="AC42" s="260">
        <v>0.02</v>
      </c>
      <c r="AD42" s="260">
        <v>0.02</v>
      </c>
      <c r="AE42" s="260">
        <v>0.02</v>
      </c>
      <c r="AF42" s="260">
        <v>0.02</v>
      </c>
      <c r="AG42" s="260">
        <v>0.02</v>
      </c>
      <c r="AH42" s="260">
        <v>0.02</v>
      </c>
      <c r="AI42" s="260">
        <v>0.02</v>
      </c>
      <c r="AJ42" s="260">
        <v>0.02</v>
      </c>
      <c r="AK42" s="260">
        <v>0.02</v>
      </c>
      <c r="AL42" s="260">
        <v>0.02</v>
      </c>
      <c r="AM42" s="260">
        <v>0.02</v>
      </c>
      <c r="AN42" s="260">
        <v>0.02</v>
      </c>
      <c r="AO42" s="260">
        <v>0.02</v>
      </c>
      <c r="AP42" s="260">
        <v>0.02</v>
      </c>
      <c r="AQ42" s="260">
        <v>0.02</v>
      </c>
      <c r="AR42" s="260">
        <v>0.02</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3">
        <v>30</v>
      </c>
      <c r="E43" s="117">
        <f>D43</f>
        <v>30</v>
      </c>
      <c r="F43" s="117">
        <f t="shared" ref="F43:V43" si="26">E43</f>
        <v>30</v>
      </c>
      <c r="G43" s="117">
        <f t="shared" si="26"/>
        <v>30</v>
      </c>
      <c r="H43" s="117">
        <f t="shared" si="26"/>
        <v>30</v>
      </c>
      <c r="I43" s="117">
        <f t="shared" si="26"/>
        <v>30</v>
      </c>
      <c r="J43" s="117">
        <f t="shared" si="26"/>
        <v>30</v>
      </c>
      <c r="K43" s="117">
        <f t="shared" si="26"/>
        <v>30</v>
      </c>
      <c r="L43" s="117">
        <f t="shared" si="26"/>
        <v>30</v>
      </c>
      <c r="M43" s="117">
        <f t="shared" si="26"/>
        <v>30</v>
      </c>
      <c r="N43" s="117">
        <f t="shared" si="26"/>
        <v>30</v>
      </c>
      <c r="O43" s="117">
        <f t="shared" si="26"/>
        <v>30</v>
      </c>
      <c r="P43" s="117">
        <f t="shared" si="26"/>
        <v>30</v>
      </c>
      <c r="Q43" s="117">
        <f t="shared" si="26"/>
        <v>30</v>
      </c>
      <c r="R43" s="117">
        <f t="shared" si="26"/>
        <v>30</v>
      </c>
      <c r="S43" s="117">
        <f t="shared" si="26"/>
        <v>30</v>
      </c>
      <c r="T43" s="117">
        <f t="shared" si="26"/>
        <v>30</v>
      </c>
      <c r="U43" s="117">
        <f t="shared" si="26"/>
        <v>30</v>
      </c>
      <c r="V43" s="117">
        <f t="shared" si="26"/>
        <v>30</v>
      </c>
      <c r="W43" s="88"/>
      <c r="X43" s="261"/>
      <c r="Y43" s="258" t="s">
        <v>111</v>
      </c>
      <c r="Z43" s="273">
        <v>80</v>
      </c>
      <c r="AA43" s="117">
        <f>Z43</f>
        <v>80</v>
      </c>
      <c r="AB43" s="117">
        <f t="shared" ref="AB43:AR43" si="27">AA43</f>
        <v>80</v>
      </c>
      <c r="AC43" s="117">
        <f t="shared" si="27"/>
        <v>80</v>
      </c>
      <c r="AD43" s="117">
        <f t="shared" si="27"/>
        <v>80</v>
      </c>
      <c r="AE43" s="117">
        <f t="shared" si="27"/>
        <v>80</v>
      </c>
      <c r="AF43" s="117">
        <f t="shared" si="27"/>
        <v>80</v>
      </c>
      <c r="AG43" s="117">
        <f t="shared" si="27"/>
        <v>80</v>
      </c>
      <c r="AH43" s="117">
        <f t="shared" si="27"/>
        <v>80</v>
      </c>
      <c r="AI43" s="117">
        <f t="shared" si="27"/>
        <v>80</v>
      </c>
      <c r="AJ43" s="117">
        <f t="shared" si="27"/>
        <v>80</v>
      </c>
      <c r="AK43" s="117">
        <f t="shared" si="27"/>
        <v>80</v>
      </c>
      <c r="AL43" s="117">
        <f t="shared" si="27"/>
        <v>80</v>
      </c>
      <c r="AM43" s="117">
        <f t="shared" si="27"/>
        <v>80</v>
      </c>
      <c r="AN43" s="117">
        <f t="shared" si="27"/>
        <v>80</v>
      </c>
      <c r="AO43" s="117">
        <f t="shared" si="27"/>
        <v>80</v>
      </c>
      <c r="AP43" s="117">
        <f t="shared" si="27"/>
        <v>80</v>
      </c>
      <c r="AQ43" s="117">
        <f t="shared" si="27"/>
        <v>80</v>
      </c>
      <c r="AR43" s="117">
        <f t="shared" si="2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194</v>
      </c>
      <c r="D44" s="274">
        <v>13.134600868750084</v>
      </c>
      <c r="E44" s="275">
        <f>D44</f>
        <v>13.134600868750084</v>
      </c>
      <c r="F44" s="275">
        <f t="shared" ref="F44:V44" si="28">E44</f>
        <v>13.134600868750084</v>
      </c>
      <c r="G44" s="275">
        <f t="shared" si="28"/>
        <v>13.134600868750084</v>
      </c>
      <c r="H44" s="275">
        <f t="shared" si="28"/>
        <v>13.134600868750084</v>
      </c>
      <c r="I44" s="275">
        <f t="shared" si="28"/>
        <v>13.134600868750084</v>
      </c>
      <c r="J44" s="275">
        <f t="shared" si="28"/>
        <v>13.134600868750084</v>
      </c>
      <c r="K44" s="275">
        <f t="shared" si="28"/>
        <v>13.134600868750084</v>
      </c>
      <c r="L44" s="275">
        <f t="shared" si="28"/>
        <v>13.134600868750084</v>
      </c>
      <c r="M44" s="275">
        <f t="shared" si="28"/>
        <v>13.134600868750084</v>
      </c>
      <c r="N44" s="275">
        <f t="shared" si="28"/>
        <v>13.134600868750084</v>
      </c>
      <c r="O44" s="275">
        <f t="shared" si="28"/>
        <v>13.134600868750084</v>
      </c>
      <c r="P44" s="275">
        <f t="shared" si="28"/>
        <v>13.134600868750084</v>
      </c>
      <c r="Q44" s="275">
        <f t="shared" si="28"/>
        <v>13.134600868750084</v>
      </c>
      <c r="R44" s="275">
        <f t="shared" si="28"/>
        <v>13.134600868750084</v>
      </c>
      <c r="S44" s="275">
        <f t="shared" si="28"/>
        <v>13.134600868750084</v>
      </c>
      <c r="T44" s="275">
        <f t="shared" si="28"/>
        <v>13.134600868750084</v>
      </c>
      <c r="U44" s="275">
        <f t="shared" si="28"/>
        <v>13.134600868750084</v>
      </c>
      <c r="V44" s="275">
        <f t="shared" si="28"/>
        <v>13.134600868750084</v>
      </c>
      <c r="W44" s="88"/>
      <c r="X44" s="129"/>
      <c r="Y44" s="262" t="s">
        <v>194</v>
      </c>
      <c r="Z44" s="274">
        <v>6.3829999999999991</v>
      </c>
      <c r="AA44" s="275">
        <f>Z44</f>
        <v>6.3829999999999991</v>
      </c>
      <c r="AB44" s="275">
        <f t="shared" ref="AB44:AR44" si="29">AA44</f>
        <v>6.3829999999999991</v>
      </c>
      <c r="AC44" s="275">
        <f t="shared" si="29"/>
        <v>6.3829999999999991</v>
      </c>
      <c r="AD44" s="275">
        <f t="shared" si="29"/>
        <v>6.3829999999999991</v>
      </c>
      <c r="AE44" s="275">
        <f t="shared" si="29"/>
        <v>6.3829999999999991</v>
      </c>
      <c r="AF44" s="275">
        <f t="shared" si="29"/>
        <v>6.3829999999999991</v>
      </c>
      <c r="AG44" s="275">
        <f t="shared" si="29"/>
        <v>6.3829999999999991</v>
      </c>
      <c r="AH44" s="275">
        <f t="shared" si="29"/>
        <v>6.3829999999999991</v>
      </c>
      <c r="AI44" s="275">
        <f t="shared" si="29"/>
        <v>6.3829999999999991</v>
      </c>
      <c r="AJ44" s="275">
        <f t="shared" si="29"/>
        <v>6.3829999999999991</v>
      </c>
      <c r="AK44" s="275">
        <f t="shared" si="29"/>
        <v>6.3829999999999991</v>
      </c>
      <c r="AL44" s="275">
        <f t="shared" si="29"/>
        <v>6.3829999999999991</v>
      </c>
      <c r="AM44" s="275">
        <f t="shared" si="29"/>
        <v>6.3829999999999991</v>
      </c>
      <c r="AN44" s="275">
        <f t="shared" si="29"/>
        <v>6.3829999999999991</v>
      </c>
      <c r="AO44" s="275">
        <f t="shared" si="29"/>
        <v>6.3829999999999991</v>
      </c>
      <c r="AP44" s="275">
        <f t="shared" si="29"/>
        <v>6.3829999999999991</v>
      </c>
      <c r="AQ44" s="275">
        <f t="shared" si="29"/>
        <v>6.3829999999999991</v>
      </c>
      <c r="AR44" s="275">
        <f t="shared" si="2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88"/>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32" t="s">
        <v>294</v>
      </c>
      <c r="Y46" s="532"/>
      <c r="Z46" s="532"/>
      <c r="AA46" s="532"/>
      <c r="AB46" s="532"/>
      <c r="AC46" s="532"/>
      <c r="AD46" s="532"/>
      <c r="AE46" s="532"/>
      <c r="AF46" s="532"/>
      <c r="AG46" s="532"/>
      <c r="AH46" s="532"/>
      <c r="AI46" s="532"/>
      <c r="AJ46" s="532"/>
      <c r="AK46" s="532"/>
      <c r="AL46" s="532"/>
      <c r="AM46" s="532"/>
      <c r="AN46" s="532"/>
      <c r="AO46" s="532"/>
      <c r="AP46" s="532"/>
      <c r="AQ46" s="532"/>
      <c r="AR46" s="532"/>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5123.0532899424888</v>
      </c>
      <c r="E47" s="257">
        <f>D47*(1-$D$6)^2</f>
        <v>4970.5143782344512</v>
      </c>
      <c r="F47" s="257">
        <f t="shared" ref="F47:V47" si="30">E47*(1-$D$6)^2</f>
        <v>4822.5173126225209</v>
      </c>
      <c r="G47" s="257">
        <f t="shared" si="30"/>
        <v>4678.9268596391857</v>
      </c>
      <c r="H47" s="257">
        <f t="shared" si="30"/>
        <v>4539.6118123934293</v>
      </c>
      <c r="I47" s="257">
        <f t="shared" si="30"/>
        <v>4404.4448706794146</v>
      </c>
      <c r="J47" s="257">
        <f t="shared" si="30"/>
        <v>4273.302524654935</v>
      </c>
      <c r="K47" s="257">
        <f t="shared" si="30"/>
        <v>4146.0649419833344</v>
      </c>
      <c r="L47" s="257">
        <f t="shared" si="30"/>
        <v>4022.6158583357806</v>
      </c>
      <c r="M47" s="257">
        <f t="shared" si="30"/>
        <v>3902.8424711538328</v>
      </c>
      <c r="N47" s="257">
        <f t="shared" si="30"/>
        <v>3786.6353365752275</v>
      </c>
      <c r="O47" s="257">
        <f t="shared" si="30"/>
        <v>3673.8882694286999</v>
      </c>
      <c r="P47" s="257">
        <f t="shared" si="30"/>
        <v>3564.4982462064604</v>
      </c>
      <c r="Q47" s="257">
        <f t="shared" si="30"/>
        <v>3458.3653109256629</v>
      </c>
      <c r="R47" s="257">
        <f t="shared" si="30"/>
        <v>3355.3924837928512</v>
      </c>
      <c r="S47" s="257">
        <f t="shared" si="30"/>
        <v>3255.485672587919</v>
      </c>
      <c r="T47" s="257">
        <f t="shared" si="30"/>
        <v>3158.5535866866139</v>
      </c>
      <c r="U47" s="257">
        <f t="shared" si="30"/>
        <v>3064.5076536430201</v>
      </c>
      <c r="V47" s="257">
        <f t="shared" si="30"/>
        <v>2973.2619382557991</v>
      </c>
      <c r="W47" s="88"/>
      <c r="X47" s="532"/>
      <c r="Y47" s="532"/>
      <c r="Z47" s="532"/>
      <c r="AA47" s="532"/>
      <c r="AB47" s="532"/>
      <c r="AC47" s="532"/>
      <c r="AD47" s="532"/>
      <c r="AE47" s="532"/>
      <c r="AF47" s="532"/>
      <c r="AG47" s="532"/>
      <c r="AH47" s="532"/>
      <c r="AI47" s="532"/>
      <c r="AJ47" s="532"/>
      <c r="AK47" s="532"/>
      <c r="AL47" s="532"/>
      <c r="AM47" s="532"/>
      <c r="AN47" s="532"/>
      <c r="AO47" s="532"/>
      <c r="AP47" s="532"/>
      <c r="AQ47" s="532"/>
      <c r="AR47" s="532"/>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32"/>
      <c r="Y48" s="532"/>
      <c r="Z48" s="532"/>
      <c r="AA48" s="532"/>
      <c r="AB48" s="532"/>
      <c r="AC48" s="532"/>
      <c r="AD48" s="532"/>
      <c r="AE48" s="532"/>
      <c r="AF48" s="532"/>
      <c r="AG48" s="532"/>
      <c r="AH48" s="532"/>
      <c r="AI48" s="532"/>
      <c r="AJ48" s="532"/>
      <c r="AK48" s="532"/>
      <c r="AL48" s="532"/>
      <c r="AM48" s="532"/>
      <c r="AN48" s="532"/>
      <c r="AO48" s="532"/>
      <c r="AP48" s="532"/>
      <c r="AQ48" s="532"/>
      <c r="AR48" s="532"/>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0.02</v>
      </c>
      <c r="E49" s="260">
        <v>0.02</v>
      </c>
      <c r="F49" s="260">
        <v>0.02</v>
      </c>
      <c r="G49" s="260">
        <v>0.02</v>
      </c>
      <c r="H49" s="260">
        <v>0.02</v>
      </c>
      <c r="I49" s="260">
        <v>0.02</v>
      </c>
      <c r="J49" s="260">
        <v>0.02</v>
      </c>
      <c r="K49" s="260">
        <v>0.02</v>
      </c>
      <c r="L49" s="260">
        <v>0.02</v>
      </c>
      <c r="M49" s="260">
        <v>0.02</v>
      </c>
      <c r="N49" s="260">
        <v>0.02</v>
      </c>
      <c r="O49" s="260">
        <v>0.02</v>
      </c>
      <c r="P49" s="260">
        <v>0.02</v>
      </c>
      <c r="Q49" s="260">
        <v>0.02</v>
      </c>
      <c r="R49" s="260">
        <v>0.02</v>
      </c>
      <c r="S49" s="260">
        <v>0.02</v>
      </c>
      <c r="T49" s="260">
        <v>0.02</v>
      </c>
      <c r="U49" s="260">
        <v>0.02</v>
      </c>
      <c r="V49" s="260">
        <v>0.02</v>
      </c>
      <c r="W49" s="88"/>
      <c r="X49" s="532"/>
      <c r="Y49" s="532"/>
      <c r="Z49" s="532"/>
      <c r="AA49" s="532"/>
      <c r="AB49" s="532"/>
      <c r="AC49" s="532"/>
      <c r="AD49" s="532"/>
      <c r="AE49" s="532"/>
      <c r="AF49" s="532"/>
      <c r="AG49" s="532"/>
      <c r="AH49" s="532"/>
      <c r="AI49" s="532"/>
      <c r="AJ49" s="532"/>
      <c r="AK49" s="532"/>
      <c r="AL49" s="532"/>
      <c r="AM49" s="532"/>
      <c r="AN49" s="532"/>
      <c r="AO49" s="532"/>
      <c r="AP49" s="532"/>
      <c r="AQ49" s="532"/>
      <c r="AR49" s="532"/>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3">
        <v>40</v>
      </c>
      <c r="E50" s="117">
        <f>D50</f>
        <v>40</v>
      </c>
      <c r="F50" s="117">
        <f t="shared" ref="F50:V50" si="31">E50</f>
        <v>40</v>
      </c>
      <c r="G50" s="117">
        <f t="shared" si="31"/>
        <v>40</v>
      </c>
      <c r="H50" s="117">
        <f t="shared" si="31"/>
        <v>40</v>
      </c>
      <c r="I50" s="117">
        <f t="shared" si="31"/>
        <v>40</v>
      </c>
      <c r="J50" s="117">
        <f t="shared" si="31"/>
        <v>40</v>
      </c>
      <c r="K50" s="117">
        <f t="shared" si="31"/>
        <v>40</v>
      </c>
      <c r="L50" s="117">
        <f t="shared" si="31"/>
        <v>40</v>
      </c>
      <c r="M50" s="117">
        <f t="shared" si="31"/>
        <v>40</v>
      </c>
      <c r="N50" s="117">
        <f t="shared" si="31"/>
        <v>40</v>
      </c>
      <c r="O50" s="117">
        <f t="shared" si="31"/>
        <v>40</v>
      </c>
      <c r="P50" s="117">
        <f t="shared" si="31"/>
        <v>40</v>
      </c>
      <c r="Q50" s="117">
        <f t="shared" si="31"/>
        <v>40</v>
      </c>
      <c r="R50" s="117">
        <f t="shared" si="31"/>
        <v>40</v>
      </c>
      <c r="S50" s="117">
        <f t="shared" si="31"/>
        <v>40</v>
      </c>
      <c r="T50" s="117">
        <f t="shared" si="31"/>
        <v>40</v>
      </c>
      <c r="U50" s="117">
        <f t="shared" si="31"/>
        <v>40</v>
      </c>
      <c r="V50" s="117">
        <f t="shared" si="31"/>
        <v>40</v>
      </c>
      <c r="W50" s="88"/>
      <c r="X50" s="532"/>
      <c r="Y50" s="532"/>
      <c r="Z50" s="532"/>
      <c r="AA50" s="532"/>
      <c r="AB50" s="532"/>
      <c r="AC50" s="532"/>
      <c r="AD50" s="532"/>
      <c r="AE50" s="532"/>
      <c r="AF50" s="532"/>
      <c r="AG50" s="532"/>
      <c r="AH50" s="532"/>
      <c r="AI50" s="532"/>
      <c r="AJ50" s="532"/>
      <c r="AK50" s="532"/>
      <c r="AL50" s="532"/>
      <c r="AM50" s="532"/>
      <c r="AN50" s="532"/>
      <c r="AO50" s="532"/>
      <c r="AP50" s="532"/>
      <c r="AQ50" s="532"/>
      <c r="AR50" s="532"/>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194</v>
      </c>
      <c r="D51" s="274">
        <v>11.496350364963501</v>
      </c>
      <c r="E51" s="275">
        <f>D51</f>
        <v>11.496350364963501</v>
      </c>
      <c r="F51" s="275">
        <f t="shared" ref="F51:V51" si="32">E51</f>
        <v>11.496350364963501</v>
      </c>
      <c r="G51" s="275">
        <f t="shared" si="32"/>
        <v>11.496350364963501</v>
      </c>
      <c r="H51" s="275">
        <f t="shared" si="32"/>
        <v>11.496350364963501</v>
      </c>
      <c r="I51" s="275">
        <f t="shared" si="32"/>
        <v>11.496350364963501</v>
      </c>
      <c r="J51" s="275">
        <f t="shared" si="32"/>
        <v>11.496350364963501</v>
      </c>
      <c r="K51" s="275">
        <f t="shared" si="32"/>
        <v>11.496350364963501</v>
      </c>
      <c r="L51" s="275">
        <f t="shared" si="32"/>
        <v>11.496350364963501</v>
      </c>
      <c r="M51" s="275">
        <f t="shared" si="32"/>
        <v>11.496350364963501</v>
      </c>
      <c r="N51" s="275">
        <f t="shared" si="32"/>
        <v>11.496350364963501</v>
      </c>
      <c r="O51" s="275">
        <f t="shared" si="32"/>
        <v>11.496350364963501</v>
      </c>
      <c r="P51" s="275">
        <f t="shared" si="32"/>
        <v>11.496350364963501</v>
      </c>
      <c r="Q51" s="275">
        <f t="shared" si="32"/>
        <v>11.496350364963501</v>
      </c>
      <c r="R51" s="275">
        <f t="shared" si="32"/>
        <v>11.496350364963501</v>
      </c>
      <c r="S51" s="275">
        <f t="shared" si="32"/>
        <v>11.496350364963501</v>
      </c>
      <c r="T51" s="275">
        <f t="shared" si="32"/>
        <v>11.496350364963501</v>
      </c>
      <c r="U51" s="275">
        <f t="shared" si="32"/>
        <v>11.496350364963501</v>
      </c>
      <c r="V51" s="275">
        <f t="shared" si="32"/>
        <v>11.496350364963501</v>
      </c>
      <c r="W51" s="88"/>
      <c r="X51" s="532"/>
      <c r="Y51" s="532"/>
      <c r="Z51" s="532"/>
      <c r="AA51" s="532"/>
      <c r="AB51" s="532"/>
      <c r="AC51" s="532"/>
      <c r="AD51" s="532"/>
      <c r="AE51" s="532"/>
      <c r="AF51" s="532"/>
      <c r="AG51" s="532"/>
      <c r="AH51" s="532"/>
      <c r="AI51" s="532"/>
      <c r="AJ51" s="532"/>
      <c r="AK51" s="532"/>
      <c r="AL51" s="532"/>
      <c r="AM51" s="532"/>
      <c r="AN51" s="532"/>
      <c r="AO51" s="532"/>
      <c r="AP51" s="532"/>
      <c r="AQ51" s="532"/>
      <c r="AR51" s="532"/>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13" zoomScale="70" zoomScaleNormal="70" zoomScalePageLayoutView="70" workbookViewId="0">
      <selection activeCell="O23" sqref="O23"/>
    </sheetView>
  </sheetViews>
  <sheetFormatPr baseColWidth="10" defaultColWidth="9.1640625" defaultRowHeight="14" x14ac:dyDescent="0"/>
  <cols>
    <col min="1" max="1" width="4.83203125" style="91" customWidth="1"/>
    <col min="2" max="2" width="17.83203125" style="91" customWidth="1"/>
    <col min="3" max="3" width="11.5" style="91" customWidth="1"/>
    <col min="4" max="6" width="7.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6.3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206</v>
      </c>
      <c r="Y6" s="463"/>
      <c r="Z6" s="463"/>
      <c r="AA6" s="463"/>
      <c r="AB6" s="463"/>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7"/>
      <c r="C7" s="358"/>
      <c r="D7" s="285">
        <v>2014</v>
      </c>
      <c r="E7" s="286">
        <v>2016</v>
      </c>
      <c r="F7" s="286">
        <v>2018</v>
      </c>
      <c r="G7" s="286">
        <v>2020</v>
      </c>
      <c r="H7" s="286">
        <v>2022</v>
      </c>
      <c r="I7" s="286">
        <v>2024</v>
      </c>
      <c r="J7" s="286">
        <v>2026</v>
      </c>
      <c r="K7" s="286">
        <v>2028</v>
      </c>
      <c r="L7" s="286">
        <v>2030</v>
      </c>
      <c r="M7" s="286">
        <v>2032</v>
      </c>
      <c r="N7" s="286">
        <v>2034</v>
      </c>
      <c r="O7" s="286">
        <v>2036</v>
      </c>
      <c r="P7" s="286">
        <v>2038</v>
      </c>
      <c r="Q7" s="286">
        <v>2040</v>
      </c>
      <c r="R7" s="286">
        <v>2042</v>
      </c>
      <c r="S7" s="286">
        <v>2044</v>
      </c>
      <c r="T7" s="286">
        <v>2046</v>
      </c>
      <c r="U7" s="286">
        <v>2048</v>
      </c>
      <c r="V7" s="287">
        <v>2050</v>
      </c>
      <c r="W7" s="88"/>
      <c r="X7" s="336" t="s">
        <v>207</v>
      </c>
      <c r="Y7" s="337" t="s">
        <v>208</v>
      </c>
      <c r="Z7" s="337"/>
      <c r="AA7" s="338"/>
      <c r="AB7" s="338"/>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6" t="s">
        <v>173</v>
      </c>
      <c r="C8" s="282"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7">
        <v>6</v>
      </c>
      <c r="W8" s="88"/>
      <c r="X8" s="339">
        <v>1</v>
      </c>
      <c r="Y8" s="340" t="s">
        <v>312</v>
      </c>
      <c r="Z8" s="341"/>
      <c r="AA8" s="341"/>
      <c r="AB8" s="342"/>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6" t="s">
        <v>114</v>
      </c>
      <c r="C9" s="282"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7">
        <v>6</v>
      </c>
      <c r="W9" s="88"/>
      <c r="X9" s="343">
        <v>2</v>
      </c>
      <c r="Y9" s="344" t="s">
        <v>313</v>
      </c>
      <c r="Z9" s="345"/>
      <c r="AA9" s="345"/>
      <c r="AB9" s="346"/>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8" t="s">
        <v>133</v>
      </c>
      <c r="C10" s="283"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7">
        <v>6</v>
      </c>
      <c r="W10" s="88"/>
      <c r="X10" s="347">
        <v>3</v>
      </c>
      <c r="Y10" s="348" t="s">
        <v>314</v>
      </c>
      <c r="Z10" s="349"/>
      <c r="AA10" s="349"/>
      <c r="AB10" s="350"/>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8" t="s">
        <v>132</v>
      </c>
      <c r="C11" s="283"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7">
        <v>6</v>
      </c>
      <c r="W11" s="88"/>
      <c r="X11" s="347">
        <v>4</v>
      </c>
      <c r="Y11" s="348" t="s">
        <v>315</v>
      </c>
      <c r="Z11" s="349"/>
      <c r="AA11" s="349"/>
      <c r="AB11" s="350"/>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8" t="s">
        <v>134</v>
      </c>
      <c r="C12" s="283"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7">
        <v>6</v>
      </c>
      <c r="W12" s="88"/>
      <c r="X12" s="347">
        <v>5</v>
      </c>
      <c r="Y12" s="348" t="s">
        <v>316</v>
      </c>
      <c r="Z12" s="349"/>
      <c r="AA12" s="349"/>
      <c r="AB12" s="350"/>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8" t="s">
        <v>135</v>
      </c>
      <c r="C13" s="283"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7">
        <v>7</v>
      </c>
      <c r="W13" s="88"/>
      <c r="X13" s="347">
        <v>6</v>
      </c>
      <c r="Y13" s="348" t="s">
        <v>317</v>
      </c>
      <c r="Z13" s="349"/>
      <c r="AA13" s="349"/>
      <c r="AB13" s="350"/>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8" t="s">
        <v>174</v>
      </c>
      <c r="C14" s="283"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7">
        <v>7</v>
      </c>
      <c r="W14" s="88"/>
      <c r="X14" s="347">
        <v>7</v>
      </c>
      <c r="Y14" s="348" t="s">
        <v>318</v>
      </c>
      <c r="Z14" s="349"/>
      <c r="AA14" s="349"/>
      <c r="AB14" s="350"/>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8" t="s">
        <v>136</v>
      </c>
      <c r="C15" s="283"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7">
        <v>7</v>
      </c>
      <c r="W15" s="88"/>
      <c r="X15" s="351">
        <v>8</v>
      </c>
      <c r="Y15" s="352" t="s">
        <v>319</v>
      </c>
      <c r="Z15" s="353"/>
      <c r="AA15" s="353"/>
      <c r="AB15" s="354"/>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8" t="s">
        <v>175</v>
      </c>
      <c r="C16" s="283"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7">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8" t="s">
        <v>176</v>
      </c>
      <c r="C17" s="283"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7">
        <v>7</v>
      </c>
      <c r="W17" s="88"/>
      <c r="X17" s="409" t="s">
        <v>295</v>
      </c>
      <c r="Y17" s="410"/>
      <c r="Z17" s="410"/>
      <c r="AA17" s="410"/>
      <c r="AB17" s="411" t="s">
        <v>301</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9" t="s">
        <v>177</v>
      </c>
      <c r="C18" s="284" t="s">
        <v>139</v>
      </c>
      <c r="D18" s="280">
        <v>3</v>
      </c>
      <c r="E18" s="280">
        <v>5</v>
      </c>
      <c r="F18" s="280">
        <v>5</v>
      </c>
      <c r="G18" s="280">
        <v>7</v>
      </c>
      <c r="H18" s="280">
        <v>7</v>
      </c>
      <c r="I18" s="280">
        <v>7</v>
      </c>
      <c r="J18" s="280">
        <v>7</v>
      </c>
      <c r="K18" s="280">
        <v>7</v>
      </c>
      <c r="L18" s="280">
        <v>7</v>
      </c>
      <c r="M18" s="280">
        <v>7</v>
      </c>
      <c r="N18" s="280">
        <v>7</v>
      </c>
      <c r="O18" s="280">
        <v>7</v>
      </c>
      <c r="P18" s="280">
        <v>7</v>
      </c>
      <c r="Q18" s="280">
        <v>7</v>
      </c>
      <c r="R18" s="280">
        <v>7</v>
      </c>
      <c r="S18" s="280">
        <v>7</v>
      </c>
      <c r="T18" s="280">
        <v>7</v>
      </c>
      <c r="U18" s="280">
        <v>7</v>
      </c>
      <c r="V18" s="281">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89"/>
      <c r="C19" s="389"/>
      <c r="D19" s="389"/>
      <c r="E19" s="389"/>
      <c r="F19" s="389"/>
      <c r="G19" s="389"/>
      <c r="H19" s="389"/>
      <c r="I19" s="389"/>
      <c r="J19" s="389"/>
      <c r="K19" s="389"/>
      <c r="L19" s="389"/>
      <c r="M19" s="389"/>
      <c r="N19" s="389"/>
      <c r="O19" s="389"/>
      <c r="P19" s="389"/>
      <c r="Q19" s="389"/>
      <c r="R19" s="389"/>
      <c r="S19" s="389"/>
      <c r="T19" s="389"/>
      <c r="U19" s="389"/>
      <c r="V19" s="389"/>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6" t="s">
        <v>276</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7"/>
      <c r="D23" s="298" t="s">
        <v>164</v>
      </c>
      <c r="E23" s="299"/>
      <c r="F23" s="299"/>
      <c r="G23" s="299"/>
      <c r="H23" s="299"/>
      <c r="I23" s="299"/>
      <c r="J23" s="300"/>
      <c r="K23" s="464"/>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1" t="s">
        <v>137</v>
      </c>
      <c r="C24" s="302">
        <v>1</v>
      </c>
      <c r="D24" s="303">
        <v>2</v>
      </c>
      <c r="E24" s="303">
        <v>3</v>
      </c>
      <c r="F24" s="303">
        <v>4</v>
      </c>
      <c r="G24" s="303">
        <v>5</v>
      </c>
      <c r="H24" s="303">
        <v>6</v>
      </c>
      <c r="I24" s="303">
        <v>7</v>
      </c>
      <c r="J24" s="304">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5">
        <v>1</v>
      </c>
      <c r="C25" s="203">
        <v>0</v>
      </c>
      <c r="D25" s="204">
        <v>0</v>
      </c>
      <c r="E25" s="204">
        <v>0</v>
      </c>
      <c r="F25" s="204">
        <v>0</v>
      </c>
      <c r="G25" s="204">
        <v>0</v>
      </c>
      <c r="H25" s="204">
        <v>0</v>
      </c>
      <c r="I25" s="204">
        <v>0</v>
      </c>
      <c r="J25" s="306">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5">
        <v>2</v>
      </c>
      <c r="C26" s="203">
        <v>0</v>
      </c>
      <c r="D26" s="204">
        <v>0</v>
      </c>
      <c r="E26" s="204">
        <v>0</v>
      </c>
      <c r="F26" s="204">
        <v>0</v>
      </c>
      <c r="G26" s="204">
        <v>0</v>
      </c>
      <c r="H26" s="204">
        <v>0</v>
      </c>
      <c r="I26" s="204">
        <v>0</v>
      </c>
      <c r="J26" s="306">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5">
        <v>3</v>
      </c>
      <c r="C27" s="203">
        <v>1.4723336E-2</v>
      </c>
      <c r="D27" s="204">
        <v>2.5476018999999999E-2</v>
      </c>
      <c r="E27" s="204">
        <v>2.1531825000000001E-2</v>
      </c>
      <c r="F27" s="204">
        <v>3.1197994E-2</v>
      </c>
      <c r="G27" s="204">
        <v>2.149875E-2</v>
      </c>
      <c r="H27" s="204">
        <v>3.3075E-2</v>
      </c>
      <c r="I27" s="204">
        <v>2.9866725E-2</v>
      </c>
      <c r="J27" s="306">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5">
        <v>4</v>
      </c>
      <c r="C28" s="203">
        <v>3.4899760000000002E-2</v>
      </c>
      <c r="D28" s="204">
        <v>6.03876E-2</v>
      </c>
      <c r="E28" s="204">
        <v>5.1038399999999998E-2</v>
      </c>
      <c r="F28" s="204">
        <v>7.3950799999999997E-2</v>
      </c>
      <c r="G28" s="204">
        <v>5.0959999999999998E-2</v>
      </c>
      <c r="H28" s="204">
        <v>7.8399999999999997E-2</v>
      </c>
      <c r="I28" s="204">
        <v>7.0795200000000003E-2</v>
      </c>
      <c r="J28" s="306">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5">
        <v>5</v>
      </c>
      <c r="C29" s="203">
        <v>6.8163593999999994E-2</v>
      </c>
      <c r="D29" s="204">
        <v>0.11794453100000001</v>
      </c>
      <c r="E29" s="204">
        <v>9.9684375000000006E-2</v>
      </c>
      <c r="F29" s="204">
        <v>0.14443515600000001</v>
      </c>
      <c r="G29" s="204">
        <v>9.9531250000000002E-2</v>
      </c>
      <c r="H29" s="204">
        <v>0.15312500000000001</v>
      </c>
      <c r="I29" s="204">
        <v>0.13827187499999999</v>
      </c>
      <c r="J29" s="306">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5">
        <v>6</v>
      </c>
      <c r="C30" s="203">
        <v>0.11778669</v>
      </c>
      <c r="D30" s="204">
        <v>0.20380814999999999</v>
      </c>
      <c r="E30" s="204">
        <v>0.17225460000000001</v>
      </c>
      <c r="F30" s="204">
        <v>0.24958395</v>
      </c>
      <c r="G30" s="204">
        <v>0.17199</v>
      </c>
      <c r="H30" s="204">
        <v>0.2646</v>
      </c>
      <c r="I30" s="204">
        <v>0.2389338</v>
      </c>
      <c r="J30" s="306">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5">
        <v>7</v>
      </c>
      <c r="C31" s="203">
        <v>0.18704090100000001</v>
      </c>
      <c r="D31" s="204">
        <v>0.32363979399999998</v>
      </c>
      <c r="E31" s="204">
        <v>0.27353392500000001</v>
      </c>
      <c r="F31" s="204">
        <v>0.39633006900000001</v>
      </c>
      <c r="G31" s="204">
        <v>0.27311374999999999</v>
      </c>
      <c r="H31" s="204">
        <v>0.42017500000000002</v>
      </c>
      <c r="I31" s="204">
        <v>0.37941802499999999</v>
      </c>
      <c r="J31" s="306">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5">
        <v>8</v>
      </c>
      <c r="C32" s="203">
        <v>0.27919808000000002</v>
      </c>
      <c r="D32" s="204">
        <v>0.4831008</v>
      </c>
      <c r="E32" s="204">
        <v>0.40830719999999998</v>
      </c>
      <c r="F32" s="204">
        <v>0.59160639999999998</v>
      </c>
      <c r="G32" s="204">
        <v>0.40767999999999999</v>
      </c>
      <c r="H32" s="204">
        <v>0.62719999999999998</v>
      </c>
      <c r="I32" s="204">
        <v>0.56636160000000002</v>
      </c>
      <c r="J32" s="306">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5">
        <v>9</v>
      </c>
      <c r="C33" s="203">
        <v>0.39753007899999998</v>
      </c>
      <c r="D33" s="204">
        <v>0.68785250600000003</v>
      </c>
      <c r="E33" s="204">
        <v>0.58135927499999995</v>
      </c>
      <c r="F33" s="204">
        <v>0.84234583100000004</v>
      </c>
      <c r="G33" s="204">
        <v>0.58046624999999996</v>
      </c>
      <c r="H33" s="204">
        <v>0.89302499999999996</v>
      </c>
      <c r="I33" s="204">
        <v>0.80640157499999998</v>
      </c>
      <c r="J33" s="306">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5">
        <v>10</v>
      </c>
      <c r="C34" s="203">
        <v>0.54530875000000001</v>
      </c>
      <c r="D34" s="204">
        <v>0.94355624999999999</v>
      </c>
      <c r="E34" s="204">
        <v>0.79747500000000004</v>
      </c>
      <c r="F34" s="204">
        <v>1</v>
      </c>
      <c r="G34" s="204">
        <v>0.79625000000000001</v>
      </c>
      <c r="H34" s="204">
        <v>1</v>
      </c>
      <c r="I34" s="204">
        <v>1</v>
      </c>
      <c r="J34" s="306">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5">
        <v>11</v>
      </c>
      <c r="C35" s="203">
        <v>0.72580594600000004</v>
      </c>
      <c r="D35" s="204">
        <v>1</v>
      </c>
      <c r="E35" s="204">
        <v>1</v>
      </c>
      <c r="F35" s="204">
        <v>1</v>
      </c>
      <c r="G35" s="204">
        <v>1</v>
      </c>
      <c r="H35" s="204">
        <v>1</v>
      </c>
      <c r="I35" s="204">
        <v>1</v>
      </c>
      <c r="J35" s="306">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5">
        <v>12</v>
      </c>
      <c r="C36" s="203">
        <v>0.94229352</v>
      </c>
      <c r="D36" s="204">
        <v>1</v>
      </c>
      <c r="E36" s="204">
        <v>1</v>
      </c>
      <c r="F36" s="204">
        <v>1</v>
      </c>
      <c r="G36" s="204">
        <v>1</v>
      </c>
      <c r="H36" s="204">
        <v>1</v>
      </c>
      <c r="I36" s="204">
        <v>1</v>
      </c>
      <c r="J36" s="306">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5">
        <v>13</v>
      </c>
      <c r="C37" s="203">
        <v>1</v>
      </c>
      <c r="D37" s="204">
        <v>1</v>
      </c>
      <c r="E37" s="204">
        <v>1</v>
      </c>
      <c r="F37" s="204">
        <v>1</v>
      </c>
      <c r="G37" s="204">
        <v>1</v>
      </c>
      <c r="H37" s="204">
        <v>1</v>
      </c>
      <c r="I37" s="204">
        <v>1</v>
      </c>
      <c r="J37" s="306">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5">
        <v>14</v>
      </c>
      <c r="C38" s="203">
        <v>1</v>
      </c>
      <c r="D38" s="204">
        <v>1</v>
      </c>
      <c r="E38" s="204">
        <v>1</v>
      </c>
      <c r="F38" s="204">
        <v>1</v>
      </c>
      <c r="G38" s="204">
        <v>1</v>
      </c>
      <c r="H38" s="204">
        <v>1</v>
      </c>
      <c r="I38" s="204">
        <v>1</v>
      </c>
      <c r="J38" s="306">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5">
        <v>15</v>
      </c>
      <c r="C39" s="203">
        <v>1</v>
      </c>
      <c r="D39" s="204">
        <v>1</v>
      </c>
      <c r="E39" s="204">
        <v>1</v>
      </c>
      <c r="F39" s="204">
        <v>1</v>
      </c>
      <c r="G39" s="204">
        <v>1</v>
      </c>
      <c r="H39" s="204">
        <v>1</v>
      </c>
      <c r="I39" s="204">
        <v>1</v>
      </c>
      <c r="J39" s="306">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5">
        <v>16</v>
      </c>
      <c r="C40" s="203">
        <v>1</v>
      </c>
      <c r="D40" s="204">
        <v>1</v>
      </c>
      <c r="E40" s="204">
        <v>1</v>
      </c>
      <c r="F40" s="204">
        <v>1</v>
      </c>
      <c r="G40" s="204">
        <v>1</v>
      </c>
      <c r="H40" s="204">
        <v>1</v>
      </c>
      <c r="I40" s="204">
        <v>1</v>
      </c>
      <c r="J40" s="306">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5">
        <v>17</v>
      </c>
      <c r="C41" s="203">
        <v>1</v>
      </c>
      <c r="D41" s="204">
        <v>1</v>
      </c>
      <c r="E41" s="204">
        <v>1</v>
      </c>
      <c r="F41" s="204">
        <v>1</v>
      </c>
      <c r="G41" s="204">
        <v>1</v>
      </c>
      <c r="H41" s="204">
        <v>1</v>
      </c>
      <c r="I41" s="204">
        <v>1</v>
      </c>
      <c r="J41" s="306">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7">
        <v>18</v>
      </c>
      <c r="C42" s="308">
        <v>1</v>
      </c>
      <c r="D42" s="309">
        <v>1</v>
      </c>
      <c r="E42" s="309">
        <v>1</v>
      </c>
      <c r="F42" s="309">
        <v>1</v>
      </c>
      <c r="G42" s="309">
        <v>1</v>
      </c>
      <c r="H42" s="309">
        <v>1</v>
      </c>
      <c r="I42" s="309">
        <v>1</v>
      </c>
      <c r="J42" s="310">
        <v>1</v>
      </c>
      <c r="K42" s="355">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293</v>
      </c>
      <c r="E45" s="201"/>
      <c r="F45" s="201"/>
      <c r="G45" s="201"/>
      <c r="H45" s="201"/>
      <c r="I45" s="201"/>
      <c r="J45" s="201"/>
      <c r="K45" s="201"/>
      <c r="L45" s="201"/>
      <c r="M45" s="201"/>
      <c r="N45" s="201"/>
      <c r="O45" s="201"/>
      <c r="P45" s="201"/>
      <c r="Q45" s="201"/>
      <c r="R45" s="201"/>
      <c r="S45" s="201"/>
      <c r="T45" s="201"/>
      <c r="U45" s="201"/>
      <c r="V45" s="201"/>
      <c r="W45" s="88"/>
      <c r="X45" s="88"/>
      <c r="Y45" s="88"/>
      <c r="Z45" s="88"/>
      <c r="AA45" s="88"/>
      <c r="AB45" s="88"/>
      <c r="AC45" s="88"/>
      <c r="AD45" s="88"/>
      <c r="AE45" s="88"/>
      <c r="AF45" s="88"/>
      <c r="AG45" s="88"/>
      <c r="AH45" s="88"/>
      <c r="AI45" s="88"/>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96"/>
      <c r="D46" s="405">
        <v>2014</v>
      </c>
      <c r="E46" s="406">
        <v>2016</v>
      </c>
      <c r="F46" s="406">
        <v>2018</v>
      </c>
      <c r="G46" s="406">
        <v>2020</v>
      </c>
      <c r="H46" s="406">
        <v>2022</v>
      </c>
      <c r="I46" s="406">
        <v>2024</v>
      </c>
      <c r="J46" s="406">
        <v>2026</v>
      </c>
      <c r="K46" s="406">
        <v>2028</v>
      </c>
      <c r="L46" s="406">
        <v>2030</v>
      </c>
      <c r="M46" s="406">
        <v>2032</v>
      </c>
      <c r="N46" s="406">
        <v>2034</v>
      </c>
      <c r="O46" s="406">
        <v>2036</v>
      </c>
      <c r="P46" s="406">
        <v>2038</v>
      </c>
      <c r="Q46" s="406">
        <v>2040</v>
      </c>
      <c r="R46" s="406">
        <v>2042</v>
      </c>
      <c r="S46" s="406">
        <v>2044</v>
      </c>
      <c r="T46" s="406">
        <v>2046</v>
      </c>
      <c r="U46" s="406">
        <v>2048</v>
      </c>
      <c r="V46" s="407">
        <v>2050</v>
      </c>
      <c r="W46" s="88"/>
      <c r="X46" s="88"/>
      <c r="Y46" s="88"/>
      <c r="Z46" s="88"/>
      <c r="AA46" s="88"/>
      <c r="AB46" s="88"/>
      <c r="AC46" s="88"/>
      <c r="AD46" s="88"/>
      <c r="AE46" s="88"/>
      <c r="AF46" s="88"/>
      <c r="AG46" s="88"/>
      <c r="AH46" s="88"/>
      <c r="AI46" s="88"/>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97" t="s">
        <v>173</v>
      </c>
      <c r="D47" s="398">
        <v>0.85</v>
      </c>
      <c r="E47" s="398">
        <v>0.85</v>
      </c>
      <c r="F47" s="398">
        <v>0.85</v>
      </c>
      <c r="G47" s="398">
        <v>0.85</v>
      </c>
      <c r="H47" s="398">
        <v>0.85</v>
      </c>
      <c r="I47" s="398">
        <v>0.85</v>
      </c>
      <c r="J47" s="398">
        <v>0.85</v>
      </c>
      <c r="K47" s="398">
        <v>0.85</v>
      </c>
      <c r="L47" s="398">
        <v>0.85</v>
      </c>
      <c r="M47" s="398">
        <v>0.85</v>
      </c>
      <c r="N47" s="398">
        <v>0.85</v>
      </c>
      <c r="O47" s="398">
        <v>0.85</v>
      </c>
      <c r="P47" s="398">
        <v>0.85</v>
      </c>
      <c r="Q47" s="398">
        <v>0.85</v>
      </c>
      <c r="R47" s="398">
        <v>0.85</v>
      </c>
      <c r="S47" s="398">
        <v>0.85</v>
      </c>
      <c r="T47" s="398">
        <v>0.85</v>
      </c>
      <c r="U47" s="398">
        <v>0.85</v>
      </c>
      <c r="V47" s="399">
        <v>0.85</v>
      </c>
      <c r="W47" s="88"/>
      <c r="X47" s="88"/>
      <c r="Y47" s="88"/>
      <c r="Z47" s="88"/>
      <c r="AA47" s="88"/>
      <c r="AB47" s="88"/>
      <c r="AC47" s="88"/>
      <c r="AD47" s="88"/>
      <c r="AE47" s="88"/>
      <c r="AF47" s="88"/>
      <c r="AG47" s="88"/>
      <c r="AH47" s="88"/>
      <c r="AI47" s="88"/>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97" t="s">
        <v>114</v>
      </c>
      <c r="D48" s="398">
        <v>0.85</v>
      </c>
      <c r="E48" s="398">
        <v>0.85</v>
      </c>
      <c r="F48" s="398">
        <v>0.85</v>
      </c>
      <c r="G48" s="398">
        <v>0.85</v>
      </c>
      <c r="H48" s="398">
        <v>0.85</v>
      </c>
      <c r="I48" s="398">
        <v>0.85</v>
      </c>
      <c r="J48" s="398">
        <v>0.85</v>
      </c>
      <c r="K48" s="398">
        <v>0.85</v>
      </c>
      <c r="L48" s="398">
        <v>0.85</v>
      </c>
      <c r="M48" s="398">
        <v>0.85</v>
      </c>
      <c r="N48" s="398">
        <v>0.85</v>
      </c>
      <c r="O48" s="398">
        <v>0.85</v>
      </c>
      <c r="P48" s="398">
        <v>0.85</v>
      </c>
      <c r="Q48" s="398">
        <v>0.85</v>
      </c>
      <c r="R48" s="398">
        <v>0.85</v>
      </c>
      <c r="S48" s="398">
        <v>0.85</v>
      </c>
      <c r="T48" s="398">
        <v>0.85</v>
      </c>
      <c r="U48" s="398">
        <v>0.85</v>
      </c>
      <c r="V48" s="399">
        <v>0.85</v>
      </c>
      <c r="W48" s="88"/>
      <c r="X48" s="88"/>
      <c r="Y48" s="88"/>
      <c r="Z48" s="88"/>
      <c r="AA48" s="88"/>
      <c r="AB48" s="88"/>
      <c r="AC48" s="88"/>
      <c r="AD48" s="88"/>
      <c r="AE48" s="88"/>
      <c r="AF48" s="88"/>
      <c r="AG48" s="88"/>
      <c r="AH48" s="88"/>
      <c r="AI48" s="89"/>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400" t="s">
        <v>133</v>
      </c>
      <c r="D49" s="398">
        <v>0.85</v>
      </c>
      <c r="E49" s="398">
        <v>0.85</v>
      </c>
      <c r="F49" s="398">
        <v>0.85</v>
      </c>
      <c r="G49" s="398">
        <v>0.85</v>
      </c>
      <c r="H49" s="398">
        <v>0.85</v>
      </c>
      <c r="I49" s="398">
        <v>0.85</v>
      </c>
      <c r="J49" s="398">
        <v>0.85</v>
      </c>
      <c r="K49" s="398">
        <v>0.85</v>
      </c>
      <c r="L49" s="398">
        <v>0.85</v>
      </c>
      <c r="M49" s="398">
        <v>0.85</v>
      </c>
      <c r="N49" s="398">
        <v>0.85</v>
      </c>
      <c r="O49" s="398">
        <v>0.85</v>
      </c>
      <c r="P49" s="398">
        <v>0.85</v>
      </c>
      <c r="Q49" s="398">
        <v>0.85</v>
      </c>
      <c r="R49" s="398">
        <v>0.85</v>
      </c>
      <c r="S49" s="398">
        <v>0.85</v>
      </c>
      <c r="T49" s="398">
        <v>0.85</v>
      </c>
      <c r="U49" s="398">
        <v>0.85</v>
      </c>
      <c r="V49" s="399">
        <v>0.85</v>
      </c>
      <c r="W49" s="88"/>
      <c r="X49" s="88"/>
      <c r="Y49" s="88"/>
      <c r="Z49" s="88"/>
      <c r="AA49" s="88"/>
      <c r="AB49" s="88"/>
      <c r="AC49" s="88"/>
      <c r="AD49" s="88"/>
      <c r="AE49" s="88"/>
      <c r="AF49" s="88"/>
      <c r="AG49" s="88"/>
      <c r="AH49" s="88"/>
      <c r="AI49" s="89"/>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400" t="s">
        <v>132</v>
      </c>
      <c r="D50" s="398">
        <v>0.85</v>
      </c>
      <c r="E50" s="398">
        <v>0.85</v>
      </c>
      <c r="F50" s="398">
        <v>0.85</v>
      </c>
      <c r="G50" s="398">
        <v>0.85</v>
      </c>
      <c r="H50" s="398">
        <v>0.85</v>
      </c>
      <c r="I50" s="398">
        <v>0.85</v>
      </c>
      <c r="J50" s="398">
        <v>0.85</v>
      </c>
      <c r="K50" s="398">
        <v>0.85</v>
      </c>
      <c r="L50" s="398">
        <v>0.85</v>
      </c>
      <c r="M50" s="398">
        <v>0.85</v>
      </c>
      <c r="N50" s="398">
        <v>0.85</v>
      </c>
      <c r="O50" s="398">
        <v>0.85</v>
      </c>
      <c r="P50" s="398">
        <v>0.85</v>
      </c>
      <c r="Q50" s="398">
        <v>0.85</v>
      </c>
      <c r="R50" s="401">
        <v>0.85</v>
      </c>
      <c r="S50" s="398">
        <v>0.85</v>
      </c>
      <c r="T50" s="398">
        <v>0.85</v>
      </c>
      <c r="U50" s="398">
        <v>0.85</v>
      </c>
      <c r="V50" s="399">
        <v>0.85</v>
      </c>
      <c r="W50" s="88"/>
      <c r="X50" s="88"/>
      <c r="Y50" s="88"/>
      <c r="Z50" s="88"/>
      <c r="AA50" s="88"/>
      <c r="AB50" s="88"/>
      <c r="AC50" s="88"/>
      <c r="AD50" s="88"/>
      <c r="AE50" s="88"/>
      <c r="AF50" s="88"/>
      <c r="AG50" s="88"/>
      <c r="AH50" s="88"/>
      <c r="AI50" s="89"/>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400" t="s">
        <v>134</v>
      </c>
      <c r="D51" s="398">
        <v>0.85</v>
      </c>
      <c r="E51" s="398">
        <v>0.85</v>
      </c>
      <c r="F51" s="398">
        <v>0.85</v>
      </c>
      <c r="G51" s="398">
        <v>0.85</v>
      </c>
      <c r="H51" s="398">
        <v>0.85</v>
      </c>
      <c r="I51" s="398">
        <v>0.85</v>
      </c>
      <c r="J51" s="398">
        <v>0.85</v>
      </c>
      <c r="K51" s="398">
        <v>0.85</v>
      </c>
      <c r="L51" s="398">
        <v>0.85</v>
      </c>
      <c r="M51" s="398">
        <v>0.85</v>
      </c>
      <c r="N51" s="398">
        <v>0.85</v>
      </c>
      <c r="O51" s="398">
        <v>0.85</v>
      </c>
      <c r="P51" s="398">
        <v>0.85</v>
      </c>
      <c r="Q51" s="398">
        <v>0.85</v>
      </c>
      <c r="R51" s="398">
        <v>0.85</v>
      </c>
      <c r="S51" s="398">
        <v>0.85</v>
      </c>
      <c r="T51" s="398">
        <v>0.85</v>
      </c>
      <c r="U51" s="398">
        <v>0.85</v>
      </c>
      <c r="V51" s="399">
        <v>0.85</v>
      </c>
      <c r="W51" s="88"/>
      <c r="X51" s="88"/>
      <c r="Y51" s="88"/>
      <c r="Z51" s="88"/>
      <c r="AA51" s="88"/>
      <c r="AB51" s="88"/>
      <c r="AC51" s="88"/>
      <c r="AD51" s="88"/>
      <c r="AE51" s="88"/>
      <c r="AF51" s="88"/>
      <c r="AG51" s="88"/>
      <c r="AH51" s="88"/>
      <c r="AI51" s="89"/>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400" t="s">
        <v>135</v>
      </c>
      <c r="D52" s="398">
        <v>0.85</v>
      </c>
      <c r="E52" s="398">
        <v>0.85</v>
      </c>
      <c r="F52" s="398">
        <v>0.85</v>
      </c>
      <c r="G52" s="398">
        <v>0.85</v>
      </c>
      <c r="H52" s="398">
        <v>0.85</v>
      </c>
      <c r="I52" s="398">
        <v>0.85</v>
      </c>
      <c r="J52" s="398">
        <v>0.85</v>
      </c>
      <c r="K52" s="398">
        <v>0.85</v>
      </c>
      <c r="L52" s="398">
        <v>0.85</v>
      </c>
      <c r="M52" s="398">
        <v>0.85</v>
      </c>
      <c r="N52" s="398">
        <v>0.85</v>
      </c>
      <c r="O52" s="398">
        <v>0.85</v>
      </c>
      <c r="P52" s="398">
        <v>0.85</v>
      </c>
      <c r="Q52" s="398">
        <v>0.85</v>
      </c>
      <c r="R52" s="398">
        <v>0.85</v>
      </c>
      <c r="S52" s="398">
        <v>0.85</v>
      </c>
      <c r="T52" s="398">
        <v>0.85</v>
      </c>
      <c r="U52" s="398">
        <v>0.85</v>
      </c>
      <c r="V52" s="399">
        <v>0.85</v>
      </c>
      <c r="W52" s="88"/>
      <c r="X52" s="88"/>
      <c r="Y52" s="88"/>
      <c r="Z52" s="88"/>
      <c r="AA52" s="88"/>
      <c r="AB52" s="88"/>
      <c r="AC52" s="88"/>
      <c r="AD52" s="88"/>
      <c r="AE52" s="88"/>
      <c r="AF52" s="88"/>
      <c r="AG52" s="88"/>
      <c r="AH52" s="88"/>
      <c r="AI52" s="89"/>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400" t="s">
        <v>174</v>
      </c>
      <c r="D53" s="398">
        <v>0.85</v>
      </c>
      <c r="E53" s="398">
        <v>0.85</v>
      </c>
      <c r="F53" s="398">
        <v>0.85</v>
      </c>
      <c r="G53" s="398">
        <v>0.85</v>
      </c>
      <c r="H53" s="398">
        <v>0.85</v>
      </c>
      <c r="I53" s="398">
        <v>0.85</v>
      </c>
      <c r="J53" s="398">
        <v>0.85</v>
      </c>
      <c r="K53" s="398">
        <v>0.85</v>
      </c>
      <c r="L53" s="398">
        <v>0.85</v>
      </c>
      <c r="M53" s="398">
        <v>0.85</v>
      </c>
      <c r="N53" s="398">
        <v>0.85</v>
      </c>
      <c r="O53" s="398">
        <v>0.85</v>
      </c>
      <c r="P53" s="398">
        <v>0.85</v>
      </c>
      <c r="Q53" s="398">
        <v>0.85</v>
      </c>
      <c r="R53" s="398">
        <v>0.85</v>
      </c>
      <c r="S53" s="398">
        <v>0.85</v>
      </c>
      <c r="T53" s="398">
        <v>0.85</v>
      </c>
      <c r="U53" s="398">
        <v>0.85</v>
      </c>
      <c r="V53" s="399">
        <v>0.85</v>
      </c>
      <c r="W53" s="88"/>
      <c r="X53" s="88"/>
      <c r="Y53" s="88"/>
      <c r="Z53" s="88"/>
      <c r="AA53" s="88"/>
      <c r="AB53" s="88"/>
      <c r="AC53" s="88"/>
      <c r="AD53" s="88"/>
      <c r="AE53" s="88"/>
      <c r="AF53" s="88"/>
      <c r="AG53" s="88"/>
      <c r="AH53" s="88"/>
      <c r="AI53" s="89"/>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400" t="s">
        <v>136</v>
      </c>
      <c r="D54" s="398">
        <v>0.85</v>
      </c>
      <c r="E54" s="398">
        <v>0.85</v>
      </c>
      <c r="F54" s="398">
        <v>0.85</v>
      </c>
      <c r="G54" s="398">
        <v>0.85</v>
      </c>
      <c r="H54" s="398">
        <v>0.85</v>
      </c>
      <c r="I54" s="398">
        <v>0.85</v>
      </c>
      <c r="J54" s="398">
        <v>0.85</v>
      </c>
      <c r="K54" s="398">
        <v>0.85</v>
      </c>
      <c r="L54" s="398">
        <v>0.85</v>
      </c>
      <c r="M54" s="398">
        <v>0.85</v>
      </c>
      <c r="N54" s="398">
        <v>0.85</v>
      </c>
      <c r="O54" s="398">
        <v>0.85</v>
      </c>
      <c r="P54" s="398">
        <v>0.85</v>
      </c>
      <c r="Q54" s="398">
        <v>0.85</v>
      </c>
      <c r="R54" s="398">
        <v>0.85</v>
      </c>
      <c r="S54" s="398">
        <v>0.85</v>
      </c>
      <c r="T54" s="398">
        <v>0.85</v>
      </c>
      <c r="U54" s="398">
        <v>0.85</v>
      </c>
      <c r="V54" s="399">
        <v>0.85</v>
      </c>
      <c r="W54" s="88"/>
      <c r="X54" s="88"/>
      <c r="Y54" s="88"/>
      <c r="Z54" s="88"/>
      <c r="AA54" s="88"/>
      <c r="AB54" s="88"/>
      <c r="AC54" s="88"/>
      <c r="AD54" s="88"/>
      <c r="AE54" s="88"/>
      <c r="AF54" s="88"/>
      <c r="AG54" s="88"/>
      <c r="AH54" s="88"/>
      <c r="AI54" s="89"/>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400" t="s">
        <v>175</v>
      </c>
      <c r="D55" s="398">
        <v>0.85</v>
      </c>
      <c r="E55" s="398">
        <v>0.85</v>
      </c>
      <c r="F55" s="398">
        <v>0.85</v>
      </c>
      <c r="G55" s="398">
        <v>0.85</v>
      </c>
      <c r="H55" s="398">
        <v>0.85</v>
      </c>
      <c r="I55" s="398">
        <v>0.85</v>
      </c>
      <c r="J55" s="398">
        <v>0.85</v>
      </c>
      <c r="K55" s="398">
        <v>0.85</v>
      </c>
      <c r="L55" s="398">
        <v>0.85</v>
      </c>
      <c r="M55" s="398">
        <v>0.85</v>
      </c>
      <c r="N55" s="398">
        <v>0.85</v>
      </c>
      <c r="O55" s="398">
        <v>0.85</v>
      </c>
      <c r="P55" s="398">
        <v>0.85</v>
      </c>
      <c r="Q55" s="398">
        <v>0.85</v>
      </c>
      <c r="R55" s="398">
        <v>0.85</v>
      </c>
      <c r="S55" s="398">
        <v>0.85</v>
      </c>
      <c r="T55" s="398">
        <v>0.85</v>
      </c>
      <c r="U55" s="398">
        <v>0.85</v>
      </c>
      <c r="V55" s="399">
        <v>0.85</v>
      </c>
      <c r="W55" s="88"/>
      <c r="X55" s="88"/>
      <c r="Y55" s="88"/>
      <c r="Z55" s="88"/>
      <c r="AA55" s="88"/>
      <c r="AB55" s="88"/>
      <c r="AC55" s="88"/>
      <c r="AD55" s="88"/>
      <c r="AE55" s="88"/>
      <c r="AF55" s="88"/>
      <c r="AG55" s="88"/>
      <c r="AH55" s="88"/>
      <c r="AI55" s="89"/>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400" t="s">
        <v>176</v>
      </c>
      <c r="D56" s="398">
        <v>0.85</v>
      </c>
      <c r="E56" s="398">
        <v>0.85</v>
      </c>
      <c r="F56" s="398">
        <v>0.85</v>
      </c>
      <c r="G56" s="398">
        <v>0.85</v>
      </c>
      <c r="H56" s="398">
        <v>0.85</v>
      </c>
      <c r="I56" s="398">
        <v>0.85</v>
      </c>
      <c r="J56" s="398">
        <v>0.85</v>
      </c>
      <c r="K56" s="398">
        <v>0.85</v>
      </c>
      <c r="L56" s="398">
        <v>0.85</v>
      </c>
      <c r="M56" s="398">
        <v>0.85</v>
      </c>
      <c r="N56" s="398">
        <v>0.85</v>
      </c>
      <c r="O56" s="398">
        <v>0.85</v>
      </c>
      <c r="P56" s="398">
        <v>0.85</v>
      </c>
      <c r="Q56" s="398">
        <v>0.85</v>
      </c>
      <c r="R56" s="398">
        <v>0.85</v>
      </c>
      <c r="S56" s="398">
        <v>0.85</v>
      </c>
      <c r="T56" s="398">
        <v>0.85</v>
      </c>
      <c r="U56" s="398">
        <v>0.85</v>
      </c>
      <c r="V56" s="399">
        <v>0.85</v>
      </c>
      <c r="W56" s="88"/>
      <c r="X56" s="88"/>
      <c r="Y56" s="88"/>
      <c r="Z56" s="88"/>
      <c r="AA56" s="88"/>
      <c r="AB56" s="88"/>
      <c r="AC56" s="88"/>
      <c r="AD56" s="88"/>
      <c r="AE56" s="88"/>
      <c r="AF56" s="88"/>
      <c r="AG56" s="88"/>
      <c r="AH56" s="88"/>
      <c r="AI56" s="89"/>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402" t="s">
        <v>177</v>
      </c>
      <c r="D57" s="403">
        <v>0.85</v>
      </c>
      <c r="E57" s="403">
        <v>0.85</v>
      </c>
      <c r="F57" s="403">
        <v>0.85</v>
      </c>
      <c r="G57" s="403">
        <v>0.85</v>
      </c>
      <c r="H57" s="403">
        <v>0.85</v>
      </c>
      <c r="I57" s="403">
        <v>0.85</v>
      </c>
      <c r="J57" s="403">
        <v>0.85</v>
      </c>
      <c r="K57" s="403">
        <v>0.85</v>
      </c>
      <c r="L57" s="403">
        <v>0.85</v>
      </c>
      <c r="M57" s="403">
        <v>0.85</v>
      </c>
      <c r="N57" s="403">
        <v>0.85</v>
      </c>
      <c r="O57" s="403">
        <v>0.85</v>
      </c>
      <c r="P57" s="403">
        <v>0.85</v>
      </c>
      <c r="Q57" s="403">
        <v>0.85</v>
      </c>
      <c r="R57" s="403">
        <v>0.85</v>
      </c>
      <c r="S57" s="403">
        <v>0.85</v>
      </c>
      <c r="T57" s="403">
        <v>0.85</v>
      </c>
      <c r="U57" s="403">
        <v>0.85</v>
      </c>
      <c r="V57" s="404">
        <v>0.85</v>
      </c>
      <c r="W57" s="88"/>
      <c r="X57" s="88"/>
      <c r="Y57" s="88"/>
      <c r="Z57" s="88"/>
      <c r="AA57" s="88"/>
      <c r="AB57" s="88"/>
      <c r="AC57" s="88"/>
      <c r="AD57" s="88"/>
      <c r="AE57" s="88"/>
      <c r="AF57" s="88"/>
      <c r="AG57" s="88"/>
      <c r="AH57" s="88"/>
      <c r="AI57" s="89"/>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9"/>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9"/>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9"/>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42" t="s">
        <v>53</v>
      </c>
      <c r="D9" s="543"/>
      <c r="E9" s="392" t="s">
        <v>168</v>
      </c>
      <c r="F9" s="228" t="s">
        <v>169</v>
      </c>
      <c r="G9" s="158"/>
      <c r="H9" s="333"/>
      <c r="I9" s="333"/>
      <c r="J9" s="533" t="s">
        <v>148</v>
      </c>
      <c r="K9" s="534"/>
      <c r="L9" s="535"/>
      <c r="M9" s="197" t="s">
        <v>277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93">
        <v>15</v>
      </c>
      <c r="F10" s="229">
        <v>20</v>
      </c>
      <c r="G10" s="158"/>
      <c r="H10" s="159"/>
      <c r="I10" s="159"/>
      <c r="J10" s="215" t="s">
        <v>2</v>
      </c>
      <c r="K10" s="215" t="s">
        <v>155</v>
      </c>
      <c r="L10" s="215" t="s">
        <v>68</v>
      </c>
      <c r="M10" s="198" t="s">
        <v>278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94">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94">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94">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95">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544" t="s">
        <v>54</v>
      </c>
      <c r="D17" s="545"/>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546" t="s">
        <v>149</v>
      </c>
      <c r="D26" s="547"/>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3"/>
      <c r="D35" s="536" t="s">
        <v>125</v>
      </c>
      <c r="E35" s="537"/>
      <c r="F35" s="538" t="s">
        <v>126</v>
      </c>
      <c r="G35" s="539"/>
      <c r="H35" s="540" t="s">
        <v>127</v>
      </c>
      <c r="I35" s="541"/>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4" t="s">
        <v>2</v>
      </c>
      <c r="D36" s="325" t="s">
        <v>192</v>
      </c>
      <c r="E36" s="325" t="s">
        <v>193</v>
      </c>
      <c r="F36" s="325" t="s">
        <v>192</v>
      </c>
      <c r="G36" s="325" t="s">
        <v>193</v>
      </c>
      <c r="H36" s="325" t="s">
        <v>192</v>
      </c>
      <c r="I36" s="326"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7">
        <v>0</v>
      </c>
      <c r="D37" s="328">
        <v>0.9</v>
      </c>
      <c r="E37" s="328">
        <v>0.9</v>
      </c>
      <c r="F37" s="328">
        <v>0.9</v>
      </c>
      <c r="G37" s="328">
        <v>0.9</v>
      </c>
      <c r="H37" s="328">
        <v>0.9</v>
      </c>
      <c r="I37" s="3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7">
        <v>1</v>
      </c>
      <c r="D38" s="328">
        <v>0.62</v>
      </c>
      <c r="E38" s="328">
        <v>0.62</v>
      </c>
      <c r="F38" s="328">
        <v>0.62</v>
      </c>
      <c r="G38" s="328">
        <v>0.62</v>
      </c>
      <c r="H38" s="328">
        <v>0.62</v>
      </c>
      <c r="I38" s="3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7">
        <v>2</v>
      </c>
      <c r="D39" s="328">
        <v>0.3</v>
      </c>
      <c r="E39" s="328">
        <v>0.3</v>
      </c>
      <c r="F39" s="328">
        <v>0.3</v>
      </c>
      <c r="G39" s="328">
        <v>0.3</v>
      </c>
      <c r="H39" s="328">
        <v>0.3</v>
      </c>
      <c r="I39" s="3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7">
        <v>3</v>
      </c>
      <c r="D40" s="328">
        <v>0.18</v>
      </c>
      <c r="E40" s="328">
        <v>0.18</v>
      </c>
      <c r="F40" s="328">
        <v>0.18</v>
      </c>
      <c r="G40" s="328">
        <v>0.18</v>
      </c>
      <c r="H40" s="328">
        <v>0.18</v>
      </c>
      <c r="I40" s="3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7">
        <v>4</v>
      </c>
      <c r="D41" s="328">
        <v>0.13999999999999999</v>
      </c>
      <c r="E41" s="328">
        <v>0.13999999999999999</v>
      </c>
      <c r="F41" s="328">
        <v>0.13999999999999999</v>
      </c>
      <c r="G41" s="328">
        <v>0.13999999999999999</v>
      </c>
      <c r="H41" s="328">
        <v>0.13999999999999999</v>
      </c>
      <c r="I41" s="3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7">
        <v>5</v>
      </c>
      <c r="D42" s="328">
        <v>0.1</v>
      </c>
      <c r="E42" s="328">
        <v>0.1</v>
      </c>
      <c r="F42" s="328">
        <v>0.1</v>
      </c>
      <c r="G42" s="328">
        <v>0.1</v>
      </c>
      <c r="H42" s="328">
        <v>0.1</v>
      </c>
      <c r="I42" s="3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7">
        <v>6</v>
      </c>
      <c r="D43" s="328">
        <v>0.08</v>
      </c>
      <c r="E43" s="328">
        <v>0.08</v>
      </c>
      <c r="F43" s="328">
        <v>0.08</v>
      </c>
      <c r="G43" s="328">
        <v>0.08</v>
      </c>
      <c r="H43" s="328">
        <v>0.08</v>
      </c>
      <c r="I43" s="3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7">
        <v>7</v>
      </c>
      <c r="D44" s="328">
        <v>6.5000000000000002E-2</v>
      </c>
      <c r="E44" s="328">
        <v>6.5000000000000002E-2</v>
      </c>
      <c r="F44" s="328">
        <v>6.5000000000000002E-2</v>
      </c>
      <c r="G44" s="328">
        <v>6.5000000000000002E-2</v>
      </c>
      <c r="H44" s="328">
        <v>6.5000000000000002E-2</v>
      </c>
      <c r="I44" s="3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7">
        <v>8</v>
      </c>
      <c r="D45" s="328">
        <v>0.05</v>
      </c>
      <c r="E45" s="328">
        <v>0.05</v>
      </c>
      <c r="F45" s="328">
        <v>0.05</v>
      </c>
      <c r="G45" s="328">
        <v>0.05</v>
      </c>
      <c r="H45" s="328">
        <v>0.05</v>
      </c>
      <c r="I45" s="3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7">
        <v>9</v>
      </c>
      <c r="D46" s="328">
        <v>0.05</v>
      </c>
      <c r="E46" s="328">
        <v>0.05</v>
      </c>
      <c r="F46" s="328">
        <v>0.05</v>
      </c>
      <c r="G46" s="328">
        <v>0.05</v>
      </c>
      <c r="H46" s="328">
        <v>0.05</v>
      </c>
      <c r="I46" s="3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7">
        <v>10</v>
      </c>
      <c r="D47" s="328">
        <v>0.04</v>
      </c>
      <c r="E47" s="328">
        <v>0.04</v>
      </c>
      <c r="F47" s="328">
        <v>0.04</v>
      </c>
      <c r="G47" s="328">
        <v>0.04</v>
      </c>
      <c r="H47" s="328">
        <v>0.04</v>
      </c>
      <c r="I47" s="3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7">
        <v>11</v>
      </c>
      <c r="D48" s="328">
        <v>3.7999999999999999E-2</v>
      </c>
      <c r="E48" s="328">
        <v>3.7999999999999999E-2</v>
      </c>
      <c r="F48" s="328">
        <v>3.7999999999999999E-2</v>
      </c>
      <c r="G48" s="328">
        <v>3.7999999999999999E-2</v>
      </c>
      <c r="H48" s="328">
        <v>3.7999999999999999E-2</v>
      </c>
      <c r="I48" s="3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7">
        <v>12</v>
      </c>
      <c r="D49" s="328">
        <v>3.5999999999999997E-2</v>
      </c>
      <c r="E49" s="328">
        <v>3.5999999999999997E-2</v>
      </c>
      <c r="F49" s="328">
        <v>3.5999999999999997E-2</v>
      </c>
      <c r="G49" s="328">
        <v>3.5999999999999997E-2</v>
      </c>
      <c r="H49" s="328">
        <v>3.5999999999999997E-2</v>
      </c>
      <c r="I49" s="3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7">
        <v>13</v>
      </c>
      <c r="D50" s="328">
        <v>3.3999999999999996E-2</v>
      </c>
      <c r="E50" s="328">
        <v>3.3999999999999996E-2</v>
      </c>
      <c r="F50" s="328">
        <v>3.3999999999999996E-2</v>
      </c>
      <c r="G50" s="328">
        <v>3.3999999999999996E-2</v>
      </c>
      <c r="H50" s="328">
        <v>3.3999999999999996E-2</v>
      </c>
      <c r="I50" s="3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7">
        <v>14</v>
      </c>
      <c r="D51" s="328">
        <v>3.2000000000000001E-2</v>
      </c>
      <c r="E51" s="328">
        <v>3.2000000000000001E-2</v>
      </c>
      <c r="F51" s="328">
        <v>3.2000000000000001E-2</v>
      </c>
      <c r="G51" s="328">
        <v>3.2000000000000001E-2</v>
      </c>
      <c r="H51" s="328">
        <v>3.2000000000000001E-2</v>
      </c>
      <c r="I51" s="3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7">
        <v>15</v>
      </c>
      <c r="D52" s="328">
        <v>0.03</v>
      </c>
      <c r="E52" s="328">
        <v>0.03</v>
      </c>
      <c r="F52" s="328">
        <v>0.03</v>
      </c>
      <c r="G52" s="328">
        <v>0.03</v>
      </c>
      <c r="H52" s="328">
        <v>0.03</v>
      </c>
      <c r="I52" s="3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7">
        <v>16</v>
      </c>
      <c r="D53" s="328">
        <v>2.7999999999999997E-2</v>
      </c>
      <c r="E53" s="328">
        <v>2.7999999999999997E-2</v>
      </c>
      <c r="F53" s="328">
        <v>2.7999999999999997E-2</v>
      </c>
      <c r="G53" s="328">
        <v>2.7999999999999997E-2</v>
      </c>
      <c r="H53" s="328">
        <v>2.7999999999999997E-2</v>
      </c>
      <c r="I53" s="3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7">
        <v>17</v>
      </c>
      <c r="D54" s="328">
        <v>2.6000000000000002E-2</v>
      </c>
      <c r="E54" s="328">
        <v>2.6000000000000002E-2</v>
      </c>
      <c r="F54" s="328">
        <v>2.6000000000000002E-2</v>
      </c>
      <c r="G54" s="328">
        <v>2.6000000000000002E-2</v>
      </c>
      <c r="H54" s="328">
        <v>2.6000000000000002E-2</v>
      </c>
      <c r="I54" s="3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7">
        <v>18</v>
      </c>
      <c r="D55" s="328">
        <v>2.4E-2</v>
      </c>
      <c r="E55" s="328">
        <v>2.4E-2</v>
      </c>
      <c r="F55" s="328">
        <v>2.4E-2</v>
      </c>
      <c r="G55" s="328">
        <v>2.4E-2</v>
      </c>
      <c r="H55" s="328">
        <v>2.4E-2</v>
      </c>
      <c r="I55" s="3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7">
        <v>19</v>
      </c>
      <c r="D56" s="328">
        <v>2.2000000000000002E-2</v>
      </c>
      <c r="E56" s="328">
        <v>2.2000000000000002E-2</v>
      </c>
      <c r="F56" s="328">
        <v>2.2000000000000002E-2</v>
      </c>
      <c r="G56" s="328">
        <v>2.2000000000000002E-2</v>
      </c>
      <c r="H56" s="328">
        <v>2.2000000000000002E-2</v>
      </c>
      <c r="I56" s="3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7">
        <v>20</v>
      </c>
      <c r="D57" s="328">
        <v>0.02</v>
      </c>
      <c r="E57" s="328">
        <v>0.02</v>
      </c>
      <c r="F57" s="328">
        <v>0.02</v>
      </c>
      <c r="G57" s="328">
        <v>0.02</v>
      </c>
      <c r="H57" s="328">
        <v>0.02</v>
      </c>
      <c r="I57" s="3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7">
        <v>21</v>
      </c>
      <c r="D58" s="328">
        <v>1.7999999999999999E-2</v>
      </c>
      <c r="E58" s="328">
        <v>1.7999999999999999E-2</v>
      </c>
      <c r="F58" s="328">
        <v>1.7999999999999999E-2</v>
      </c>
      <c r="G58" s="328">
        <v>1.7999999999999999E-2</v>
      </c>
      <c r="H58" s="328">
        <v>1.7999999999999999E-2</v>
      </c>
      <c r="I58" s="3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7">
        <v>22</v>
      </c>
      <c r="D59" s="328">
        <v>1.6E-2</v>
      </c>
      <c r="E59" s="328">
        <v>1.6E-2</v>
      </c>
      <c r="F59" s="328">
        <v>1.6E-2</v>
      </c>
      <c r="G59" s="328">
        <v>1.6E-2</v>
      </c>
      <c r="H59" s="328">
        <v>1.6E-2</v>
      </c>
      <c r="I59" s="3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7">
        <v>23</v>
      </c>
      <c r="D60" s="328">
        <v>1.3999999999999999E-2</v>
      </c>
      <c r="E60" s="328">
        <v>1.3999999999999999E-2</v>
      </c>
      <c r="F60" s="328">
        <v>1.3999999999999999E-2</v>
      </c>
      <c r="G60" s="328">
        <v>1.3999999999999999E-2</v>
      </c>
      <c r="H60" s="328">
        <v>1.3999999999999999E-2</v>
      </c>
      <c r="I60" s="3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7">
        <v>24</v>
      </c>
      <c r="D61" s="328">
        <v>1.2E-2</v>
      </c>
      <c r="E61" s="328">
        <v>1.2E-2</v>
      </c>
      <c r="F61" s="328">
        <v>1.2E-2</v>
      </c>
      <c r="G61" s="328">
        <v>1.2E-2</v>
      </c>
      <c r="H61" s="328">
        <v>1.2E-2</v>
      </c>
      <c r="I61" s="3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7">
        <v>25</v>
      </c>
      <c r="D62" s="328">
        <v>0.01</v>
      </c>
      <c r="E62" s="328">
        <v>0.01</v>
      </c>
      <c r="F62" s="328">
        <v>0.01</v>
      </c>
      <c r="G62" s="328">
        <v>0.01</v>
      </c>
      <c r="H62" s="328">
        <v>0.01</v>
      </c>
      <c r="I62" s="3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7">
        <v>26</v>
      </c>
      <c r="D63" s="328">
        <v>8.0000000000000002E-3</v>
      </c>
      <c r="E63" s="328">
        <v>8.0000000000000002E-3</v>
      </c>
      <c r="F63" s="328">
        <v>8.0000000000000002E-3</v>
      </c>
      <c r="G63" s="328">
        <v>8.0000000000000002E-3</v>
      </c>
      <c r="H63" s="328">
        <v>8.0000000000000002E-3</v>
      </c>
      <c r="I63" s="3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7">
        <v>27</v>
      </c>
      <c r="D64" s="328">
        <v>6.0000000000000001E-3</v>
      </c>
      <c r="E64" s="328">
        <v>6.0000000000000001E-3</v>
      </c>
      <c r="F64" s="328">
        <v>6.0000000000000001E-3</v>
      </c>
      <c r="G64" s="328">
        <v>6.0000000000000001E-3</v>
      </c>
      <c r="H64" s="328">
        <v>6.0000000000000001E-3</v>
      </c>
      <c r="I64" s="3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7">
        <v>28</v>
      </c>
      <c r="D65" s="328">
        <v>4.0000000000000001E-3</v>
      </c>
      <c r="E65" s="328">
        <v>4.0000000000000001E-3</v>
      </c>
      <c r="F65" s="328">
        <v>4.0000000000000001E-3</v>
      </c>
      <c r="G65" s="328">
        <v>4.0000000000000001E-3</v>
      </c>
      <c r="H65" s="328">
        <v>4.0000000000000001E-3</v>
      </c>
      <c r="I65" s="3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7">
        <v>29</v>
      </c>
      <c r="D66" s="328">
        <v>2E-3</v>
      </c>
      <c r="E66" s="328">
        <v>2E-3</v>
      </c>
      <c r="F66" s="328">
        <v>2E-3</v>
      </c>
      <c r="G66" s="328">
        <v>2E-3</v>
      </c>
      <c r="H66" s="328">
        <v>2E-3</v>
      </c>
      <c r="I66" s="3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30">
        <v>30</v>
      </c>
      <c r="D67" s="331">
        <v>0</v>
      </c>
      <c r="E67" s="331">
        <v>0</v>
      </c>
      <c r="F67" s="331">
        <v>0</v>
      </c>
      <c r="G67" s="331">
        <v>0</v>
      </c>
      <c r="H67" s="331">
        <v>0</v>
      </c>
      <c r="I67" s="3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49" zoomScale="90" zoomScaleNormal="90" zoomScalePageLayoutView="90"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90">
        <v>2014</v>
      </c>
      <c r="D7" s="291">
        <v>2016</v>
      </c>
      <c r="E7" s="291">
        <v>2018</v>
      </c>
      <c r="F7" s="291">
        <v>2020</v>
      </c>
      <c r="G7" s="291">
        <v>2022</v>
      </c>
      <c r="H7" s="291">
        <v>2024</v>
      </c>
      <c r="I7" s="291">
        <v>2026</v>
      </c>
      <c r="J7" s="291">
        <v>2028</v>
      </c>
      <c r="K7" s="291">
        <v>2030</v>
      </c>
      <c r="L7" s="291">
        <v>2032</v>
      </c>
      <c r="M7" s="291">
        <v>2034</v>
      </c>
      <c r="N7" s="291">
        <v>2036</v>
      </c>
      <c r="O7" s="291">
        <v>2038</v>
      </c>
      <c r="P7" s="291">
        <v>2040</v>
      </c>
      <c r="Q7" s="291">
        <v>2042</v>
      </c>
      <c r="R7" s="291">
        <v>2044</v>
      </c>
      <c r="S7" s="291">
        <v>2046</v>
      </c>
      <c r="T7" s="291">
        <v>2048</v>
      </c>
      <c r="U7" s="29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3">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4">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3">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4">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5">
        <v>0</v>
      </c>
      <c r="D10" s="289">
        <v>0</v>
      </c>
      <c r="E10" s="289">
        <v>0</v>
      </c>
      <c r="F10" s="289">
        <v>0</v>
      </c>
      <c r="G10" s="289">
        <v>20</v>
      </c>
      <c r="H10" s="289">
        <v>20</v>
      </c>
      <c r="I10" s="289">
        <v>20</v>
      </c>
      <c r="J10" s="289">
        <v>20</v>
      </c>
      <c r="K10" s="289">
        <v>30</v>
      </c>
      <c r="L10" s="289">
        <v>30</v>
      </c>
      <c r="M10" s="289">
        <v>30</v>
      </c>
      <c r="N10" s="289">
        <v>30</v>
      </c>
      <c r="O10" s="289">
        <v>40</v>
      </c>
      <c r="P10" s="289">
        <v>40</v>
      </c>
      <c r="Q10" s="289">
        <v>40</v>
      </c>
      <c r="R10" s="289">
        <v>40</v>
      </c>
      <c r="S10" s="289">
        <v>50</v>
      </c>
      <c r="T10" s="289">
        <v>50</v>
      </c>
      <c r="U10" s="296">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184</v>
      </c>
      <c r="C11" s="412">
        <v>1</v>
      </c>
      <c r="D11" s="413">
        <v>1.0249999999999999</v>
      </c>
      <c r="E11" s="413">
        <v>1.0506249999999999</v>
      </c>
      <c r="F11" s="413">
        <v>1.0768906249999999</v>
      </c>
      <c r="G11" s="413">
        <v>1.1038128906249998</v>
      </c>
      <c r="H11" s="413">
        <v>1.1314082128906247</v>
      </c>
      <c r="I11" s="413">
        <v>1.1596934182128902</v>
      </c>
      <c r="J11" s="413">
        <v>1.1886857536682123</v>
      </c>
      <c r="K11" s="413">
        <v>1.2184028975099175</v>
      </c>
      <c r="L11" s="413">
        <v>1.2488629699476652</v>
      </c>
      <c r="M11" s="413">
        <v>1.2800845441963566</v>
      </c>
      <c r="N11" s="413">
        <v>1.3120866578012655</v>
      </c>
      <c r="O11" s="413">
        <v>1.3448888242462971</v>
      </c>
      <c r="P11" s="413">
        <v>1.3785110448524545</v>
      </c>
      <c r="Q11" s="413">
        <v>1.4129738209737657</v>
      </c>
      <c r="R11" s="413">
        <v>1.4482981664981096</v>
      </c>
      <c r="S11" s="413">
        <v>1.4845056206605622</v>
      </c>
      <c r="T11" s="413">
        <v>1.5216182611770761</v>
      </c>
      <c r="U11" s="41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185</v>
      </c>
      <c r="C12" s="412">
        <v>1</v>
      </c>
      <c r="D12" s="413">
        <v>1.0249999999999999</v>
      </c>
      <c r="E12" s="413">
        <v>1.0506249999999999</v>
      </c>
      <c r="F12" s="413">
        <v>1.0768906249999999</v>
      </c>
      <c r="G12" s="413">
        <v>1.1038128906249998</v>
      </c>
      <c r="H12" s="413">
        <v>1.1314082128906247</v>
      </c>
      <c r="I12" s="413">
        <v>1.1596934182128902</v>
      </c>
      <c r="J12" s="413">
        <v>1.1886857536682123</v>
      </c>
      <c r="K12" s="413">
        <v>1.2184028975099175</v>
      </c>
      <c r="L12" s="413">
        <v>1.2488629699476652</v>
      </c>
      <c r="M12" s="413">
        <v>1.2800845441963566</v>
      </c>
      <c r="N12" s="413">
        <v>1.3120866578012655</v>
      </c>
      <c r="O12" s="413">
        <v>1.3448888242462971</v>
      </c>
      <c r="P12" s="413">
        <v>1.3785110448524545</v>
      </c>
      <c r="Q12" s="413">
        <v>1.4129738209737657</v>
      </c>
      <c r="R12" s="413">
        <v>1.4482981664981096</v>
      </c>
      <c r="S12" s="413">
        <v>1.4845056206605622</v>
      </c>
      <c r="T12" s="413">
        <v>1.5216182611770761</v>
      </c>
      <c r="U12" s="41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186</v>
      </c>
      <c r="C13" s="415">
        <v>1</v>
      </c>
      <c r="D13" s="413">
        <v>1.0249999999999999</v>
      </c>
      <c r="E13" s="413">
        <v>1.0506249999999999</v>
      </c>
      <c r="F13" s="413">
        <v>1.0768906249999999</v>
      </c>
      <c r="G13" s="413">
        <v>1.1038128906249998</v>
      </c>
      <c r="H13" s="413">
        <v>1.1314082128906247</v>
      </c>
      <c r="I13" s="413">
        <v>1.1596934182128902</v>
      </c>
      <c r="J13" s="413">
        <v>1.1886857536682123</v>
      </c>
      <c r="K13" s="413">
        <v>1.2184028975099175</v>
      </c>
      <c r="L13" s="413">
        <v>1.2488629699476652</v>
      </c>
      <c r="M13" s="413">
        <v>1.2800845441963566</v>
      </c>
      <c r="N13" s="413">
        <v>1.3120866578012655</v>
      </c>
      <c r="O13" s="413">
        <v>1.3448888242462971</v>
      </c>
      <c r="P13" s="413">
        <v>1.3785110448524545</v>
      </c>
      <c r="Q13" s="413">
        <v>1.4129738209737657</v>
      </c>
      <c r="R13" s="413">
        <v>1.4482981664981096</v>
      </c>
      <c r="S13" s="413">
        <v>1.4845056206605622</v>
      </c>
      <c r="T13" s="413">
        <v>1.5216182611770761</v>
      </c>
      <c r="U13" s="41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299</v>
      </c>
      <c r="C14" s="416">
        <v>1.0249999999999999</v>
      </c>
      <c r="D14" s="417">
        <v>1.0249999999999999</v>
      </c>
      <c r="E14" s="417">
        <v>1.0249999999999999</v>
      </c>
      <c r="F14" s="417">
        <v>1.0249999999999999</v>
      </c>
      <c r="G14" s="417">
        <v>1.0249999999999999</v>
      </c>
      <c r="H14" s="417">
        <v>1.0249999999999999</v>
      </c>
      <c r="I14" s="417">
        <v>1.0249999999999999</v>
      </c>
      <c r="J14" s="417">
        <v>1.0249999999999999</v>
      </c>
      <c r="K14" s="417">
        <v>1.0249999999999999</v>
      </c>
      <c r="L14" s="417">
        <v>1.0249999999999999</v>
      </c>
      <c r="M14" s="417">
        <v>1.0249999999999999</v>
      </c>
      <c r="N14" s="417">
        <v>1.0249999999999999</v>
      </c>
      <c r="O14" s="417">
        <v>1.0249999999999999</v>
      </c>
      <c r="P14" s="417">
        <v>1.0249999999999999</v>
      </c>
      <c r="Q14" s="417">
        <v>1.0249999999999999</v>
      </c>
      <c r="R14" s="417">
        <v>1.0249999999999999</v>
      </c>
      <c r="S14" s="417">
        <v>1.0249999999999999</v>
      </c>
      <c r="T14" s="417">
        <v>1.0249999999999999</v>
      </c>
      <c r="U14" s="41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9"/>
      <c r="Y16" s="361" t="s">
        <v>260</v>
      </c>
      <c r="Z16" s="361"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60">
        <v>2.744201934324435E-4</v>
      </c>
      <c r="Z17" s="36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60">
        <v>2.8579410620991442E-4</v>
      </c>
      <c r="Z18" s="36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60">
        <v>4.7716993008320446E-4</v>
      </c>
      <c r="Z19" s="36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60">
        <v>2.0499097618064069E-4</v>
      </c>
      <c r="Z20" s="36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60">
        <v>7.3634398159432295E-4</v>
      </c>
      <c r="Z21" s="36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60">
        <v>1.5933500996702843E-4</v>
      </c>
      <c r="Z22" s="36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0">
        <v>5.0685048336163163E-4</v>
      </c>
      <c r="Z23" s="36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60">
        <v>8.3442486284763834E-4</v>
      </c>
      <c r="Z24" s="36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60">
        <v>4.5283915436484851E-4</v>
      </c>
      <c r="Z25" s="36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60">
        <v>3.486895207898603E-4</v>
      </c>
      <c r="Z26" s="36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60">
        <v>6.1012381532656111E-4</v>
      </c>
      <c r="Z27" s="36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60">
        <v>3.9139311155092061E-5</v>
      </c>
      <c r="Z28" s="36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60">
        <v>3.2453938138303045E-4</v>
      </c>
      <c r="Z29" s="36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60">
        <v>7.9415196034054991E-4</v>
      </c>
      <c r="Z30" s="36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309</v>
      </c>
      <c r="D31" s="131"/>
      <c r="E31" s="131"/>
      <c r="F31" s="131"/>
      <c r="G31" s="441"/>
      <c r="H31" s="441"/>
      <c r="I31" s="442"/>
      <c r="J31" s="442"/>
      <c r="K31" s="359"/>
      <c r="L31" s="359"/>
      <c r="M31" s="359"/>
      <c r="N31" s="443"/>
      <c r="O31" s="158" t="s">
        <v>310</v>
      </c>
      <c r="P31" s="359"/>
      <c r="Q31" s="359"/>
      <c r="R31" s="359"/>
      <c r="S31" s="359"/>
      <c r="T31" s="359"/>
      <c r="U31" s="359"/>
      <c r="V31" s="359"/>
      <c r="W31" s="28"/>
      <c r="X31" s="180" t="s">
        <v>225</v>
      </c>
      <c r="Y31" s="360">
        <v>3.2602707909398565E-4</v>
      </c>
      <c r="Z31" s="36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548" t="s">
        <v>311</v>
      </c>
      <c r="D32" s="548"/>
      <c r="E32" s="548"/>
      <c r="F32" s="549"/>
      <c r="G32" s="252">
        <v>2020</v>
      </c>
      <c r="H32" s="441"/>
      <c r="I32" s="442"/>
      <c r="J32" s="442"/>
      <c r="K32" s="359"/>
      <c r="L32" s="359"/>
      <c r="M32" s="359"/>
      <c r="N32" s="359"/>
      <c r="O32" s="359"/>
      <c r="P32" s="359"/>
      <c r="Q32" s="359"/>
      <c r="R32" s="359"/>
      <c r="S32" s="359"/>
      <c r="T32" s="359"/>
      <c r="U32" s="359"/>
      <c r="V32" s="359"/>
      <c r="W32" s="80"/>
      <c r="X32" s="180" t="s">
        <v>226</v>
      </c>
      <c r="Y32" s="360">
        <v>8.465955465067626E-4</v>
      </c>
      <c r="Z32" s="36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44"/>
      <c r="D33" s="445"/>
      <c r="E33" s="444"/>
      <c r="F33" s="86"/>
      <c r="G33" s="86"/>
      <c r="H33" s="86"/>
      <c r="I33" s="82"/>
      <c r="J33" s="82"/>
      <c r="K33" s="28"/>
      <c r="L33" s="28"/>
      <c r="M33" s="28"/>
      <c r="N33" s="28"/>
      <c r="O33" s="28"/>
      <c r="P33" s="28"/>
      <c r="Q33" s="28"/>
      <c r="R33" s="28"/>
      <c r="S33" s="28"/>
      <c r="T33" s="28"/>
      <c r="U33" s="28"/>
      <c r="V33" s="28"/>
      <c r="W33" s="37"/>
      <c r="X33" s="180" t="s">
        <v>227</v>
      </c>
      <c r="Y33" s="360">
        <v>3.0858219124592655E-4</v>
      </c>
      <c r="Z33" s="36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46"/>
      <c r="D34" s="291">
        <v>2014</v>
      </c>
      <c r="E34" s="291">
        <v>2016</v>
      </c>
      <c r="F34" s="291">
        <v>2018</v>
      </c>
      <c r="G34" s="291">
        <v>2020</v>
      </c>
      <c r="H34" s="291">
        <v>2022</v>
      </c>
      <c r="I34" s="291">
        <v>2024</v>
      </c>
      <c r="J34" s="291">
        <v>2026</v>
      </c>
      <c r="K34" s="291">
        <v>2028</v>
      </c>
      <c r="L34" s="291">
        <v>2030</v>
      </c>
      <c r="M34" s="291">
        <v>2032</v>
      </c>
      <c r="N34" s="291">
        <v>2034</v>
      </c>
      <c r="O34" s="291">
        <v>2036</v>
      </c>
      <c r="P34" s="291">
        <v>2038</v>
      </c>
      <c r="Q34" s="291">
        <v>2040</v>
      </c>
      <c r="R34" s="291">
        <v>2042</v>
      </c>
      <c r="S34" s="291">
        <v>2044</v>
      </c>
      <c r="T34" s="291">
        <v>2046</v>
      </c>
      <c r="U34" s="291">
        <v>2048</v>
      </c>
      <c r="V34" s="292">
        <v>2050</v>
      </c>
      <c r="W34" s="37"/>
      <c r="X34" s="180" t="s">
        <v>230</v>
      </c>
      <c r="Y34" s="360">
        <v>2.7443623595127412E-4</v>
      </c>
      <c r="Z34" s="36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47" t="s">
        <v>210</v>
      </c>
      <c r="D35" s="448" t="b">
        <v>0</v>
      </c>
      <c r="E35" s="449" t="b">
        <v>0</v>
      </c>
      <c r="F35" s="448" t="b">
        <v>0</v>
      </c>
      <c r="G35" s="450" t="b">
        <v>1</v>
      </c>
      <c r="H35" s="450" t="b">
        <v>1</v>
      </c>
      <c r="I35" s="450" t="b">
        <v>1</v>
      </c>
      <c r="J35" s="450" t="b">
        <v>1</v>
      </c>
      <c r="K35" s="450" t="b">
        <v>1</v>
      </c>
      <c r="L35" s="451" t="b">
        <v>1</v>
      </c>
      <c r="M35" s="451" t="b">
        <v>1</v>
      </c>
      <c r="N35" s="451" t="b">
        <v>1</v>
      </c>
      <c r="O35" s="451" t="b">
        <v>1</v>
      </c>
      <c r="P35" s="451" t="b">
        <v>1</v>
      </c>
      <c r="Q35" s="451" t="b">
        <v>1</v>
      </c>
      <c r="R35" s="451" t="b">
        <v>1</v>
      </c>
      <c r="S35" s="451" t="b">
        <v>1</v>
      </c>
      <c r="T35" s="451" t="b">
        <v>1</v>
      </c>
      <c r="U35" s="451" t="b">
        <v>1</v>
      </c>
      <c r="V35" s="452" t="b">
        <v>1</v>
      </c>
      <c r="W35" s="37"/>
      <c r="X35" s="180" t="s">
        <v>229</v>
      </c>
      <c r="Y35" s="360">
        <v>5.3598020242062749E-4</v>
      </c>
      <c r="Z35" s="36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47" t="s">
        <v>212</v>
      </c>
      <c r="D36" s="448" t="b">
        <v>0</v>
      </c>
      <c r="E36" s="449" t="b">
        <v>0</v>
      </c>
      <c r="F36" s="448" t="b">
        <v>0</v>
      </c>
      <c r="G36" s="450" t="b">
        <v>1</v>
      </c>
      <c r="H36" s="450" t="b">
        <v>1</v>
      </c>
      <c r="I36" s="450" t="b">
        <v>1</v>
      </c>
      <c r="J36" s="450" t="b">
        <v>1</v>
      </c>
      <c r="K36" s="450" t="b">
        <v>1</v>
      </c>
      <c r="L36" s="451" t="b">
        <v>1</v>
      </c>
      <c r="M36" s="451" t="b">
        <v>1</v>
      </c>
      <c r="N36" s="451" t="b">
        <v>1</v>
      </c>
      <c r="O36" s="451" t="b">
        <v>1</v>
      </c>
      <c r="P36" s="451" t="b">
        <v>1</v>
      </c>
      <c r="Q36" s="451" t="b">
        <v>1</v>
      </c>
      <c r="R36" s="451" t="b">
        <v>1</v>
      </c>
      <c r="S36" s="451" t="b">
        <v>1</v>
      </c>
      <c r="T36" s="451" t="b">
        <v>1</v>
      </c>
      <c r="U36" s="451" t="b">
        <v>1</v>
      </c>
      <c r="V36" s="452" t="b">
        <v>1</v>
      </c>
      <c r="W36" s="37"/>
      <c r="X36" s="180" t="s">
        <v>228</v>
      </c>
      <c r="Y36" s="360">
        <v>2.0322708687071074E-4</v>
      </c>
      <c r="Z36" s="36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53" t="s">
        <v>213</v>
      </c>
      <c r="D37" s="448" t="b">
        <v>1</v>
      </c>
      <c r="E37" s="449" t="b">
        <v>1</v>
      </c>
      <c r="F37" s="448" t="b">
        <v>1</v>
      </c>
      <c r="G37" s="450" t="b">
        <v>1</v>
      </c>
      <c r="H37" s="450" t="b">
        <v>1</v>
      </c>
      <c r="I37" s="450" t="b">
        <v>1</v>
      </c>
      <c r="J37" s="450" t="b">
        <v>1</v>
      </c>
      <c r="K37" s="450" t="b">
        <v>1</v>
      </c>
      <c r="L37" s="451" t="b">
        <v>1</v>
      </c>
      <c r="M37" s="451" t="b">
        <v>1</v>
      </c>
      <c r="N37" s="454" t="b">
        <v>1</v>
      </c>
      <c r="O37" s="451" t="b">
        <v>1</v>
      </c>
      <c r="P37" s="451" t="b">
        <v>1</v>
      </c>
      <c r="Q37" s="451" t="b">
        <v>1</v>
      </c>
      <c r="R37" s="451" t="b">
        <v>1</v>
      </c>
      <c r="S37" s="451" t="b">
        <v>1</v>
      </c>
      <c r="T37" s="451" t="b">
        <v>1</v>
      </c>
      <c r="U37" s="451" t="b">
        <v>1</v>
      </c>
      <c r="V37" s="452" t="b">
        <v>1</v>
      </c>
      <c r="W37" s="37"/>
      <c r="X37" s="180" t="s">
        <v>231</v>
      </c>
      <c r="Y37" s="360">
        <v>5.0054878730029545E-4</v>
      </c>
      <c r="Z37" s="36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53" t="s">
        <v>214</v>
      </c>
      <c r="D38" s="448" t="b">
        <v>1</v>
      </c>
      <c r="E38" s="449" t="b">
        <v>1</v>
      </c>
      <c r="F38" s="448" t="b">
        <v>1</v>
      </c>
      <c r="G38" s="450" t="b">
        <v>1</v>
      </c>
      <c r="H38" s="450" t="b">
        <v>1</v>
      </c>
      <c r="I38" s="450" t="b">
        <v>1</v>
      </c>
      <c r="J38" s="450" t="b">
        <v>1</v>
      </c>
      <c r="K38" s="450" t="b">
        <v>1</v>
      </c>
      <c r="L38" s="451" t="b">
        <v>1</v>
      </c>
      <c r="M38" s="451" t="b">
        <v>1</v>
      </c>
      <c r="N38" s="451" t="b">
        <v>1</v>
      </c>
      <c r="O38" s="451" t="b">
        <v>1</v>
      </c>
      <c r="P38" s="451" t="b">
        <v>1</v>
      </c>
      <c r="Q38" s="451" t="b">
        <v>1</v>
      </c>
      <c r="R38" s="451" t="b">
        <v>1</v>
      </c>
      <c r="S38" s="451" t="b">
        <v>1</v>
      </c>
      <c r="T38" s="451" t="b">
        <v>1</v>
      </c>
      <c r="U38" s="451" t="b">
        <v>1</v>
      </c>
      <c r="V38" s="452" t="b">
        <v>1</v>
      </c>
      <c r="W38" s="37"/>
      <c r="X38" s="180" t="s">
        <v>232</v>
      </c>
      <c r="Y38" s="360">
        <v>5.4427544121789305E-4</v>
      </c>
      <c r="Z38" s="36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53" t="s">
        <v>215</v>
      </c>
      <c r="D39" s="448" t="b">
        <v>1</v>
      </c>
      <c r="E39" s="449" t="b">
        <v>1</v>
      </c>
      <c r="F39" s="448" t="b">
        <v>1</v>
      </c>
      <c r="G39" s="450" t="b">
        <v>1</v>
      </c>
      <c r="H39" s="450" t="b">
        <v>1</v>
      </c>
      <c r="I39" s="450" t="b">
        <v>1</v>
      </c>
      <c r="J39" s="450" t="b">
        <v>1</v>
      </c>
      <c r="K39" s="450" t="b">
        <v>1</v>
      </c>
      <c r="L39" s="451" t="b">
        <v>1</v>
      </c>
      <c r="M39" s="451" t="b">
        <v>1</v>
      </c>
      <c r="N39" s="451" t="b">
        <v>1</v>
      </c>
      <c r="O39" s="451" t="b">
        <v>1</v>
      </c>
      <c r="P39" s="451" t="b">
        <v>1</v>
      </c>
      <c r="Q39" s="451" t="b">
        <v>1</v>
      </c>
      <c r="R39" s="451" t="b">
        <v>1</v>
      </c>
      <c r="S39" s="451" t="b">
        <v>1</v>
      </c>
      <c r="T39" s="451" t="b">
        <v>1</v>
      </c>
      <c r="U39" s="451" t="b">
        <v>1</v>
      </c>
      <c r="V39" s="452" t="b">
        <v>1</v>
      </c>
      <c r="W39" s="37"/>
      <c r="X39" s="180" t="s">
        <v>234</v>
      </c>
      <c r="Y39" s="360">
        <v>6.8060201713878701E-4</v>
      </c>
      <c r="Z39" s="36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53" t="s">
        <v>216</v>
      </c>
      <c r="D40" s="448" t="b">
        <v>1</v>
      </c>
      <c r="E40" s="449" t="b">
        <v>1</v>
      </c>
      <c r="F40" s="448" t="b">
        <v>1</v>
      </c>
      <c r="G40" s="450" t="b">
        <v>1</v>
      </c>
      <c r="H40" s="450" t="b">
        <v>1</v>
      </c>
      <c r="I40" s="450" t="b">
        <v>1</v>
      </c>
      <c r="J40" s="450" t="b">
        <v>1</v>
      </c>
      <c r="K40" s="450" t="b">
        <v>1</v>
      </c>
      <c r="L40" s="451" t="b">
        <v>1</v>
      </c>
      <c r="M40" s="451" t="b">
        <v>1</v>
      </c>
      <c r="N40" s="451" t="b">
        <v>1</v>
      </c>
      <c r="O40" s="451" t="b">
        <v>1</v>
      </c>
      <c r="P40" s="451" t="b">
        <v>1</v>
      </c>
      <c r="Q40" s="451" t="b">
        <v>1</v>
      </c>
      <c r="R40" s="451" t="b">
        <v>1</v>
      </c>
      <c r="S40" s="451" t="b">
        <v>1</v>
      </c>
      <c r="T40" s="451" t="b">
        <v>1</v>
      </c>
      <c r="U40" s="451" t="b">
        <v>1</v>
      </c>
      <c r="V40" s="452" t="b">
        <v>1</v>
      </c>
      <c r="W40" s="37"/>
      <c r="X40" s="180" t="s">
        <v>233</v>
      </c>
      <c r="Y40" s="360">
        <v>3.457177533004125E-4</v>
      </c>
      <c r="Z40" s="36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53" t="s">
        <v>217</v>
      </c>
      <c r="D41" s="448" t="b">
        <v>1</v>
      </c>
      <c r="E41" s="449" t="b">
        <v>1</v>
      </c>
      <c r="F41" s="448" t="b">
        <v>1</v>
      </c>
      <c r="G41" s="450" t="b">
        <v>1</v>
      </c>
      <c r="H41" s="450" t="b">
        <v>1</v>
      </c>
      <c r="I41" s="450" t="b">
        <v>1</v>
      </c>
      <c r="J41" s="450" t="b">
        <v>1</v>
      </c>
      <c r="K41" s="450" t="b">
        <v>1</v>
      </c>
      <c r="L41" s="451" t="b">
        <v>1</v>
      </c>
      <c r="M41" s="451" t="b">
        <v>1</v>
      </c>
      <c r="N41" s="451" t="b">
        <v>1</v>
      </c>
      <c r="O41" s="451" t="b">
        <v>1</v>
      </c>
      <c r="P41" s="451" t="b">
        <v>1</v>
      </c>
      <c r="Q41" s="451" t="b">
        <v>1</v>
      </c>
      <c r="R41" s="451" t="b">
        <v>1</v>
      </c>
      <c r="S41" s="451" t="b">
        <v>1</v>
      </c>
      <c r="T41" s="451" t="b">
        <v>1</v>
      </c>
      <c r="U41" s="451" t="b">
        <v>1</v>
      </c>
      <c r="V41" s="452" t="b">
        <v>1</v>
      </c>
      <c r="W41" s="35"/>
      <c r="X41" s="180" t="s">
        <v>235</v>
      </c>
      <c r="Y41" s="360">
        <v>2.7139739187690266E-4</v>
      </c>
      <c r="Z41" s="36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53" t="s">
        <v>11</v>
      </c>
      <c r="D42" s="448" t="b">
        <v>1</v>
      </c>
      <c r="E42" s="449" t="b">
        <v>1</v>
      </c>
      <c r="F42" s="448" t="b">
        <v>1</v>
      </c>
      <c r="G42" s="450" t="b">
        <v>1</v>
      </c>
      <c r="H42" s="450" t="b">
        <v>1</v>
      </c>
      <c r="I42" s="450" t="b">
        <v>1</v>
      </c>
      <c r="J42" s="450" t="b">
        <v>1</v>
      </c>
      <c r="K42" s="450" t="b">
        <v>1</v>
      </c>
      <c r="L42" s="451" t="b">
        <v>1</v>
      </c>
      <c r="M42" s="451" t="b">
        <v>1</v>
      </c>
      <c r="N42" s="451" t="b">
        <v>1</v>
      </c>
      <c r="O42" s="451" t="b">
        <v>1</v>
      </c>
      <c r="P42" s="451" t="b">
        <v>1</v>
      </c>
      <c r="Q42" s="451" t="b">
        <v>1</v>
      </c>
      <c r="R42" s="451" t="b">
        <v>1</v>
      </c>
      <c r="S42" s="451" t="b">
        <v>1</v>
      </c>
      <c r="T42" s="451" t="b">
        <v>1</v>
      </c>
      <c r="U42" s="451" t="b">
        <v>1</v>
      </c>
      <c r="V42" s="452" t="b">
        <v>1</v>
      </c>
      <c r="W42" s="35"/>
      <c r="X42" s="180" t="s">
        <v>242</v>
      </c>
      <c r="Y42" s="360">
        <v>4.6005555553392324E-4</v>
      </c>
      <c r="Z42" s="36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47" t="s">
        <v>218</v>
      </c>
      <c r="D43" s="448" t="b">
        <v>0</v>
      </c>
      <c r="E43" s="449" t="b">
        <v>0</v>
      </c>
      <c r="F43" s="448" t="b">
        <v>0</v>
      </c>
      <c r="G43" s="455" t="b">
        <v>1</v>
      </c>
      <c r="H43" s="455" t="b">
        <v>1</v>
      </c>
      <c r="I43" s="455" t="b">
        <v>1</v>
      </c>
      <c r="J43" s="455" t="b">
        <v>1</v>
      </c>
      <c r="K43" s="455" t="b">
        <v>1</v>
      </c>
      <c r="L43" s="456" t="b">
        <v>1</v>
      </c>
      <c r="M43" s="456" t="b">
        <v>1</v>
      </c>
      <c r="N43" s="456" t="b">
        <v>1</v>
      </c>
      <c r="O43" s="456" t="b">
        <v>1</v>
      </c>
      <c r="P43" s="456" t="b">
        <v>1</v>
      </c>
      <c r="Q43" s="456" t="b">
        <v>1</v>
      </c>
      <c r="R43" s="456" t="b">
        <v>1</v>
      </c>
      <c r="S43" s="456" t="b">
        <v>1</v>
      </c>
      <c r="T43" s="456" t="b">
        <v>1</v>
      </c>
      <c r="U43" s="456" t="b">
        <v>1</v>
      </c>
      <c r="V43" s="457" t="b">
        <v>1</v>
      </c>
      <c r="W43" s="35"/>
      <c r="X43" s="180" t="s">
        <v>243</v>
      </c>
      <c r="Y43" s="360">
        <v>7.7706033252806421E-4</v>
      </c>
      <c r="Z43" s="36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47" t="s">
        <v>219</v>
      </c>
      <c r="D44" s="448" t="b">
        <v>0</v>
      </c>
      <c r="E44" s="449" t="b">
        <v>0</v>
      </c>
      <c r="F44" s="448" t="b">
        <v>0</v>
      </c>
      <c r="G44" s="455" t="b">
        <v>1</v>
      </c>
      <c r="H44" s="455" t="b">
        <v>1</v>
      </c>
      <c r="I44" s="455" t="b">
        <v>1</v>
      </c>
      <c r="J44" s="455" t="b">
        <v>1</v>
      </c>
      <c r="K44" s="455" t="b">
        <v>1</v>
      </c>
      <c r="L44" s="456" t="b">
        <v>1</v>
      </c>
      <c r="M44" s="456" t="b">
        <v>1</v>
      </c>
      <c r="N44" s="456" t="b">
        <v>1</v>
      </c>
      <c r="O44" s="456" t="b">
        <v>1</v>
      </c>
      <c r="P44" s="456" t="b">
        <v>1</v>
      </c>
      <c r="Q44" s="456" t="b">
        <v>1</v>
      </c>
      <c r="R44" s="456" t="b">
        <v>1</v>
      </c>
      <c r="S44" s="456" t="b">
        <v>1</v>
      </c>
      <c r="T44" s="456" t="b">
        <v>1</v>
      </c>
      <c r="U44" s="456" t="b">
        <v>1</v>
      </c>
      <c r="V44" s="457" t="b">
        <v>1</v>
      </c>
      <c r="W44" s="35"/>
      <c r="X44" s="180" t="s">
        <v>236</v>
      </c>
      <c r="Y44" s="360">
        <v>6.5903358116509451E-4</v>
      </c>
      <c r="Z44" s="36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47" t="s">
        <v>221</v>
      </c>
      <c r="D45" s="448" t="b">
        <v>0</v>
      </c>
      <c r="E45" s="449" t="b">
        <v>0</v>
      </c>
      <c r="F45" s="448" t="b">
        <v>0</v>
      </c>
      <c r="G45" s="455" t="b">
        <v>1</v>
      </c>
      <c r="H45" s="455" t="b">
        <v>1</v>
      </c>
      <c r="I45" s="455" t="b">
        <v>1</v>
      </c>
      <c r="J45" s="455" t="b">
        <v>1</v>
      </c>
      <c r="K45" s="455" t="b">
        <v>1</v>
      </c>
      <c r="L45" s="456" t="b">
        <v>1</v>
      </c>
      <c r="M45" s="456" t="b">
        <v>1</v>
      </c>
      <c r="N45" s="456" t="b">
        <v>1</v>
      </c>
      <c r="O45" s="456" t="b">
        <v>1</v>
      </c>
      <c r="P45" s="456" t="b">
        <v>1</v>
      </c>
      <c r="Q45" s="456" t="b">
        <v>1</v>
      </c>
      <c r="R45" s="456" t="b">
        <v>1</v>
      </c>
      <c r="S45" s="456" t="b">
        <v>1</v>
      </c>
      <c r="T45" s="456" t="b">
        <v>1</v>
      </c>
      <c r="U45" s="456" t="b">
        <v>1</v>
      </c>
      <c r="V45" s="457" t="b">
        <v>1</v>
      </c>
      <c r="W45" s="35"/>
      <c r="X45" s="180" t="s">
        <v>238</v>
      </c>
      <c r="Y45" s="360">
        <v>1.3708824581532242E-4</v>
      </c>
      <c r="Z45" s="36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47" t="s">
        <v>222</v>
      </c>
      <c r="D46" s="448" t="b">
        <v>0</v>
      </c>
      <c r="E46" s="449" t="b">
        <v>0</v>
      </c>
      <c r="F46" s="448" t="b">
        <v>0</v>
      </c>
      <c r="G46" s="456" t="b">
        <v>1</v>
      </c>
      <c r="H46" s="456" t="b">
        <v>1</v>
      </c>
      <c r="I46" s="456" t="b">
        <v>1</v>
      </c>
      <c r="J46" s="456" t="b">
        <v>1</v>
      </c>
      <c r="K46" s="456" t="b">
        <v>1</v>
      </c>
      <c r="L46" s="456" t="b">
        <v>1</v>
      </c>
      <c r="M46" s="456" t="b">
        <v>1</v>
      </c>
      <c r="N46" s="456" t="b">
        <v>1</v>
      </c>
      <c r="O46" s="456" t="b">
        <v>1</v>
      </c>
      <c r="P46" s="456" t="b">
        <v>1</v>
      </c>
      <c r="Q46" s="456" t="b">
        <v>1</v>
      </c>
      <c r="R46" s="456" t="b">
        <v>1</v>
      </c>
      <c r="S46" s="456" t="b">
        <v>1</v>
      </c>
      <c r="T46" s="456" t="b">
        <v>1</v>
      </c>
      <c r="U46" s="456" t="b">
        <v>1</v>
      </c>
      <c r="V46" s="457" t="b">
        <v>1</v>
      </c>
      <c r="W46" s="35"/>
      <c r="X46" s="180" t="s">
        <v>239</v>
      </c>
      <c r="Y46" s="360">
        <v>2.4826092420676649E-4</v>
      </c>
      <c r="Z46" s="36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53" t="s">
        <v>223</v>
      </c>
      <c r="D47" s="448" t="b">
        <v>1</v>
      </c>
      <c r="E47" s="449" t="b">
        <v>1</v>
      </c>
      <c r="F47" s="448" t="b">
        <v>1</v>
      </c>
      <c r="G47" s="456" t="b">
        <v>1</v>
      </c>
      <c r="H47" s="456" t="b">
        <v>1</v>
      </c>
      <c r="I47" s="456" t="b">
        <v>1</v>
      </c>
      <c r="J47" s="456" t="b">
        <v>1</v>
      </c>
      <c r="K47" s="456" t="b">
        <v>1</v>
      </c>
      <c r="L47" s="456" t="b">
        <v>1</v>
      </c>
      <c r="M47" s="456" t="b">
        <v>1</v>
      </c>
      <c r="N47" s="456" t="b">
        <v>1</v>
      </c>
      <c r="O47" s="456" t="b">
        <v>1</v>
      </c>
      <c r="P47" s="456" t="b">
        <v>1</v>
      </c>
      <c r="Q47" s="456" t="b">
        <v>1</v>
      </c>
      <c r="R47" s="456" t="b">
        <v>1</v>
      </c>
      <c r="S47" s="456" t="b">
        <v>1</v>
      </c>
      <c r="T47" s="456" t="b">
        <v>1</v>
      </c>
      <c r="U47" s="456" t="b">
        <v>1</v>
      </c>
      <c r="V47" s="457" t="b">
        <v>1</v>
      </c>
      <c r="W47" s="35"/>
      <c r="X47" s="180" t="s">
        <v>240</v>
      </c>
      <c r="Y47" s="360">
        <v>6.5123632733018436E-4</v>
      </c>
      <c r="Z47" s="36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47" t="s">
        <v>224</v>
      </c>
      <c r="D48" s="448" t="b">
        <v>0</v>
      </c>
      <c r="E48" s="449" t="b">
        <v>0</v>
      </c>
      <c r="F48" s="448" t="b">
        <v>0</v>
      </c>
      <c r="G48" s="456" t="b">
        <v>1</v>
      </c>
      <c r="H48" s="456" t="b">
        <v>1</v>
      </c>
      <c r="I48" s="456" t="b">
        <v>1</v>
      </c>
      <c r="J48" s="456" t="b">
        <v>1</v>
      </c>
      <c r="K48" s="456" t="b">
        <v>1</v>
      </c>
      <c r="L48" s="456" t="b">
        <v>1</v>
      </c>
      <c r="M48" s="456" t="b">
        <v>1</v>
      </c>
      <c r="N48" s="456" t="b">
        <v>1</v>
      </c>
      <c r="O48" s="456" t="b">
        <v>1</v>
      </c>
      <c r="P48" s="456" t="b">
        <v>1</v>
      </c>
      <c r="Q48" s="456" t="b">
        <v>1</v>
      </c>
      <c r="R48" s="456" t="b">
        <v>1</v>
      </c>
      <c r="S48" s="456" t="b">
        <v>1</v>
      </c>
      <c r="T48" s="456" t="b">
        <v>1</v>
      </c>
      <c r="U48" s="456" t="b">
        <v>1</v>
      </c>
      <c r="V48" s="457" t="b">
        <v>1</v>
      </c>
      <c r="W48" s="35"/>
      <c r="X48" s="180" t="s">
        <v>237</v>
      </c>
      <c r="Y48" s="360">
        <v>4.4027318096914698E-4</v>
      </c>
      <c r="Z48" s="36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47" t="s">
        <v>225</v>
      </c>
      <c r="D49" s="448" t="b">
        <v>0</v>
      </c>
      <c r="E49" s="449" t="b">
        <v>0</v>
      </c>
      <c r="F49" s="448" t="b">
        <v>0</v>
      </c>
      <c r="G49" s="456" t="b">
        <v>1</v>
      </c>
      <c r="H49" s="456" t="b">
        <v>1</v>
      </c>
      <c r="I49" s="456" t="b">
        <v>1</v>
      </c>
      <c r="J49" s="456" t="b">
        <v>1</v>
      </c>
      <c r="K49" s="456" t="b">
        <v>1</v>
      </c>
      <c r="L49" s="456" t="b">
        <v>1</v>
      </c>
      <c r="M49" s="456" t="b">
        <v>1</v>
      </c>
      <c r="N49" s="456" t="b">
        <v>1</v>
      </c>
      <c r="O49" s="456" t="b">
        <v>1</v>
      </c>
      <c r="P49" s="456" t="b">
        <v>1</v>
      </c>
      <c r="Q49" s="456" t="b">
        <v>1</v>
      </c>
      <c r="R49" s="456" t="b">
        <v>1</v>
      </c>
      <c r="S49" s="456" t="b">
        <v>1</v>
      </c>
      <c r="T49" s="456" t="b">
        <v>1</v>
      </c>
      <c r="U49" s="456" t="b">
        <v>1</v>
      </c>
      <c r="V49" s="457" t="b">
        <v>1</v>
      </c>
      <c r="W49" s="35"/>
      <c r="X49" s="180" t="s">
        <v>241</v>
      </c>
      <c r="Y49" s="360">
        <v>1.931816909789435E-4</v>
      </c>
      <c r="Z49" s="36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47" t="s">
        <v>226</v>
      </c>
      <c r="D50" s="448" t="b">
        <v>0</v>
      </c>
      <c r="E50" s="449" t="b">
        <v>0</v>
      </c>
      <c r="F50" s="448" t="b">
        <v>0</v>
      </c>
      <c r="G50" s="456" t="b">
        <v>1</v>
      </c>
      <c r="H50" s="456" t="b">
        <v>1</v>
      </c>
      <c r="I50" s="456" t="b">
        <v>1</v>
      </c>
      <c r="J50" s="456" t="b">
        <v>1</v>
      </c>
      <c r="K50" s="456" t="b">
        <v>1</v>
      </c>
      <c r="L50" s="456" t="b">
        <v>1</v>
      </c>
      <c r="M50" s="456" t="b">
        <v>1</v>
      </c>
      <c r="N50" s="456" t="b">
        <v>1</v>
      </c>
      <c r="O50" s="456" t="b">
        <v>1</v>
      </c>
      <c r="P50" s="456" t="b">
        <v>1</v>
      </c>
      <c r="Q50" s="456" t="b">
        <v>1</v>
      </c>
      <c r="R50" s="456" t="b">
        <v>1</v>
      </c>
      <c r="S50" s="456" t="b">
        <v>1</v>
      </c>
      <c r="T50" s="456" t="b">
        <v>1</v>
      </c>
      <c r="U50" s="456" t="b">
        <v>1</v>
      </c>
      <c r="V50" s="457" t="b">
        <v>1</v>
      </c>
      <c r="W50" s="35"/>
      <c r="X50" s="180" t="s">
        <v>244</v>
      </c>
      <c r="Y50" s="360">
        <v>7.0176185178426537E-4</v>
      </c>
      <c r="Z50" s="36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47" t="s">
        <v>227</v>
      </c>
      <c r="D51" s="448" t="b">
        <v>0</v>
      </c>
      <c r="E51" s="449" t="b">
        <v>0</v>
      </c>
      <c r="F51" s="448" t="b">
        <v>0</v>
      </c>
      <c r="G51" s="456" t="b">
        <v>1</v>
      </c>
      <c r="H51" s="456" t="b">
        <v>1</v>
      </c>
      <c r="I51" s="456" t="b">
        <v>1</v>
      </c>
      <c r="J51" s="456" t="b">
        <v>1</v>
      </c>
      <c r="K51" s="456" t="b">
        <v>1</v>
      </c>
      <c r="L51" s="456" t="b">
        <v>1</v>
      </c>
      <c r="M51" s="456" t="b">
        <v>1</v>
      </c>
      <c r="N51" s="456" t="b">
        <v>1</v>
      </c>
      <c r="O51" s="456" t="b">
        <v>1</v>
      </c>
      <c r="P51" s="456" t="b">
        <v>1</v>
      </c>
      <c r="Q51" s="456" t="b">
        <v>1</v>
      </c>
      <c r="R51" s="456" t="b">
        <v>1</v>
      </c>
      <c r="S51" s="456" t="b">
        <v>1</v>
      </c>
      <c r="T51" s="456" t="b">
        <v>1</v>
      </c>
      <c r="U51" s="456" t="b">
        <v>1</v>
      </c>
      <c r="V51" s="457" t="b">
        <v>1</v>
      </c>
      <c r="W51" s="35"/>
      <c r="X51" s="180" t="s">
        <v>245</v>
      </c>
      <c r="Y51" s="360">
        <v>3.7480116346849359E-4</v>
      </c>
      <c r="Z51" s="36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53" t="s">
        <v>228</v>
      </c>
      <c r="D52" s="448" t="b">
        <v>1</v>
      </c>
      <c r="E52" s="449" t="b">
        <v>1</v>
      </c>
      <c r="F52" s="448" t="b">
        <v>1</v>
      </c>
      <c r="G52" s="456" t="b">
        <v>1</v>
      </c>
      <c r="H52" s="456" t="b">
        <v>1</v>
      </c>
      <c r="I52" s="456" t="b">
        <v>1</v>
      </c>
      <c r="J52" s="456" t="b">
        <v>1</v>
      </c>
      <c r="K52" s="456" t="b">
        <v>1</v>
      </c>
      <c r="L52" s="456" t="b">
        <v>1</v>
      </c>
      <c r="M52" s="456" t="b">
        <v>1</v>
      </c>
      <c r="N52" s="456" t="b">
        <v>1</v>
      </c>
      <c r="O52" s="456" t="b">
        <v>1</v>
      </c>
      <c r="P52" s="456" t="b">
        <v>1</v>
      </c>
      <c r="Q52" s="456" t="b">
        <v>1</v>
      </c>
      <c r="R52" s="456" t="b">
        <v>1</v>
      </c>
      <c r="S52" s="456" t="b">
        <v>1</v>
      </c>
      <c r="T52" s="456" t="b">
        <v>1</v>
      </c>
      <c r="U52" s="456" t="b">
        <v>1</v>
      </c>
      <c r="V52" s="457" t="b">
        <v>1</v>
      </c>
      <c r="W52" s="35"/>
      <c r="X52" s="180" t="s">
        <v>246</v>
      </c>
      <c r="Y52" s="360">
        <v>1.2706954449993432E-4</v>
      </c>
      <c r="Z52" s="36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53" t="s">
        <v>229</v>
      </c>
      <c r="D53" s="448" t="b">
        <v>1</v>
      </c>
      <c r="E53" s="449" t="b">
        <v>1</v>
      </c>
      <c r="F53" s="448" t="b">
        <v>1</v>
      </c>
      <c r="G53" s="456" t="b">
        <v>1</v>
      </c>
      <c r="H53" s="456" t="b">
        <v>1</v>
      </c>
      <c r="I53" s="456" t="b">
        <v>1</v>
      </c>
      <c r="J53" s="456" t="b">
        <v>1</v>
      </c>
      <c r="K53" s="456" t="b">
        <v>1</v>
      </c>
      <c r="L53" s="456" t="b">
        <v>1</v>
      </c>
      <c r="M53" s="456" t="b">
        <v>1</v>
      </c>
      <c r="N53" s="456" t="b">
        <v>1</v>
      </c>
      <c r="O53" s="456" t="b">
        <v>1</v>
      </c>
      <c r="P53" s="456" t="b">
        <v>1</v>
      </c>
      <c r="Q53" s="456" t="b">
        <v>1</v>
      </c>
      <c r="R53" s="456" t="b">
        <v>1</v>
      </c>
      <c r="S53" s="456" t="b">
        <v>1</v>
      </c>
      <c r="T53" s="456" t="b">
        <v>1</v>
      </c>
      <c r="U53" s="456" t="b">
        <v>1</v>
      </c>
      <c r="V53" s="457" t="b">
        <v>1</v>
      </c>
      <c r="W53" s="35"/>
      <c r="X53" s="180" t="s">
        <v>247</v>
      </c>
      <c r="Y53" s="360">
        <v>4.3552522745260029E-4</v>
      </c>
      <c r="Z53" s="36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47" t="s">
        <v>230</v>
      </c>
      <c r="D54" s="448" t="b">
        <v>0</v>
      </c>
      <c r="E54" s="449" t="b">
        <v>0</v>
      </c>
      <c r="F54" s="448" t="b">
        <v>0</v>
      </c>
      <c r="G54" s="456" t="b">
        <v>1</v>
      </c>
      <c r="H54" s="456" t="b">
        <v>1</v>
      </c>
      <c r="I54" s="456" t="b">
        <v>1</v>
      </c>
      <c r="J54" s="456" t="b">
        <v>1</v>
      </c>
      <c r="K54" s="456" t="b">
        <v>1</v>
      </c>
      <c r="L54" s="456" t="b">
        <v>1</v>
      </c>
      <c r="M54" s="456" t="b">
        <v>1</v>
      </c>
      <c r="N54" s="456" t="b">
        <v>1</v>
      </c>
      <c r="O54" s="456" t="b">
        <v>1</v>
      </c>
      <c r="P54" s="456" t="b">
        <v>1</v>
      </c>
      <c r="Q54" s="456" t="b">
        <v>1</v>
      </c>
      <c r="R54" s="456" t="b">
        <v>1</v>
      </c>
      <c r="S54" s="456" t="b">
        <v>1</v>
      </c>
      <c r="T54" s="456" t="b">
        <v>1</v>
      </c>
      <c r="U54" s="456" t="b">
        <v>1</v>
      </c>
      <c r="V54" s="457" t="b">
        <v>1</v>
      </c>
      <c r="W54" s="35"/>
      <c r="X54" s="180" t="s">
        <v>248</v>
      </c>
      <c r="Y54" s="360">
        <v>3.7217229024403897E-4</v>
      </c>
      <c r="Z54" s="36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53" t="s">
        <v>231</v>
      </c>
      <c r="D55" s="448" t="b">
        <v>1</v>
      </c>
      <c r="E55" s="449" t="b">
        <v>1</v>
      </c>
      <c r="F55" s="448" t="b">
        <v>1</v>
      </c>
      <c r="G55" s="456" t="b">
        <v>1</v>
      </c>
      <c r="H55" s="456" t="b">
        <v>1</v>
      </c>
      <c r="I55" s="456" t="b">
        <v>1</v>
      </c>
      <c r="J55" s="456" t="b">
        <v>1</v>
      </c>
      <c r="K55" s="456" t="b">
        <v>1</v>
      </c>
      <c r="L55" s="456" t="b">
        <v>1</v>
      </c>
      <c r="M55" s="456" t="b">
        <v>1</v>
      </c>
      <c r="N55" s="456" t="b">
        <v>1</v>
      </c>
      <c r="O55" s="456" t="b">
        <v>1</v>
      </c>
      <c r="P55" s="456" t="b">
        <v>1</v>
      </c>
      <c r="Q55" s="456" t="b">
        <v>1</v>
      </c>
      <c r="R55" s="456" t="b">
        <v>1</v>
      </c>
      <c r="S55" s="456" t="b">
        <v>1</v>
      </c>
      <c r="T55" s="456" t="b">
        <v>1</v>
      </c>
      <c r="U55" s="456" t="b">
        <v>1</v>
      </c>
      <c r="V55" s="457" t="b">
        <v>1</v>
      </c>
      <c r="W55" s="35"/>
      <c r="X55" s="180" t="s">
        <v>249</v>
      </c>
      <c r="Y55" s="360">
        <v>2.3421760822486782E-4</v>
      </c>
      <c r="Z55" s="36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47" t="s">
        <v>232</v>
      </c>
      <c r="D56" s="448" t="b">
        <v>0</v>
      </c>
      <c r="E56" s="449" t="b">
        <v>0</v>
      </c>
      <c r="F56" s="448" t="b">
        <v>0</v>
      </c>
      <c r="G56" s="456" t="b">
        <v>1</v>
      </c>
      <c r="H56" s="456" t="b">
        <v>1</v>
      </c>
      <c r="I56" s="456" t="b">
        <v>1</v>
      </c>
      <c r="J56" s="456" t="b">
        <v>1</v>
      </c>
      <c r="K56" s="456" t="b">
        <v>1</v>
      </c>
      <c r="L56" s="456" t="b">
        <v>1</v>
      </c>
      <c r="M56" s="456" t="b">
        <v>1</v>
      </c>
      <c r="N56" s="456" t="b">
        <v>1</v>
      </c>
      <c r="O56" s="456" t="b">
        <v>1</v>
      </c>
      <c r="P56" s="456" t="b">
        <v>1</v>
      </c>
      <c r="Q56" s="456" t="b">
        <v>1</v>
      </c>
      <c r="R56" s="456" t="b">
        <v>1</v>
      </c>
      <c r="S56" s="456" t="b">
        <v>1</v>
      </c>
      <c r="T56" s="456" t="b">
        <v>1</v>
      </c>
      <c r="U56" s="456" t="b">
        <v>1</v>
      </c>
      <c r="V56" s="457" t="b">
        <v>1</v>
      </c>
      <c r="W56" s="35"/>
      <c r="X56" s="180" t="s">
        <v>250</v>
      </c>
      <c r="Y56" s="360">
        <v>3.9218138779391148E-4</v>
      </c>
      <c r="Z56" s="36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47" t="s">
        <v>233</v>
      </c>
      <c r="D57" s="448" t="b">
        <v>0</v>
      </c>
      <c r="E57" s="449" t="b">
        <v>0</v>
      </c>
      <c r="F57" s="448" t="b">
        <v>0</v>
      </c>
      <c r="G57" s="456" t="b">
        <v>1</v>
      </c>
      <c r="H57" s="456" t="b">
        <v>1</v>
      </c>
      <c r="I57" s="456" t="b">
        <v>1</v>
      </c>
      <c r="J57" s="456" t="b">
        <v>1</v>
      </c>
      <c r="K57" s="456" t="b">
        <v>1</v>
      </c>
      <c r="L57" s="456" t="b">
        <v>1</v>
      </c>
      <c r="M57" s="456" t="b">
        <v>1</v>
      </c>
      <c r="N57" s="456" t="b">
        <v>1</v>
      </c>
      <c r="O57" s="456" t="b">
        <v>1</v>
      </c>
      <c r="P57" s="456" t="b">
        <v>1</v>
      </c>
      <c r="Q57" s="456" t="b">
        <v>1</v>
      </c>
      <c r="R57" s="456" t="b">
        <v>1</v>
      </c>
      <c r="S57" s="456" t="b">
        <v>1</v>
      </c>
      <c r="T57" s="456" t="b">
        <v>1</v>
      </c>
      <c r="U57" s="456" t="b">
        <v>1</v>
      </c>
      <c r="V57" s="457" t="b">
        <v>1</v>
      </c>
      <c r="W57" s="35"/>
      <c r="X57" s="180" t="s">
        <v>251</v>
      </c>
      <c r="Y57" s="360">
        <v>2.51710742463223E-4</v>
      </c>
      <c r="Z57" s="36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47" t="s">
        <v>234</v>
      </c>
      <c r="D58" s="448" t="b">
        <v>0</v>
      </c>
      <c r="E58" s="449" t="b">
        <v>0</v>
      </c>
      <c r="F58" s="448" t="b">
        <v>0</v>
      </c>
      <c r="G58" s="456" t="b">
        <v>1</v>
      </c>
      <c r="H58" s="456" t="b">
        <v>1</v>
      </c>
      <c r="I58" s="456" t="b">
        <v>1</v>
      </c>
      <c r="J58" s="456" t="b">
        <v>1</v>
      </c>
      <c r="K58" s="456" t="b">
        <v>1</v>
      </c>
      <c r="L58" s="456" t="b">
        <v>1</v>
      </c>
      <c r="M58" s="456" t="b">
        <v>1</v>
      </c>
      <c r="N58" s="456" t="b">
        <v>1</v>
      </c>
      <c r="O58" s="456" t="b">
        <v>1</v>
      </c>
      <c r="P58" s="456" t="b">
        <v>1</v>
      </c>
      <c r="Q58" s="456" t="b">
        <v>1</v>
      </c>
      <c r="R58" s="456" t="b">
        <v>1</v>
      </c>
      <c r="S58" s="456" t="b">
        <v>1</v>
      </c>
      <c r="T58" s="456" t="b">
        <v>1</v>
      </c>
      <c r="U58" s="456" t="b">
        <v>1</v>
      </c>
      <c r="V58" s="457" t="b">
        <v>1</v>
      </c>
      <c r="W58" s="35"/>
      <c r="X58" s="180" t="s">
        <v>252</v>
      </c>
      <c r="Y58" s="360">
        <v>4.9438144200333368E-4</v>
      </c>
      <c r="Z58" s="36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47" t="s">
        <v>235</v>
      </c>
      <c r="D59" s="448" t="b">
        <v>0</v>
      </c>
      <c r="E59" s="449" t="b">
        <v>0</v>
      </c>
      <c r="F59" s="448" t="b">
        <v>0</v>
      </c>
      <c r="G59" s="456" t="b">
        <v>1</v>
      </c>
      <c r="H59" s="456" t="b">
        <v>1</v>
      </c>
      <c r="I59" s="456" t="b">
        <v>1</v>
      </c>
      <c r="J59" s="456" t="b">
        <v>1</v>
      </c>
      <c r="K59" s="456" t="b">
        <v>1</v>
      </c>
      <c r="L59" s="456" t="b">
        <v>1</v>
      </c>
      <c r="M59" s="456" t="b">
        <v>1</v>
      </c>
      <c r="N59" s="456" t="b">
        <v>1</v>
      </c>
      <c r="O59" s="456" t="b">
        <v>1</v>
      </c>
      <c r="P59" s="456" t="b">
        <v>1</v>
      </c>
      <c r="Q59" s="456" t="b">
        <v>1</v>
      </c>
      <c r="R59" s="456" t="b">
        <v>1</v>
      </c>
      <c r="S59" s="456" t="b">
        <v>1</v>
      </c>
      <c r="T59" s="456" t="b">
        <v>1</v>
      </c>
      <c r="U59" s="456" t="b">
        <v>1</v>
      </c>
      <c r="V59" s="457" t="b">
        <v>1</v>
      </c>
      <c r="W59" s="35"/>
      <c r="X59" s="180" t="s">
        <v>253</v>
      </c>
      <c r="Y59" s="360">
        <v>7.6676322767228755E-4</v>
      </c>
      <c r="Z59" s="36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47" t="s">
        <v>236</v>
      </c>
      <c r="D60" s="448" t="b">
        <v>0</v>
      </c>
      <c r="E60" s="449" t="b">
        <v>0</v>
      </c>
      <c r="F60" s="448" t="b">
        <v>0</v>
      </c>
      <c r="G60" s="456" t="b">
        <v>1</v>
      </c>
      <c r="H60" s="456" t="b">
        <v>1</v>
      </c>
      <c r="I60" s="456" t="b">
        <v>1</v>
      </c>
      <c r="J60" s="456" t="b">
        <v>1</v>
      </c>
      <c r="K60" s="456" t="b">
        <v>1</v>
      </c>
      <c r="L60" s="456" t="b">
        <v>1</v>
      </c>
      <c r="M60" s="456" t="b">
        <v>1</v>
      </c>
      <c r="N60" s="456" t="b">
        <v>1</v>
      </c>
      <c r="O60" s="456" t="b">
        <v>1</v>
      </c>
      <c r="P60" s="456" t="b">
        <v>1</v>
      </c>
      <c r="Q60" s="456" t="b">
        <v>1</v>
      </c>
      <c r="R60" s="456" t="b">
        <v>1</v>
      </c>
      <c r="S60" s="456" t="b">
        <v>1</v>
      </c>
      <c r="T60" s="456" t="b">
        <v>1</v>
      </c>
      <c r="U60" s="456" t="b">
        <v>1</v>
      </c>
      <c r="V60" s="457" t="b">
        <v>1</v>
      </c>
      <c r="W60" s="35"/>
      <c r="X60" s="180" t="s">
        <v>255</v>
      </c>
      <c r="Y60" s="360">
        <v>3.3864707385370345E-4</v>
      </c>
      <c r="Z60" s="36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47" t="s">
        <v>237</v>
      </c>
      <c r="D61" s="448" t="b">
        <v>0</v>
      </c>
      <c r="E61" s="449" t="b">
        <v>0</v>
      </c>
      <c r="F61" s="448" t="b">
        <v>0</v>
      </c>
      <c r="G61" s="456" t="b">
        <v>1</v>
      </c>
      <c r="H61" s="456" t="b">
        <v>1</v>
      </c>
      <c r="I61" s="456" t="b">
        <v>1</v>
      </c>
      <c r="J61" s="456" t="b">
        <v>1</v>
      </c>
      <c r="K61" s="456" t="b">
        <v>1</v>
      </c>
      <c r="L61" s="456" t="b">
        <v>1</v>
      </c>
      <c r="M61" s="456" t="b">
        <v>1</v>
      </c>
      <c r="N61" s="456" t="b">
        <v>1</v>
      </c>
      <c r="O61" s="456" t="b">
        <v>1</v>
      </c>
      <c r="P61" s="456" t="b">
        <v>1</v>
      </c>
      <c r="Q61" s="456" t="b">
        <v>1</v>
      </c>
      <c r="R61" s="456" t="b">
        <v>1</v>
      </c>
      <c r="S61" s="456" t="b">
        <v>1</v>
      </c>
      <c r="T61" s="456" t="b">
        <v>1</v>
      </c>
      <c r="U61" s="456" t="b">
        <v>1</v>
      </c>
      <c r="V61" s="457" t="b">
        <v>1</v>
      </c>
      <c r="W61" s="35"/>
      <c r="X61" s="180" t="s">
        <v>254</v>
      </c>
      <c r="Y61" s="360">
        <v>0</v>
      </c>
      <c r="Z61" s="36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47" t="s">
        <v>238</v>
      </c>
      <c r="D62" s="448" t="b">
        <v>0</v>
      </c>
      <c r="E62" s="449" t="b">
        <v>0</v>
      </c>
      <c r="F62" s="448" t="b">
        <v>0</v>
      </c>
      <c r="G62" s="456" t="b">
        <v>1</v>
      </c>
      <c r="H62" s="456" t="b">
        <v>1</v>
      </c>
      <c r="I62" s="456" t="b">
        <v>1</v>
      </c>
      <c r="J62" s="456" t="b">
        <v>1</v>
      </c>
      <c r="K62" s="456" t="b">
        <v>1</v>
      </c>
      <c r="L62" s="456" t="b">
        <v>1</v>
      </c>
      <c r="M62" s="456" t="b">
        <v>1</v>
      </c>
      <c r="N62" s="456" t="b">
        <v>1</v>
      </c>
      <c r="O62" s="456" t="b">
        <v>1</v>
      </c>
      <c r="P62" s="456" t="b">
        <v>1</v>
      </c>
      <c r="Q62" s="456" t="b">
        <v>1</v>
      </c>
      <c r="R62" s="456" t="b">
        <v>1</v>
      </c>
      <c r="S62" s="456" t="b">
        <v>1</v>
      </c>
      <c r="T62" s="456" t="b">
        <v>1</v>
      </c>
      <c r="U62" s="456" t="b">
        <v>1</v>
      </c>
      <c r="V62" s="457" t="b">
        <v>1</v>
      </c>
      <c r="W62" s="35"/>
      <c r="X62" s="180" t="s">
        <v>256</v>
      </c>
      <c r="Y62" s="360">
        <v>2.2923348213669437E-5</v>
      </c>
      <c r="Z62" s="36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53" t="s">
        <v>239</v>
      </c>
      <c r="D63" s="448" t="b">
        <v>1</v>
      </c>
      <c r="E63" s="449" t="b">
        <v>1</v>
      </c>
      <c r="F63" s="448" t="b">
        <v>1</v>
      </c>
      <c r="G63" s="456" t="b">
        <v>1</v>
      </c>
      <c r="H63" s="456" t="b">
        <v>1</v>
      </c>
      <c r="I63" s="456" t="b">
        <v>1</v>
      </c>
      <c r="J63" s="456" t="b">
        <v>1</v>
      </c>
      <c r="K63" s="456" t="b">
        <v>1</v>
      </c>
      <c r="L63" s="456" t="b">
        <v>1</v>
      </c>
      <c r="M63" s="456" t="b">
        <v>1</v>
      </c>
      <c r="N63" s="456" t="b">
        <v>1</v>
      </c>
      <c r="O63" s="456" t="b">
        <v>1</v>
      </c>
      <c r="P63" s="456" t="b">
        <v>1</v>
      </c>
      <c r="Q63" s="456" t="b">
        <v>1</v>
      </c>
      <c r="R63" s="456" t="b">
        <v>1</v>
      </c>
      <c r="S63" s="456" t="b">
        <v>1</v>
      </c>
      <c r="T63" s="456" t="b">
        <v>1</v>
      </c>
      <c r="U63" s="456" t="b">
        <v>1</v>
      </c>
      <c r="V63" s="457" t="b">
        <v>1</v>
      </c>
      <c r="W63" s="35"/>
      <c r="X63" s="180" t="s">
        <v>258</v>
      </c>
      <c r="Y63" s="360">
        <v>5.8465338475716154E-4</v>
      </c>
      <c r="Z63" s="36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53" t="s">
        <v>240</v>
      </c>
      <c r="D64" s="448" t="b">
        <v>1</v>
      </c>
      <c r="E64" s="449" t="b">
        <v>1</v>
      </c>
      <c r="F64" s="448" t="b">
        <v>1</v>
      </c>
      <c r="G64" s="456" t="b">
        <v>1</v>
      </c>
      <c r="H64" s="456" t="b">
        <v>1</v>
      </c>
      <c r="I64" s="456" t="b">
        <v>1</v>
      </c>
      <c r="J64" s="456" t="b">
        <v>1</v>
      </c>
      <c r="K64" s="456" t="b">
        <v>1</v>
      </c>
      <c r="L64" s="456" t="b">
        <v>1</v>
      </c>
      <c r="M64" s="456" t="b">
        <v>1</v>
      </c>
      <c r="N64" s="456" t="b">
        <v>1</v>
      </c>
      <c r="O64" s="456" t="b">
        <v>1</v>
      </c>
      <c r="P64" s="456" t="b">
        <v>1</v>
      </c>
      <c r="Q64" s="456" t="b">
        <v>1</v>
      </c>
      <c r="R64" s="456" t="b">
        <v>1</v>
      </c>
      <c r="S64" s="456" t="b">
        <v>1</v>
      </c>
      <c r="T64" s="456" t="b">
        <v>1</v>
      </c>
      <c r="U64" s="456" t="b">
        <v>1</v>
      </c>
      <c r="V64" s="457" t="b">
        <v>1</v>
      </c>
      <c r="W64" s="35"/>
      <c r="X64" s="180" t="s">
        <v>257</v>
      </c>
      <c r="Y64" s="360">
        <v>8.3039048317398809E-4</v>
      </c>
      <c r="Z64" s="36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53" t="s">
        <v>241</v>
      </c>
      <c r="D65" s="448" t="b">
        <v>1</v>
      </c>
      <c r="E65" s="449" t="b">
        <v>1</v>
      </c>
      <c r="F65" s="448" t="b">
        <v>1</v>
      </c>
      <c r="G65" s="456" t="b">
        <v>1</v>
      </c>
      <c r="H65" s="456" t="b">
        <v>1</v>
      </c>
      <c r="I65" s="456" t="b">
        <v>1</v>
      </c>
      <c r="J65" s="456" t="b">
        <v>1</v>
      </c>
      <c r="K65" s="456" t="b">
        <v>1</v>
      </c>
      <c r="L65" s="456" t="b">
        <v>1</v>
      </c>
      <c r="M65" s="456" t="b">
        <v>1</v>
      </c>
      <c r="N65" s="456" t="b">
        <v>1</v>
      </c>
      <c r="O65" s="456" t="b">
        <v>1</v>
      </c>
      <c r="P65" s="456" t="b">
        <v>1</v>
      </c>
      <c r="Q65" s="456" t="b">
        <v>1</v>
      </c>
      <c r="R65" s="456" t="b">
        <v>1</v>
      </c>
      <c r="S65" s="456" t="b">
        <v>1</v>
      </c>
      <c r="T65" s="456" t="b">
        <v>1</v>
      </c>
      <c r="U65" s="456" t="b">
        <v>1</v>
      </c>
      <c r="V65" s="457" t="b">
        <v>1</v>
      </c>
      <c r="W65" s="35"/>
      <c r="X65" s="180" t="s">
        <v>259</v>
      </c>
      <c r="Y65" s="360">
        <v>7.5840059121394163E-4</v>
      </c>
      <c r="Z65" s="36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53" t="s">
        <v>242</v>
      </c>
      <c r="D66" s="448" t="b">
        <v>1</v>
      </c>
      <c r="E66" s="449" t="b">
        <v>1</v>
      </c>
      <c r="F66" s="448" t="b">
        <v>1</v>
      </c>
      <c r="G66" s="456" t="b">
        <v>1</v>
      </c>
      <c r="H66" s="456" t="b">
        <v>1</v>
      </c>
      <c r="I66" s="456" t="b">
        <v>1</v>
      </c>
      <c r="J66" s="456" t="b">
        <v>1</v>
      </c>
      <c r="K66" s="456" t="b">
        <v>1</v>
      </c>
      <c r="L66" s="456" t="b">
        <v>1</v>
      </c>
      <c r="M66" s="456" t="b">
        <v>1</v>
      </c>
      <c r="N66" s="456" t="b">
        <v>1</v>
      </c>
      <c r="O66" s="456" t="b">
        <v>1</v>
      </c>
      <c r="P66" s="456" t="b">
        <v>1</v>
      </c>
      <c r="Q66" s="456" t="b">
        <v>1</v>
      </c>
      <c r="R66" s="456" t="b">
        <v>1</v>
      </c>
      <c r="S66" s="456" t="b">
        <v>1</v>
      </c>
      <c r="T66" s="456" t="b">
        <v>1</v>
      </c>
      <c r="U66" s="456" t="b">
        <v>1</v>
      </c>
      <c r="V66" s="457"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53" t="s">
        <v>243</v>
      </c>
      <c r="D67" s="448" t="b">
        <v>1</v>
      </c>
      <c r="E67" s="449" t="b">
        <v>1</v>
      </c>
      <c r="F67" s="448" t="b">
        <v>1</v>
      </c>
      <c r="G67" s="456" t="b">
        <v>1</v>
      </c>
      <c r="H67" s="456" t="b">
        <v>1</v>
      </c>
      <c r="I67" s="456" t="b">
        <v>1</v>
      </c>
      <c r="J67" s="456" t="b">
        <v>1</v>
      </c>
      <c r="K67" s="456" t="b">
        <v>1</v>
      </c>
      <c r="L67" s="456" t="b">
        <v>1</v>
      </c>
      <c r="M67" s="456" t="b">
        <v>1</v>
      </c>
      <c r="N67" s="456" t="b">
        <v>1</v>
      </c>
      <c r="O67" s="456" t="b">
        <v>1</v>
      </c>
      <c r="P67" s="456" t="b">
        <v>1</v>
      </c>
      <c r="Q67" s="456" t="b">
        <v>1</v>
      </c>
      <c r="R67" s="456" t="b">
        <v>1</v>
      </c>
      <c r="S67" s="456" t="b">
        <v>1</v>
      </c>
      <c r="T67" s="456" t="b">
        <v>1</v>
      </c>
      <c r="U67" s="456" t="b">
        <v>1</v>
      </c>
      <c r="V67" s="457"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53" t="s">
        <v>244</v>
      </c>
      <c r="D68" s="448" t="b">
        <v>1</v>
      </c>
      <c r="E68" s="449" t="b">
        <v>1</v>
      </c>
      <c r="F68" s="448" t="b">
        <v>1</v>
      </c>
      <c r="G68" s="456" t="b">
        <v>1</v>
      </c>
      <c r="H68" s="456" t="b">
        <v>1</v>
      </c>
      <c r="I68" s="456" t="b">
        <v>1</v>
      </c>
      <c r="J68" s="456" t="b">
        <v>1</v>
      </c>
      <c r="K68" s="456" t="b">
        <v>1</v>
      </c>
      <c r="L68" s="456" t="b">
        <v>1</v>
      </c>
      <c r="M68" s="456" t="b">
        <v>1</v>
      </c>
      <c r="N68" s="456" t="b">
        <v>1</v>
      </c>
      <c r="O68" s="456" t="b">
        <v>1</v>
      </c>
      <c r="P68" s="456" t="b">
        <v>1</v>
      </c>
      <c r="Q68" s="456" t="b">
        <v>1</v>
      </c>
      <c r="R68" s="456" t="b">
        <v>1</v>
      </c>
      <c r="S68" s="456" t="b">
        <v>1</v>
      </c>
      <c r="T68" s="456" t="b">
        <v>1</v>
      </c>
      <c r="U68" s="456" t="b">
        <v>1</v>
      </c>
      <c r="V68" s="457"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47" t="s">
        <v>245</v>
      </c>
      <c r="D69" s="448" t="b">
        <v>0</v>
      </c>
      <c r="E69" s="449" t="b">
        <v>0</v>
      </c>
      <c r="F69" s="448" t="b">
        <v>0</v>
      </c>
      <c r="G69" s="456" t="b">
        <v>1</v>
      </c>
      <c r="H69" s="456" t="b">
        <v>1</v>
      </c>
      <c r="I69" s="456" t="b">
        <v>1</v>
      </c>
      <c r="J69" s="456" t="b">
        <v>1</v>
      </c>
      <c r="K69" s="456" t="b">
        <v>1</v>
      </c>
      <c r="L69" s="456" t="b">
        <v>1</v>
      </c>
      <c r="M69" s="456" t="b">
        <v>1</v>
      </c>
      <c r="N69" s="456" t="b">
        <v>1</v>
      </c>
      <c r="O69" s="456" t="b">
        <v>1</v>
      </c>
      <c r="P69" s="456" t="b">
        <v>1</v>
      </c>
      <c r="Q69" s="456" t="b">
        <v>1</v>
      </c>
      <c r="R69" s="456" t="b">
        <v>1</v>
      </c>
      <c r="S69" s="456" t="b">
        <v>1</v>
      </c>
      <c r="T69" s="456" t="b">
        <v>1</v>
      </c>
      <c r="U69" s="456" t="b">
        <v>1</v>
      </c>
      <c r="V69" s="457"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53" t="s">
        <v>246</v>
      </c>
      <c r="D70" s="458" t="b">
        <v>1</v>
      </c>
      <c r="E70" s="456" t="b">
        <v>1</v>
      </c>
      <c r="F70" s="459" t="b">
        <v>1</v>
      </c>
      <c r="G70" s="456" t="b">
        <v>1</v>
      </c>
      <c r="H70" s="456" t="b">
        <v>1</v>
      </c>
      <c r="I70" s="456" t="b">
        <v>1</v>
      </c>
      <c r="J70" s="456" t="b">
        <v>1</v>
      </c>
      <c r="K70" s="456" t="b">
        <v>1</v>
      </c>
      <c r="L70" s="456" t="b">
        <v>1</v>
      </c>
      <c r="M70" s="456" t="b">
        <v>1</v>
      </c>
      <c r="N70" s="456" t="b">
        <v>1</v>
      </c>
      <c r="O70" s="456" t="b">
        <v>1</v>
      </c>
      <c r="P70" s="456" t="b">
        <v>1</v>
      </c>
      <c r="Q70" s="456" t="b">
        <v>1</v>
      </c>
      <c r="R70" s="456" t="b">
        <v>1</v>
      </c>
      <c r="S70" s="456" t="b">
        <v>1</v>
      </c>
      <c r="T70" s="456" t="b">
        <v>1</v>
      </c>
      <c r="U70" s="456" t="b">
        <v>1</v>
      </c>
      <c r="V70" s="457"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53" t="s">
        <v>247</v>
      </c>
      <c r="D71" s="456" t="b">
        <v>1</v>
      </c>
      <c r="E71" s="456" t="b">
        <v>1</v>
      </c>
      <c r="F71" s="456" t="b">
        <v>1</v>
      </c>
      <c r="G71" s="456" t="b">
        <v>1</v>
      </c>
      <c r="H71" s="456" t="b">
        <v>1</v>
      </c>
      <c r="I71" s="456" t="b">
        <v>1</v>
      </c>
      <c r="J71" s="456" t="b">
        <v>1</v>
      </c>
      <c r="K71" s="456" t="b">
        <v>1</v>
      </c>
      <c r="L71" s="456" t="b">
        <v>1</v>
      </c>
      <c r="M71" s="456" t="b">
        <v>1</v>
      </c>
      <c r="N71" s="456" t="b">
        <v>1</v>
      </c>
      <c r="O71" s="456" t="b">
        <v>1</v>
      </c>
      <c r="P71" s="456" t="b">
        <v>1</v>
      </c>
      <c r="Q71" s="456" t="b">
        <v>1</v>
      </c>
      <c r="R71" s="456" t="b">
        <v>1</v>
      </c>
      <c r="S71" s="456" t="b">
        <v>1</v>
      </c>
      <c r="T71" s="456" t="b">
        <v>1</v>
      </c>
      <c r="U71" s="456" t="b">
        <v>1</v>
      </c>
      <c r="V71" s="457"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53" t="s">
        <v>248</v>
      </c>
      <c r="D72" s="456" t="b">
        <v>1</v>
      </c>
      <c r="E72" s="456" t="b">
        <v>1</v>
      </c>
      <c r="F72" s="456" t="b">
        <v>1</v>
      </c>
      <c r="G72" s="456" t="b">
        <v>1</v>
      </c>
      <c r="H72" s="456" t="b">
        <v>1</v>
      </c>
      <c r="I72" s="456" t="b">
        <v>1</v>
      </c>
      <c r="J72" s="456" t="b">
        <v>1</v>
      </c>
      <c r="K72" s="456" t="b">
        <v>1</v>
      </c>
      <c r="L72" s="456" t="b">
        <v>1</v>
      </c>
      <c r="M72" s="456" t="b">
        <v>1</v>
      </c>
      <c r="N72" s="456" t="b">
        <v>1</v>
      </c>
      <c r="O72" s="456" t="b">
        <v>1</v>
      </c>
      <c r="P72" s="456" t="b">
        <v>1</v>
      </c>
      <c r="Q72" s="456" t="b">
        <v>1</v>
      </c>
      <c r="R72" s="456" t="b">
        <v>1</v>
      </c>
      <c r="S72" s="456" t="b">
        <v>1</v>
      </c>
      <c r="T72" s="456" t="b">
        <v>1</v>
      </c>
      <c r="U72" s="456" t="b">
        <v>1</v>
      </c>
      <c r="V72" s="457"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47" t="s">
        <v>249</v>
      </c>
      <c r="D73" s="456" t="b">
        <v>0</v>
      </c>
      <c r="E73" s="456" t="b">
        <v>0</v>
      </c>
      <c r="F73" s="456" t="b">
        <v>0</v>
      </c>
      <c r="G73" s="456" t="b">
        <v>1</v>
      </c>
      <c r="H73" s="456" t="b">
        <v>1</v>
      </c>
      <c r="I73" s="456" t="b">
        <v>1</v>
      </c>
      <c r="J73" s="456" t="b">
        <v>1</v>
      </c>
      <c r="K73" s="456" t="b">
        <v>1</v>
      </c>
      <c r="L73" s="456" t="b">
        <v>1</v>
      </c>
      <c r="M73" s="456" t="b">
        <v>1</v>
      </c>
      <c r="N73" s="456" t="b">
        <v>1</v>
      </c>
      <c r="O73" s="456" t="b">
        <v>1</v>
      </c>
      <c r="P73" s="456" t="b">
        <v>1</v>
      </c>
      <c r="Q73" s="456" t="b">
        <v>1</v>
      </c>
      <c r="R73" s="456" t="b">
        <v>1</v>
      </c>
      <c r="S73" s="456" t="b">
        <v>1</v>
      </c>
      <c r="T73" s="456" t="b">
        <v>1</v>
      </c>
      <c r="U73" s="456" t="b">
        <v>1</v>
      </c>
      <c r="V73" s="457"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47" t="s">
        <v>250</v>
      </c>
      <c r="D74" s="456" t="b">
        <v>0</v>
      </c>
      <c r="E74" s="456" t="b">
        <v>0</v>
      </c>
      <c r="F74" s="456" t="b">
        <v>0</v>
      </c>
      <c r="G74" s="456" t="b">
        <v>1</v>
      </c>
      <c r="H74" s="456" t="b">
        <v>1</v>
      </c>
      <c r="I74" s="456" t="b">
        <v>1</v>
      </c>
      <c r="J74" s="456" t="b">
        <v>1</v>
      </c>
      <c r="K74" s="456" t="b">
        <v>1</v>
      </c>
      <c r="L74" s="456" t="b">
        <v>1</v>
      </c>
      <c r="M74" s="456" t="b">
        <v>1</v>
      </c>
      <c r="N74" s="456" t="b">
        <v>1</v>
      </c>
      <c r="O74" s="456" t="b">
        <v>1</v>
      </c>
      <c r="P74" s="456" t="b">
        <v>1</v>
      </c>
      <c r="Q74" s="456" t="b">
        <v>1</v>
      </c>
      <c r="R74" s="456" t="b">
        <v>1</v>
      </c>
      <c r="S74" s="456" t="b">
        <v>1</v>
      </c>
      <c r="T74" s="456" t="b">
        <v>1</v>
      </c>
      <c r="U74" s="456" t="b">
        <v>1</v>
      </c>
      <c r="V74" s="457"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47" t="s">
        <v>251</v>
      </c>
      <c r="D75" s="456" t="b">
        <v>0</v>
      </c>
      <c r="E75" s="456" t="b">
        <v>0</v>
      </c>
      <c r="F75" s="456" t="b">
        <v>0</v>
      </c>
      <c r="G75" s="456" t="b">
        <v>1</v>
      </c>
      <c r="H75" s="456" t="b">
        <v>1</v>
      </c>
      <c r="I75" s="456" t="b">
        <v>1</v>
      </c>
      <c r="J75" s="456" t="b">
        <v>1</v>
      </c>
      <c r="K75" s="456" t="b">
        <v>1</v>
      </c>
      <c r="L75" s="456" t="b">
        <v>1</v>
      </c>
      <c r="M75" s="456" t="b">
        <v>1</v>
      </c>
      <c r="N75" s="456" t="b">
        <v>1</v>
      </c>
      <c r="O75" s="456" t="b">
        <v>1</v>
      </c>
      <c r="P75" s="456" t="b">
        <v>1</v>
      </c>
      <c r="Q75" s="456" t="b">
        <v>1</v>
      </c>
      <c r="R75" s="456" t="b">
        <v>1</v>
      </c>
      <c r="S75" s="456" t="b">
        <v>1</v>
      </c>
      <c r="T75" s="456" t="b">
        <v>1</v>
      </c>
      <c r="U75" s="456" t="b">
        <v>1</v>
      </c>
      <c r="V75" s="457"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53" t="s">
        <v>252</v>
      </c>
      <c r="D76" s="456" t="b">
        <v>1</v>
      </c>
      <c r="E76" s="456" t="b">
        <v>1</v>
      </c>
      <c r="F76" s="456" t="b">
        <v>1</v>
      </c>
      <c r="G76" s="456" t="b">
        <v>1</v>
      </c>
      <c r="H76" s="456" t="b">
        <v>1</v>
      </c>
      <c r="I76" s="456" t="b">
        <v>1</v>
      </c>
      <c r="J76" s="456" t="b">
        <v>1</v>
      </c>
      <c r="K76" s="456" t="b">
        <v>1</v>
      </c>
      <c r="L76" s="456" t="b">
        <v>1</v>
      </c>
      <c r="M76" s="456" t="b">
        <v>1</v>
      </c>
      <c r="N76" s="456" t="b">
        <v>1</v>
      </c>
      <c r="O76" s="456" t="b">
        <v>1</v>
      </c>
      <c r="P76" s="456" t="b">
        <v>1</v>
      </c>
      <c r="Q76" s="456" t="b">
        <v>1</v>
      </c>
      <c r="R76" s="456" t="b">
        <v>1</v>
      </c>
      <c r="S76" s="456" t="b">
        <v>1</v>
      </c>
      <c r="T76" s="456" t="b">
        <v>1</v>
      </c>
      <c r="U76" s="456" t="b">
        <v>1</v>
      </c>
      <c r="V76" s="457"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53" t="s">
        <v>253</v>
      </c>
      <c r="D77" s="456" t="b">
        <v>1</v>
      </c>
      <c r="E77" s="456" t="b">
        <v>1</v>
      </c>
      <c r="F77" s="456" t="b">
        <v>1</v>
      </c>
      <c r="G77" s="456" t="b">
        <v>1</v>
      </c>
      <c r="H77" s="456" t="b">
        <v>1</v>
      </c>
      <c r="I77" s="456" t="b">
        <v>1</v>
      </c>
      <c r="J77" s="456" t="b">
        <v>1</v>
      </c>
      <c r="K77" s="456" t="b">
        <v>1</v>
      </c>
      <c r="L77" s="456" t="b">
        <v>1</v>
      </c>
      <c r="M77" s="456" t="b">
        <v>1</v>
      </c>
      <c r="N77" s="456" t="b">
        <v>1</v>
      </c>
      <c r="O77" s="456" t="b">
        <v>1</v>
      </c>
      <c r="P77" s="456" t="b">
        <v>1</v>
      </c>
      <c r="Q77" s="456" t="b">
        <v>1</v>
      </c>
      <c r="R77" s="456" t="b">
        <v>1</v>
      </c>
      <c r="S77" s="456" t="b">
        <v>1</v>
      </c>
      <c r="T77" s="456" t="b">
        <v>1</v>
      </c>
      <c r="U77" s="456" t="b">
        <v>1</v>
      </c>
      <c r="V77" s="457"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47" t="s">
        <v>254</v>
      </c>
      <c r="D78" s="456" t="b">
        <v>0</v>
      </c>
      <c r="E78" s="456" t="b">
        <v>0</v>
      </c>
      <c r="F78" s="456" t="b">
        <v>0</v>
      </c>
      <c r="G78" s="456" t="b">
        <v>1</v>
      </c>
      <c r="H78" s="456" t="b">
        <v>1</v>
      </c>
      <c r="I78" s="456" t="b">
        <v>1</v>
      </c>
      <c r="J78" s="456" t="b">
        <v>1</v>
      </c>
      <c r="K78" s="456" t="b">
        <v>1</v>
      </c>
      <c r="L78" s="456" t="b">
        <v>1</v>
      </c>
      <c r="M78" s="456" t="b">
        <v>1</v>
      </c>
      <c r="N78" s="456" t="b">
        <v>1</v>
      </c>
      <c r="O78" s="456" t="b">
        <v>1</v>
      </c>
      <c r="P78" s="456" t="b">
        <v>1</v>
      </c>
      <c r="Q78" s="456" t="b">
        <v>1</v>
      </c>
      <c r="R78" s="456" t="b">
        <v>1</v>
      </c>
      <c r="S78" s="456" t="b">
        <v>1</v>
      </c>
      <c r="T78" s="456" t="b">
        <v>1</v>
      </c>
      <c r="U78" s="456" t="b">
        <v>1</v>
      </c>
      <c r="V78" s="457"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53" t="s">
        <v>255</v>
      </c>
      <c r="D79" s="456" t="b">
        <v>1</v>
      </c>
      <c r="E79" s="456" t="b">
        <v>1</v>
      </c>
      <c r="F79" s="456" t="b">
        <v>1</v>
      </c>
      <c r="G79" s="456" t="b">
        <v>1</v>
      </c>
      <c r="H79" s="456" t="b">
        <v>1</v>
      </c>
      <c r="I79" s="456" t="b">
        <v>1</v>
      </c>
      <c r="J79" s="456" t="b">
        <v>1</v>
      </c>
      <c r="K79" s="456" t="b">
        <v>1</v>
      </c>
      <c r="L79" s="456" t="b">
        <v>1</v>
      </c>
      <c r="M79" s="456" t="b">
        <v>1</v>
      </c>
      <c r="N79" s="456" t="b">
        <v>1</v>
      </c>
      <c r="O79" s="456" t="b">
        <v>1</v>
      </c>
      <c r="P79" s="456" t="b">
        <v>1</v>
      </c>
      <c r="Q79" s="456" t="b">
        <v>1</v>
      </c>
      <c r="R79" s="456" t="b">
        <v>1</v>
      </c>
      <c r="S79" s="456" t="b">
        <v>1</v>
      </c>
      <c r="T79" s="456" t="b">
        <v>1</v>
      </c>
      <c r="U79" s="456" t="b">
        <v>1</v>
      </c>
      <c r="V79" s="457"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47" t="s">
        <v>256</v>
      </c>
      <c r="D80" s="456" t="b">
        <v>0</v>
      </c>
      <c r="E80" s="456" t="b">
        <v>0</v>
      </c>
      <c r="F80" s="456" t="b">
        <v>0</v>
      </c>
      <c r="G80" s="456" t="b">
        <v>1</v>
      </c>
      <c r="H80" s="456" t="b">
        <v>1</v>
      </c>
      <c r="I80" s="456" t="b">
        <v>1</v>
      </c>
      <c r="J80" s="456" t="b">
        <v>1</v>
      </c>
      <c r="K80" s="456" t="b">
        <v>1</v>
      </c>
      <c r="L80" s="456" t="b">
        <v>1</v>
      </c>
      <c r="M80" s="456" t="b">
        <v>1</v>
      </c>
      <c r="N80" s="456" t="b">
        <v>1</v>
      </c>
      <c r="O80" s="456" t="b">
        <v>1</v>
      </c>
      <c r="P80" s="456" t="b">
        <v>1</v>
      </c>
      <c r="Q80" s="456" t="b">
        <v>1</v>
      </c>
      <c r="R80" s="456" t="b">
        <v>1</v>
      </c>
      <c r="S80" s="456" t="b">
        <v>1</v>
      </c>
      <c r="T80" s="456" t="b">
        <v>1</v>
      </c>
      <c r="U80" s="456" t="b">
        <v>1</v>
      </c>
      <c r="V80" s="457"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47" t="s">
        <v>257</v>
      </c>
      <c r="D81" s="456" t="b">
        <v>0</v>
      </c>
      <c r="E81" s="456" t="b">
        <v>0</v>
      </c>
      <c r="F81" s="456" t="b">
        <v>0</v>
      </c>
      <c r="G81" s="456" t="b">
        <v>1</v>
      </c>
      <c r="H81" s="456" t="b">
        <v>1</v>
      </c>
      <c r="I81" s="456" t="b">
        <v>1</v>
      </c>
      <c r="J81" s="456" t="b">
        <v>1</v>
      </c>
      <c r="K81" s="456" t="b">
        <v>1</v>
      </c>
      <c r="L81" s="456" t="b">
        <v>1</v>
      </c>
      <c r="M81" s="456" t="b">
        <v>1</v>
      </c>
      <c r="N81" s="456" t="b">
        <v>1</v>
      </c>
      <c r="O81" s="456" t="b">
        <v>1</v>
      </c>
      <c r="P81" s="456" t="b">
        <v>1</v>
      </c>
      <c r="Q81" s="456" t="b">
        <v>1</v>
      </c>
      <c r="R81" s="456" t="b">
        <v>1</v>
      </c>
      <c r="S81" s="456" t="b">
        <v>1</v>
      </c>
      <c r="T81" s="456" t="b">
        <v>1</v>
      </c>
      <c r="U81" s="456" t="b">
        <v>1</v>
      </c>
      <c r="V81" s="457"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47" t="s">
        <v>258</v>
      </c>
      <c r="D82" s="456" t="b">
        <v>0</v>
      </c>
      <c r="E82" s="456" t="b">
        <v>0</v>
      </c>
      <c r="F82" s="456" t="b">
        <v>0</v>
      </c>
      <c r="G82" s="456" t="b">
        <v>1</v>
      </c>
      <c r="H82" s="456" t="b">
        <v>1</v>
      </c>
      <c r="I82" s="456" t="b">
        <v>1</v>
      </c>
      <c r="J82" s="456" t="b">
        <v>1</v>
      </c>
      <c r="K82" s="456" t="b">
        <v>1</v>
      </c>
      <c r="L82" s="456" t="b">
        <v>1</v>
      </c>
      <c r="M82" s="456" t="b">
        <v>1</v>
      </c>
      <c r="N82" s="456" t="b">
        <v>1</v>
      </c>
      <c r="O82" s="456" t="b">
        <v>1</v>
      </c>
      <c r="P82" s="456" t="b">
        <v>1</v>
      </c>
      <c r="Q82" s="456" t="b">
        <v>1</v>
      </c>
      <c r="R82" s="456" t="b">
        <v>1</v>
      </c>
      <c r="S82" s="456" t="b">
        <v>1</v>
      </c>
      <c r="T82" s="456" t="b">
        <v>1</v>
      </c>
      <c r="U82" s="456" t="b">
        <v>1</v>
      </c>
      <c r="V82" s="457"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60" t="s">
        <v>259</v>
      </c>
      <c r="D83" s="461" t="b">
        <v>0</v>
      </c>
      <c r="E83" s="461" t="b">
        <v>0</v>
      </c>
      <c r="F83" s="461" t="b">
        <v>0</v>
      </c>
      <c r="G83" s="461" t="b">
        <v>1</v>
      </c>
      <c r="H83" s="461" t="b">
        <v>1</v>
      </c>
      <c r="I83" s="461" t="b">
        <v>1</v>
      </c>
      <c r="J83" s="461" t="b">
        <v>1</v>
      </c>
      <c r="K83" s="461" t="b">
        <v>1</v>
      </c>
      <c r="L83" s="461" t="b">
        <v>1</v>
      </c>
      <c r="M83" s="461" t="b">
        <v>1</v>
      </c>
      <c r="N83" s="461" t="b">
        <v>1</v>
      </c>
      <c r="O83" s="461" t="b">
        <v>1</v>
      </c>
      <c r="P83" s="461" t="b">
        <v>1</v>
      </c>
      <c r="Q83" s="461" t="b">
        <v>1</v>
      </c>
      <c r="R83" s="461" t="b">
        <v>1</v>
      </c>
      <c r="S83" s="461" t="b">
        <v>1</v>
      </c>
      <c r="T83" s="461" t="b">
        <v>1</v>
      </c>
      <c r="U83" s="461" t="b">
        <v>1</v>
      </c>
      <c r="V83" s="462"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323</v>
      </c>
      <c r="D86" s="465"/>
      <c r="E86" s="465"/>
      <c r="F86" s="465"/>
      <c r="G86" s="35"/>
      <c r="H86" s="35"/>
      <c r="I86" s="35"/>
      <c r="J86" s="31" t="s">
        <v>328</v>
      </c>
      <c r="K86" s="359"/>
      <c r="L86" s="359"/>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66" t="s">
        <v>324</v>
      </c>
      <c r="D87" s="467" t="s">
        <v>325</v>
      </c>
      <c r="E87" s="467" t="s">
        <v>326</v>
      </c>
      <c r="F87" s="467" t="s">
        <v>327</v>
      </c>
      <c r="G87" s="35"/>
      <c r="H87" s="35"/>
      <c r="I87" s="35"/>
      <c r="J87" s="477"/>
      <c r="K87" s="478" t="s">
        <v>125</v>
      </c>
      <c r="L87" s="479" t="s">
        <v>329</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68" t="s">
        <v>211</v>
      </c>
      <c r="D88" s="469">
        <v>0.18</v>
      </c>
      <c r="E88" s="469">
        <v>0.15</v>
      </c>
      <c r="F88" s="470">
        <v>0.17</v>
      </c>
      <c r="G88" s="35"/>
      <c r="H88" s="35"/>
      <c r="I88" s="35"/>
      <c r="J88" s="480" t="s">
        <v>330</v>
      </c>
      <c r="K88" s="481">
        <v>0.2</v>
      </c>
      <c r="L88" s="482">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71" t="s">
        <v>210</v>
      </c>
      <c r="D89" s="472">
        <v>0.11</v>
      </c>
      <c r="E89" s="472">
        <v>0.11</v>
      </c>
      <c r="F89" s="473">
        <v>0.06</v>
      </c>
      <c r="G89" s="35"/>
      <c r="H89" s="35"/>
      <c r="I89" s="35"/>
      <c r="J89" s="480" t="s">
        <v>331</v>
      </c>
      <c r="K89" s="481">
        <v>0</v>
      </c>
      <c r="L89" s="482">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71" t="s">
        <v>213</v>
      </c>
      <c r="D90" s="472">
        <v>0.09</v>
      </c>
      <c r="E90" s="472">
        <v>0.08</v>
      </c>
      <c r="F90" s="473">
        <v>0.06</v>
      </c>
      <c r="G90" s="35"/>
      <c r="H90" s="35"/>
      <c r="I90" s="35"/>
      <c r="J90" s="480" t="s">
        <v>332</v>
      </c>
      <c r="K90" s="481">
        <v>0.2</v>
      </c>
      <c r="L90" s="482">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71" t="s">
        <v>212</v>
      </c>
      <c r="D91" s="472">
        <v>0.11</v>
      </c>
      <c r="E91" s="472">
        <v>0.1</v>
      </c>
      <c r="F91" s="473">
        <v>7.0000000000000007E-2</v>
      </c>
      <c r="G91" s="35"/>
      <c r="H91" s="35"/>
      <c r="I91" s="35"/>
      <c r="J91" s="480" t="s">
        <v>333</v>
      </c>
      <c r="K91" s="481">
        <v>0.2</v>
      </c>
      <c r="L91" s="482">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71" t="s">
        <v>214</v>
      </c>
      <c r="D92" s="472">
        <v>0.15</v>
      </c>
      <c r="E92" s="472">
        <v>0.13</v>
      </c>
      <c r="F92" s="473">
        <v>0.1</v>
      </c>
      <c r="G92" s="35"/>
      <c r="H92" s="35"/>
      <c r="I92" s="35"/>
      <c r="J92" s="480" t="s">
        <v>334</v>
      </c>
      <c r="K92" s="481">
        <v>0.15</v>
      </c>
      <c r="L92" s="482">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71" t="s">
        <v>215</v>
      </c>
      <c r="D93" s="472">
        <v>0.11</v>
      </c>
      <c r="E93" s="472">
        <v>0.09</v>
      </c>
      <c r="F93" s="473">
        <v>7.0000000000000007E-2</v>
      </c>
      <c r="G93" s="35"/>
      <c r="H93" s="35"/>
      <c r="I93" s="35"/>
      <c r="J93" s="480" t="s">
        <v>335</v>
      </c>
      <c r="K93" s="481">
        <v>0</v>
      </c>
      <c r="L93" s="482">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71" t="s">
        <v>216</v>
      </c>
      <c r="D94" s="472">
        <v>0.17</v>
      </c>
      <c r="E94" s="472">
        <v>0.15</v>
      </c>
      <c r="F94" s="473">
        <v>0.13</v>
      </c>
      <c r="G94" s="35"/>
      <c r="H94" s="35"/>
      <c r="I94" s="35"/>
      <c r="J94" s="480" t="s">
        <v>336</v>
      </c>
      <c r="K94" s="481">
        <v>0.2</v>
      </c>
      <c r="L94" s="482">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71" t="s">
        <v>11</v>
      </c>
      <c r="D95" s="472">
        <v>0.12</v>
      </c>
      <c r="E95" s="472">
        <v>0.12</v>
      </c>
      <c r="F95" s="473">
        <v>0.05</v>
      </c>
      <c r="G95" s="35"/>
      <c r="H95" s="35"/>
      <c r="I95" s="35"/>
      <c r="J95" s="480" t="s">
        <v>337</v>
      </c>
      <c r="K95" s="481">
        <v>0</v>
      </c>
      <c r="L95" s="482">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71" t="s">
        <v>217</v>
      </c>
      <c r="D96" s="472">
        <v>0.14000000000000001</v>
      </c>
      <c r="E96" s="472">
        <v>0.1</v>
      </c>
      <c r="F96" s="473">
        <v>0.08</v>
      </c>
      <c r="G96" s="35"/>
      <c r="H96" s="35"/>
      <c r="I96" s="35"/>
      <c r="J96" s="483" t="s">
        <v>339</v>
      </c>
      <c r="K96" s="484">
        <v>0.05</v>
      </c>
      <c r="L96" s="485">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71" t="s">
        <v>218</v>
      </c>
      <c r="D97" s="472">
        <v>0.11</v>
      </c>
      <c r="E97" s="472">
        <v>0.1</v>
      </c>
      <c r="F97" s="473">
        <v>0.08</v>
      </c>
      <c r="G97" s="35"/>
      <c r="H97" s="35"/>
      <c r="I97" s="35"/>
      <c r="J97" s="486" t="s">
        <v>338</v>
      </c>
      <c r="K97" s="487">
        <v>1</v>
      </c>
      <c r="L97" s="487">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71" t="s">
        <v>219</v>
      </c>
      <c r="D98" s="472">
        <v>0.11</v>
      </c>
      <c r="E98" s="472">
        <v>0.1</v>
      </c>
      <c r="F98" s="473">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71" t="s">
        <v>220</v>
      </c>
      <c r="D99" s="472">
        <v>0.37</v>
      </c>
      <c r="E99" s="472">
        <v>0.35</v>
      </c>
      <c r="F99" s="473">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71" t="s">
        <v>224</v>
      </c>
      <c r="D100" s="472">
        <v>0.11</v>
      </c>
      <c r="E100" s="472">
        <v>0.08</v>
      </c>
      <c r="F100" s="473">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71" t="s">
        <v>221</v>
      </c>
      <c r="D101" s="472">
        <v>0.09</v>
      </c>
      <c r="E101" s="472">
        <v>7.0000000000000007E-2</v>
      </c>
      <c r="F101" s="473">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71" t="s">
        <v>222</v>
      </c>
      <c r="D102" s="472">
        <v>0.11</v>
      </c>
      <c r="E102" s="472">
        <v>0.08</v>
      </c>
      <c r="F102" s="473">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71" t="s">
        <v>223</v>
      </c>
      <c r="D103" s="472">
        <v>0.11</v>
      </c>
      <c r="E103" s="472">
        <v>0.09</v>
      </c>
      <c r="F103" s="473">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71" t="s">
        <v>225</v>
      </c>
      <c r="D104" s="472">
        <v>0.11</v>
      </c>
      <c r="E104" s="472">
        <v>0.09</v>
      </c>
      <c r="F104" s="473">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71" t="s">
        <v>226</v>
      </c>
      <c r="D105" s="472">
        <v>0.09</v>
      </c>
      <c r="E105" s="472">
        <v>0.09</v>
      </c>
      <c r="F105" s="473">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71" t="s">
        <v>227</v>
      </c>
      <c r="D106" s="472">
        <v>0.08</v>
      </c>
      <c r="E106" s="472">
        <v>0.08</v>
      </c>
      <c r="F106" s="473">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71" t="s">
        <v>230</v>
      </c>
      <c r="D107" s="472">
        <v>0.15</v>
      </c>
      <c r="E107" s="472">
        <v>0.14000000000000001</v>
      </c>
      <c r="F107" s="473">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71" t="s">
        <v>229</v>
      </c>
      <c r="D108" s="472">
        <v>0.13</v>
      </c>
      <c r="E108" s="472">
        <v>0.1</v>
      </c>
      <c r="F108" s="473">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71" t="s">
        <v>228</v>
      </c>
      <c r="D109" s="472">
        <v>0.15</v>
      </c>
      <c r="E109" s="472">
        <v>0.12</v>
      </c>
      <c r="F109" s="473">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71" t="s">
        <v>231</v>
      </c>
      <c r="D110" s="472">
        <v>0.14000000000000001</v>
      </c>
      <c r="E110" s="472">
        <v>0.11</v>
      </c>
      <c r="F110" s="473">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71" t="s">
        <v>232</v>
      </c>
      <c r="D111" s="472">
        <v>0.11</v>
      </c>
      <c r="E111" s="472">
        <v>0.09</v>
      </c>
      <c r="F111" s="473">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71" t="s">
        <v>234</v>
      </c>
      <c r="D112" s="472">
        <v>0.1</v>
      </c>
      <c r="E112" s="472">
        <v>0.08</v>
      </c>
      <c r="F112" s="473">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71" t="s">
        <v>233</v>
      </c>
      <c r="D113" s="472">
        <v>0.1</v>
      </c>
      <c r="E113" s="472">
        <v>0.09</v>
      </c>
      <c r="F113" s="473">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71" t="s">
        <v>235</v>
      </c>
      <c r="D114" s="472">
        <v>0.1</v>
      </c>
      <c r="E114" s="472">
        <v>0.09</v>
      </c>
      <c r="F114" s="473">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71" t="s">
        <v>242</v>
      </c>
      <c r="D115" s="472">
        <v>0.11</v>
      </c>
      <c r="E115" s="472">
        <v>0.09</v>
      </c>
      <c r="F115" s="473">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71" t="s">
        <v>243</v>
      </c>
      <c r="D116" s="472">
        <v>0.09</v>
      </c>
      <c r="E116" s="472">
        <v>0.08</v>
      </c>
      <c r="F116" s="473">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71" t="s">
        <v>236</v>
      </c>
      <c r="D117" s="472">
        <v>0.1</v>
      </c>
      <c r="E117" s="472">
        <v>0.08</v>
      </c>
      <c r="F117" s="473">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71" t="s">
        <v>238</v>
      </c>
      <c r="D118" s="472">
        <v>0.16</v>
      </c>
      <c r="E118" s="472">
        <v>0.13</v>
      </c>
      <c r="F118" s="473">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71" t="s">
        <v>239</v>
      </c>
      <c r="D119" s="472">
        <v>0.16</v>
      </c>
      <c r="E119" s="472">
        <v>0.13</v>
      </c>
      <c r="F119" s="473">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71" t="s">
        <v>240</v>
      </c>
      <c r="D120" s="472">
        <v>0.11</v>
      </c>
      <c r="E120" s="472">
        <v>0.09</v>
      </c>
      <c r="F120" s="473">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71" t="s">
        <v>237</v>
      </c>
      <c r="D121" s="472">
        <v>0.12</v>
      </c>
      <c r="E121" s="472">
        <v>0.09</v>
      </c>
      <c r="F121" s="473">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71" t="s">
        <v>241</v>
      </c>
      <c r="D122" s="472">
        <v>0.18</v>
      </c>
      <c r="E122" s="472">
        <v>0.15</v>
      </c>
      <c r="F122" s="473">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71" t="s">
        <v>244</v>
      </c>
      <c r="D123" s="472">
        <v>0.12</v>
      </c>
      <c r="E123" s="472">
        <v>0.09</v>
      </c>
      <c r="F123" s="473">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71" t="s">
        <v>245</v>
      </c>
      <c r="D124" s="472">
        <v>0.1</v>
      </c>
      <c r="E124" s="472">
        <v>7.0000000000000007E-2</v>
      </c>
      <c r="F124" s="473">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71" t="s">
        <v>246</v>
      </c>
      <c r="D125" s="472">
        <v>0.1</v>
      </c>
      <c r="E125" s="472">
        <v>0.08</v>
      </c>
      <c r="F125" s="473">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71" t="s">
        <v>247</v>
      </c>
      <c r="D126" s="472">
        <v>0.13</v>
      </c>
      <c r="E126" s="472">
        <v>0.09</v>
      </c>
      <c r="F126" s="473">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71" t="s">
        <v>248</v>
      </c>
      <c r="D127" s="472">
        <v>0.14000000000000001</v>
      </c>
      <c r="E127" s="472">
        <v>0.12</v>
      </c>
      <c r="F127" s="473">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71" t="s">
        <v>249</v>
      </c>
      <c r="D128" s="472">
        <v>0.12</v>
      </c>
      <c r="E128" s="472">
        <v>0.1</v>
      </c>
      <c r="F128" s="473">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71" t="s">
        <v>250</v>
      </c>
      <c r="D129" s="472">
        <v>0.1</v>
      </c>
      <c r="E129" s="472">
        <v>0.08</v>
      </c>
      <c r="F129" s="473">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71" t="s">
        <v>251</v>
      </c>
      <c r="D130" s="472">
        <v>0.1</v>
      </c>
      <c r="E130" s="472">
        <v>0.1</v>
      </c>
      <c r="F130" s="473">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71" t="s">
        <v>252</v>
      </c>
      <c r="D131" s="472">
        <v>0.11</v>
      </c>
      <c r="E131" s="472">
        <v>0.08</v>
      </c>
      <c r="F131" s="473">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71" t="s">
        <v>253</v>
      </c>
      <c r="D132" s="472">
        <v>0.1</v>
      </c>
      <c r="E132" s="472">
        <v>0.08</v>
      </c>
      <c r="F132" s="473">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71" t="s">
        <v>255</v>
      </c>
      <c r="D133" s="472">
        <v>0.11</v>
      </c>
      <c r="E133" s="472">
        <v>0.08</v>
      </c>
      <c r="F133" s="473">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71" t="s">
        <v>254</v>
      </c>
      <c r="D134" s="472">
        <v>0.17</v>
      </c>
      <c r="E134" s="472">
        <v>0.14000000000000001</v>
      </c>
      <c r="F134" s="473">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71" t="s">
        <v>256</v>
      </c>
      <c r="D135" s="472">
        <v>0.09</v>
      </c>
      <c r="E135" s="472">
        <v>0.08</v>
      </c>
      <c r="F135" s="473">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71" t="s">
        <v>258</v>
      </c>
      <c r="D136" s="472">
        <v>0.13</v>
      </c>
      <c r="E136" s="472">
        <v>0.11</v>
      </c>
      <c r="F136" s="473">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71" t="s">
        <v>257</v>
      </c>
      <c r="D137" s="472">
        <v>0.1</v>
      </c>
      <c r="E137" s="472">
        <v>0.08</v>
      </c>
      <c r="F137" s="473">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74" t="s">
        <v>259</v>
      </c>
      <c r="D138" s="475">
        <v>0.1</v>
      </c>
      <c r="E138" s="475">
        <v>0.08</v>
      </c>
      <c r="F138" s="476">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A7" zoomScale="70" zoomScaleNormal="70" zoomScalePageLayoutView="70" workbookViewId="0">
      <selection activeCell="O31" sqref="O3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1"/>
      <c r="B2" s="33"/>
      <c r="C2" s="33"/>
      <c r="D2" s="383" t="s">
        <v>122</v>
      </c>
      <c r="E2" s="131"/>
      <c r="F2" s="131"/>
      <c r="G2" s="131"/>
      <c r="H2" s="131"/>
      <c r="I2" s="33"/>
      <c r="J2" s="33"/>
      <c r="K2" s="30"/>
      <c r="L2" s="33"/>
      <c r="M2" s="383" t="s">
        <v>170</v>
      </c>
      <c r="N2" s="131"/>
      <c r="O2" s="131"/>
      <c r="P2" s="131"/>
      <c r="Q2" s="131"/>
      <c r="R2" s="33"/>
      <c r="S2" s="33"/>
      <c r="T2" s="33"/>
      <c r="U2" s="33"/>
      <c r="V2" s="131"/>
      <c r="W2" s="131"/>
      <c r="X2" s="131"/>
      <c r="Y2" s="131"/>
      <c r="Z2" s="131"/>
      <c r="AA2" s="389"/>
      <c r="AB2" s="389"/>
      <c r="AC2" s="389"/>
      <c r="AD2" s="389"/>
      <c r="AE2" s="389"/>
      <c r="AF2" s="158"/>
      <c r="AG2" s="158"/>
      <c r="AH2" s="386"/>
      <c r="AI2" s="131"/>
      <c r="AJ2" s="131"/>
      <c r="AK2" s="131"/>
      <c r="AL2" s="131"/>
      <c r="AM2" s="131"/>
      <c r="AN2" s="131"/>
      <c r="AO2" s="131"/>
      <c r="AP2" s="131"/>
      <c r="AQ2" s="131"/>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1"/>
      <c r="B3" s="33"/>
      <c r="C3" s="33"/>
      <c r="D3" s="33"/>
      <c r="E3" s="131"/>
      <c r="F3" s="33"/>
      <c r="G3" s="131"/>
      <c r="H3" s="131"/>
      <c r="I3" s="30"/>
      <c r="J3" s="33"/>
      <c r="K3" s="131"/>
      <c r="L3" s="33"/>
      <c r="M3" s="128" t="s">
        <v>171</v>
      </c>
      <c r="N3" s="128"/>
      <c r="O3" s="128"/>
      <c r="P3" s="252" t="b">
        <v>0</v>
      </c>
      <c r="Q3" s="391" t="s">
        <v>286</v>
      </c>
      <c r="R3" s="33"/>
      <c r="S3" s="33"/>
      <c r="T3" s="33"/>
      <c r="U3" s="33"/>
      <c r="V3" s="131"/>
      <c r="W3" s="131"/>
      <c r="X3" s="131"/>
      <c r="Y3" s="131"/>
      <c r="Z3" s="131"/>
      <c r="AA3" s="389"/>
      <c r="AB3" s="389"/>
      <c r="AC3" s="389"/>
      <c r="AD3" s="389"/>
      <c r="AE3" s="389"/>
      <c r="AF3" s="158"/>
      <c r="AG3" s="158"/>
      <c r="AH3" s="158"/>
      <c r="AI3" s="131"/>
      <c r="AJ3" s="131"/>
      <c r="AK3" s="131"/>
      <c r="AL3" s="131"/>
      <c r="AM3" s="131"/>
      <c r="AN3" s="131"/>
      <c r="AO3" s="131"/>
      <c r="AP3" s="131"/>
      <c r="AQ3" s="131"/>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1"/>
      <c r="B4" s="33"/>
      <c r="C4" s="189" t="s">
        <v>296</v>
      </c>
      <c r="D4" s="33"/>
      <c r="E4" s="131"/>
      <c r="F4" s="33"/>
      <c r="G4" s="131"/>
      <c r="H4" s="131"/>
      <c r="I4" s="30"/>
      <c r="J4" s="33"/>
      <c r="K4" s="131"/>
      <c r="L4" s="33"/>
      <c r="M4" s="244" t="s">
        <v>282</v>
      </c>
      <c r="N4" s="128"/>
      <c r="O4" s="128"/>
      <c r="P4" s="245">
        <v>2014</v>
      </c>
      <c r="Q4" s="382" t="s">
        <v>172</v>
      </c>
      <c r="R4" s="33"/>
      <c r="S4" s="33"/>
      <c r="T4" s="33"/>
      <c r="U4" s="33"/>
      <c r="V4" s="131"/>
      <c r="W4" s="131"/>
      <c r="X4" s="131"/>
      <c r="Y4" s="131"/>
      <c r="Z4" s="131"/>
      <c r="AA4" s="389"/>
      <c r="AB4" s="389"/>
      <c r="AC4" s="389"/>
      <c r="AD4" s="389"/>
      <c r="AE4" s="389"/>
      <c r="AF4" s="131"/>
      <c r="AG4" s="131"/>
      <c r="AH4" s="131"/>
      <c r="AI4" s="131"/>
      <c r="AJ4" s="131"/>
      <c r="AK4" s="131"/>
      <c r="AL4" s="131"/>
      <c r="AM4" s="131"/>
      <c r="AN4" s="131"/>
      <c r="AO4" s="131"/>
      <c r="AP4" s="131"/>
      <c r="AQ4" s="131"/>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1"/>
      <c r="B5" s="33"/>
      <c r="C5" s="189" t="s">
        <v>297</v>
      </c>
      <c r="D5" s="33"/>
      <c r="E5" s="131"/>
      <c r="F5" s="33"/>
      <c r="G5" s="131"/>
      <c r="H5" s="131"/>
      <c r="I5" s="30"/>
      <c r="J5" s="33"/>
      <c r="K5" s="131"/>
      <c r="L5" s="33"/>
      <c r="M5" s="128" t="s">
        <v>281</v>
      </c>
      <c r="N5" s="128"/>
      <c r="O5" s="385"/>
      <c r="P5" s="252" t="b">
        <v>0</v>
      </c>
      <c r="Q5" s="390" t="s">
        <v>285</v>
      </c>
      <c r="R5" s="134"/>
      <c r="S5" s="33"/>
      <c r="T5" s="33"/>
      <c r="U5" s="33"/>
      <c r="V5" s="131"/>
      <c r="W5" s="131"/>
      <c r="X5" s="131"/>
      <c r="Y5" s="131"/>
      <c r="Z5" s="131"/>
      <c r="AA5" s="389"/>
      <c r="AB5" s="389"/>
      <c r="AC5" s="389"/>
      <c r="AD5" s="389"/>
      <c r="AE5" s="389"/>
      <c r="AF5" s="131"/>
      <c r="AG5" s="131"/>
      <c r="AH5" s="131"/>
      <c r="AI5" s="131"/>
      <c r="AJ5" s="131"/>
      <c r="AK5" s="131"/>
      <c r="AL5" s="131"/>
      <c r="AM5" s="131"/>
      <c r="AN5" s="131"/>
      <c r="AO5" s="131"/>
      <c r="AP5" s="131"/>
      <c r="AQ5" s="131"/>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1"/>
      <c r="B6" s="33"/>
      <c r="C6" s="189" t="s">
        <v>298</v>
      </c>
      <c r="D6" s="33"/>
      <c r="E6" s="131"/>
      <c r="F6" s="33"/>
      <c r="G6" s="131"/>
      <c r="H6" s="131"/>
      <c r="I6" s="131"/>
      <c r="J6" s="131"/>
      <c r="K6" s="33"/>
      <c r="L6" s="33"/>
      <c r="M6" s="244" t="s">
        <v>283</v>
      </c>
      <c r="N6" s="134"/>
      <c r="O6" s="134"/>
      <c r="P6" s="388" t="s">
        <v>273</v>
      </c>
      <c r="Q6" s="387" t="s">
        <v>284</v>
      </c>
      <c r="R6" s="134"/>
      <c r="S6" s="131"/>
      <c r="T6" s="131"/>
      <c r="U6" s="131"/>
      <c r="V6" s="131"/>
      <c r="W6" s="131"/>
      <c r="X6" s="131"/>
      <c r="Y6" s="131"/>
      <c r="Z6" s="131"/>
      <c r="AA6" s="389"/>
      <c r="AB6" s="389"/>
      <c r="AC6" s="389"/>
      <c r="AD6" s="389"/>
      <c r="AE6" s="389"/>
      <c r="AF6" s="131"/>
      <c r="AG6" s="131"/>
      <c r="AH6" s="131"/>
      <c r="AI6" s="131"/>
      <c r="AJ6" s="131"/>
      <c r="AK6" s="131"/>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1"/>
      <c r="B7" s="175"/>
      <c r="C7" s="132"/>
      <c r="D7" s="133"/>
      <c r="E7" s="190" t="s">
        <v>129</v>
      </c>
      <c r="F7" s="191" t="s">
        <v>280</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131"/>
      <c r="AG7" s="131"/>
      <c r="AH7" s="131"/>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131"/>
      <c r="AG8" s="131"/>
      <c r="AH8" s="131"/>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131"/>
      <c r="AG9" s="131"/>
      <c r="AH9" s="131"/>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131"/>
      <c r="AG10" s="131"/>
      <c r="AH10" s="131"/>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131"/>
      <c r="AG11" s="131"/>
      <c r="AH11" s="131"/>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131"/>
      <c r="AJ12" s="131"/>
      <c r="AK12" s="131"/>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57" customFormat="1" ht="23.5" customHeight="1" thickBot="1">
      <c r="A13" s="155"/>
      <c r="B13" s="31" t="s">
        <v>279</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row>
    <row r="14" spans="1:88" s="1" customFormat="1" ht="32.25" customHeight="1" thickBot="1">
      <c r="A14" s="131"/>
      <c r="B14" s="367"/>
      <c r="C14" s="368" t="s">
        <v>123</v>
      </c>
      <c r="D14" s="369"/>
      <c r="E14" s="369"/>
      <c r="F14" s="369"/>
      <c r="G14" s="369"/>
      <c r="H14" s="369"/>
      <c r="I14" s="369"/>
      <c r="J14" s="369"/>
      <c r="K14" s="369"/>
      <c r="L14" s="368" t="s">
        <v>128</v>
      </c>
      <c r="M14" s="369"/>
      <c r="N14" s="369"/>
      <c r="O14" s="369"/>
      <c r="P14" s="369"/>
      <c r="Q14" s="369"/>
      <c r="R14" s="369"/>
      <c r="S14" s="369"/>
      <c r="T14" s="369"/>
      <c r="U14" s="368" t="s">
        <v>124</v>
      </c>
      <c r="V14" s="369"/>
      <c r="W14" s="369"/>
      <c r="X14" s="369"/>
      <c r="Y14" s="369"/>
      <c r="Z14" s="369"/>
      <c r="AA14" s="369"/>
      <c r="AB14" s="369"/>
      <c r="AC14" s="369"/>
      <c r="AD14" s="368" t="s">
        <v>262</v>
      </c>
      <c r="AE14" s="369"/>
      <c r="AF14" s="370"/>
      <c r="AG14" s="155"/>
      <c r="AH14" s="131"/>
      <c r="AI14" s="131"/>
      <c r="AJ14" s="131"/>
      <c r="AK14" s="131"/>
      <c r="AL14" s="131"/>
      <c r="AM14" s="131"/>
      <c r="AN14" s="131"/>
      <c r="AO14" s="131"/>
      <c r="AP14" s="131"/>
      <c r="AQ14" s="131"/>
      <c r="AR14" s="131"/>
      <c r="AS14" s="131"/>
      <c r="AT14" s="131"/>
      <c r="AU14" s="131"/>
      <c r="AV14" s="131"/>
      <c r="AW14" s="131"/>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1"/>
      <c r="B15" s="371"/>
      <c r="C15" s="551" t="s">
        <v>125</v>
      </c>
      <c r="D15" s="550"/>
      <c r="E15" s="550"/>
      <c r="F15" s="550" t="s">
        <v>126</v>
      </c>
      <c r="G15" s="550"/>
      <c r="H15" s="550"/>
      <c r="I15" s="550" t="s">
        <v>127</v>
      </c>
      <c r="J15" s="552"/>
      <c r="K15" s="552"/>
      <c r="L15" s="551" t="s">
        <v>125</v>
      </c>
      <c r="M15" s="550"/>
      <c r="N15" s="550"/>
      <c r="O15" s="550" t="s">
        <v>126</v>
      </c>
      <c r="P15" s="550"/>
      <c r="Q15" s="550"/>
      <c r="R15" s="550" t="s">
        <v>127</v>
      </c>
      <c r="S15" s="552"/>
      <c r="T15" s="552"/>
      <c r="U15" s="551" t="s">
        <v>125</v>
      </c>
      <c r="V15" s="550"/>
      <c r="W15" s="550"/>
      <c r="X15" s="550" t="s">
        <v>126</v>
      </c>
      <c r="Y15" s="550"/>
      <c r="Z15" s="550"/>
      <c r="AA15" s="550" t="s">
        <v>127</v>
      </c>
      <c r="AB15" s="550"/>
      <c r="AC15" s="550"/>
      <c r="AD15" s="362" t="s">
        <v>125</v>
      </c>
      <c r="AE15" s="363" t="s">
        <v>126</v>
      </c>
      <c r="AF15" s="372" t="s">
        <v>127</v>
      </c>
      <c r="AG15" s="131"/>
      <c r="AH15" s="139"/>
      <c r="AI15" s="139"/>
      <c r="AJ15" s="139"/>
      <c r="AK15" s="139"/>
      <c r="AL15" s="139"/>
      <c r="AM15" s="139"/>
      <c r="AN15" s="139"/>
      <c r="AO15" s="139"/>
      <c r="AP15" s="139"/>
      <c r="AQ15" s="139"/>
      <c r="AR15" s="134"/>
      <c r="AS15" s="131"/>
      <c r="AT15" s="131"/>
      <c r="AU15" s="131"/>
      <c r="AV15" s="131"/>
      <c r="AW15" s="131"/>
      <c r="AX15" s="131"/>
      <c r="AY15" s="131"/>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1"/>
      <c r="B16" s="373" t="s">
        <v>115</v>
      </c>
      <c r="C16" s="317" t="s">
        <v>116</v>
      </c>
      <c r="D16" s="318" t="s">
        <v>117</v>
      </c>
      <c r="E16" s="318" t="s">
        <v>118</v>
      </c>
      <c r="F16" s="319" t="s">
        <v>116</v>
      </c>
      <c r="G16" s="318" t="s">
        <v>117</v>
      </c>
      <c r="H16" s="318" t="s">
        <v>118</v>
      </c>
      <c r="I16" s="319" t="s">
        <v>116</v>
      </c>
      <c r="J16" s="318" t="s">
        <v>117</v>
      </c>
      <c r="K16" s="318" t="s">
        <v>118</v>
      </c>
      <c r="L16" s="320" t="s">
        <v>119</v>
      </c>
      <c r="M16" s="318" t="s">
        <v>120</v>
      </c>
      <c r="N16" s="321" t="s">
        <v>118</v>
      </c>
      <c r="O16" s="322" t="s">
        <v>119</v>
      </c>
      <c r="P16" s="318" t="s">
        <v>120</v>
      </c>
      <c r="Q16" s="318" t="s">
        <v>118</v>
      </c>
      <c r="R16" s="319" t="s">
        <v>119</v>
      </c>
      <c r="S16" s="318" t="s">
        <v>120</v>
      </c>
      <c r="T16" s="321" t="s">
        <v>118</v>
      </c>
      <c r="U16" s="320" t="s">
        <v>121</v>
      </c>
      <c r="V16" s="318" t="s">
        <v>117</v>
      </c>
      <c r="W16" s="321" t="s">
        <v>118</v>
      </c>
      <c r="X16" s="322" t="s">
        <v>121</v>
      </c>
      <c r="Y16" s="318" t="s">
        <v>117</v>
      </c>
      <c r="Z16" s="318" t="s">
        <v>118</v>
      </c>
      <c r="AA16" s="319" t="s">
        <v>121</v>
      </c>
      <c r="AB16" s="318" t="s">
        <v>117</v>
      </c>
      <c r="AC16" s="318" t="s">
        <v>118</v>
      </c>
      <c r="AD16" s="364" t="s">
        <v>263</v>
      </c>
      <c r="AE16" s="365" t="s">
        <v>263</v>
      </c>
      <c r="AF16" s="374" t="s">
        <v>263</v>
      </c>
      <c r="AG16" s="160" t="s">
        <v>115</v>
      </c>
      <c r="AH16" s="139"/>
      <c r="AI16" s="139"/>
      <c r="AJ16" s="139"/>
      <c r="AK16" s="139"/>
      <c r="AL16" s="139"/>
      <c r="AM16" s="139"/>
      <c r="AN16" s="139"/>
      <c r="AO16" s="139"/>
      <c r="AP16" s="139"/>
      <c r="AQ16" s="139"/>
      <c r="AR16" s="134"/>
      <c r="AS16" s="131"/>
      <c r="AT16" s="131"/>
      <c r="AU16" s="131"/>
      <c r="AV16" s="131"/>
      <c r="AW16" s="131"/>
      <c r="AX16" s="131"/>
      <c r="AY16" s="131"/>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1"/>
      <c r="B17" s="375"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136"/>
      <c r="AD17" s="136"/>
      <c r="AE17" s="136"/>
      <c r="AF17" s="376"/>
      <c r="AG17" s="161" t="s">
        <v>5</v>
      </c>
      <c r="AH17" s="139"/>
      <c r="AI17" s="139"/>
      <c r="AJ17" s="139"/>
      <c r="AK17" s="139"/>
      <c r="AL17" s="139"/>
      <c r="AM17" s="139"/>
      <c r="AN17" s="139"/>
      <c r="AO17" s="139"/>
      <c r="AP17" s="139"/>
      <c r="AQ17" s="139"/>
      <c r="AR17" s="134"/>
      <c r="AS17" s="131"/>
      <c r="AT17" s="131"/>
      <c r="AU17" s="131"/>
      <c r="AV17" s="131"/>
      <c r="AW17" s="131"/>
      <c r="AX17" s="131"/>
      <c r="AY17" s="131"/>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1"/>
      <c r="B18" s="375"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136"/>
      <c r="AD18" s="136"/>
      <c r="AE18" s="136"/>
      <c r="AF18" s="376"/>
      <c r="AG18" s="161" t="s">
        <v>158</v>
      </c>
      <c r="AH18" s="139"/>
      <c r="AI18" s="139"/>
      <c r="AJ18" s="139"/>
      <c r="AK18" s="139"/>
      <c r="AL18" s="139"/>
      <c r="AM18" s="139"/>
      <c r="AN18" s="139"/>
      <c r="AO18" s="139"/>
      <c r="AP18" s="139"/>
      <c r="AQ18" s="139"/>
      <c r="AR18" s="134"/>
      <c r="AS18" s="131"/>
      <c r="AT18" s="131"/>
      <c r="AU18" s="131"/>
      <c r="AV18" s="131"/>
      <c r="AW18" s="131"/>
      <c r="AX18" s="131"/>
      <c r="AY18" s="131"/>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1"/>
      <c r="B19" s="375"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136"/>
      <c r="AD19" s="136"/>
      <c r="AE19" s="136"/>
      <c r="AF19" s="376"/>
      <c r="AG19" s="161" t="s">
        <v>6</v>
      </c>
      <c r="AH19" s="139"/>
      <c r="AI19" s="139"/>
      <c r="AJ19" s="139"/>
      <c r="AK19" s="139"/>
      <c r="AL19" s="139"/>
      <c r="AM19" s="139"/>
      <c r="AN19" s="139"/>
      <c r="AO19" s="139"/>
      <c r="AP19" s="139"/>
      <c r="AQ19" s="139"/>
      <c r="AR19" s="134"/>
      <c r="AS19" s="131"/>
      <c r="AT19" s="131"/>
      <c r="AU19" s="131"/>
      <c r="AV19" s="131"/>
      <c r="AW19" s="131"/>
      <c r="AX19" s="131"/>
      <c r="AY19" s="131"/>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1"/>
      <c r="B20" s="375"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136"/>
      <c r="AD20" s="136"/>
      <c r="AE20" s="136"/>
      <c r="AF20" s="376"/>
      <c r="AG20" s="161" t="s">
        <v>7</v>
      </c>
      <c r="AH20" s="139"/>
      <c r="AI20" s="139"/>
      <c r="AJ20" s="139"/>
      <c r="AK20" s="139"/>
      <c r="AL20" s="139"/>
      <c r="AM20" s="139"/>
      <c r="AN20" s="139"/>
      <c r="AO20" s="139"/>
      <c r="AP20" s="139"/>
      <c r="AQ20" s="139"/>
      <c r="AR20" s="134"/>
      <c r="AS20" s="131"/>
      <c r="AT20" s="131"/>
      <c r="AU20" s="131"/>
      <c r="AV20" s="131"/>
      <c r="AW20" s="131"/>
      <c r="AX20" s="131"/>
      <c r="AY20" s="131"/>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1"/>
      <c r="B21" s="375"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136"/>
      <c r="AD21" s="136"/>
      <c r="AE21" s="136"/>
      <c r="AF21" s="376"/>
      <c r="AG21" s="161" t="s">
        <v>8</v>
      </c>
      <c r="AH21" s="139"/>
      <c r="AI21" s="139"/>
      <c r="AJ21" s="139"/>
      <c r="AK21" s="139"/>
      <c r="AL21" s="139"/>
      <c r="AM21" s="139"/>
      <c r="AN21" s="139"/>
      <c r="AO21" s="139"/>
      <c r="AP21" s="139"/>
      <c r="AQ21" s="139"/>
      <c r="AR21" s="134"/>
      <c r="AS21" s="131"/>
      <c r="AT21" s="131"/>
      <c r="AU21" s="131"/>
      <c r="AV21" s="131"/>
      <c r="AW21" s="131"/>
      <c r="AX21" s="131"/>
      <c r="AY21" s="131"/>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1"/>
      <c r="B22" s="375"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136"/>
      <c r="AD22" s="136"/>
      <c r="AE22" s="136"/>
      <c r="AF22" s="376"/>
      <c r="AG22" s="161" t="s">
        <v>0</v>
      </c>
      <c r="AH22" s="139"/>
      <c r="AI22" s="139"/>
      <c r="AJ22" s="139"/>
      <c r="AK22" s="139"/>
      <c r="AL22" s="139"/>
      <c r="AM22" s="139"/>
      <c r="AN22" s="139"/>
      <c r="AO22" s="139"/>
      <c r="AP22" s="139"/>
      <c r="AQ22" s="139"/>
      <c r="AR22" s="134"/>
      <c r="AS22" s="131"/>
      <c r="AT22" s="131"/>
      <c r="AU22" s="131"/>
      <c r="AV22" s="131"/>
      <c r="AW22" s="131"/>
      <c r="AX22" s="131"/>
      <c r="AY22" s="131"/>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1"/>
      <c r="B23" s="375"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136"/>
      <c r="AD23" s="136"/>
      <c r="AE23" s="136"/>
      <c r="AF23" s="376"/>
      <c r="AG23" s="161" t="s">
        <v>9</v>
      </c>
      <c r="AH23" s="139"/>
      <c r="AI23" s="139"/>
      <c r="AJ23" s="139"/>
      <c r="AK23" s="139"/>
      <c r="AL23" s="139"/>
      <c r="AM23" s="139"/>
      <c r="AN23" s="139"/>
      <c r="AO23" s="139"/>
      <c r="AP23" s="139"/>
      <c r="AQ23" s="139"/>
      <c r="AR23" s="134"/>
      <c r="AS23" s="131"/>
      <c r="AT23" s="131"/>
      <c r="AU23" s="131"/>
      <c r="AV23" s="131"/>
      <c r="AW23" s="131"/>
      <c r="AX23" s="131"/>
      <c r="AY23" s="131"/>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1"/>
      <c r="B24" s="375"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136"/>
      <c r="AD24" s="136"/>
      <c r="AE24" s="136"/>
      <c r="AF24" s="376"/>
      <c r="AG24" s="161" t="s">
        <v>10</v>
      </c>
      <c r="AH24" s="139"/>
      <c r="AI24" s="139"/>
      <c r="AJ24" s="139"/>
      <c r="AK24" s="139"/>
      <c r="AL24" s="139"/>
      <c r="AM24" s="139"/>
      <c r="AN24" s="139"/>
      <c r="AO24" s="139"/>
      <c r="AP24" s="139"/>
      <c r="AQ24" s="139"/>
      <c r="AR24" s="134"/>
      <c r="AS24" s="131"/>
      <c r="AT24" s="131"/>
      <c r="AU24" s="131"/>
      <c r="AV24" s="131"/>
      <c r="AW24" s="131"/>
      <c r="AX24" s="131"/>
      <c r="AY24" s="131"/>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1"/>
      <c r="B25" s="375"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136"/>
      <c r="AD25" s="136"/>
      <c r="AE25" s="136"/>
      <c r="AF25" s="376"/>
      <c r="AG25" s="161" t="s">
        <v>11</v>
      </c>
      <c r="AH25" s="139"/>
      <c r="AI25" s="139"/>
      <c r="AJ25" s="139"/>
      <c r="AK25" s="139"/>
      <c r="AL25" s="139"/>
      <c r="AM25" s="139"/>
      <c r="AN25" s="139"/>
      <c r="AO25" s="139"/>
      <c r="AP25" s="139"/>
      <c r="AQ25" s="139"/>
      <c r="AR25" s="134"/>
      <c r="AS25" s="131"/>
      <c r="AT25" s="131"/>
      <c r="AU25" s="131"/>
      <c r="AV25" s="131"/>
      <c r="AW25" s="131"/>
      <c r="AX25" s="131"/>
      <c r="AY25" s="131"/>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1"/>
      <c r="B26" s="375"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136"/>
      <c r="AD26" s="136"/>
      <c r="AE26" s="136"/>
      <c r="AF26" s="376"/>
      <c r="AG26" s="161" t="s">
        <v>12</v>
      </c>
      <c r="AH26" s="139"/>
      <c r="AI26" s="139"/>
      <c r="AJ26" s="139"/>
      <c r="AK26" s="139"/>
      <c r="AL26" s="139"/>
      <c r="AM26" s="139"/>
      <c r="AN26" s="139"/>
      <c r="AO26" s="139"/>
      <c r="AP26" s="139"/>
      <c r="AQ26" s="139"/>
      <c r="AR26" s="134"/>
      <c r="AS26" s="131"/>
      <c r="AT26" s="131"/>
      <c r="AU26" s="131"/>
      <c r="AV26" s="131"/>
      <c r="AW26" s="131"/>
      <c r="AX26" s="131"/>
      <c r="AY26" s="131"/>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1"/>
      <c r="B27" s="375"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136"/>
      <c r="AD27" s="136"/>
      <c r="AE27" s="136"/>
      <c r="AF27" s="376"/>
      <c r="AG27" s="161" t="s">
        <v>13</v>
      </c>
      <c r="AH27" s="139"/>
      <c r="AI27" s="139"/>
      <c r="AJ27" s="139"/>
      <c r="AK27" s="139"/>
      <c r="AL27" s="139"/>
      <c r="AM27" s="139"/>
      <c r="AN27" s="139"/>
      <c r="AO27" s="139"/>
      <c r="AP27" s="139"/>
      <c r="AQ27" s="139"/>
      <c r="AR27" s="134"/>
      <c r="AS27" s="131"/>
      <c r="AT27" s="131"/>
      <c r="AU27" s="131"/>
      <c r="AV27" s="131"/>
      <c r="AW27" s="131"/>
      <c r="AX27" s="131"/>
      <c r="AY27" s="131"/>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1"/>
      <c r="B28" s="375"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136"/>
      <c r="AD28" s="136"/>
      <c r="AE28" s="136"/>
      <c r="AF28" s="376"/>
      <c r="AG28" s="161" t="s">
        <v>159</v>
      </c>
      <c r="AH28" s="139"/>
      <c r="AI28" s="139"/>
      <c r="AJ28" s="139"/>
      <c r="AK28" s="139"/>
      <c r="AL28" s="139"/>
      <c r="AM28" s="139"/>
      <c r="AN28" s="139"/>
      <c r="AO28" s="139"/>
      <c r="AP28" s="139"/>
      <c r="AQ28" s="139"/>
      <c r="AR28" s="134"/>
      <c r="AS28" s="131"/>
      <c r="AT28" s="131"/>
      <c r="AU28" s="131"/>
      <c r="AV28" s="131"/>
      <c r="AW28" s="131"/>
      <c r="AX28" s="131"/>
      <c r="AY28" s="131"/>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1"/>
      <c r="B29" s="375"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136"/>
      <c r="AD29" s="136"/>
      <c r="AE29" s="136"/>
      <c r="AF29" s="376"/>
      <c r="AG29" s="161" t="s">
        <v>14</v>
      </c>
      <c r="AH29" s="139"/>
      <c r="AI29" s="139"/>
      <c r="AJ29" s="139"/>
      <c r="AK29" s="139"/>
      <c r="AL29" s="139"/>
      <c r="AM29" s="139"/>
      <c r="AN29" s="139"/>
      <c r="AO29" s="139"/>
      <c r="AP29" s="139"/>
      <c r="AQ29" s="139"/>
      <c r="AR29" s="134"/>
      <c r="AS29" s="131"/>
      <c r="AT29" s="131"/>
      <c r="AU29" s="131"/>
      <c r="AV29" s="131"/>
      <c r="AW29" s="131"/>
      <c r="AX29" s="131"/>
      <c r="AY29" s="131"/>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1"/>
      <c r="B30" s="375"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136"/>
      <c r="AD30" s="136"/>
      <c r="AE30" s="136"/>
      <c r="AF30" s="376"/>
      <c r="AG30" s="161" t="s">
        <v>15</v>
      </c>
      <c r="AH30" s="139"/>
      <c r="AI30" s="139"/>
      <c r="AJ30" s="139"/>
      <c r="AK30" s="139"/>
      <c r="AL30" s="139"/>
      <c r="AM30" s="139"/>
      <c r="AN30" s="139"/>
      <c r="AO30" s="139"/>
      <c r="AP30" s="139"/>
      <c r="AQ30" s="139"/>
      <c r="AR30" s="134"/>
      <c r="AS30" s="131"/>
      <c r="AT30" s="131"/>
      <c r="AU30" s="131"/>
      <c r="AV30" s="131"/>
      <c r="AW30" s="131"/>
      <c r="AX30" s="131"/>
      <c r="AY30" s="131"/>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1"/>
      <c r="B31" s="375"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136"/>
      <c r="AD31" s="136"/>
      <c r="AE31" s="136"/>
      <c r="AF31" s="376"/>
      <c r="AG31" s="161" t="s">
        <v>16</v>
      </c>
      <c r="AH31" s="139"/>
      <c r="AI31" s="139"/>
      <c r="AJ31" s="366"/>
      <c r="AK31" s="139"/>
      <c r="AL31" s="139"/>
      <c r="AM31" s="139"/>
      <c r="AN31" s="139"/>
      <c r="AO31" s="139"/>
      <c r="AP31" s="139"/>
      <c r="AQ31" s="139"/>
      <c r="AR31" s="134"/>
      <c r="AS31" s="131"/>
      <c r="AT31" s="131"/>
      <c r="AU31" s="131"/>
      <c r="AV31" s="131"/>
      <c r="AW31" s="131"/>
      <c r="AX31" s="131"/>
      <c r="AY31" s="131"/>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1"/>
      <c r="B32" s="375"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136"/>
      <c r="AD32" s="136"/>
      <c r="AE32" s="136"/>
      <c r="AF32" s="376"/>
      <c r="AG32" s="161" t="s">
        <v>17</v>
      </c>
      <c r="AH32" s="139"/>
      <c r="AI32" s="139"/>
      <c r="AJ32" s="139"/>
      <c r="AK32" s="139"/>
      <c r="AL32" s="139"/>
      <c r="AM32" s="139"/>
      <c r="AN32" s="139"/>
      <c r="AO32" s="139"/>
      <c r="AP32" s="139"/>
      <c r="AQ32" s="139"/>
      <c r="AR32" s="134"/>
      <c r="AS32" s="131"/>
      <c r="AT32" s="131"/>
      <c r="AU32" s="131"/>
      <c r="AV32" s="131"/>
      <c r="AW32" s="131"/>
      <c r="AX32" s="131"/>
      <c r="AY32" s="131"/>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1"/>
      <c r="B33" s="375"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136"/>
      <c r="AD33" s="136"/>
      <c r="AE33" s="136"/>
      <c r="AF33" s="376"/>
      <c r="AG33" s="161" t="s">
        <v>18</v>
      </c>
      <c r="AH33" s="139"/>
      <c r="AI33" s="139"/>
      <c r="AJ33" s="139"/>
      <c r="AK33" s="139"/>
      <c r="AL33" s="139"/>
      <c r="AM33" s="139"/>
      <c r="AN33" s="139"/>
      <c r="AO33" s="139"/>
      <c r="AP33" s="139"/>
      <c r="AQ33" s="139"/>
      <c r="AR33" s="134"/>
      <c r="AS33" s="131"/>
      <c r="AT33" s="131"/>
      <c r="AU33" s="131"/>
      <c r="AV33" s="131"/>
      <c r="AW33" s="131"/>
      <c r="AX33" s="131"/>
      <c r="AY33" s="131"/>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1"/>
      <c r="B34" s="375"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136"/>
      <c r="AD34" s="136"/>
      <c r="AE34" s="136"/>
      <c r="AF34" s="376"/>
      <c r="AG34" s="161" t="s">
        <v>19</v>
      </c>
      <c r="AH34" s="139"/>
      <c r="AI34" s="139"/>
      <c r="AJ34" s="139"/>
      <c r="AK34" s="139"/>
      <c r="AL34" s="139"/>
      <c r="AM34" s="139"/>
      <c r="AN34" s="139"/>
      <c r="AO34" s="139"/>
      <c r="AP34" s="139"/>
      <c r="AQ34" s="139"/>
      <c r="AR34" s="134"/>
      <c r="AS34" s="131"/>
      <c r="AT34" s="131"/>
      <c r="AU34" s="131"/>
      <c r="AV34" s="131"/>
      <c r="AW34" s="131"/>
      <c r="AX34" s="131"/>
      <c r="AY34" s="131"/>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1"/>
      <c r="B35" s="375"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136"/>
      <c r="AD35" s="136"/>
      <c r="AE35" s="136"/>
      <c r="AF35" s="376"/>
      <c r="AG35" s="161" t="s">
        <v>20</v>
      </c>
      <c r="AH35" s="139"/>
      <c r="AI35" s="139"/>
      <c r="AJ35" s="139"/>
      <c r="AK35" s="139"/>
      <c r="AL35" s="139"/>
      <c r="AM35" s="139"/>
      <c r="AN35" s="139"/>
      <c r="AO35" s="139"/>
      <c r="AP35" s="139"/>
      <c r="AQ35" s="139"/>
      <c r="AR35" s="134"/>
      <c r="AS35" s="131"/>
      <c r="AT35" s="131"/>
      <c r="AU35" s="131"/>
      <c r="AV35" s="131"/>
      <c r="AW35" s="131"/>
      <c r="AX35" s="131"/>
      <c r="AY35" s="131"/>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1"/>
      <c r="B36" s="375"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136"/>
      <c r="AD36" s="136"/>
      <c r="AE36" s="136"/>
      <c r="AF36" s="376"/>
      <c r="AG36" s="161" t="s">
        <v>21</v>
      </c>
      <c r="AH36" s="139"/>
      <c r="AI36" s="139"/>
      <c r="AJ36" s="139"/>
      <c r="AK36" s="139"/>
      <c r="AL36" s="139"/>
      <c r="AM36" s="139"/>
      <c r="AN36" s="139"/>
      <c r="AO36" s="139"/>
      <c r="AP36" s="139"/>
      <c r="AQ36" s="139"/>
      <c r="AR36" s="134"/>
      <c r="AS36" s="131"/>
      <c r="AT36" s="131"/>
      <c r="AU36" s="131"/>
      <c r="AV36" s="131"/>
      <c r="AW36" s="131"/>
      <c r="AX36" s="131"/>
      <c r="AY36" s="131"/>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1"/>
      <c r="B37" s="375"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136"/>
      <c r="AD37" s="136"/>
      <c r="AE37" s="136"/>
      <c r="AF37" s="376"/>
      <c r="AG37" s="161" t="s">
        <v>22</v>
      </c>
      <c r="AH37" s="139"/>
      <c r="AI37" s="139"/>
      <c r="AJ37" s="139"/>
      <c r="AK37" s="139"/>
      <c r="AL37" s="139"/>
      <c r="AM37" s="139"/>
      <c r="AN37" s="139"/>
      <c r="AO37" s="139"/>
      <c r="AP37" s="139"/>
      <c r="AQ37" s="139"/>
      <c r="AR37" s="134"/>
      <c r="AS37" s="131"/>
      <c r="AT37" s="131"/>
      <c r="AU37" s="131"/>
      <c r="AV37" s="131"/>
      <c r="AW37" s="131"/>
      <c r="AX37" s="131"/>
      <c r="AY37" s="131"/>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1"/>
      <c r="B38" s="375"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136"/>
      <c r="AD38" s="136"/>
      <c r="AE38" s="136"/>
      <c r="AF38" s="376"/>
      <c r="AG38" s="161" t="s">
        <v>23</v>
      </c>
      <c r="AH38" s="139"/>
      <c r="AI38" s="139"/>
      <c r="AJ38" s="139"/>
      <c r="AK38" s="139"/>
      <c r="AL38" s="139"/>
      <c r="AM38" s="139"/>
      <c r="AN38" s="139"/>
      <c r="AO38" s="139"/>
      <c r="AP38" s="139"/>
      <c r="AQ38" s="139"/>
      <c r="AR38" s="134"/>
      <c r="AS38" s="131"/>
      <c r="AT38" s="131"/>
      <c r="AU38" s="131"/>
      <c r="AV38" s="131"/>
      <c r="AW38" s="131"/>
      <c r="AX38" s="131"/>
      <c r="AY38" s="131"/>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1"/>
      <c r="B39" s="375"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136"/>
      <c r="AD39" s="136"/>
      <c r="AE39" s="136"/>
      <c r="AF39" s="376"/>
      <c r="AG39" s="161" t="s">
        <v>24</v>
      </c>
      <c r="AH39" s="139"/>
      <c r="AI39" s="139"/>
      <c r="AJ39" s="139"/>
      <c r="AK39" s="139"/>
      <c r="AL39" s="139"/>
      <c r="AM39" s="139"/>
      <c r="AN39" s="139"/>
      <c r="AO39" s="139"/>
      <c r="AP39" s="139"/>
      <c r="AQ39" s="139"/>
      <c r="AR39" s="134"/>
      <c r="AS39" s="131"/>
      <c r="AT39" s="131"/>
      <c r="AU39" s="131"/>
      <c r="AV39" s="131"/>
      <c r="AW39" s="131"/>
      <c r="AX39" s="131"/>
      <c r="AY39" s="131"/>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1"/>
      <c r="B40" s="375"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136"/>
      <c r="AD40" s="136"/>
      <c r="AE40" s="136"/>
      <c r="AF40" s="376"/>
      <c r="AG40" s="161" t="s">
        <v>25</v>
      </c>
      <c r="AH40" s="139"/>
      <c r="AI40" s="139"/>
      <c r="AJ40" s="139"/>
      <c r="AK40" s="139"/>
      <c r="AL40" s="139"/>
      <c r="AM40" s="139"/>
      <c r="AN40" s="139"/>
      <c r="AO40" s="139"/>
      <c r="AP40" s="139"/>
      <c r="AQ40" s="139"/>
      <c r="AR40" s="134"/>
      <c r="AS40" s="131"/>
      <c r="AT40" s="131"/>
      <c r="AU40" s="131"/>
      <c r="AV40" s="131"/>
      <c r="AW40" s="131"/>
      <c r="AX40" s="131"/>
      <c r="AY40" s="131"/>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1"/>
      <c r="B41" s="375"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136"/>
      <c r="AD41" s="136"/>
      <c r="AE41" s="136"/>
      <c r="AF41" s="376"/>
      <c r="AG41" s="161" t="s">
        <v>26</v>
      </c>
      <c r="AH41" s="139"/>
      <c r="AI41" s="139"/>
      <c r="AJ41" s="139"/>
      <c r="AK41" s="139"/>
      <c r="AL41" s="139"/>
      <c r="AM41" s="139"/>
      <c r="AN41" s="139"/>
      <c r="AO41" s="139"/>
      <c r="AP41" s="139"/>
      <c r="AQ41" s="139"/>
      <c r="AR41" s="134"/>
      <c r="AS41" s="131"/>
      <c r="AT41" s="131"/>
      <c r="AU41" s="131"/>
      <c r="AV41" s="131"/>
      <c r="AW41" s="131"/>
      <c r="AX41" s="131"/>
      <c r="AY41" s="131"/>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1"/>
      <c r="B42" s="375"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136"/>
      <c r="AD42" s="136"/>
      <c r="AE42" s="136"/>
      <c r="AF42" s="376"/>
      <c r="AG42" s="161" t="s">
        <v>27</v>
      </c>
      <c r="AH42" s="139"/>
      <c r="AI42" s="139"/>
      <c r="AJ42" s="139"/>
      <c r="AK42" s="139"/>
      <c r="AL42" s="139"/>
      <c r="AM42" s="139"/>
      <c r="AN42" s="139"/>
      <c r="AO42" s="139"/>
      <c r="AP42" s="139"/>
      <c r="AQ42" s="139"/>
      <c r="AR42" s="134"/>
      <c r="AS42" s="131"/>
      <c r="AT42" s="131"/>
      <c r="AU42" s="131"/>
      <c r="AV42" s="131"/>
      <c r="AW42" s="131"/>
      <c r="AX42" s="131"/>
      <c r="AY42" s="131"/>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1"/>
      <c r="B43" s="375"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136"/>
      <c r="AD43" s="136"/>
      <c r="AE43" s="136"/>
      <c r="AF43" s="376"/>
      <c r="AG43" s="161" t="s">
        <v>28</v>
      </c>
      <c r="AH43" s="139"/>
      <c r="AI43" s="139"/>
      <c r="AJ43" s="139"/>
      <c r="AK43" s="139"/>
      <c r="AL43" s="139"/>
      <c r="AM43" s="139"/>
      <c r="AN43" s="139"/>
      <c r="AO43" s="139"/>
      <c r="AP43" s="139"/>
      <c r="AQ43" s="139"/>
      <c r="AR43" s="134"/>
      <c r="AS43" s="131"/>
      <c r="AT43" s="131"/>
      <c r="AU43" s="131"/>
      <c r="AV43" s="131"/>
      <c r="AW43" s="131"/>
      <c r="AX43" s="131"/>
      <c r="AY43" s="131"/>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1"/>
      <c r="B44" s="375"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136"/>
      <c r="AD44" s="136"/>
      <c r="AE44" s="136"/>
      <c r="AF44" s="376"/>
      <c r="AG44" s="161" t="s">
        <v>29</v>
      </c>
      <c r="AH44" s="139"/>
      <c r="AI44" s="139"/>
      <c r="AJ44" s="139"/>
      <c r="AK44" s="139"/>
      <c r="AL44" s="139"/>
      <c r="AM44" s="139"/>
      <c r="AN44" s="139"/>
      <c r="AO44" s="139"/>
      <c r="AP44" s="139"/>
      <c r="AQ44" s="139"/>
      <c r="AR44" s="134"/>
      <c r="AS44" s="131"/>
      <c r="AT44" s="131"/>
      <c r="AU44" s="131"/>
      <c r="AV44" s="131"/>
      <c r="AW44" s="131"/>
      <c r="AX44" s="131"/>
      <c r="AY44" s="131"/>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1"/>
      <c r="B45" s="375"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136"/>
      <c r="AD45" s="136"/>
      <c r="AE45" s="136"/>
      <c r="AF45" s="376"/>
      <c r="AG45" s="161" t="s">
        <v>30</v>
      </c>
      <c r="AH45" s="139"/>
      <c r="AI45" s="139"/>
      <c r="AJ45" s="139"/>
      <c r="AK45" s="139"/>
      <c r="AL45" s="139"/>
      <c r="AM45" s="139"/>
      <c r="AN45" s="139"/>
      <c r="AO45" s="139"/>
      <c r="AP45" s="139"/>
      <c r="AQ45" s="139"/>
      <c r="AR45" s="134"/>
      <c r="AS45" s="131"/>
      <c r="AT45" s="131"/>
      <c r="AU45" s="131"/>
      <c r="AV45" s="131"/>
      <c r="AW45" s="131"/>
      <c r="AX45" s="131"/>
      <c r="AY45" s="131"/>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1"/>
      <c r="B46" s="375"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136"/>
      <c r="AD46" s="136"/>
      <c r="AE46" s="136"/>
      <c r="AF46" s="376"/>
      <c r="AG46" s="161" t="s">
        <v>31</v>
      </c>
      <c r="AH46" s="139"/>
      <c r="AI46" s="139"/>
      <c r="AJ46" s="139"/>
      <c r="AK46" s="139"/>
      <c r="AL46" s="139"/>
      <c r="AM46" s="139"/>
      <c r="AN46" s="139"/>
      <c r="AO46" s="139"/>
      <c r="AP46" s="139"/>
      <c r="AQ46" s="139"/>
      <c r="AR46" s="134"/>
      <c r="AS46" s="131"/>
      <c r="AT46" s="131"/>
      <c r="AU46" s="131"/>
      <c r="AV46" s="131"/>
      <c r="AW46" s="131"/>
      <c r="AX46" s="131"/>
      <c r="AY46" s="131"/>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1"/>
      <c r="B47" s="375"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136"/>
      <c r="AD47" s="136"/>
      <c r="AE47" s="136"/>
      <c r="AF47" s="376"/>
      <c r="AG47" s="161" t="s">
        <v>32</v>
      </c>
      <c r="AH47" s="139"/>
      <c r="AI47" s="139"/>
      <c r="AJ47" s="139"/>
      <c r="AK47" s="139"/>
      <c r="AL47" s="139"/>
      <c r="AM47" s="139"/>
      <c r="AN47" s="139"/>
      <c r="AO47" s="139"/>
      <c r="AP47" s="139"/>
      <c r="AQ47" s="139"/>
      <c r="AR47" s="134"/>
      <c r="AS47" s="131"/>
      <c r="AT47" s="131"/>
      <c r="AU47" s="131"/>
      <c r="AV47" s="131"/>
      <c r="AW47" s="131"/>
      <c r="AX47" s="131"/>
      <c r="AY47" s="131"/>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1"/>
      <c r="B48" s="375"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136"/>
      <c r="AD48" s="136"/>
      <c r="AE48" s="136"/>
      <c r="AF48" s="376"/>
      <c r="AG48" s="161" t="s">
        <v>33</v>
      </c>
      <c r="AH48" s="139"/>
      <c r="AI48" s="139"/>
      <c r="AJ48" s="139"/>
      <c r="AK48" s="139"/>
      <c r="AL48" s="139"/>
      <c r="AM48" s="139"/>
      <c r="AN48" s="139"/>
      <c r="AO48" s="139"/>
      <c r="AP48" s="139"/>
      <c r="AQ48" s="139"/>
      <c r="AR48" s="134"/>
      <c r="AS48" s="131"/>
      <c r="AT48" s="131"/>
      <c r="AU48" s="131"/>
      <c r="AV48" s="131"/>
      <c r="AW48" s="131"/>
      <c r="AX48" s="131"/>
      <c r="AY48" s="131"/>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1"/>
      <c r="B49" s="375"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136"/>
      <c r="AD49" s="136"/>
      <c r="AE49" s="136"/>
      <c r="AF49" s="376"/>
      <c r="AG49" s="161" t="s">
        <v>34</v>
      </c>
      <c r="AH49" s="139"/>
      <c r="AI49" s="139"/>
      <c r="AJ49" s="139"/>
      <c r="AK49" s="139"/>
      <c r="AL49" s="139"/>
      <c r="AM49" s="139"/>
      <c r="AN49" s="139"/>
      <c r="AO49" s="139"/>
      <c r="AP49" s="139"/>
      <c r="AQ49" s="139"/>
      <c r="AR49" s="134"/>
      <c r="AS49" s="131"/>
      <c r="AT49" s="131"/>
      <c r="AU49" s="131"/>
      <c r="AV49" s="131"/>
      <c r="AW49" s="131"/>
      <c r="AX49" s="131"/>
      <c r="AY49" s="131"/>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1"/>
      <c r="B50" s="375"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136"/>
      <c r="AD50" s="136"/>
      <c r="AE50" s="136"/>
      <c r="AF50" s="376"/>
      <c r="AG50" s="161" t="s">
        <v>35</v>
      </c>
      <c r="AH50" s="139"/>
      <c r="AI50" s="139"/>
      <c r="AJ50" s="139"/>
      <c r="AK50" s="139"/>
      <c r="AL50" s="139"/>
      <c r="AM50" s="139"/>
      <c r="AN50" s="139"/>
      <c r="AO50" s="139"/>
      <c r="AP50" s="139"/>
      <c r="AQ50" s="139"/>
      <c r="AR50" s="134"/>
      <c r="AS50" s="131"/>
      <c r="AT50" s="131"/>
      <c r="AU50" s="131"/>
      <c r="AV50" s="131"/>
      <c r="AW50" s="131"/>
      <c r="AX50" s="131"/>
      <c r="AY50" s="131"/>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1"/>
      <c r="B51" s="375"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136"/>
      <c r="AD51" s="136"/>
      <c r="AE51" s="136"/>
      <c r="AF51" s="376"/>
      <c r="AG51" s="161" t="s">
        <v>36</v>
      </c>
      <c r="AH51" s="139"/>
      <c r="AI51" s="139"/>
      <c r="AJ51" s="139"/>
      <c r="AK51" s="139"/>
      <c r="AL51" s="139"/>
      <c r="AM51" s="139"/>
      <c r="AN51" s="139"/>
      <c r="AO51" s="139"/>
      <c r="AP51" s="139"/>
      <c r="AQ51" s="139"/>
      <c r="AR51" s="134"/>
      <c r="AS51" s="131"/>
      <c r="AT51" s="131"/>
      <c r="AU51" s="131"/>
      <c r="AV51" s="131"/>
      <c r="AW51" s="131"/>
      <c r="AX51" s="131"/>
      <c r="AY51" s="131"/>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1"/>
      <c r="B52" s="375"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136"/>
      <c r="AD52" s="136"/>
      <c r="AE52" s="136"/>
      <c r="AF52" s="376"/>
      <c r="AG52" s="161" t="s">
        <v>37</v>
      </c>
      <c r="AH52" s="139"/>
      <c r="AI52" s="139"/>
      <c r="AJ52" s="139"/>
      <c r="AK52" s="139"/>
      <c r="AL52" s="139"/>
      <c r="AM52" s="139"/>
      <c r="AN52" s="139"/>
      <c r="AO52" s="139"/>
      <c r="AP52" s="139"/>
      <c r="AQ52" s="139"/>
      <c r="AR52" s="134"/>
      <c r="AS52" s="131"/>
      <c r="AT52" s="131"/>
      <c r="AU52" s="131"/>
      <c r="AV52" s="131"/>
      <c r="AW52" s="131"/>
      <c r="AX52" s="131"/>
      <c r="AY52" s="131"/>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1"/>
      <c r="B53" s="375"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136"/>
      <c r="AD53" s="136"/>
      <c r="AE53" s="136"/>
      <c r="AF53" s="376"/>
      <c r="AG53" s="161" t="s">
        <v>38</v>
      </c>
      <c r="AH53" s="139"/>
      <c r="AI53" s="139"/>
      <c r="AJ53" s="139"/>
      <c r="AK53" s="139"/>
      <c r="AL53" s="139"/>
      <c r="AM53" s="139"/>
      <c r="AN53" s="139"/>
      <c r="AO53" s="139"/>
      <c r="AP53" s="139"/>
      <c r="AQ53" s="139"/>
      <c r="AR53" s="134"/>
      <c r="AS53" s="131"/>
      <c r="AT53" s="131"/>
      <c r="AU53" s="131"/>
      <c r="AV53" s="131"/>
      <c r="AW53" s="131"/>
      <c r="AX53" s="131"/>
      <c r="AY53" s="131"/>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1"/>
      <c r="B54" s="375"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136"/>
      <c r="AD54" s="136"/>
      <c r="AE54" s="136"/>
      <c r="AF54" s="376"/>
      <c r="AG54" s="161" t="s">
        <v>39</v>
      </c>
      <c r="AH54" s="139"/>
      <c r="AI54" s="139"/>
      <c r="AJ54" s="139"/>
      <c r="AK54" s="139"/>
      <c r="AL54" s="139"/>
      <c r="AM54" s="139"/>
      <c r="AN54" s="139"/>
      <c r="AO54" s="139"/>
      <c r="AP54" s="139"/>
      <c r="AQ54" s="139"/>
      <c r="AR54" s="134"/>
      <c r="AS54" s="131"/>
      <c r="AT54" s="131"/>
      <c r="AU54" s="131"/>
      <c r="AV54" s="131"/>
      <c r="AW54" s="131"/>
      <c r="AX54" s="131"/>
      <c r="AY54" s="131"/>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1"/>
      <c r="B55" s="375"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136"/>
      <c r="AD55" s="136"/>
      <c r="AE55" s="136"/>
      <c r="AF55" s="376"/>
      <c r="AG55" s="161" t="s">
        <v>40</v>
      </c>
      <c r="AH55" s="139"/>
      <c r="AI55" s="139"/>
      <c r="AJ55" s="139"/>
      <c r="AK55" s="139"/>
      <c r="AL55" s="139"/>
      <c r="AM55" s="139"/>
      <c r="AN55" s="139"/>
      <c r="AO55" s="139"/>
      <c r="AP55" s="139"/>
      <c r="AQ55" s="139"/>
      <c r="AR55" s="134"/>
      <c r="AS55" s="131"/>
      <c r="AT55" s="131"/>
      <c r="AU55" s="131"/>
      <c r="AV55" s="131"/>
      <c r="AW55" s="131"/>
      <c r="AX55" s="131"/>
      <c r="AY55" s="131"/>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1"/>
      <c r="B56" s="375"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136"/>
      <c r="AD56" s="136"/>
      <c r="AE56" s="136"/>
      <c r="AF56" s="376"/>
      <c r="AG56" s="161" t="s">
        <v>41</v>
      </c>
      <c r="AH56" s="139"/>
      <c r="AI56" s="139"/>
      <c r="AJ56" s="139"/>
      <c r="AK56" s="139"/>
      <c r="AL56" s="139"/>
      <c r="AM56" s="139"/>
      <c r="AN56" s="139"/>
      <c r="AO56" s="139"/>
      <c r="AP56" s="139"/>
      <c r="AQ56" s="139"/>
      <c r="AR56" s="134"/>
      <c r="AS56" s="131"/>
      <c r="AT56" s="131"/>
      <c r="AU56" s="131"/>
      <c r="AV56" s="131"/>
      <c r="AW56" s="131"/>
      <c r="AX56" s="131"/>
      <c r="AY56" s="131"/>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1"/>
      <c r="B57" s="375"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136"/>
      <c r="AD57" s="136"/>
      <c r="AE57" s="136"/>
      <c r="AF57" s="376"/>
      <c r="AG57" s="161" t="s">
        <v>42</v>
      </c>
      <c r="AH57" s="139"/>
      <c r="AI57" s="139"/>
      <c r="AJ57" s="139"/>
      <c r="AK57" s="139"/>
      <c r="AL57" s="139"/>
      <c r="AM57" s="139"/>
      <c r="AN57" s="139"/>
      <c r="AO57" s="139"/>
      <c r="AP57" s="139"/>
      <c r="AQ57" s="139"/>
      <c r="AR57" s="134"/>
      <c r="AS57" s="131"/>
      <c r="AT57" s="131"/>
      <c r="AU57" s="131"/>
      <c r="AV57" s="131"/>
      <c r="AW57" s="131"/>
      <c r="AX57" s="131"/>
      <c r="AY57" s="131"/>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1"/>
      <c r="B58" s="375"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136"/>
      <c r="AD58" s="136"/>
      <c r="AE58" s="136"/>
      <c r="AF58" s="376"/>
      <c r="AG58" s="161" t="s">
        <v>43</v>
      </c>
      <c r="AH58" s="139"/>
      <c r="AI58" s="139"/>
      <c r="AJ58" s="139"/>
      <c r="AK58" s="139"/>
      <c r="AL58" s="139"/>
      <c r="AM58" s="139"/>
      <c r="AN58" s="139"/>
      <c r="AO58" s="139"/>
      <c r="AP58" s="139"/>
      <c r="AQ58" s="139"/>
      <c r="AR58" s="134"/>
      <c r="AS58" s="131"/>
      <c r="AT58" s="131"/>
      <c r="AU58" s="131"/>
      <c r="AV58" s="131"/>
      <c r="AW58" s="131"/>
      <c r="AX58" s="131"/>
      <c r="AY58" s="131"/>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1"/>
      <c r="B59" s="375"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136"/>
      <c r="AD59" s="136"/>
      <c r="AE59" s="136"/>
      <c r="AF59" s="376"/>
      <c r="AG59" s="161" t="s">
        <v>44</v>
      </c>
      <c r="AH59" s="139"/>
      <c r="AI59" s="139"/>
      <c r="AJ59" s="139"/>
      <c r="AK59" s="139"/>
      <c r="AL59" s="139"/>
      <c r="AM59" s="139"/>
      <c r="AN59" s="139"/>
      <c r="AO59" s="139"/>
      <c r="AP59" s="139"/>
      <c r="AQ59" s="139"/>
      <c r="AR59" s="134"/>
      <c r="AS59" s="131"/>
      <c r="AT59" s="131"/>
      <c r="AU59" s="131"/>
      <c r="AV59" s="131"/>
      <c r="AW59" s="131"/>
      <c r="AX59" s="131"/>
      <c r="AY59" s="131"/>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1"/>
      <c r="B60" s="375"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136"/>
      <c r="AD60" s="136"/>
      <c r="AE60" s="136"/>
      <c r="AF60" s="376"/>
      <c r="AG60" s="161" t="s">
        <v>45</v>
      </c>
      <c r="AH60" s="139"/>
      <c r="AI60" s="139"/>
      <c r="AJ60" s="139"/>
      <c r="AK60" s="139"/>
      <c r="AL60" s="139"/>
      <c r="AM60" s="139"/>
      <c r="AN60" s="139"/>
      <c r="AO60" s="139"/>
      <c r="AP60" s="139"/>
      <c r="AQ60" s="139"/>
      <c r="AR60" s="134"/>
      <c r="AS60" s="131"/>
      <c r="AT60" s="131"/>
      <c r="AU60" s="131"/>
      <c r="AV60" s="131"/>
      <c r="AW60" s="131"/>
      <c r="AX60" s="131"/>
      <c r="AY60" s="131"/>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1"/>
      <c r="B61" s="375"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136"/>
      <c r="AD61" s="136"/>
      <c r="AE61" s="136"/>
      <c r="AF61" s="376"/>
      <c r="AG61" s="161" t="s">
        <v>46</v>
      </c>
      <c r="AH61" s="139"/>
      <c r="AI61" s="139"/>
      <c r="AJ61" s="139"/>
      <c r="AK61" s="139"/>
      <c r="AL61" s="139"/>
      <c r="AM61" s="139"/>
      <c r="AN61" s="139"/>
      <c r="AO61" s="139"/>
      <c r="AP61" s="139"/>
      <c r="AQ61" s="139"/>
      <c r="AR61" s="134"/>
      <c r="AS61" s="131"/>
      <c r="AT61" s="131"/>
      <c r="AU61" s="131"/>
      <c r="AV61" s="131"/>
      <c r="AW61" s="131"/>
      <c r="AX61" s="131"/>
      <c r="AY61" s="131"/>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1"/>
      <c r="B62" s="375"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136"/>
      <c r="AD62" s="136"/>
      <c r="AE62" s="136"/>
      <c r="AF62" s="376"/>
      <c r="AG62" s="161" t="s">
        <v>47</v>
      </c>
      <c r="AH62" s="139"/>
      <c r="AI62" s="139"/>
      <c r="AJ62" s="139"/>
      <c r="AK62" s="139"/>
      <c r="AL62" s="139"/>
      <c r="AM62" s="139"/>
      <c r="AN62" s="139"/>
      <c r="AO62" s="139"/>
      <c r="AP62" s="139"/>
      <c r="AQ62" s="139"/>
      <c r="AR62" s="134"/>
      <c r="AS62" s="131"/>
      <c r="AT62" s="131"/>
      <c r="AU62" s="131"/>
      <c r="AV62" s="131"/>
      <c r="AW62" s="131"/>
      <c r="AX62" s="131"/>
      <c r="AY62" s="131"/>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1"/>
      <c r="B63" s="375"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136"/>
      <c r="AD63" s="136"/>
      <c r="AE63" s="136"/>
      <c r="AF63" s="376"/>
      <c r="AG63" s="161" t="s">
        <v>48</v>
      </c>
      <c r="AH63" s="139"/>
      <c r="AI63" s="139"/>
      <c r="AJ63" s="139"/>
      <c r="AK63" s="139"/>
      <c r="AL63" s="139"/>
      <c r="AM63" s="139"/>
      <c r="AN63" s="139"/>
      <c r="AO63" s="139"/>
      <c r="AP63" s="139"/>
      <c r="AQ63" s="139"/>
      <c r="AR63" s="134"/>
      <c r="AS63" s="131"/>
      <c r="AT63" s="131"/>
      <c r="AU63" s="131"/>
      <c r="AV63" s="131"/>
      <c r="AW63" s="131"/>
      <c r="AX63" s="131"/>
      <c r="AY63" s="131"/>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1"/>
      <c r="B64" s="375"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136"/>
      <c r="AD64" s="136"/>
      <c r="AE64" s="136"/>
      <c r="AF64" s="376"/>
      <c r="AG64" s="161" t="s">
        <v>49</v>
      </c>
      <c r="AH64" s="139"/>
      <c r="AI64" s="139"/>
      <c r="AJ64" s="139"/>
      <c r="AK64" s="139"/>
      <c r="AL64" s="139"/>
      <c r="AM64" s="139"/>
      <c r="AN64" s="139"/>
      <c r="AO64" s="139"/>
      <c r="AP64" s="139"/>
      <c r="AQ64" s="139"/>
      <c r="AR64" s="134"/>
      <c r="AS64" s="131"/>
      <c r="AT64" s="131"/>
      <c r="AU64" s="131"/>
      <c r="AV64" s="131"/>
      <c r="AW64" s="131"/>
      <c r="AX64" s="131"/>
      <c r="AY64" s="131"/>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1"/>
      <c r="B65" s="375"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136"/>
      <c r="AD65" s="136"/>
      <c r="AE65" s="136"/>
      <c r="AF65" s="376"/>
      <c r="AG65" s="161" t="s">
        <v>50</v>
      </c>
      <c r="AH65" s="139"/>
      <c r="AI65" s="139"/>
      <c r="AJ65" s="139"/>
      <c r="AK65" s="139"/>
      <c r="AL65" s="139"/>
      <c r="AM65" s="139"/>
      <c r="AN65" s="139"/>
      <c r="AO65" s="139"/>
      <c r="AP65" s="139"/>
      <c r="AQ65" s="139"/>
      <c r="AR65" s="134"/>
      <c r="AS65" s="131"/>
      <c r="AT65" s="131"/>
      <c r="AU65" s="131"/>
      <c r="AV65" s="131"/>
      <c r="AW65" s="131"/>
      <c r="AX65" s="131"/>
      <c r="AY65" s="131"/>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34"/>
      <c r="B66" s="375"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136"/>
      <c r="AD66" s="136"/>
      <c r="AE66" s="136"/>
      <c r="AF66" s="376"/>
      <c r="AG66" s="161" t="s">
        <v>51</v>
      </c>
      <c r="AH66" s="139"/>
      <c r="AI66" s="139"/>
      <c r="AJ66" s="139"/>
      <c r="AK66" s="139"/>
      <c r="AL66" s="139"/>
      <c r="AM66" s="139"/>
      <c r="AN66" s="139"/>
      <c r="AO66" s="139"/>
      <c r="AP66" s="139"/>
      <c r="AQ66" s="139"/>
      <c r="AR66" s="139"/>
      <c r="AS66" s="139"/>
      <c r="AT66" s="139"/>
      <c r="AU66" s="134"/>
      <c r="AV66" s="131"/>
      <c r="AW66" s="131"/>
      <c r="AX66" s="131"/>
      <c r="AY66" s="131"/>
      <c r="AZ66" s="131"/>
      <c r="BA66" s="131"/>
      <c r="BB66" s="131"/>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34"/>
      <c r="B67" s="377" t="s">
        <v>259</v>
      </c>
      <c r="C67" s="140"/>
      <c r="D67" s="378"/>
      <c r="E67" s="137"/>
      <c r="F67" s="138"/>
      <c r="G67" s="378"/>
      <c r="H67" s="137"/>
      <c r="I67" s="138"/>
      <c r="J67" s="378"/>
      <c r="K67" s="136"/>
      <c r="L67" s="378"/>
      <c r="M67" s="378"/>
      <c r="N67" s="378"/>
      <c r="O67" s="378"/>
      <c r="P67" s="378"/>
      <c r="Q67" s="378"/>
      <c r="R67" s="378"/>
      <c r="S67" s="378"/>
      <c r="T67" s="378"/>
      <c r="U67" s="378"/>
      <c r="V67" s="378"/>
      <c r="W67" s="378"/>
      <c r="X67" s="378"/>
      <c r="Y67" s="378"/>
      <c r="Z67" s="378"/>
      <c r="AA67" s="378"/>
      <c r="AB67" s="378"/>
      <c r="AC67" s="378"/>
      <c r="AD67" s="378"/>
      <c r="AE67" s="378"/>
      <c r="AF67" s="379"/>
      <c r="AG67" s="162" t="s">
        <v>52</v>
      </c>
      <c r="AH67" s="139"/>
      <c r="AI67" s="134"/>
      <c r="AJ67" s="131"/>
      <c r="AK67" s="131"/>
      <c r="AL67" s="131"/>
      <c r="AM67" s="131"/>
      <c r="AN67" s="131"/>
      <c r="AO67" s="131"/>
      <c r="AP67" s="131"/>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9"/>
      <c r="AJ68" s="139"/>
      <c r="AK68" s="139"/>
      <c r="AL68" s="134"/>
      <c r="AM68" s="131"/>
      <c r="AN68" s="131"/>
      <c r="AO68" s="131"/>
      <c r="AP68" s="131"/>
      <c r="AQ68" s="131"/>
      <c r="AR68" s="131"/>
      <c r="AS68" s="131"/>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9"/>
      <c r="AJ69" s="139"/>
      <c r="AK69" s="139"/>
      <c r="AL69" s="134"/>
      <c r="AM69" s="131"/>
      <c r="AN69" s="131"/>
      <c r="AO69" s="131"/>
      <c r="AP69" s="131"/>
      <c r="AQ69" s="131"/>
      <c r="AR69" s="131"/>
      <c r="AS69" s="131"/>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9"/>
      <c r="AJ70" s="139"/>
      <c r="AK70" s="139"/>
      <c r="AL70" s="134"/>
      <c r="AM70" s="131"/>
      <c r="AN70" s="131"/>
      <c r="AO70" s="131"/>
      <c r="AP70" s="131"/>
      <c r="AQ70" s="131"/>
      <c r="AR70" s="131"/>
      <c r="AS70" s="131"/>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9"/>
      <c r="AJ71" s="139"/>
      <c r="AK71" s="139"/>
      <c r="AL71" s="134"/>
      <c r="AM71" s="131"/>
      <c r="AN71" s="131"/>
      <c r="AO71" s="131"/>
      <c r="AP71" s="131"/>
      <c r="AQ71" s="131"/>
      <c r="AR71" s="131"/>
      <c r="AS71" s="131"/>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9"/>
      <c r="AJ72" s="139"/>
      <c r="AK72" s="139"/>
      <c r="AL72" s="134"/>
      <c r="AM72" s="131"/>
      <c r="AN72" s="131"/>
      <c r="AO72" s="131"/>
      <c r="AP72" s="131"/>
      <c r="AQ72" s="131"/>
      <c r="AR72" s="131"/>
      <c r="AS72" s="131"/>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9"/>
      <c r="AJ73" s="139"/>
      <c r="AK73" s="139"/>
      <c r="AL73" s="134"/>
      <c r="AM73" s="131"/>
      <c r="AN73" s="131"/>
      <c r="AO73" s="131"/>
      <c r="AP73" s="131"/>
      <c r="AQ73" s="131"/>
      <c r="AR73" s="131"/>
      <c r="AS73" s="131"/>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9"/>
      <c r="AJ74" s="139"/>
      <c r="AK74" s="139"/>
      <c r="AL74" s="134"/>
      <c r="AM74" s="131"/>
      <c r="AN74" s="131"/>
      <c r="AO74" s="131"/>
      <c r="AP74" s="131"/>
      <c r="AQ74" s="131"/>
      <c r="AR74" s="131"/>
      <c r="AS74" s="131"/>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9"/>
      <c r="AJ75" s="139"/>
      <c r="AK75" s="139"/>
      <c r="AL75" s="134"/>
      <c r="AM75" s="131"/>
      <c r="AN75" s="131"/>
      <c r="AO75" s="131"/>
      <c r="AP75" s="131"/>
      <c r="AQ75" s="131"/>
      <c r="AR75" s="131"/>
      <c r="AS75" s="131"/>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9"/>
      <c r="AJ76" s="139"/>
      <c r="AK76" s="139"/>
      <c r="AL76" s="134"/>
      <c r="AM76" s="131"/>
      <c r="AN76" s="131"/>
      <c r="AO76" s="131"/>
      <c r="AP76" s="131"/>
      <c r="AQ76" s="131"/>
      <c r="AR76" s="131"/>
      <c r="AS76" s="131"/>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9"/>
      <c r="AJ77" s="139"/>
      <c r="AK77" s="139"/>
      <c r="AL77" s="134"/>
      <c r="AM77" s="131"/>
      <c r="AN77" s="131"/>
      <c r="AO77" s="131"/>
      <c r="AP77" s="131"/>
      <c r="AQ77" s="131"/>
      <c r="AR77" s="131"/>
      <c r="AS77" s="131"/>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9"/>
      <c r="AL78" s="139"/>
      <c r="AM78" s="139"/>
      <c r="AN78" s="131"/>
      <c r="AO78" s="131"/>
      <c r="AP78" s="131"/>
      <c r="AQ78" s="131"/>
      <c r="AR78" s="131"/>
      <c r="AS78" s="131"/>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45"/>
      <c r="AE79" s="139"/>
      <c r="AF79" s="139"/>
      <c r="AG79" s="139"/>
      <c r="AH79" s="139"/>
      <c r="AI79" s="139"/>
      <c r="AJ79" s="139"/>
      <c r="AK79" s="139"/>
      <c r="AL79" s="139"/>
      <c r="AM79" s="139"/>
      <c r="AN79" s="131"/>
      <c r="AO79" s="131"/>
      <c r="AP79" s="131"/>
      <c r="AQ79" s="131"/>
      <c r="AR79" s="131"/>
      <c r="AS79" s="131"/>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384" t="s">
        <v>102</v>
      </c>
      <c r="AF80" s="139"/>
      <c r="AG80" s="139"/>
      <c r="AH80" s="139"/>
      <c r="AI80" s="139"/>
      <c r="AJ80" s="139"/>
      <c r="AK80" s="139"/>
      <c r="AL80" s="139"/>
      <c r="AM80" s="139"/>
      <c r="AN80" s="146"/>
      <c r="AO80" s="146"/>
      <c r="AP80" s="131"/>
      <c r="AQ80" s="131"/>
      <c r="AR80" s="131"/>
      <c r="AS80" s="131"/>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384" t="s">
        <v>267</v>
      </c>
      <c r="AF81" s="139"/>
      <c r="AG81" s="139"/>
      <c r="AH81" s="139"/>
      <c r="AI81" s="139"/>
      <c r="AJ81" s="139"/>
      <c r="AK81" s="139"/>
      <c r="AL81" s="139"/>
      <c r="AM81" s="139"/>
      <c r="AP81" s="131"/>
      <c r="AQ81" s="131"/>
      <c r="AR81" s="131"/>
      <c r="AS81" s="131"/>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384" t="s">
        <v>269</v>
      </c>
      <c r="AF82" s="139"/>
      <c r="AG82" s="139"/>
      <c r="AH82" s="139"/>
      <c r="AI82" s="139"/>
      <c r="AJ82" s="139"/>
      <c r="AK82" s="139"/>
      <c r="AL82" s="139"/>
      <c r="AM82" s="139"/>
      <c r="AN82" s="131"/>
      <c r="AO82" s="131"/>
      <c r="AP82" s="131"/>
      <c r="AQ82" s="131"/>
      <c r="AR82" s="131"/>
      <c r="AS82" s="131"/>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384" t="s">
        <v>209</v>
      </c>
      <c r="AF83" s="139"/>
      <c r="AG83" s="139"/>
      <c r="AH83" s="139"/>
      <c r="AI83" s="139"/>
      <c r="AJ83" s="139"/>
      <c r="AK83" s="139"/>
      <c r="AL83" s="139"/>
      <c r="AM83" s="139"/>
      <c r="AN83" s="131"/>
      <c r="AO83" s="131"/>
      <c r="AP83" s="131"/>
      <c r="AQ83" s="131"/>
      <c r="AR83" s="131"/>
      <c r="AS83" s="131"/>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384" t="s">
        <v>268</v>
      </c>
      <c r="AF84" s="139"/>
      <c r="AG84" s="139"/>
      <c r="AH84" s="139"/>
      <c r="AI84" s="139"/>
      <c r="AJ84" s="139"/>
      <c r="AK84" s="139"/>
      <c r="AL84" s="139"/>
      <c r="AM84" s="139"/>
      <c r="AN84" s="131"/>
      <c r="AO84" s="131"/>
      <c r="AP84" s="131"/>
      <c r="AQ84" s="131"/>
      <c r="AR84" s="131"/>
      <c r="AS84" s="131"/>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384" t="s">
        <v>264</v>
      </c>
      <c r="AF85" s="139"/>
      <c r="AG85" s="139"/>
      <c r="AH85" s="139"/>
      <c r="AI85" s="139"/>
      <c r="AJ85" s="139"/>
      <c r="AK85" s="139"/>
      <c r="AL85" s="139"/>
      <c r="AM85" s="139"/>
      <c r="AN85" s="131"/>
      <c r="AO85" s="131"/>
      <c r="AP85" s="131"/>
      <c r="AQ85" s="131"/>
      <c r="AR85" s="131"/>
      <c r="AS85" s="131"/>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384" t="s">
        <v>270</v>
      </c>
      <c r="AF86" s="139"/>
      <c r="AG86" s="139"/>
      <c r="AH86" s="139"/>
      <c r="AI86" s="139"/>
      <c r="AJ86" s="139"/>
      <c r="AK86" s="139"/>
      <c r="AL86" s="139"/>
      <c r="AM86" s="139"/>
      <c r="AN86" s="131"/>
      <c r="AO86" s="131"/>
      <c r="AP86" s="146"/>
      <c r="AQ86" s="131"/>
      <c r="AR86" s="131"/>
      <c r="AS86" s="131"/>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384" t="s">
        <v>265</v>
      </c>
      <c r="AF87" s="139"/>
      <c r="AG87" s="139"/>
      <c r="AH87" s="139"/>
      <c r="AI87" s="139"/>
      <c r="AJ87" s="139"/>
      <c r="AK87" s="139"/>
      <c r="AL87" s="139"/>
      <c r="AM87" s="139"/>
      <c r="AN87" s="131"/>
      <c r="AO87" s="131"/>
      <c r="AP87" s="131"/>
      <c r="AQ87" s="131"/>
      <c r="AR87" s="131"/>
      <c r="AS87" s="131"/>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384" t="s">
        <v>271</v>
      </c>
      <c r="AF88" s="139"/>
      <c r="AG88" s="139"/>
      <c r="AH88" s="139"/>
      <c r="AI88" s="139"/>
      <c r="AJ88" s="139"/>
      <c r="AK88" s="139"/>
      <c r="AL88" s="139"/>
      <c r="AM88" s="139"/>
      <c r="AN88" s="131"/>
      <c r="AO88" s="131"/>
      <c r="AP88" s="131"/>
      <c r="AQ88" s="131"/>
      <c r="AR88" s="131"/>
      <c r="AS88" s="131"/>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384" t="s">
        <v>266</v>
      </c>
      <c r="AF89" s="139"/>
      <c r="AG89" s="139"/>
      <c r="AH89" s="139"/>
      <c r="AI89" s="139"/>
      <c r="AJ89" s="139"/>
      <c r="AK89" s="139"/>
      <c r="AL89" s="139"/>
      <c r="AM89" s="139"/>
      <c r="AN89" s="131"/>
      <c r="AO89" s="131"/>
      <c r="AP89" s="131"/>
      <c r="AQ89" s="131"/>
      <c r="AR89" s="131"/>
      <c r="AS89" s="131"/>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384" t="s">
        <v>272</v>
      </c>
      <c r="AF90" s="139"/>
      <c r="AG90" s="139"/>
      <c r="AH90" s="139"/>
      <c r="AI90" s="139"/>
      <c r="AJ90" s="139"/>
      <c r="AK90" s="139"/>
      <c r="AL90" s="139"/>
      <c r="AM90" s="139"/>
      <c r="AN90" s="131"/>
      <c r="AO90" s="131"/>
      <c r="AP90" s="131"/>
      <c r="AQ90" s="131"/>
      <c r="AR90" s="131"/>
      <c r="AS90" s="131"/>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384" t="s">
        <v>273</v>
      </c>
      <c r="AF91" s="139"/>
      <c r="AG91" s="139"/>
      <c r="AH91" s="139"/>
      <c r="AI91" s="139"/>
      <c r="AJ91" s="139"/>
      <c r="AK91" s="139"/>
      <c r="AL91" s="139"/>
      <c r="AM91" s="139"/>
      <c r="AN91" s="131"/>
      <c r="AO91" s="131"/>
      <c r="AP91" s="131"/>
      <c r="AQ91" s="131"/>
      <c r="AR91" s="131"/>
      <c r="AS91" s="131"/>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384" t="s">
        <v>274</v>
      </c>
      <c r="AF92" s="139"/>
      <c r="AG92" s="139"/>
      <c r="AH92" s="139"/>
      <c r="AI92" s="139"/>
      <c r="AJ92" s="139"/>
      <c r="AK92" s="139"/>
      <c r="AL92" s="139"/>
      <c r="AM92" s="139"/>
      <c r="AN92" s="131"/>
      <c r="AO92" s="131"/>
      <c r="AP92" s="146"/>
      <c r="AQ92" s="131"/>
      <c r="AR92" s="131"/>
      <c r="AS92" s="131"/>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9"/>
      <c r="AL93" s="139"/>
      <c r="AM93" s="139"/>
      <c r="AN93" s="131"/>
      <c r="AO93" s="131"/>
      <c r="AP93" s="131"/>
      <c r="AQ93" s="131"/>
      <c r="AR93" s="131"/>
      <c r="AS93" s="131"/>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9"/>
      <c r="AL94" s="139"/>
      <c r="AM94" s="139"/>
      <c r="AN94" s="131"/>
      <c r="AO94" s="131"/>
      <c r="AP94" s="131"/>
      <c r="AQ94" s="131"/>
      <c r="AR94" s="131"/>
      <c r="AS94" s="131"/>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9"/>
      <c r="AJ95" s="139"/>
      <c r="AK95" s="139"/>
      <c r="AL95" s="134"/>
      <c r="AM95" s="131"/>
      <c r="AN95" s="131"/>
      <c r="AO95" s="131"/>
      <c r="AP95" s="131"/>
      <c r="AQ95" s="131"/>
      <c r="AR95" s="131"/>
      <c r="AS95" s="131"/>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9"/>
      <c r="AJ96" s="139"/>
      <c r="AK96" s="139"/>
      <c r="AL96" s="134"/>
      <c r="AM96" s="131"/>
      <c r="AN96" s="131"/>
      <c r="AO96" s="131"/>
      <c r="AP96" s="131"/>
      <c r="AQ96" s="131"/>
      <c r="AR96" s="131"/>
      <c r="AS96" s="131"/>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9"/>
      <c r="AJ97" s="139"/>
      <c r="AK97" s="139"/>
      <c r="AL97" s="134"/>
      <c r="AM97" s="131"/>
      <c r="AN97" s="131"/>
      <c r="AO97" s="131"/>
      <c r="AP97" s="131"/>
      <c r="AQ97" s="131"/>
      <c r="AR97" s="131"/>
      <c r="AS97" s="131"/>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9"/>
      <c r="AJ98" s="139"/>
      <c r="AK98" s="139"/>
      <c r="AL98" s="134"/>
      <c r="AM98" s="131"/>
      <c r="AN98" s="131"/>
      <c r="AO98" s="131"/>
      <c r="AP98" s="146"/>
      <c r="AQ98" s="131"/>
      <c r="AR98" s="131"/>
      <c r="AS98" s="131"/>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9"/>
      <c r="AJ99" s="139"/>
      <c r="AK99" s="139"/>
      <c r="AL99" s="134"/>
      <c r="AM99" s="131"/>
      <c r="AN99" s="131"/>
      <c r="AO99" s="131"/>
      <c r="AP99" s="131"/>
      <c r="AQ99" s="131"/>
      <c r="AR99" s="131"/>
      <c r="AS99" s="131"/>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9"/>
      <c r="AJ100" s="139"/>
      <c r="AK100" s="139"/>
      <c r="AL100" s="134"/>
      <c r="AM100" s="131"/>
      <c r="AN100" s="131"/>
      <c r="AO100" s="131"/>
      <c r="AP100" s="131"/>
      <c r="AQ100" s="131"/>
      <c r="AR100" s="131"/>
      <c r="AS100" s="131"/>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9"/>
      <c r="AJ101" s="139"/>
      <c r="AK101" s="139"/>
      <c r="AL101" s="134"/>
      <c r="AM101" s="131"/>
      <c r="AN101" s="131"/>
      <c r="AO101" s="131"/>
      <c r="AP101" s="131"/>
      <c r="AQ101" s="131"/>
      <c r="AR101" s="131"/>
      <c r="AS101" s="131"/>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9"/>
      <c r="AJ102" s="139"/>
      <c r="AK102" s="139"/>
      <c r="AL102" s="134"/>
      <c r="AM102" s="131"/>
      <c r="AN102" s="131"/>
      <c r="AO102" s="131"/>
      <c r="AP102" s="131"/>
      <c r="AQ102" s="131"/>
      <c r="AR102" s="131"/>
      <c r="AS102" s="131"/>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9"/>
      <c r="AJ103" s="139"/>
      <c r="AK103" s="139"/>
      <c r="AL103" s="134"/>
      <c r="AM103" s="131"/>
      <c r="AN103" s="131"/>
      <c r="AO103" s="131"/>
      <c r="AP103" s="131"/>
      <c r="AQ103" s="131"/>
      <c r="AR103" s="131"/>
      <c r="AS103" s="131"/>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9"/>
      <c r="AJ104" s="139"/>
      <c r="AK104" s="139"/>
      <c r="AL104" s="134"/>
      <c r="AM104" s="131"/>
      <c r="AN104" s="131"/>
      <c r="AO104" s="131"/>
      <c r="AP104" s="131"/>
      <c r="AQ104" s="131"/>
      <c r="AR104" s="131"/>
      <c r="AS104" s="131"/>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9"/>
      <c r="AJ105" s="139"/>
      <c r="AK105" s="139"/>
      <c r="AL105" s="134"/>
      <c r="AM105" s="131"/>
      <c r="AN105" s="131"/>
      <c r="AO105" s="131"/>
      <c r="AP105" s="131"/>
      <c r="AQ105" s="131"/>
      <c r="AR105" s="131"/>
      <c r="AS105" s="131"/>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9"/>
      <c r="AJ106" s="139"/>
      <c r="AK106" s="139"/>
      <c r="AL106" s="134"/>
      <c r="AM106" s="131"/>
      <c r="AN106" s="131"/>
      <c r="AO106" s="131"/>
      <c r="AP106" s="131"/>
      <c r="AQ106" s="131"/>
      <c r="AR106" s="131"/>
      <c r="AS106" s="131"/>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9"/>
      <c r="AJ107" s="139"/>
      <c r="AK107" s="139"/>
      <c r="AL107" s="134"/>
      <c r="AM107" s="131"/>
      <c r="AN107" s="131"/>
      <c r="AO107" s="131"/>
      <c r="AP107" s="131"/>
      <c r="AQ107" s="131"/>
      <c r="AR107" s="131"/>
      <c r="AS107" s="131"/>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9"/>
      <c r="AJ108" s="139"/>
      <c r="AK108" s="139"/>
      <c r="AL108" s="134"/>
      <c r="AM108" s="131"/>
      <c r="AN108" s="131"/>
      <c r="AO108" s="131"/>
      <c r="AP108" s="131"/>
      <c r="AQ108" s="131"/>
      <c r="AR108" s="131"/>
      <c r="AS108" s="131"/>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9"/>
      <c r="AJ109" s="139"/>
      <c r="AK109" s="139"/>
      <c r="AL109" s="134"/>
      <c r="AM109" s="131"/>
      <c r="AN109" s="131"/>
      <c r="AO109" s="131"/>
      <c r="AP109" s="131"/>
      <c r="AQ109" s="131"/>
      <c r="AR109" s="131"/>
      <c r="AS109" s="131"/>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9"/>
      <c r="AJ110" s="139"/>
      <c r="AK110" s="139"/>
      <c r="AL110" s="134"/>
      <c r="AM110" s="131"/>
      <c r="AN110" s="131"/>
      <c r="AO110" s="131"/>
      <c r="AP110" s="131"/>
      <c r="AQ110" s="131"/>
      <c r="AR110" s="131"/>
      <c r="AS110" s="131"/>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9"/>
      <c r="AJ111" s="139"/>
      <c r="AK111" s="139"/>
      <c r="AL111" s="134"/>
      <c r="AM111" s="131"/>
      <c r="AN111" s="131"/>
      <c r="AO111" s="131"/>
      <c r="AP111" s="131"/>
      <c r="AQ111" s="131"/>
      <c r="AR111" s="131"/>
      <c r="AS111" s="131"/>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9"/>
      <c r="AJ112" s="139"/>
      <c r="AK112" s="139"/>
      <c r="AL112" s="134"/>
      <c r="AM112" s="131"/>
      <c r="AN112" s="131"/>
      <c r="AO112" s="131"/>
      <c r="AP112" s="131"/>
      <c r="AQ112" s="131"/>
      <c r="AR112" s="131"/>
      <c r="AS112" s="131"/>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9"/>
      <c r="AJ113" s="139"/>
      <c r="AK113" s="139"/>
      <c r="AL113" s="134"/>
      <c r="AM113" s="131"/>
      <c r="AN113" s="131"/>
      <c r="AO113" s="131"/>
      <c r="AP113" s="131"/>
      <c r="AQ113" s="131"/>
      <c r="AR113" s="131"/>
      <c r="AS113" s="131"/>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9"/>
      <c r="AJ114" s="139"/>
      <c r="AK114" s="139"/>
      <c r="AL114" s="134"/>
      <c r="AM114" s="131"/>
      <c r="AN114" s="131"/>
      <c r="AO114" s="131"/>
      <c r="AP114" s="131"/>
      <c r="AQ114" s="131"/>
      <c r="AR114" s="131"/>
      <c r="AS114" s="131"/>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9"/>
      <c r="AJ115" s="139"/>
      <c r="AK115" s="139"/>
      <c r="AL115" s="134"/>
      <c r="AM115" s="131"/>
      <c r="AN115" s="131"/>
      <c r="AO115" s="131"/>
      <c r="AP115" s="131"/>
      <c r="AQ115" s="131"/>
      <c r="AR115" s="131"/>
      <c r="AS115" s="131"/>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9"/>
      <c r="AJ116" s="139"/>
      <c r="AK116" s="139"/>
      <c r="AL116" s="134"/>
      <c r="AM116" s="131"/>
      <c r="AN116" s="131"/>
      <c r="AO116" s="131"/>
      <c r="AP116" s="131"/>
      <c r="AQ116" s="131"/>
      <c r="AR116" s="131"/>
      <c r="AS116" s="131"/>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9"/>
      <c r="AJ117" s="139"/>
      <c r="AK117" s="139"/>
      <c r="AL117" s="134"/>
      <c r="AM117" s="131"/>
      <c r="AN117" s="131"/>
      <c r="AO117" s="131"/>
      <c r="AP117" s="131"/>
      <c r="AQ117" s="131"/>
      <c r="AR117" s="131"/>
      <c r="AS117" s="131"/>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9"/>
      <c r="AJ118" s="139"/>
      <c r="AK118" s="139"/>
      <c r="AL118" s="134"/>
      <c r="AM118" s="131"/>
      <c r="AN118" s="131"/>
      <c r="AO118" s="131"/>
      <c r="AP118" s="131"/>
      <c r="AQ118" s="131"/>
      <c r="AR118" s="131"/>
      <c r="AS118" s="131"/>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9"/>
      <c r="AJ119" s="139"/>
      <c r="AK119" s="139"/>
      <c r="AL119" s="134"/>
      <c r="AM119" s="131"/>
      <c r="AN119" s="131"/>
      <c r="AO119" s="131"/>
      <c r="AP119" s="131"/>
      <c r="AQ119" s="131"/>
      <c r="AR119" s="131"/>
      <c r="AS119" s="131"/>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9"/>
      <c r="AJ120" s="139"/>
      <c r="AK120" s="139"/>
      <c r="AL120" s="134"/>
      <c r="AM120" s="131"/>
      <c r="AN120" s="131"/>
      <c r="AO120" s="131"/>
      <c r="AP120" s="131"/>
      <c r="AQ120" s="131"/>
      <c r="AR120" s="131"/>
      <c r="AS120" s="131"/>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9"/>
      <c r="AJ121" s="139"/>
      <c r="AK121" s="139"/>
      <c r="AL121" s="134"/>
      <c r="AM121" s="131"/>
      <c r="AN121" s="131"/>
      <c r="AO121" s="131"/>
      <c r="AP121" s="131"/>
      <c r="AQ121" s="131"/>
      <c r="AR121" s="131"/>
      <c r="AS121" s="131"/>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9"/>
      <c r="AJ122" s="139"/>
      <c r="AK122" s="139"/>
      <c r="AL122" s="134"/>
      <c r="AM122" s="131"/>
      <c r="AN122" s="131"/>
      <c r="AO122" s="131"/>
      <c r="AP122" s="131"/>
      <c r="AQ122" s="131"/>
      <c r="AR122" s="131"/>
      <c r="AS122" s="131"/>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9"/>
      <c r="AJ123" s="139"/>
      <c r="AK123" s="139"/>
      <c r="AL123" s="134"/>
      <c r="AM123" s="131"/>
      <c r="AN123" s="131"/>
      <c r="AO123" s="131"/>
      <c r="AP123" s="131"/>
      <c r="AQ123" s="131"/>
      <c r="AR123" s="131"/>
      <c r="AS123" s="131"/>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9"/>
      <c r="AJ124" s="139"/>
      <c r="AK124" s="139"/>
      <c r="AL124" s="134"/>
      <c r="AM124" s="131"/>
      <c r="AN124" s="131"/>
      <c r="AO124" s="131"/>
      <c r="AP124" s="131"/>
      <c r="AQ124" s="131"/>
      <c r="AR124" s="131"/>
      <c r="AS124" s="131"/>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9"/>
      <c r="AJ125" s="139"/>
      <c r="AK125" s="139"/>
      <c r="AL125" s="134"/>
      <c r="AM125" s="131"/>
      <c r="AN125" s="131"/>
      <c r="AO125" s="131"/>
      <c r="AP125" s="131"/>
      <c r="AQ125" s="131"/>
      <c r="AR125" s="131"/>
      <c r="AS125" s="131"/>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9"/>
      <c r="AJ126" s="139"/>
      <c r="AK126" s="139"/>
      <c r="AL126" s="134"/>
      <c r="AM126" s="131"/>
      <c r="AN126" s="131"/>
      <c r="AO126" s="131"/>
      <c r="AP126" s="131"/>
      <c r="AQ126" s="131"/>
      <c r="AR126" s="131"/>
      <c r="AS126" s="131"/>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9"/>
      <c r="AJ127" s="139"/>
      <c r="AK127" s="139"/>
      <c r="AL127" s="134"/>
      <c r="AM127" s="131"/>
      <c r="AN127" s="131"/>
      <c r="AO127" s="131"/>
      <c r="AP127" s="131"/>
      <c r="AQ127" s="131"/>
      <c r="AR127" s="131"/>
      <c r="AS127" s="131"/>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9"/>
      <c r="AJ128" s="139"/>
      <c r="AK128" s="139"/>
      <c r="AL128" s="134"/>
      <c r="AM128" s="131"/>
      <c r="AN128" s="131"/>
      <c r="AO128" s="131"/>
      <c r="AP128" s="131"/>
      <c r="AQ128" s="131"/>
      <c r="AR128" s="131"/>
      <c r="AS128" s="131"/>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9"/>
      <c r="AJ129" s="139"/>
      <c r="AK129" s="139"/>
      <c r="AL129" s="134"/>
      <c r="AM129" s="131"/>
      <c r="AN129" s="131"/>
      <c r="AO129" s="131"/>
      <c r="AP129" s="131"/>
      <c r="AQ129" s="131"/>
      <c r="AR129" s="131"/>
      <c r="AS129" s="131"/>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9"/>
      <c r="AJ130" s="139"/>
      <c r="AK130" s="139"/>
      <c r="AL130" s="134"/>
      <c r="AM130" s="131"/>
      <c r="AN130" s="131"/>
      <c r="AO130" s="131"/>
      <c r="AP130" s="131"/>
      <c r="AQ130" s="131"/>
      <c r="AR130" s="131"/>
      <c r="AS130" s="131"/>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9"/>
      <c r="AJ131" s="139"/>
      <c r="AK131" s="139"/>
      <c r="AL131" s="134"/>
      <c r="AM131" s="131"/>
      <c r="AN131" s="131"/>
      <c r="AO131" s="131"/>
      <c r="AP131" s="131"/>
      <c r="AQ131" s="131"/>
      <c r="AR131" s="131"/>
      <c r="AS131" s="131"/>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9"/>
      <c r="AJ132" s="139"/>
      <c r="AK132" s="139"/>
      <c r="AL132" s="134"/>
      <c r="AM132" s="131"/>
      <c r="AN132" s="131"/>
      <c r="AO132" s="131"/>
      <c r="AP132" s="131"/>
      <c r="AQ132" s="131"/>
      <c r="AR132" s="131"/>
      <c r="AS132" s="131"/>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48"/>
      <c r="AE133" s="148"/>
      <c r="AF133" s="139"/>
      <c r="AG133" s="139"/>
      <c r="AH133" s="139"/>
      <c r="AI133" s="139"/>
      <c r="AJ133" s="139"/>
      <c r="AK133" s="139"/>
      <c r="AL133" s="134"/>
      <c r="AM133" s="131"/>
      <c r="AN133" s="131"/>
      <c r="AO133" s="131"/>
      <c r="AP133" s="131"/>
      <c r="AQ133" s="131"/>
      <c r="AR133" s="131"/>
      <c r="AS133" s="131"/>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9"/>
      <c r="AJ134" s="139"/>
      <c r="AK134" s="139"/>
      <c r="AL134" s="134"/>
      <c r="AM134" s="131"/>
      <c r="AN134" s="131"/>
      <c r="AO134" s="131"/>
      <c r="AP134" s="131"/>
      <c r="AQ134" s="131"/>
      <c r="AR134" s="131"/>
      <c r="AS134" s="131"/>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9"/>
      <c r="AJ135" s="139"/>
      <c r="AK135" s="139"/>
      <c r="AL135" s="134"/>
      <c r="AM135" s="131"/>
      <c r="AN135" s="131"/>
      <c r="AO135" s="131"/>
      <c r="AP135" s="131"/>
      <c r="AQ135" s="131"/>
      <c r="AR135" s="131"/>
      <c r="AS135" s="131"/>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9"/>
      <c r="AJ136" s="139"/>
      <c r="AK136" s="139"/>
      <c r="AL136" s="134"/>
      <c r="AM136" s="131"/>
      <c r="AN136" s="131"/>
      <c r="AO136" s="131"/>
      <c r="AP136" s="131"/>
      <c r="AQ136" s="131"/>
      <c r="AR136" s="131"/>
      <c r="AS136" s="131"/>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9"/>
      <c r="AJ137" s="139"/>
      <c r="AK137" s="139"/>
      <c r="AL137" s="134"/>
      <c r="AM137" s="131"/>
      <c r="AN137" s="131"/>
      <c r="AO137" s="131"/>
      <c r="AP137" s="131"/>
      <c r="AQ137" s="131"/>
      <c r="AR137" s="131"/>
      <c r="AS137" s="131"/>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9"/>
      <c r="AJ138" s="139"/>
      <c r="AK138" s="139"/>
      <c r="AL138" s="134"/>
      <c r="AM138" s="131"/>
      <c r="AN138" s="131"/>
      <c r="AO138" s="131"/>
      <c r="AP138" s="131"/>
      <c r="AQ138" s="131"/>
      <c r="AR138" s="131"/>
      <c r="AS138" s="131"/>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9"/>
      <c r="AJ139" s="139"/>
      <c r="AK139" s="139"/>
      <c r="AL139" s="134"/>
      <c r="AM139" s="131"/>
      <c r="AN139" s="131"/>
      <c r="AO139" s="131"/>
      <c r="AP139" s="131"/>
      <c r="AQ139" s="131"/>
      <c r="AR139" s="131"/>
      <c r="AS139" s="131"/>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9"/>
      <c r="AJ140" s="139"/>
      <c r="AK140" s="139"/>
      <c r="AL140" s="134"/>
      <c r="AM140" s="131"/>
      <c r="AN140" s="131"/>
      <c r="AO140" s="131"/>
      <c r="AP140" s="131"/>
      <c r="AQ140" s="131"/>
      <c r="AR140" s="131"/>
      <c r="AS140" s="131"/>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9"/>
      <c r="AJ141" s="139"/>
      <c r="AK141" s="139"/>
      <c r="AL141" s="134"/>
      <c r="AM141" s="131"/>
      <c r="AN141" s="131"/>
      <c r="AO141" s="131"/>
      <c r="AP141" s="131"/>
      <c r="AQ141" s="131"/>
      <c r="AR141" s="131"/>
      <c r="AS141" s="131"/>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9"/>
      <c r="AJ142" s="139"/>
      <c r="AK142" s="139"/>
      <c r="AL142" s="134"/>
      <c r="AM142" s="131"/>
      <c r="AN142" s="131"/>
      <c r="AO142" s="131"/>
      <c r="AP142" s="131"/>
      <c r="AQ142" s="131"/>
      <c r="AR142" s="131"/>
      <c r="AS142" s="131"/>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9"/>
      <c r="AJ143" s="139"/>
      <c r="AK143" s="139"/>
      <c r="AL143" s="134"/>
      <c r="AM143" s="131"/>
      <c r="AN143" s="131"/>
      <c r="AO143" s="131"/>
      <c r="AP143" s="131"/>
      <c r="AQ143" s="131"/>
      <c r="AR143" s="131"/>
      <c r="AS143" s="131"/>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9"/>
      <c r="AJ144" s="139"/>
      <c r="AK144" s="139"/>
      <c r="AL144" s="134"/>
      <c r="AM144" s="131"/>
      <c r="AN144" s="131"/>
      <c r="AO144" s="131"/>
      <c r="AP144" s="131"/>
      <c r="AQ144" s="131"/>
      <c r="AR144" s="131"/>
      <c r="AS144" s="131"/>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9"/>
      <c r="AJ145" s="139"/>
      <c r="AK145" s="139"/>
      <c r="AL145" s="134"/>
      <c r="AM145" s="131"/>
      <c r="AN145" s="131"/>
      <c r="AO145" s="131"/>
      <c r="AP145" s="131"/>
      <c r="AQ145" s="131"/>
      <c r="AR145" s="131"/>
      <c r="AS145" s="131"/>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9"/>
      <c r="AJ146" s="139"/>
      <c r="AK146" s="139"/>
      <c r="AL146" s="134"/>
      <c r="AM146" s="131"/>
      <c r="AN146" s="131"/>
      <c r="AO146" s="131"/>
      <c r="AP146" s="131"/>
      <c r="AQ146" s="131"/>
      <c r="AR146" s="131"/>
      <c r="AS146" s="131"/>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9"/>
      <c r="AJ147" s="139"/>
      <c r="AK147" s="139"/>
      <c r="AL147" s="134"/>
      <c r="AM147" s="131"/>
      <c r="AN147" s="131"/>
      <c r="AO147" s="131"/>
      <c r="AP147" s="131"/>
      <c r="AQ147" s="131"/>
      <c r="AR147" s="131"/>
      <c r="AS147" s="131"/>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9"/>
      <c r="AJ148" s="139"/>
      <c r="AK148" s="139"/>
      <c r="AL148" s="134"/>
      <c r="AM148" s="131"/>
      <c r="AN148" s="131"/>
      <c r="AO148" s="131"/>
      <c r="AP148" s="131"/>
      <c r="AQ148" s="131"/>
      <c r="AR148" s="131"/>
      <c r="AS148" s="131"/>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9"/>
      <c r="AJ149" s="139"/>
      <c r="AK149" s="139"/>
      <c r="AL149" s="134"/>
      <c r="AM149" s="131"/>
      <c r="AN149" s="131"/>
      <c r="AO149" s="131"/>
      <c r="AP149" s="131"/>
      <c r="AQ149" s="131"/>
      <c r="AR149" s="131"/>
      <c r="AS149" s="131"/>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9"/>
      <c r="AJ150" s="139"/>
      <c r="AK150" s="139"/>
      <c r="AL150" s="134"/>
      <c r="AM150" s="131"/>
      <c r="AN150" s="131"/>
      <c r="AO150" s="131"/>
      <c r="AP150" s="131"/>
      <c r="AQ150" s="131"/>
      <c r="AR150" s="131"/>
      <c r="AS150" s="131"/>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9"/>
      <c r="AJ151" s="139"/>
      <c r="AK151" s="139"/>
      <c r="AL151" s="134"/>
      <c r="AM151" s="131"/>
      <c r="AN151" s="131"/>
      <c r="AO151" s="131"/>
      <c r="AP151" s="131"/>
      <c r="AQ151" s="131"/>
      <c r="AR151" s="131"/>
      <c r="AS151" s="131"/>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9"/>
      <c r="AJ152" s="139"/>
      <c r="AK152" s="139"/>
      <c r="AL152" s="134"/>
      <c r="AM152" s="131"/>
      <c r="AN152" s="131"/>
      <c r="AO152" s="131"/>
      <c r="AP152" s="131"/>
      <c r="AQ152" s="131"/>
      <c r="AR152" s="131"/>
      <c r="AS152" s="131"/>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9"/>
      <c r="AJ153" s="139"/>
      <c r="AK153" s="139"/>
      <c r="AL153" s="134"/>
      <c r="AM153" s="131"/>
      <c r="AN153" s="131"/>
      <c r="AO153" s="131"/>
      <c r="AP153" s="131"/>
      <c r="AQ153" s="131"/>
      <c r="AR153" s="131"/>
      <c r="AS153" s="131"/>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9"/>
      <c r="AJ154" s="139"/>
      <c r="AK154" s="139"/>
      <c r="AL154" s="134"/>
      <c r="AM154" s="131"/>
      <c r="AN154" s="131"/>
      <c r="AO154" s="131"/>
      <c r="AP154" s="131"/>
      <c r="AQ154" s="131"/>
      <c r="AR154" s="131"/>
      <c r="AS154" s="131"/>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9"/>
      <c r="AJ155" s="139"/>
      <c r="AK155" s="139"/>
      <c r="AL155" s="134"/>
      <c r="AM155" s="131"/>
      <c r="AN155" s="131"/>
      <c r="AO155" s="131"/>
      <c r="AP155" s="131"/>
      <c r="AQ155" s="131"/>
      <c r="AR155" s="131"/>
      <c r="AS155" s="131"/>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9"/>
      <c r="AJ156" s="139"/>
      <c r="AK156" s="139"/>
      <c r="AL156" s="134"/>
      <c r="AM156" s="131"/>
      <c r="AN156" s="131"/>
      <c r="AO156" s="131"/>
      <c r="AP156" s="131"/>
      <c r="AQ156" s="131"/>
      <c r="AR156" s="131"/>
      <c r="AS156" s="131"/>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9"/>
      <c r="AJ157" s="139"/>
      <c r="AK157" s="139"/>
      <c r="AL157" s="134"/>
      <c r="AM157" s="131"/>
      <c r="AN157" s="131"/>
      <c r="AO157" s="131"/>
      <c r="AP157" s="131"/>
      <c r="AQ157" s="131"/>
      <c r="AR157" s="131"/>
      <c r="AS157" s="131"/>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9"/>
      <c r="AJ158" s="139"/>
      <c r="AK158" s="139"/>
      <c r="AL158" s="134"/>
      <c r="AM158" s="131"/>
      <c r="AN158" s="131"/>
      <c r="AO158" s="131"/>
      <c r="AP158" s="131"/>
      <c r="AQ158" s="146"/>
      <c r="AR158" s="146"/>
      <c r="AS158" s="14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9"/>
      <c r="AJ159" s="139"/>
      <c r="AK159" s="139"/>
      <c r="AL159" s="134"/>
      <c r="AM159" s="131"/>
      <c r="AN159" s="131"/>
      <c r="AO159" s="131"/>
      <c r="AP159" s="131"/>
      <c r="AQ159" s="131"/>
      <c r="AR159" s="131"/>
      <c r="AS159" s="131"/>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9"/>
      <c r="AJ160" s="139"/>
      <c r="AK160" s="139"/>
      <c r="AL160" s="134"/>
      <c r="AM160" s="131"/>
      <c r="AN160" s="131"/>
      <c r="AO160" s="131"/>
      <c r="AP160" s="131"/>
      <c r="AQ160" s="131"/>
      <c r="AR160" s="131"/>
      <c r="AS160" s="131"/>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9"/>
      <c r="AJ161" s="139"/>
      <c r="AK161" s="139"/>
      <c r="AL161" s="134"/>
      <c r="AM161" s="131"/>
      <c r="AN161" s="131"/>
      <c r="AO161" s="131"/>
      <c r="AP161" s="131"/>
      <c r="AQ161" s="131"/>
      <c r="AR161" s="131"/>
      <c r="AS161" s="131"/>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9"/>
      <c r="AJ162" s="139"/>
      <c r="AK162" s="139"/>
      <c r="AL162" s="134"/>
      <c r="AM162" s="131"/>
      <c r="AN162" s="131"/>
      <c r="AO162" s="131"/>
      <c r="AP162" s="131"/>
      <c r="AQ162" s="131"/>
      <c r="AR162" s="131"/>
      <c r="AS162" s="131"/>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9"/>
      <c r="AJ163" s="139"/>
      <c r="AK163" s="139"/>
      <c r="AL163" s="134"/>
      <c r="AM163" s="131"/>
      <c r="AN163" s="131"/>
      <c r="AO163" s="131"/>
      <c r="AP163" s="131"/>
      <c r="AQ163" s="131"/>
      <c r="AR163" s="131"/>
      <c r="AS163" s="131"/>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9"/>
      <c r="AJ164" s="139"/>
      <c r="AK164" s="139"/>
      <c r="AL164" s="134"/>
      <c r="AM164" s="131"/>
      <c r="AN164" s="131"/>
      <c r="AO164" s="131"/>
      <c r="AP164" s="131"/>
      <c r="AQ164" s="146"/>
      <c r="AR164" s="146"/>
      <c r="AS164" s="14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9"/>
      <c r="AJ165" s="139"/>
      <c r="AK165" s="139"/>
      <c r="AL165" s="134"/>
      <c r="AM165" s="131"/>
      <c r="AN165" s="131"/>
      <c r="AO165" s="131"/>
      <c r="AP165" s="131"/>
      <c r="AQ165" s="131"/>
      <c r="AR165" s="131"/>
      <c r="AS165" s="131"/>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9"/>
      <c r="AJ166" s="139"/>
      <c r="AK166" s="139"/>
      <c r="AL166" s="134"/>
      <c r="AM166" s="131"/>
      <c r="AN166" s="131"/>
      <c r="AO166" s="131"/>
      <c r="AP166" s="131"/>
      <c r="AQ166" s="131"/>
      <c r="AR166" s="131"/>
      <c r="AS166" s="131"/>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9"/>
      <c r="AJ167" s="139"/>
      <c r="AK167" s="139"/>
      <c r="AL167" s="134"/>
      <c r="AM167" s="131"/>
      <c r="AN167" s="131"/>
      <c r="AO167" s="131"/>
      <c r="AP167" s="131"/>
      <c r="AQ167" s="131"/>
      <c r="AR167" s="131"/>
      <c r="AS167" s="131"/>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9"/>
      <c r="AJ168" s="139"/>
      <c r="AK168" s="139"/>
      <c r="AL168" s="134"/>
      <c r="AM168" s="131"/>
      <c r="AN168" s="131"/>
      <c r="AO168" s="131"/>
      <c r="AP168" s="131"/>
      <c r="AQ168" s="131"/>
      <c r="AR168" s="131"/>
      <c r="AS168" s="131"/>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9"/>
      <c r="AJ169" s="139"/>
      <c r="AK169" s="139"/>
      <c r="AL169" s="134"/>
      <c r="AM169" s="131"/>
      <c r="AN169" s="131"/>
      <c r="AO169" s="131"/>
      <c r="AP169" s="131"/>
      <c r="AQ169" s="131"/>
      <c r="AR169" s="131"/>
      <c r="AS169" s="131"/>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9"/>
      <c r="AJ170" s="139"/>
      <c r="AK170" s="139"/>
      <c r="AL170" s="134"/>
      <c r="AM170" s="131"/>
      <c r="AN170" s="131"/>
      <c r="AO170" s="131"/>
      <c r="AP170" s="131"/>
      <c r="AQ170" s="146"/>
      <c r="AR170" s="146"/>
      <c r="AS170" s="14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9"/>
      <c r="AJ171" s="139"/>
      <c r="AK171" s="139"/>
      <c r="AL171" s="134"/>
      <c r="AM171" s="131"/>
      <c r="AN171" s="131"/>
      <c r="AO171" s="131"/>
      <c r="AP171" s="131"/>
      <c r="AQ171" s="131"/>
      <c r="AR171" s="131"/>
      <c r="AS171" s="131"/>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1"/>
      <c r="B172" s="141"/>
      <c r="C172" s="141"/>
      <c r="D172" s="141"/>
      <c r="E172" s="141"/>
      <c r="F172" s="141"/>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9"/>
      <c r="AJ172" s="139"/>
      <c r="AK172" s="139"/>
      <c r="AL172" s="134"/>
      <c r="AM172" s="131"/>
      <c r="AN172" s="131"/>
      <c r="AO172" s="131"/>
      <c r="AP172" s="131"/>
      <c r="AQ172" s="131"/>
      <c r="AR172" s="131"/>
      <c r="AS172" s="131"/>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1"/>
      <c r="B173" s="141"/>
      <c r="C173" s="141"/>
      <c r="D173" s="141"/>
      <c r="E173" s="141" t="b">
        <v>1</v>
      </c>
      <c r="F173" s="141"/>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9"/>
      <c r="AJ173" s="139"/>
      <c r="AK173" s="139"/>
      <c r="AL173" s="134"/>
      <c r="AM173" s="131"/>
      <c r="AN173" s="131"/>
      <c r="AO173" s="131"/>
      <c r="AP173" s="131"/>
      <c r="AQ173" s="131"/>
      <c r="AR173" s="131"/>
      <c r="AS173" s="131"/>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34"/>
      <c r="B174" s="141"/>
      <c r="C174" s="141"/>
      <c r="D174" s="141"/>
      <c r="E174" s="141" t="b">
        <v>0</v>
      </c>
      <c r="F174" s="141"/>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9"/>
      <c r="AJ174" s="139"/>
      <c r="AK174" s="139"/>
      <c r="AL174" s="134"/>
      <c r="AM174" s="131"/>
      <c r="AN174" s="131"/>
      <c r="AO174" s="131"/>
      <c r="AP174" s="131"/>
      <c r="AQ174" s="131"/>
      <c r="AR174" s="131"/>
      <c r="AS174" s="131"/>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1"/>
      <c r="B175" s="141"/>
      <c r="C175" s="141"/>
      <c r="D175" s="141"/>
      <c r="E175" s="141"/>
      <c r="F175" s="141"/>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9"/>
      <c r="AJ175" s="139"/>
      <c r="AK175" s="139"/>
      <c r="AL175" s="134"/>
      <c r="AM175" s="131"/>
      <c r="AN175" s="131"/>
      <c r="AO175" s="131"/>
      <c r="AP175" s="131"/>
      <c r="AQ175" s="131"/>
      <c r="AR175" s="131"/>
      <c r="AS175" s="131"/>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1"/>
      <c r="B176" s="141"/>
      <c r="C176" s="141"/>
      <c r="D176" s="141"/>
      <c r="E176" s="141"/>
      <c r="F176" s="141"/>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9"/>
      <c r="AJ176" s="139"/>
      <c r="AK176" s="139"/>
      <c r="AL176" s="134"/>
      <c r="AM176" s="131"/>
      <c r="AN176" s="131"/>
      <c r="AO176" s="131"/>
      <c r="AP176" s="131"/>
      <c r="AQ176" s="131"/>
      <c r="AR176" s="131"/>
      <c r="AS176" s="131"/>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1"/>
      <c r="B177" s="141"/>
      <c r="C177" s="141"/>
      <c r="D177" s="141"/>
      <c r="E177" s="141"/>
      <c r="F177" s="141"/>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9"/>
      <c r="AJ177" s="139"/>
      <c r="AK177" s="139"/>
      <c r="AL177" s="134"/>
      <c r="AM177" s="131"/>
      <c r="AN177" s="131"/>
      <c r="AO177" s="131"/>
      <c r="AP177" s="131"/>
      <c r="AQ177" s="131"/>
      <c r="AR177" s="131"/>
      <c r="AS177" s="131"/>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1"/>
      <c r="B178" s="141"/>
      <c r="C178" s="141"/>
      <c r="D178" s="141"/>
      <c r="E178" s="141"/>
      <c r="F178" s="141"/>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9"/>
      <c r="AJ178" s="139"/>
      <c r="AK178" s="139"/>
      <c r="AL178" s="134"/>
      <c r="AM178" s="131"/>
      <c r="AN178" s="131"/>
      <c r="AO178" s="131"/>
      <c r="AP178" s="131"/>
      <c r="AQ178" s="131"/>
      <c r="AR178" s="131"/>
      <c r="AS178" s="131"/>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1"/>
      <c r="B179" s="141"/>
      <c r="C179" s="141"/>
      <c r="D179" s="141"/>
      <c r="E179" s="141"/>
      <c r="F179" s="141"/>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9"/>
      <c r="AJ179" s="139"/>
      <c r="AK179" s="139"/>
      <c r="AL179" s="134"/>
      <c r="AM179" s="131"/>
      <c r="AN179" s="131"/>
      <c r="AO179" s="131"/>
      <c r="AP179" s="131"/>
      <c r="AQ179" s="131"/>
      <c r="AR179" s="131"/>
      <c r="AS179" s="131"/>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34"/>
      <c r="B180" s="141"/>
      <c r="C180" s="141"/>
      <c r="D180" s="141"/>
      <c r="E180" s="141"/>
      <c r="F180" s="141"/>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9"/>
      <c r="AJ180" s="139"/>
      <c r="AK180" s="139"/>
      <c r="AL180" s="134"/>
      <c r="AM180" s="131"/>
      <c r="AN180" s="131"/>
      <c r="AO180" s="131"/>
      <c r="AP180" s="131"/>
      <c r="AQ180" s="131"/>
      <c r="AR180" s="131"/>
      <c r="AS180" s="131"/>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1"/>
      <c r="B181" s="141"/>
      <c r="C181" s="141"/>
      <c r="D181" s="141"/>
      <c r="E181" s="141"/>
      <c r="F181" s="141"/>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9"/>
      <c r="AJ181" s="139"/>
      <c r="AK181" s="139"/>
      <c r="AL181" s="134"/>
      <c r="AM181" s="131"/>
      <c r="AN181" s="131"/>
      <c r="AO181" s="131"/>
      <c r="AP181" s="131"/>
      <c r="AQ181" s="131"/>
      <c r="AR181" s="131"/>
      <c r="AS181" s="131"/>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1"/>
      <c r="B182" s="141"/>
      <c r="C182" s="141"/>
      <c r="D182" s="141"/>
      <c r="E182" s="141"/>
      <c r="F182" s="141"/>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9"/>
      <c r="AJ182" s="139"/>
      <c r="AK182" s="139"/>
      <c r="AL182" s="134"/>
      <c r="AM182" s="131"/>
      <c r="AN182" s="131"/>
      <c r="AO182" s="131"/>
      <c r="AP182" s="131"/>
      <c r="AQ182" s="131"/>
      <c r="AR182" s="131"/>
      <c r="AS182" s="131"/>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1"/>
      <c r="B183" s="141"/>
      <c r="C183" s="141"/>
      <c r="D183" s="141"/>
      <c r="E183" s="141"/>
      <c r="F183" s="141"/>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9"/>
      <c r="AJ183" s="139"/>
      <c r="AK183" s="139"/>
      <c r="AL183" s="134"/>
      <c r="AM183" s="131"/>
      <c r="AN183" s="131"/>
      <c r="AO183" s="131"/>
      <c r="AP183" s="131"/>
      <c r="AQ183" s="131"/>
      <c r="AR183" s="131"/>
      <c r="AS183" s="131"/>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1"/>
      <c r="B184" s="141"/>
      <c r="C184" s="141"/>
      <c r="D184" s="141"/>
      <c r="E184" s="141"/>
      <c r="F184" s="141"/>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9"/>
      <c r="AJ184" s="139"/>
      <c r="AK184" s="139"/>
      <c r="AL184" s="134"/>
      <c r="AM184" s="131"/>
      <c r="AN184" s="131"/>
      <c r="AO184" s="131"/>
      <c r="AP184" s="131"/>
      <c r="AQ184" s="131"/>
      <c r="AR184" s="131"/>
      <c r="AS184" s="131"/>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1"/>
      <c r="B185" s="141"/>
      <c r="C185" s="141"/>
      <c r="D185" s="141"/>
      <c r="E185" s="141"/>
      <c r="F185" s="141"/>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9"/>
      <c r="AJ185" s="139"/>
      <c r="AK185" s="139"/>
      <c r="AL185" s="134"/>
      <c r="AM185" s="131"/>
      <c r="AN185" s="131"/>
      <c r="AO185" s="131"/>
      <c r="AP185" s="131"/>
      <c r="AQ185" s="131"/>
      <c r="AR185" s="131"/>
      <c r="AS185" s="131"/>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34"/>
      <c r="B186" s="141"/>
      <c r="C186" s="141"/>
      <c r="D186" s="141"/>
      <c r="E186" s="141"/>
      <c r="F186" s="141"/>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9"/>
      <c r="AJ186" s="139"/>
      <c r="AK186" s="139"/>
      <c r="AL186" s="134"/>
      <c r="AM186" s="131"/>
      <c r="AN186" s="131"/>
      <c r="AO186" s="131"/>
      <c r="AP186" s="131"/>
      <c r="AQ186" s="131"/>
      <c r="AR186" s="131"/>
      <c r="AS186" s="131"/>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1"/>
      <c r="B187" s="141"/>
      <c r="C187" s="141"/>
      <c r="D187" s="141"/>
      <c r="E187" s="141"/>
      <c r="F187" s="141"/>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9"/>
      <c r="AJ187" s="139"/>
      <c r="AK187" s="139"/>
      <c r="AL187" s="134"/>
      <c r="AM187" s="131"/>
      <c r="AN187" s="131"/>
      <c r="AO187" s="131"/>
      <c r="AP187" s="131"/>
      <c r="AQ187" s="131"/>
      <c r="AR187" s="131"/>
      <c r="AS187" s="131"/>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1"/>
      <c r="B188" s="141"/>
      <c r="C188" s="141"/>
      <c r="D188" s="141"/>
      <c r="E188" s="141"/>
      <c r="F188" s="141"/>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9"/>
      <c r="AJ188" s="139"/>
      <c r="AK188" s="139"/>
      <c r="AL188" s="134"/>
      <c r="AM188" s="131"/>
      <c r="AN188" s="131"/>
      <c r="AO188" s="131"/>
      <c r="AP188" s="131"/>
      <c r="AQ188" s="131"/>
      <c r="AR188" s="131"/>
      <c r="AS188" s="131"/>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1"/>
      <c r="B189" s="141"/>
      <c r="C189" s="141"/>
      <c r="D189" s="141"/>
      <c r="E189" s="141"/>
      <c r="F189" s="141"/>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9"/>
      <c r="AJ189" s="139"/>
      <c r="AK189" s="139"/>
      <c r="AL189" s="134"/>
      <c r="AM189" s="131"/>
      <c r="AN189" s="131"/>
      <c r="AO189" s="131"/>
      <c r="AP189" s="131"/>
      <c r="AQ189" s="131"/>
      <c r="AR189" s="131"/>
      <c r="AS189" s="131"/>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1"/>
      <c r="B190" s="141"/>
      <c r="C190" s="141"/>
      <c r="D190" s="141"/>
      <c r="E190" s="141"/>
      <c r="F190" s="141"/>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9"/>
      <c r="AJ190" s="139"/>
      <c r="AK190" s="139"/>
      <c r="AL190" s="134"/>
      <c r="AM190" s="131"/>
      <c r="AN190" s="131"/>
      <c r="AO190" s="131"/>
      <c r="AP190" s="131"/>
      <c r="AQ190" s="131"/>
      <c r="AR190" s="131"/>
      <c r="AS190" s="131"/>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1"/>
      <c r="B191" s="141"/>
      <c r="C191" s="141"/>
      <c r="D191" s="141"/>
      <c r="E191" s="141"/>
      <c r="F191" s="141"/>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9"/>
      <c r="AJ191" s="139"/>
      <c r="AK191" s="139"/>
      <c r="AL191" s="134"/>
      <c r="AM191" s="131"/>
      <c r="AN191" s="131"/>
      <c r="AO191" s="131"/>
      <c r="AP191" s="131"/>
      <c r="AQ191" s="131"/>
      <c r="AR191" s="131"/>
      <c r="AS191" s="131"/>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9"/>
      <c r="AJ192" s="139"/>
      <c r="AK192" s="139"/>
      <c r="AL192" s="134"/>
      <c r="AM192" s="131"/>
      <c r="AN192" s="131"/>
      <c r="AO192" s="131"/>
      <c r="AP192" s="131"/>
      <c r="AQ192" s="131"/>
      <c r="AR192" s="131"/>
      <c r="AS192" s="131"/>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9"/>
      <c r="AJ193" s="139"/>
      <c r="AK193" s="139"/>
      <c r="AL193" s="134"/>
      <c r="AM193" s="131"/>
      <c r="AN193" s="131"/>
      <c r="AO193" s="131"/>
      <c r="AP193" s="131"/>
      <c r="AQ193" s="131"/>
      <c r="AR193" s="131"/>
      <c r="AS193" s="131"/>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9"/>
      <c r="AJ194" s="139"/>
      <c r="AK194" s="139"/>
      <c r="AL194" s="134"/>
      <c r="AM194" s="131"/>
      <c r="AN194" s="131"/>
      <c r="AO194" s="131"/>
      <c r="AP194" s="131"/>
      <c r="AQ194" s="131"/>
      <c r="AR194" s="131"/>
      <c r="AS194" s="131"/>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9"/>
      <c r="AJ195" s="139"/>
      <c r="AK195" s="139"/>
      <c r="AL195" s="134"/>
      <c r="AM195" s="131"/>
      <c r="AN195" s="131"/>
      <c r="AO195" s="131"/>
      <c r="AP195" s="131"/>
      <c r="AQ195" s="131"/>
      <c r="AR195" s="131"/>
      <c r="AS195" s="131"/>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9"/>
      <c r="AJ196" s="139"/>
      <c r="AK196" s="139"/>
      <c r="AL196" s="134"/>
      <c r="AM196" s="131"/>
      <c r="AN196" s="131"/>
      <c r="AO196" s="131"/>
      <c r="AP196" s="131"/>
      <c r="AQ196" s="131"/>
      <c r="AR196" s="131"/>
      <c r="AS196" s="131"/>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9"/>
      <c r="AJ197" s="139"/>
      <c r="AK197" s="139"/>
      <c r="AL197" s="134"/>
      <c r="AM197" s="131"/>
      <c r="AN197" s="131"/>
      <c r="AO197" s="131"/>
      <c r="AP197" s="131"/>
      <c r="AQ197" s="131"/>
      <c r="AR197" s="131"/>
      <c r="AS197" s="131"/>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9"/>
      <c r="AJ198" s="139"/>
      <c r="AK198" s="139"/>
      <c r="AL198" s="134"/>
      <c r="AM198" s="131"/>
      <c r="AN198" s="131"/>
      <c r="AO198" s="131"/>
      <c r="AP198" s="131"/>
      <c r="AQ198" s="131"/>
      <c r="AR198" s="131"/>
      <c r="AS198" s="131"/>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9"/>
      <c r="AJ199" s="139"/>
      <c r="AK199" s="139"/>
      <c r="AL199" s="134"/>
      <c r="AM199" s="131"/>
      <c r="AN199" s="131"/>
      <c r="AO199" s="131"/>
      <c r="AP199" s="131"/>
      <c r="AQ199" s="131"/>
      <c r="AR199" s="131"/>
      <c r="AS199" s="131"/>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9"/>
      <c r="AJ200" s="139"/>
      <c r="AK200" s="139"/>
      <c r="AL200" s="134"/>
      <c r="AM200" s="131"/>
      <c r="AN200" s="131"/>
      <c r="AO200" s="131"/>
      <c r="AP200" s="131"/>
      <c r="AQ200" s="131"/>
      <c r="AR200" s="131"/>
      <c r="AS200" s="131"/>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9"/>
      <c r="AJ201" s="139"/>
      <c r="AK201" s="139"/>
      <c r="AL201" s="134"/>
      <c r="AM201" s="131"/>
      <c r="AN201" s="131"/>
      <c r="AO201" s="131"/>
      <c r="AP201" s="131"/>
      <c r="AQ201" s="131"/>
      <c r="AR201" s="131"/>
      <c r="AS201" s="131"/>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9"/>
      <c r="AJ202" s="139"/>
      <c r="AK202" s="139"/>
      <c r="AL202" s="134"/>
      <c r="AM202" s="131"/>
      <c r="AN202" s="131"/>
      <c r="AO202" s="131"/>
      <c r="AP202" s="131"/>
      <c r="AQ202" s="131"/>
      <c r="AR202" s="131"/>
      <c r="AS202" s="131"/>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9"/>
      <c r="AJ203" s="139"/>
      <c r="AK203" s="139"/>
      <c r="AL203" s="134"/>
      <c r="AM203" s="131"/>
      <c r="AN203" s="131"/>
      <c r="AO203" s="131"/>
      <c r="AP203" s="131"/>
      <c r="AQ203" s="131"/>
      <c r="AR203" s="131"/>
      <c r="AS203" s="131"/>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9"/>
      <c r="AJ204" s="139"/>
      <c r="AK204" s="139"/>
      <c r="AL204" s="134"/>
      <c r="AM204" s="131"/>
      <c r="AN204" s="131"/>
      <c r="AO204" s="131"/>
      <c r="AP204" s="131"/>
      <c r="AQ204" s="131"/>
      <c r="AR204" s="131"/>
      <c r="AS204" s="131"/>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9"/>
      <c r="AJ205" s="139"/>
      <c r="AK205" s="139"/>
      <c r="AL205" s="134"/>
      <c r="AM205" s="131"/>
      <c r="AN205" s="131"/>
      <c r="AO205" s="131"/>
      <c r="AP205" s="131"/>
      <c r="AQ205" s="131"/>
      <c r="AR205" s="131"/>
      <c r="AS205" s="131"/>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9"/>
      <c r="AJ206" s="139"/>
      <c r="AK206" s="139"/>
      <c r="AL206" s="134"/>
      <c r="AM206" s="131"/>
      <c r="AN206" s="131"/>
      <c r="AO206" s="131"/>
      <c r="AP206" s="131"/>
      <c r="AQ206" s="131"/>
      <c r="AR206" s="131"/>
      <c r="AS206" s="131"/>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9"/>
      <c r="AJ207" s="139"/>
      <c r="AK207" s="139"/>
      <c r="AL207" s="134"/>
      <c r="AM207" s="131"/>
      <c r="AN207" s="131"/>
      <c r="AO207" s="131"/>
      <c r="AP207" s="131"/>
      <c r="AQ207" s="131"/>
      <c r="AR207" s="131"/>
      <c r="AS207" s="131"/>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9"/>
      <c r="AJ208" s="139"/>
      <c r="AK208" s="139"/>
      <c r="AL208" s="134"/>
      <c r="AM208" s="131"/>
      <c r="AN208" s="131"/>
      <c r="AO208" s="131"/>
      <c r="AP208" s="131"/>
      <c r="AQ208" s="131"/>
      <c r="AR208" s="131"/>
      <c r="AS208" s="131"/>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9"/>
      <c r="AJ209" s="139"/>
      <c r="AK209" s="139"/>
      <c r="AL209" s="134"/>
      <c r="AM209" s="131"/>
      <c r="AN209" s="131"/>
      <c r="AO209" s="131"/>
      <c r="AP209" s="131"/>
      <c r="AQ209" s="131"/>
      <c r="AR209" s="131"/>
      <c r="AS209" s="131"/>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41"/>
      <c r="AE210" s="141"/>
      <c r="AF210" s="139"/>
      <c r="AG210" s="139"/>
      <c r="AH210" s="139"/>
      <c r="AI210" s="139"/>
      <c r="AJ210" s="139"/>
      <c r="AK210" s="139"/>
      <c r="AL210" s="134"/>
      <c r="AM210" s="131"/>
      <c r="AN210" s="131"/>
      <c r="AO210" s="131"/>
      <c r="AP210" s="131"/>
      <c r="AQ210" s="131"/>
      <c r="AR210" s="131"/>
      <c r="AS210" s="131"/>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41"/>
      <c r="AJ211" s="141"/>
      <c r="AK211" s="141"/>
      <c r="AL211" s="134"/>
      <c r="AM211" s="131"/>
      <c r="AN211" s="131"/>
      <c r="AO211" s="131"/>
      <c r="AP211" s="131"/>
      <c r="AQ211" s="131"/>
      <c r="AR211" s="131"/>
      <c r="AS211" s="131"/>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41"/>
      <c r="AJ212" s="141"/>
      <c r="AK212" s="141"/>
      <c r="AL212" s="134"/>
      <c r="AM212" s="131"/>
      <c r="AN212" s="131"/>
      <c r="AO212" s="131"/>
      <c r="AP212" s="131"/>
      <c r="AQ212" s="131"/>
      <c r="AR212" s="131"/>
      <c r="AS212" s="131"/>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141"/>
      <c r="AK213" s="141"/>
      <c r="AL213" s="134"/>
      <c r="AM213" s="131"/>
      <c r="AN213" s="131"/>
      <c r="AO213" s="131"/>
      <c r="AP213" s="131"/>
      <c r="AQ213" s="131"/>
      <c r="AR213" s="131"/>
      <c r="AS213" s="131"/>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34"/>
      <c r="AM214" s="131"/>
      <c r="AN214" s="131"/>
      <c r="AO214" s="131"/>
      <c r="AP214" s="131"/>
      <c r="AQ214" s="131"/>
      <c r="AR214" s="131"/>
      <c r="AS214" s="131"/>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41"/>
      <c r="AJ215" s="141"/>
      <c r="AK215" s="141"/>
      <c r="AL215" s="134"/>
      <c r="AM215" s="131"/>
      <c r="AN215" s="131"/>
      <c r="AO215" s="131"/>
      <c r="AP215" s="131"/>
      <c r="AQ215" s="131"/>
      <c r="AR215" s="131"/>
      <c r="AS215" s="131"/>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41"/>
      <c r="AJ216" s="141"/>
      <c r="AK216" s="141"/>
      <c r="AL216" s="134"/>
      <c r="AM216" s="131"/>
      <c r="AN216" s="131"/>
      <c r="AO216" s="131"/>
      <c r="AP216" s="131"/>
      <c r="AQ216" s="131"/>
      <c r="AR216" s="131"/>
      <c r="AS216" s="131"/>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41"/>
      <c r="AJ217" s="141"/>
      <c r="AK217" s="141"/>
      <c r="AL217" s="134"/>
      <c r="AM217" s="131"/>
      <c r="AN217" s="131"/>
      <c r="AO217" s="131"/>
      <c r="AP217" s="131"/>
      <c r="AQ217" s="131"/>
      <c r="AR217" s="131"/>
      <c r="AS217" s="131"/>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41"/>
      <c r="AJ218" s="141"/>
      <c r="AK218" s="141"/>
      <c r="AL218" s="134"/>
      <c r="AM218" s="131"/>
      <c r="AN218" s="131"/>
      <c r="AO218" s="131"/>
      <c r="AP218" s="131"/>
      <c r="AQ218" s="131"/>
      <c r="AR218" s="131"/>
      <c r="AS218" s="131"/>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41"/>
      <c r="AJ219" s="141"/>
      <c r="AK219" s="141"/>
      <c r="AL219" s="134"/>
      <c r="AM219" s="131"/>
      <c r="AN219" s="131"/>
      <c r="AO219" s="131"/>
      <c r="AP219" s="131"/>
      <c r="AQ219" s="131"/>
      <c r="AR219" s="131"/>
      <c r="AS219" s="131"/>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141"/>
      <c r="AK220" s="141"/>
      <c r="AL220" s="134"/>
      <c r="AM220" s="131"/>
      <c r="AN220" s="131"/>
      <c r="AO220" s="131"/>
      <c r="AP220" s="131"/>
      <c r="AQ220" s="131"/>
      <c r="AR220" s="131"/>
      <c r="AS220" s="131"/>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41"/>
      <c r="AJ221" s="141"/>
      <c r="AK221" s="141"/>
      <c r="AL221" s="134"/>
      <c r="AM221" s="131"/>
      <c r="AN221" s="131"/>
      <c r="AO221" s="131"/>
      <c r="AP221" s="131"/>
      <c r="AQ221" s="131"/>
      <c r="AR221" s="131"/>
      <c r="AS221" s="131"/>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41"/>
      <c r="AJ222" s="141"/>
      <c r="AK222" s="141"/>
      <c r="AL222" s="134"/>
      <c r="AM222" s="131"/>
      <c r="AN222" s="131"/>
      <c r="AO222" s="131"/>
      <c r="AP222" s="131"/>
      <c r="AQ222" s="131"/>
      <c r="AR222" s="131"/>
      <c r="AS222" s="131"/>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41"/>
      <c r="AJ223" s="141"/>
      <c r="AK223" s="141"/>
      <c r="AL223" s="134"/>
      <c r="AM223" s="131"/>
      <c r="AN223" s="131"/>
      <c r="AO223" s="131"/>
      <c r="AP223" s="131"/>
      <c r="AQ223" s="131"/>
      <c r="AR223" s="131"/>
      <c r="AS223" s="131"/>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141"/>
      <c r="AK224" s="141"/>
      <c r="AL224" s="134"/>
      <c r="AM224" s="131"/>
      <c r="AN224" s="131"/>
      <c r="AO224" s="131"/>
      <c r="AP224" s="131"/>
      <c r="AQ224" s="131"/>
      <c r="AR224" s="131"/>
      <c r="AS224" s="131"/>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141"/>
      <c r="AK225" s="141"/>
      <c r="AL225" s="134"/>
      <c r="AM225" s="131"/>
      <c r="AN225" s="131"/>
      <c r="AO225" s="131"/>
      <c r="AP225" s="131"/>
      <c r="AQ225" s="131"/>
      <c r="AR225" s="131"/>
      <c r="AS225" s="131"/>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141"/>
      <c r="AK226" s="141"/>
      <c r="AL226" s="134"/>
      <c r="AM226" s="131"/>
      <c r="AN226" s="131"/>
      <c r="AO226" s="131"/>
      <c r="AP226" s="131"/>
      <c r="AQ226" s="131"/>
      <c r="AR226" s="131"/>
      <c r="AS226" s="131"/>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41"/>
      <c r="AJ227" s="141"/>
      <c r="AK227" s="141"/>
      <c r="AL227" s="134"/>
      <c r="AM227" s="131"/>
      <c r="AN227" s="131"/>
      <c r="AO227" s="131"/>
      <c r="AP227" s="131"/>
      <c r="AQ227" s="131"/>
      <c r="AR227" s="131"/>
      <c r="AS227" s="131"/>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41"/>
      <c r="AJ228" s="141"/>
      <c r="AK228" s="141"/>
      <c r="AL228" s="134"/>
      <c r="AM228" s="131"/>
      <c r="AN228" s="131"/>
      <c r="AO228" s="131"/>
      <c r="AP228" s="131"/>
      <c r="AQ228" s="131"/>
      <c r="AR228" s="131"/>
      <c r="AS228" s="131"/>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41"/>
      <c r="AJ229" s="141"/>
      <c r="AK229" s="141"/>
      <c r="AL229" s="134"/>
      <c r="AM229" s="131"/>
      <c r="AN229" s="131"/>
      <c r="AO229" s="131"/>
      <c r="AP229" s="131"/>
      <c r="AQ229" s="131"/>
      <c r="AR229" s="131"/>
      <c r="AS229" s="131"/>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41"/>
      <c r="AJ230" s="141"/>
      <c r="AK230" s="141"/>
      <c r="AL230" s="134"/>
      <c r="AM230" s="131"/>
      <c r="AN230" s="131"/>
      <c r="AO230" s="131"/>
      <c r="AP230" s="131"/>
      <c r="AQ230" s="131"/>
      <c r="AR230" s="131"/>
      <c r="AS230" s="131"/>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41"/>
      <c r="AJ231" s="141"/>
      <c r="AK231" s="141"/>
      <c r="AL231" s="134"/>
      <c r="AM231" s="131"/>
      <c r="AN231" s="131"/>
      <c r="AO231" s="131"/>
      <c r="AP231" s="131"/>
      <c r="AQ231" s="131"/>
      <c r="AR231" s="131"/>
      <c r="AS231" s="131"/>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41"/>
      <c r="AJ232" s="141"/>
      <c r="AK232" s="141"/>
      <c r="AL232" s="134"/>
      <c r="AM232" s="131"/>
      <c r="AN232" s="131"/>
      <c r="AO232" s="131"/>
      <c r="AP232" s="131"/>
      <c r="AQ232" s="131"/>
      <c r="AR232" s="131"/>
      <c r="AS232" s="131"/>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41"/>
      <c r="AJ233" s="141"/>
      <c r="AK233" s="141"/>
      <c r="AL233" s="134"/>
      <c r="AM233" s="131"/>
      <c r="AN233" s="131"/>
      <c r="AO233" s="131"/>
      <c r="AP233" s="131"/>
      <c r="AQ233" s="131"/>
      <c r="AR233" s="131"/>
      <c r="AS233" s="131"/>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41"/>
      <c r="AJ234" s="141"/>
      <c r="AK234" s="141"/>
      <c r="AL234" s="134"/>
      <c r="AM234" s="131"/>
      <c r="AN234" s="131"/>
      <c r="AO234" s="131"/>
      <c r="AP234" s="131"/>
      <c r="AQ234" s="131"/>
      <c r="AR234" s="131"/>
      <c r="AS234" s="131"/>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41"/>
      <c r="AJ235" s="141"/>
      <c r="AK235" s="141"/>
      <c r="AL235" s="134"/>
      <c r="AM235" s="131"/>
      <c r="AN235" s="131"/>
      <c r="AO235" s="131"/>
      <c r="AP235" s="131"/>
      <c r="AQ235" s="131"/>
      <c r="AR235" s="131"/>
      <c r="AS235" s="131"/>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41"/>
      <c r="AJ236" s="141"/>
      <c r="AK236" s="141"/>
      <c r="AL236" s="134"/>
      <c r="AM236" s="131"/>
      <c r="AN236" s="131"/>
      <c r="AO236" s="131"/>
      <c r="AP236" s="131"/>
      <c r="AQ236" s="131"/>
      <c r="AR236" s="131"/>
      <c r="AS236" s="131"/>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41"/>
      <c r="AJ237" s="141"/>
      <c r="AK237" s="141"/>
      <c r="AL237" s="134"/>
      <c r="AM237" s="131"/>
      <c r="AN237" s="131"/>
      <c r="AO237" s="131"/>
      <c r="AP237" s="131"/>
      <c r="AQ237" s="131"/>
      <c r="AR237" s="131"/>
      <c r="AS237" s="131"/>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41"/>
      <c r="AJ238" s="141"/>
      <c r="AK238" s="141"/>
      <c r="AL238" s="134"/>
      <c r="AM238" s="131"/>
      <c r="AN238" s="131"/>
      <c r="AO238" s="131"/>
      <c r="AP238" s="131"/>
      <c r="AQ238" s="131"/>
      <c r="AR238" s="131"/>
      <c r="AS238" s="131"/>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41"/>
      <c r="AJ239" s="141"/>
      <c r="AK239" s="141"/>
      <c r="AL239" s="134"/>
      <c r="AM239" s="131"/>
      <c r="AN239" s="131"/>
      <c r="AO239" s="131"/>
      <c r="AP239" s="131"/>
      <c r="AQ239" s="131"/>
      <c r="AR239" s="131"/>
      <c r="AS239" s="131"/>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41"/>
      <c r="AJ240" s="141"/>
      <c r="AK240" s="141"/>
      <c r="AL240" s="134"/>
      <c r="AM240" s="131"/>
      <c r="AN240" s="131"/>
      <c r="AO240" s="131"/>
      <c r="AP240" s="131"/>
      <c r="AQ240" s="131"/>
      <c r="AR240" s="131"/>
      <c r="AS240" s="131"/>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41"/>
      <c r="AJ241" s="141"/>
      <c r="AK241" s="141"/>
      <c r="AL241" s="134"/>
      <c r="AM241" s="131"/>
      <c r="AN241" s="131"/>
      <c r="AO241" s="131"/>
      <c r="AP241" s="131"/>
      <c r="AQ241" s="131"/>
      <c r="AR241" s="131"/>
      <c r="AS241" s="131"/>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41"/>
      <c r="AJ242" s="141"/>
      <c r="AK242" s="141"/>
      <c r="AL242" s="134"/>
      <c r="AM242" s="131"/>
      <c r="AN242" s="131"/>
      <c r="AO242" s="131"/>
      <c r="AP242" s="131"/>
      <c r="AQ242" s="131"/>
      <c r="AR242" s="131"/>
      <c r="AS242" s="131"/>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41"/>
      <c r="AJ243" s="141"/>
      <c r="AK243" s="141"/>
      <c r="AL243" s="134"/>
      <c r="AM243" s="131"/>
      <c r="AN243" s="131"/>
      <c r="AO243" s="131"/>
      <c r="AP243" s="131"/>
      <c r="AQ243" s="131"/>
      <c r="AR243" s="131"/>
      <c r="AS243" s="131"/>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41"/>
      <c r="AJ244" s="141"/>
      <c r="AK244" s="141"/>
      <c r="AL244" s="134"/>
      <c r="AM244" s="131"/>
      <c r="AN244" s="131"/>
      <c r="AO244" s="131"/>
      <c r="AP244" s="131"/>
      <c r="AQ244" s="131"/>
      <c r="AR244" s="131"/>
      <c r="AS244" s="131"/>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41"/>
      <c r="AJ245" s="141"/>
      <c r="AK245" s="141"/>
      <c r="AL245" s="134"/>
      <c r="AM245" s="131"/>
      <c r="AN245" s="131"/>
      <c r="AO245" s="131"/>
      <c r="AP245" s="131"/>
      <c r="AQ245" s="131"/>
      <c r="AR245" s="131"/>
      <c r="AS245" s="131"/>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41"/>
      <c r="AJ246" s="141"/>
      <c r="AK246" s="141"/>
      <c r="AL246" s="134"/>
      <c r="AM246" s="131"/>
      <c r="AN246" s="131"/>
      <c r="AO246" s="131"/>
      <c r="AP246" s="131"/>
      <c r="AQ246" s="131"/>
      <c r="AR246" s="131"/>
      <c r="AS246" s="131"/>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41"/>
      <c r="AJ247" s="141"/>
      <c r="AK247" s="141"/>
      <c r="AL247" s="134"/>
      <c r="AM247" s="131"/>
      <c r="AN247" s="131"/>
      <c r="AO247" s="131"/>
      <c r="AP247" s="131"/>
      <c r="AQ247" s="131"/>
      <c r="AR247" s="131"/>
      <c r="AS247" s="131"/>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41"/>
      <c r="AJ248" s="141"/>
      <c r="AK248" s="141"/>
      <c r="AL248" s="134"/>
      <c r="AM248" s="131"/>
      <c r="AN248" s="131"/>
      <c r="AO248" s="131"/>
      <c r="AP248" s="131"/>
      <c r="AQ248" s="131"/>
      <c r="AR248" s="131"/>
      <c r="AS248" s="131"/>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41"/>
      <c r="AJ249" s="141"/>
      <c r="AK249" s="141"/>
      <c r="AL249" s="134"/>
      <c r="AM249" s="131"/>
      <c r="AN249" s="131"/>
      <c r="AO249" s="131"/>
      <c r="AP249" s="131"/>
      <c r="AQ249" s="131"/>
      <c r="AR249" s="131"/>
      <c r="AS249" s="131"/>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41"/>
      <c r="AJ250" s="141"/>
      <c r="AK250" s="141"/>
      <c r="AL250" s="134"/>
      <c r="AM250" s="131"/>
      <c r="AN250" s="131"/>
      <c r="AO250" s="131"/>
      <c r="AP250" s="131"/>
      <c r="AQ250" s="131"/>
      <c r="AR250" s="131"/>
      <c r="AS250" s="131"/>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41"/>
      <c r="AJ251" s="141"/>
      <c r="AK251" s="141"/>
      <c r="AL251" s="134"/>
      <c r="AM251" s="131"/>
      <c r="AN251" s="131"/>
      <c r="AO251" s="131"/>
      <c r="AP251" s="131"/>
      <c r="AQ251" s="131"/>
      <c r="AR251" s="131"/>
      <c r="AS251" s="131"/>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41"/>
      <c r="AJ252" s="141"/>
      <c r="AK252" s="141"/>
      <c r="AL252" s="134"/>
      <c r="AM252" s="131"/>
      <c r="AN252" s="131"/>
      <c r="AO252" s="131"/>
      <c r="AP252" s="131"/>
      <c r="AQ252" s="131"/>
      <c r="AR252" s="131"/>
      <c r="AS252" s="131"/>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41"/>
      <c r="AJ253" s="141"/>
      <c r="AK253" s="141"/>
      <c r="AL253" s="134"/>
      <c r="AM253" s="131"/>
      <c r="AN253" s="131"/>
      <c r="AO253" s="131"/>
      <c r="AP253" s="131"/>
      <c r="AQ253" s="131"/>
      <c r="AR253" s="131"/>
      <c r="AS253" s="131"/>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41"/>
      <c r="AJ254" s="141"/>
      <c r="AK254" s="141"/>
      <c r="AL254" s="134"/>
      <c r="AM254" s="131"/>
      <c r="AN254" s="131"/>
      <c r="AO254" s="131"/>
      <c r="AP254" s="131"/>
      <c r="AQ254" s="131"/>
      <c r="AR254" s="131"/>
      <c r="AS254" s="131"/>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41"/>
      <c r="AJ255" s="141"/>
      <c r="AK255" s="141"/>
      <c r="AL255" s="134"/>
      <c r="AM255" s="131"/>
      <c r="AN255" s="131"/>
      <c r="AO255" s="131"/>
      <c r="AP255" s="131"/>
      <c r="AQ255" s="131"/>
      <c r="AR255" s="131"/>
      <c r="AS255" s="131"/>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41"/>
      <c r="AJ256" s="141"/>
      <c r="AK256" s="141"/>
      <c r="AL256" s="134"/>
      <c r="AM256" s="131"/>
      <c r="AN256" s="131"/>
      <c r="AO256" s="131"/>
      <c r="AP256" s="131"/>
      <c r="AQ256" s="131"/>
      <c r="AR256" s="131"/>
      <c r="AS256" s="131"/>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41"/>
      <c r="AJ257" s="141"/>
      <c r="AK257" s="141"/>
      <c r="AL257" s="134"/>
      <c r="AM257" s="131"/>
      <c r="AN257" s="131"/>
      <c r="AO257" s="131"/>
      <c r="AP257" s="131"/>
      <c r="AQ257" s="131"/>
      <c r="AR257" s="131"/>
      <c r="AS257" s="131"/>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41"/>
      <c r="AJ258" s="141"/>
      <c r="AK258" s="141"/>
      <c r="AL258" s="134"/>
      <c r="AM258" s="131"/>
      <c r="AN258" s="131"/>
      <c r="AO258" s="131"/>
      <c r="AP258" s="131"/>
      <c r="AQ258" s="131"/>
      <c r="AR258" s="131"/>
      <c r="AS258" s="131"/>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41"/>
      <c r="AJ259" s="141"/>
      <c r="AK259" s="141"/>
      <c r="AL259" s="134"/>
      <c r="AM259" s="131"/>
      <c r="AN259" s="131"/>
      <c r="AO259" s="131"/>
      <c r="AP259" s="131"/>
      <c r="AQ259" s="131"/>
      <c r="AR259" s="131"/>
      <c r="AS259" s="131"/>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41"/>
      <c r="AJ260" s="141"/>
      <c r="AK260" s="141"/>
      <c r="AL260" s="134"/>
      <c r="AM260" s="131"/>
      <c r="AN260" s="131"/>
      <c r="AO260" s="131"/>
      <c r="AP260" s="131"/>
      <c r="AQ260" s="131"/>
      <c r="AR260" s="131"/>
      <c r="AS260" s="131"/>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41"/>
      <c r="AJ261" s="141"/>
      <c r="AK261" s="141"/>
      <c r="AL261" s="134"/>
      <c r="AM261" s="131"/>
      <c r="AN261" s="131"/>
      <c r="AO261" s="131"/>
      <c r="AP261" s="131"/>
      <c r="AQ261" s="131"/>
      <c r="AR261" s="131"/>
      <c r="AS261" s="131"/>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41"/>
      <c r="AJ262" s="141"/>
      <c r="AK262" s="141"/>
      <c r="AL262" s="134"/>
      <c r="AM262" s="131"/>
      <c r="AN262" s="131"/>
      <c r="AO262" s="131"/>
      <c r="AP262" s="131"/>
      <c r="AQ262" s="131"/>
      <c r="AR262" s="131"/>
      <c r="AS262" s="131"/>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41"/>
      <c r="AJ263" s="141"/>
      <c r="AK263" s="141"/>
      <c r="AL263" s="134"/>
      <c r="AM263" s="131"/>
      <c r="AN263" s="131"/>
      <c r="AO263" s="131"/>
      <c r="AP263" s="131"/>
      <c r="AQ263" s="131"/>
      <c r="AR263" s="131"/>
      <c r="AS263" s="131"/>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41"/>
      <c r="AJ264" s="141"/>
      <c r="AK264" s="141"/>
      <c r="AL264" s="134"/>
      <c r="AM264" s="131"/>
      <c r="AN264" s="131"/>
      <c r="AO264" s="131"/>
      <c r="AP264" s="131"/>
      <c r="AQ264" s="131"/>
      <c r="AR264" s="131"/>
      <c r="AS264" s="131"/>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41"/>
      <c r="AJ265" s="141"/>
      <c r="AK265" s="141"/>
      <c r="AL265" s="134"/>
      <c r="AM265" s="131"/>
      <c r="AN265" s="131"/>
      <c r="AO265" s="131"/>
      <c r="AP265" s="131"/>
      <c r="AQ265" s="131"/>
      <c r="AR265" s="131"/>
      <c r="AS265" s="131"/>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41"/>
      <c r="AJ266" s="141"/>
      <c r="AK266" s="141"/>
      <c r="AL266" s="134"/>
      <c r="AM266" s="131"/>
      <c r="AN266" s="131"/>
      <c r="AO266" s="131"/>
      <c r="AP266" s="131"/>
      <c r="AQ266" s="131"/>
      <c r="AR266" s="131"/>
      <c r="AS266" s="131"/>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41"/>
      <c r="AJ267" s="141"/>
      <c r="AK267" s="141"/>
      <c r="AL267" s="134"/>
      <c r="AM267" s="131"/>
      <c r="AN267" s="131"/>
      <c r="AO267" s="131"/>
      <c r="AP267" s="131"/>
      <c r="AQ267" s="131"/>
      <c r="AR267" s="131"/>
      <c r="AS267" s="131"/>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41"/>
      <c r="AJ268" s="141"/>
      <c r="AK268" s="141"/>
      <c r="AL268" s="134"/>
      <c r="AM268" s="131"/>
      <c r="AN268" s="131"/>
      <c r="AO268" s="131"/>
      <c r="AP268" s="131"/>
      <c r="AQ268" s="131"/>
      <c r="AR268" s="131"/>
      <c r="AS268" s="131"/>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41"/>
      <c r="AJ269" s="141"/>
      <c r="AK269" s="141"/>
      <c r="AL269" s="134"/>
      <c r="AM269" s="131"/>
      <c r="AN269" s="131"/>
      <c r="AO269" s="131"/>
      <c r="AP269" s="131"/>
      <c r="AQ269" s="131"/>
      <c r="AR269" s="131"/>
      <c r="AS269" s="131"/>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41"/>
      <c r="AJ270" s="141"/>
      <c r="AK270" s="141"/>
      <c r="AL270" s="134"/>
      <c r="AM270" s="131"/>
      <c r="AN270" s="131"/>
      <c r="AO270" s="131"/>
      <c r="AP270" s="131"/>
      <c r="AQ270" s="131"/>
      <c r="AR270" s="131"/>
      <c r="AS270" s="131"/>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41"/>
      <c r="AJ271" s="141"/>
      <c r="AK271" s="141"/>
      <c r="AL271" s="134"/>
      <c r="AM271" s="131"/>
      <c r="AN271" s="131"/>
      <c r="AO271" s="131"/>
      <c r="AP271" s="131"/>
      <c r="AQ271" s="131"/>
      <c r="AR271" s="131"/>
      <c r="AS271" s="131"/>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41"/>
      <c r="AJ272" s="141"/>
      <c r="AK272" s="141"/>
      <c r="AL272" s="134"/>
      <c r="AM272" s="131"/>
      <c r="AN272" s="131"/>
      <c r="AO272" s="131"/>
      <c r="AP272" s="131"/>
      <c r="AQ272" s="131"/>
      <c r="AR272" s="131"/>
      <c r="AS272" s="131"/>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41"/>
      <c r="AJ273" s="141"/>
      <c r="AK273" s="141"/>
      <c r="AL273" s="134"/>
      <c r="AM273" s="131"/>
      <c r="AN273" s="131"/>
      <c r="AO273" s="131"/>
      <c r="AP273" s="131"/>
      <c r="AQ273" s="131"/>
      <c r="AR273" s="131"/>
      <c r="AS273" s="131"/>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41"/>
      <c r="AJ274" s="141"/>
      <c r="AK274" s="141"/>
      <c r="AL274" s="134"/>
      <c r="AM274" s="131"/>
      <c r="AN274" s="131"/>
      <c r="AO274" s="131"/>
      <c r="AP274" s="131"/>
      <c r="AQ274" s="131"/>
      <c r="AR274" s="131"/>
      <c r="AS274" s="131"/>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34"/>
      <c r="AM275" s="131"/>
      <c r="AN275" s="131"/>
      <c r="AO275" s="131"/>
      <c r="AP275" s="131"/>
      <c r="AQ275" s="131"/>
      <c r="AR275" s="131"/>
      <c r="AS275" s="131"/>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41"/>
      <c r="AJ276" s="141"/>
      <c r="AK276" s="141"/>
      <c r="AL276" s="134"/>
      <c r="AM276" s="131"/>
      <c r="AN276" s="131"/>
      <c r="AO276" s="131"/>
      <c r="AP276" s="131"/>
      <c r="AQ276" s="131"/>
      <c r="AR276" s="131"/>
      <c r="AS276" s="131"/>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41"/>
      <c r="AJ277" s="141"/>
      <c r="AK277" s="141"/>
      <c r="AL277" s="134"/>
      <c r="AM277" s="131"/>
      <c r="AN277" s="131"/>
      <c r="AO277" s="131"/>
      <c r="AP277" s="131"/>
      <c r="AQ277" s="131"/>
      <c r="AR277" s="131"/>
      <c r="AS277" s="131"/>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41"/>
      <c r="AJ278" s="141"/>
      <c r="AK278" s="141"/>
      <c r="AL278" s="134"/>
      <c r="AM278" s="131"/>
      <c r="AN278" s="131"/>
      <c r="AO278" s="131"/>
      <c r="AP278" s="131"/>
      <c r="AQ278" s="131"/>
      <c r="AR278" s="131"/>
      <c r="AS278" s="131"/>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41"/>
      <c r="AJ279" s="141"/>
      <c r="AK279" s="141"/>
      <c r="AL279" s="134"/>
      <c r="AM279" s="131"/>
      <c r="AN279" s="131"/>
      <c r="AO279" s="131"/>
      <c r="AP279" s="131"/>
      <c r="AQ279" s="131"/>
      <c r="AR279" s="131"/>
      <c r="AS279" s="131"/>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41"/>
      <c r="AJ280" s="141"/>
      <c r="AK280" s="141"/>
      <c r="AL280" s="134"/>
      <c r="AM280" s="131"/>
      <c r="AN280" s="131"/>
      <c r="AO280" s="131"/>
      <c r="AP280" s="131"/>
      <c r="AQ280" s="131"/>
      <c r="AR280" s="131"/>
      <c r="AS280" s="131"/>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41"/>
      <c r="AJ281" s="141"/>
      <c r="AK281" s="141"/>
      <c r="AL281" s="134"/>
      <c r="AM281" s="131"/>
      <c r="AN281" s="131"/>
      <c r="AO281" s="131"/>
      <c r="AP281" s="131"/>
      <c r="AQ281" s="131"/>
      <c r="AR281" s="131"/>
      <c r="AS281" s="131"/>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41"/>
      <c r="AJ282" s="141"/>
      <c r="AK282" s="141"/>
      <c r="AL282" s="134"/>
      <c r="AM282" s="131"/>
      <c r="AN282" s="131"/>
      <c r="AO282" s="131"/>
      <c r="AP282" s="131"/>
      <c r="AQ282" s="131"/>
      <c r="AR282" s="131"/>
      <c r="AS282" s="131"/>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41"/>
      <c r="AJ283" s="141"/>
      <c r="AK283" s="141"/>
      <c r="AL283" s="134"/>
      <c r="AM283" s="131"/>
      <c r="AN283" s="131"/>
      <c r="AO283" s="131"/>
      <c r="AP283" s="131"/>
      <c r="AQ283" s="131"/>
      <c r="AR283" s="131"/>
      <c r="AS283" s="131"/>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41"/>
      <c r="AJ284" s="141"/>
      <c r="AK284" s="141"/>
      <c r="AL284" s="134"/>
      <c r="AM284" s="131"/>
      <c r="AN284" s="131"/>
      <c r="AO284" s="131"/>
      <c r="AP284" s="131"/>
      <c r="AQ284" s="131"/>
      <c r="AR284" s="131"/>
      <c r="AS284" s="131"/>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41"/>
      <c r="AJ285" s="141"/>
      <c r="AK285" s="141"/>
      <c r="AL285" s="134"/>
      <c r="AM285" s="131"/>
      <c r="AN285" s="131"/>
      <c r="AO285" s="131"/>
      <c r="AP285" s="131"/>
      <c r="AQ285" s="131"/>
      <c r="AR285" s="131"/>
      <c r="AS285" s="131"/>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41"/>
      <c r="AJ286" s="141"/>
      <c r="AK286" s="141"/>
      <c r="AL286" s="134"/>
      <c r="AM286" s="131"/>
      <c r="AN286" s="131"/>
      <c r="AO286" s="131"/>
      <c r="AP286" s="131"/>
      <c r="AQ286" s="131"/>
      <c r="AR286" s="131"/>
      <c r="AS286" s="131"/>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41"/>
      <c r="AJ287" s="141"/>
      <c r="AK287" s="141"/>
      <c r="AL287" s="134"/>
      <c r="AM287" s="131"/>
      <c r="AN287" s="131"/>
      <c r="AO287" s="131"/>
      <c r="AP287" s="131"/>
      <c r="AQ287" s="131"/>
      <c r="AR287" s="131"/>
      <c r="AS287" s="131"/>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41"/>
      <c r="AJ288" s="141"/>
      <c r="AK288" s="141"/>
      <c r="AL288" s="134"/>
      <c r="AM288" s="131"/>
      <c r="AN288" s="131"/>
      <c r="AO288" s="131"/>
      <c r="AP288" s="131"/>
      <c r="AQ288" s="131"/>
      <c r="AR288" s="131"/>
      <c r="AS288" s="131"/>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41"/>
      <c r="AJ289" s="141"/>
      <c r="AK289" s="141"/>
      <c r="AL289" s="134"/>
      <c r="AM289" s="131"/>
      <c r="AN289" s="131"/>
      <c r="AO289" s="131"/>
      <c r="AP289" s="131"/>
      <c r="AQ289" s="131"/>
      <c r="AR289" s="131"/>
      <c r="AS289" s="131"/>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41"/>
      <c r="AJ290" s="141"/>
      <c r="AK290" s="141"/>
      <c r="AL290" s="134"/>
      <c r="AM290" s="131"/>
      <c r="AN290" s="131"/>
      <c r="AO290" s="131"/>
      <c r="AP290" s="131"/>
      <c r="AQ290" s="131"/>
      <c r="AR290" s="131"/>
      <c r="AS290" s="131"/>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41"/>
      <c r="AJ291" s="141"/>
      <c r="AK291" s="141"/>
      <c r="AL291" s="134"/>
      <c r="AM291" s="131"/>
      <c r="AN291" s="131"/>
      <c r="AO291" s="131"/>
      <c r="AP291" s="131"/>
      <c r="AQ291" s="131"/>
      <c r="AR291" s="131"/>
      <c r="AS291" s="131"/>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41"/>
      <c r="AJ292" s="141"/>
      <c r="AK292" s="141"/>
      <c r="AL292" s="134"/>
      <c r="AM292" s="131"/>
      <c r="AN292" s="131"/>
      <c r="AO292" s="131"/>
      <c r="AP292" s="131"/>
      <c r="AQ292" s="131"/>
      <c r="AR292" s="131"/>
      <c r="AS292" s="131"/>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41"/>
      <c r="AJ293" s="141"/>
      <c r="AK293" s="141"/>
      <c r="AL293" s="134"/>
      <c r="AM293" s="131"/>
      <c r="AN293" s="131"/>
      <c r="AO293" s="131"/>
      <c r="AP293" s="131"/>
      <c r="AQ293" s="131"/>
      <c r="AR293" s="131"/>
      <c r="AS293" s="131"/>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41"/>
      <c r="AJ294" s="141"/>
      <c r="AK294" s="141"/>
      <c r="AL294" s="134"/>
      <c r="AM294" s="131"/>
      <c r="AN294" s="131"/>
      <c r="AO294" s="131"/>
      <c r="AP294" s="131"/>
      <c r="AQ294" s="131"/>
      <c r="AR294" s="131"/>
      <c r="AS294" s="131"/>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41"/>
      <c r="AJ295" s="141"/>
      <c r="AK295" s="141"/>
      <c r="AL295" s="134"/>
      <c r="AM295" s="131"/>
      <c r="AN295" s="131"/>
      <c r="AO295" s="131"/>
      <c r="AP295" s="131"/>
      <c r="AQ295" s="131"/>
      <c r="AR295" s="131"/>
      <c r="AS295" s="131"/>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41"/>
      <c r="AJ296" s="141"/>
      <c r="AK296" s="141"/>
      <c r="AL296" s="134"/>
      <c r="AM296" s="131"/>
      <c r="AN296" s="131"/>
      <c r="AO296" s="131"/>
      <c r="AP296" s="131"/>
      <c r="AQ296" s="131"/>
      <c r="AR296" s="131"/>
      <c r="AS296" s="131"/>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41"/>
      <c r="AJ297" s="141"/>
      <c r="AK297" s="141"/>
      <c r="AL297" s="134"/>
      <c r="AM297" s="131"/>
      <c r="AN297" s="131"/>
      <c r="AO297" s="131"/>
      <c r="AP297" s="131"/>
      <c r="AQ297" s="131"/>
      <c r="AR297" s="131"/>
      <c r="AS297" s="131"/>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41"/>
      <c r="AJ298" s="141"/>
      <c r="AK298" s="141"/>
      <c r="AL298" s="134"/>
      <c r="AM298" s="131"/>
      <c r="AN298" s="131"/>
      <c r="AO298" s="131"/>
      <c r="AP298" s="131"/>
      <c r="AQ298" s="131"/>
      <c r="AR298" s="131"/>
      <c r="AS298" s="131"/>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41"/>
      <c r="AJ299" s="141"/>
      <c r="AK299" s="141"/>
      <c r="AL299" s="134"/>
      <c r="AM299" s="131"/>
      <c r="AN299" s="131"/>
      <c r="AO299" s="131"/>
      <c r="AP299" s="131"/>
      <c r="AQ299" s="131"/>
      <c r="AR299" s="131"/>
      <c r="AS299" s="131"/>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41"/>
      <c r="AJ300" s="141"/>
      <c r="AK300" s="141"/>
      <c r="AL300" s="134"/>
      <c r="AM300" s="131"/>
      <c r="AN300" s="131"/>
      <c r="AO300" s="131"/>
      <c r="AP300" s="131"/>
      <c r="AQ300" s="131"/>
      <c r="AR300" s="131"/>
      <c r="AS300" s="131"/>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41"/>
      <c r="AJ301" s="141"/>
      <c r="AK301" s="141"/>
      <c r="AL301" s="134"/>
      <c r="AM301" s="131"/>
      <c r="AN301" s="131"/>
      <c r="AO301" s="131"/>
      <c r="AP301" s="131"/>
      <c r="AQ301" s="131"/>
      <c r="AR301" s="131"/>
      <c r="AS301" s="131"/>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41"/>
      <c r="AJ302" s="141"/>
      <c r="AK302" s="141"/>
      <c r="AL302" s="134"/>
      <c r="AM302" s="131"/>
      <c r="AN302" s="131"/>
      <c r="AO302" s="131"/>
      <c r="AP302" s="131"/>
      <c r="AQ302" s="131"/>
      <c r="AR302" s="131"/>
      <c r="AS302" s="131"/>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41"/>
      <c r="AJ303" s="141"/>
      <c r="AK303" s="141"/>
      <c r="AL303" s="134"/>
      <c r="AM303" s="131"/>
      <c r="AN303" s="131"/>
      <c r="AO303" s="131"/>
      <c r="AP303" s="131"/>
      <c r="AQ303" s="131"/>
      <c r="AR303" s="131"/>
      <c r="AS303" s="131"/>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41"/>
      <c r="AJ304" s="141"/>
      <c r="AK304" s="141"/>
      <c r="AL304" s="134"/>
      <c r="AM304" s="131"/>
      <c r="AN304" s="131"/>
      <c r="AO304" s="131"/>
      <c r="AP304" s="131"/>
      <c r="AQ304" s="131"/>
      <c r="AR304" s="131"/>
      <c r="AS304" s="131"/>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41"/>
      <c r="AJ305" s="141"/>
      <c r="AK305" s="141"/>
      <c r="AL305" s="134"/>
      <c r="AM305" s="131"/>
      <c r="AN305" s="131"/>
      <c r="AO305" s="131"/>
      <c r="AP305" s="131"/>
      <c r="AQ305" s="131"/>
      <c r="AR305" s="131"/>
      <c r="AS305" s="131"/>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41"/>
      <c r="AJ306" s="141"/>
      <c r="AK306" s="141"/>
      <c r="AL306" s="134"/>
      <c r="AM306" s="131"/>
      <c r="AN306" s="131"/>
      <c r="AO306" s="131"/>
      <c r="AP306" s="131"/>
      <c r="AQ306" s="131"/>
      <c r="AR306" s="131"/>
      <c r="AS306" s="131"/>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41"/>
      <c r="AJ307" s="141"/>
      <c r="AK307" s="141"/>
      <c r="AL307" s="134"/>
      <c r="AM307" s="131"/>
      <c r="AN307" s="131"/>
      <c r="AO307" s="131"/>
      <c r="AP307" s="131"/>
      <c r="AQ307" s="131"/>
      <c r="AR307" s="131"/>
      <c r="AS307" s="131"/>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41"/>
      <c r="AJ308" s="141"/>
      <c r="AK308" s="141"/>
      <c r="AL308" s="134"/>
      <c r="AM308" s="131"/>
      <c r="AN308" s="131"/>
      <c r="AO308" s="131"/>
      <c r="AP308" s="131"/>
      <c r="AQ308" s="131"/>
      <c r="AR308" s="131"/>
      <c r="AS308" s="131"/>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41"/>
      <c r="AJ309" s="141"/>
      <c r="AK309" s="141"/>
      <c r="AL309" s="134"/>
      <c r="AM309" s="131"/>
      <c r="AN309" s="131"/>
      <c r="AO309" s="131"/>
      <c r="AP309" s="131"/>
      <c r="AQ309" s="131"/>
      <c r="AR309" s="131"/>
      <c r="AS309" s="131"/>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41"/>
      <c r="AJ310" s="141"/>
      <c r="AK310" s="141"/>
      <c r="AL310" s="134"/>
      <c r="AM310" s="131"/>
      <c r="AN310" s="131"/>
      <c r="AO310" s="131"/>
      <c r="AP310" s="131"/>
      <c r="AQ310" s="131"/>
      <c r="AR310" s="131"/>
      <c r="AS310" s="131"/>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41"/>
      <c r="AJ311" s="141"/>
      <c r="AK311" s="141"/>
      <c r="AL311" s="134"/>
      <c r="AM311" s="131"/>
      <c r="AN311" s="131"/>
      <c r="AO311" s="131"/>
      <c r="AP311" s="131"/>
      <c r="AQ311" s="131"/>
      <c r="AR311" s="131"/>
      <c r="AS311" s="131"/>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41"/>
      <c r="AJ312" s="141"/>
      <c r="AK312" s="141"/>
      <c r="AL312" s="134"/>
      <c r="AM312" s="131"/>
      <c r="AN312" s="131"/>
      <c r="AO312" s="131"/>
      <c r="AP312" s="131"/>
      <c r="AQ312" s="131"/>
      <c r="AR312" s="131"/>
      <c r="AS312" s="131"/>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41"/>
      <c r="AJ313" s="141"/>
      <c r="AK313" s="141"/>
      <c r="AL313" s="134"/>
      <c r="AM313" s="131"/>
      <c r="AN313" s="131"/>
      <c r="AO313" s="131"/>
      <c r="AP313" s="131"/>
      <c r="AQ313" s="131"/>
      <c r="AR313" s="131"/>
      <c r="AS313" s="131"/>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41"/>
      <c r="AJ314" s="141"/>
      <c r="AK314" s="141"/>
      <c r="AL314" s="134"/>
      <c r="AM314" s="131"/>
      <c r="AN314" s="131"/>
      <c r="AO314" s="131"/>
      <c r="AP314" s="131"/>
      <c r="AQ314" s="131"/>
      <c r="AR314" s="131"/>
      <c r="AS314" s="131"/>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41"/>
      <c r="AJ315" s="141"/>
      <c r="AK315" s="141"/>
      <c r="AL315" s="134"/>
      <c r="AM315" s="131"/>
      <c r="AN315" s="131"/>
      <c r="AO315" s="131"/>
      <c r="AP315" s="131"/>
      <c r="AQ315" s="131"/>
      <c r="AR315" s="131"/>
      <c r="AS315" s="131"/>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41"/>
      <c r="AJ316" s="141"/>
      <c r="AK316" s="141"/>
      <c r="AL316" s="134"/>
      <c r="AM316" s="131"/>
      <c r="AN316" s="131"/>
      <c r="AO316" s="131"/>
      <c r="AP316" s="131"/>
      <c r="AQ316" s="131"/>
      <c r="AR316" s="131"/>
      <c r="AS316" s="131"/>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41"/>
      <c r="AJ317" s="141"/>
      <c r="AK317" s="141"/>
      <c r="AL317" s="134"/>
      <c r="AM317" s="131"/>
      <c r="AN317" s="131"/>
      <c r="AO317" s="131"/>
      <c r="AP317" s="131"/>
      <c r="AQ317" s="131"/>
      <c r="AR317" s="131"/>
      <c r="AS317" s="131"/>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41"/>
      <c r="AJ318" s="141"/>
      <c r="AK318" s="141"/>
      <c r="AL318" s="134"/>
      <c r="AM318" s="131"/>
      <c r="AN318" s="131"/>
      <c r="AO318" s="131"/>
      <c r="AP318" s="131"/>
      <c r="AQ318" s="131"/>
      <c r="AR318" s="131"/>
      <c r="AS318" s="131"/>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41"/>
      <c r="AJ319" s="141"/>
      <c r="AK319" s="141"/>
      <c r="AL319" s="134"/>
      <c r="AM319" s="131"/>
      <c r="AN319" s="131"/>
      <c r="AO319" s="131"/>
      <c r="AP319" s="131"/>
      <c r="AQ319" s="131"/>
      <c r="AR319" s="131"/>
      <c r="AS319" s="131"/>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41"/>
      <c r="AJ320" s="141"/>
      <c r="AK320" s="141"/>
      <c r="AL320" s="134"/>
      <c r="AM320" s="131"/>
      <c r="AN320" s="131"/>
      <c r="AO320" s="131"/>
      <c r="AP320" s="131"/>
      <c r="AQ320" s="131"/>
      <c r="AR320" s="131"/>
      <c r="AS320" s="131"/>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41"/>
      <c r="AJ321" s="141"/>
      <c r="AK321" s="141"/>
      <c r="AL321" s="134"/>
      <c r="AM321" s="131"/>
      <c r="AN321" s="131"/>
      <c r="AO321" s="131"/>
      <c r="AP321" s="131"/>
      <c r="AQ321" s="131"/>
      <c r="AR321" s="131"/>
      <c r="AS321" s="131"/>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41"/>
      <c r="AJ322" s="141"/>
      <c r="AK322" s="141"/>
      <c r="AL322" s="134"/>
      <c r="AM322" s="131"/>
      <c r="AN322" s="131"/>
      <c r="AO322" s="131"/>
      <c r="AP322" s="131"/>
      <c r="AQ322" s="131"/>
      <c r="AR322" s="131"/>
      <c r="AS322" s="131"/>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41"/>
      <c r="AJ323" s="141"/>
      <c r="AK323" s="141"/>
      <c r="AL323" s="134"/>
      <c r="AM323" s="131"/>
      <c r="AN323" s="131"/>
      <c r="AO323" s="131"/>
      <c r="AP323" s="131"/>
      <c r="AQ323" s="131"/>
      <c r="AR323" s="131"/>
      <c r="AS323" s="131"/>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41"/>
      <c r="AJ324" s="141"/>
      <c r="AK324" s="141"/>
      <c r="AL324" s="134"/>
      <c r="AM324" s="131"/>
      <c r="AN324" s="131"/>
      <c r="AO324" s="131"/>
      <c r="AP324" s="131"/>
      <c r="AQ324" s="131"/>
      <c r="AR324" s="131"/>
      <c r="AS324" s="131"/>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41"/>
      <c r="AJ325" s="141"/>
      <c r="AK325" s="141"/>
      <c r="AL325" s="134"/>
      <c r="AM325" s="131"/>
      <c r="AN325" s="131"/>
      <c r="AO325" s="131"/>
      <c r="AP325" s="131"/>
      <c r="AQ325" s="131"/>
      <c r="AR325" s="131"/>
      <c r="AS325" s="131"/>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141"/>
      <c r="AK326" s="141"/>
      <c r="AL326" s="134"/>
      <c r="AM326" s="131"/>
      <c r="AN326" s="131"/>
      <c r="AO326" s="131"/>
      <c r="AP326" s="131"/>
      <c r="AQ326" s="131"/>
      <c r="AR326" s="131"/>
      <c r="AS326" s="131"/>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41"/>
      <c r="AJ327" s="141"/>
      <c r="AK327" s="141"/>
      <c r="AL327" s="134"/>
      <c r="AM327" s="131"/>
      <c r="AN327" s="131"/>
      <c r="AO327" s="131"/>
      <c r="AP327" s="131"/>
      <c r="AQ327" s="131"/>
      <c r="AR327" s="131"/>
      <c r="AS327" s="131"/>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41"/>
      <c r="AJ328" s="141"/>
      <c r="AK328" s="141"/>
      <c r="AL328" s="134"/>
      <c r="AM328" s="131"/>
      <c r="AN328" s="131"/>
      <c r="AO328" s="131"/>
      <c r="AP328" s="131"/>
      <c r="AQ328" s="131"/>
      <c r="AR328" s="131"/>
      <c r="AS328" s="131"/>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41"/>
      <c r="AJ329" s="141"/>
      <c r="AK329" s="141"/>
      <c r="AL329" s="134"/>
      <c r="AM329" s="131"/>
      <c r="AN329" s="131"/>
      <c r="AO329" s="131"/>
      <c r="AP329" s="131"/>
      <c r="AQ329" s="131"/>
      <c r="AR329" s="131"/>
      <c r="AS329" s="131"/>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41"/>
      <c r="AJ330" s="141"/>
      <c r="AK330" s="141"/>
      <c r="AL330" s="134"/>
      <c r="AM330" s="131"/>
      <c r="AN330" s="131"/>
      <c r="AO330" s="131"/>
      <c r="AP330" s="131"/>
      <c r="AQ330" s="131"/>
      <c r="AR330" s="131"/>
      <c r="AS330" s="131"/>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41"/>
      <c r="AJ331" s="141"/>
      <c r="AK331" s="141"/>
      <c r="AL331" s="134"/>
      <c r="AM331" s="131"/>
      <c r="AN331" s="131"/>
      <c r="AO331" s="131"/>
      <c r="AP331" s="131"/>
      <c r="AQ331" s="131"/>
      <c r="AR331" s="131"/>
      <c r="AS331" s="131"/>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41"/>
      <c r="AJ332" s="141"/>
      <c r="AK332" s="141"/>
      <c r="AL332" s="134"/>
      <c r="AM332" s="131"/>
      <c r="AN332" s="131"/>
      <c r="AO332" s="131"/>
      <c r="AP332" s="131"/>
      <c r="AQ332" s="131"/>
      <c r="AR332" s="131"/>
      <c r="AS332" s="131"/>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41"/>
      <c r="AJ333" s="141"/>
      <c r="AK333" s="141"/>
      <c r="AL333" s="134"/>
      <c r="AM333" s="131"/>
      <c r="AN333" s="131"/>
      <c r="AO333" s="131"/>
      <c r="AP333" s="131"/>
      <c r="AQ333" s="131"/>
      <c r="AR333" s="131"/>
      <c r="AS333" s="131"/>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41"/>
      <c r="AJ334" s="141"/>
      <c r="AK334" s="141"/>
      <c r="AL334" s="134"/>
      <c r="AM334" s="131"/>
      <c r="AN334" s="131"/>
      <c r="AO334" s="131"/>
      <c r="AP334" s="131"/>
      <c r="AQ334" s="131"/>
      <c r="AR334" s="131"/>
      <c r="AS334" s="131"/>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41"/>
      <c r="AJ335" s="141"/>
      <c r="AK335" s="141"/>
      <c r="AL335" s="134"/>
      <c r="AM335" s="131"/>
      <c r="AN335" s="131"/>
      <c r="AO335" s="131"/>
      <c r="AP335" s="131"/>
      <c r="AQ335" s="131"/>
      <c r="AR335" s="131"/>
      <c r="AS335" s="131"/>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41"/>
      <c r="AJ336" s="141"/>
      <c r="AK336" s="141"/>
      <c r="AL336" s="134"/>
      <c r="AM336" s="131"/>
      <c r="AN336" s="131"/>
      <c r="AO336" s="131"/>
      <c r="AP336" s="131"/>
      <c r="AQ336" s="131"/>
      <c r="AR336" s="131"/>
      <c r="AS336" s="131"/>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41"/>
      <c r="AJ337" s="141"/>
      <c r="AK337" s="141"/>
      <c r="AL337" s="134"/>
      <c r="AM337" s="131"/>
      <c r="AN337" s="131"/>
      <c r="AO337" s="131"/>
      <c r="AP337" s="131"/>
      <c r="AQ337" s="131"/>
      <c r="AR337" s="131"/>
      <c r="AS337" s="131"/>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41"/>
      <c r="AJ338" s="141"/>
      <c r="AK338" s="141"/>
      <c r="AL338" s="134"/>
      <c r="AM338" s="131"/>
      <c r="AN338" s="131"/>
      <c r="AO338" s="131"/>
      <c r="AP338" s="131"/>
      <c r="AQ338" s="131"/>
      <c r="AR338" s="131"/>
      <c r="AS338" s="131"/>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41"/>
      <c r="AJ339" s="141"/>
      <c r="AK339" s="141"/>
      <c r="AL339" s="134"/>
      <c r="AM339" s="131"/>
      <c r="AN339" s="131"/>
      <c r="AO339" s="131"/>
      <c r="AP339" s="131"/>
      <c r="AQ339" s="131"/>
      <c r="AR339" s="131"/>
      <c r="AS339" s="131"/>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41"/>
      <c r="AJ340" s="141"/>
      <c r="AK340" s="141"/>
      <c r="AL340" s="134"/>
      <c r="AM340" s="131"/>
      <c r="AN340" s="131"/>
      <c r="AO340" s="131"/>
      <c r="AP340" s="131"/>
      <c r="AQ340" s="131"/>
      <c r="AR340" s="131"/>
      <c r="AS340" s="131"/>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41"/>
      <c r="AJ341" s="141"/>
      <c r="AK341" s="141"/>
      <c r="AL341" s="134"/>
      <c r="AM341" s="131"/>
      <c r="AN341" s="131"/>
      <c r="AO341" s="131"/>
      <c r="AP341" s="131"/>
      <c r="AQ341" s="131"/>
      <c r="AR341" s="131"/>
      <c r="AS341" s="131"/>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41"/>
      <c r="AJ342" s="141"/>
      <c r="AK342" s="141"/>
      <c r="AL342" s="134"/>
      <c r="AM342" s="131"/>
      <c r="AN342" s="131"/>
      <c r="AO342" s="131"/>
      <c r="AP342" s="131"/>
      <c r="AQ342" s="131"/>
      <c r="AR342" s="131"/>
      <c r="AS342" s="131"/>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41"/>
      <c r="AJ343" s="141"/>
      <c r="AK343" s="141"/>
      <c r="AL343" s="134"/>
      <c r="AM343" s="131"/>
      <c r="AN343" s="131"/>
      <c r="AO343" s="131"/>
      <c r="AP343" s="131"/>
      <c r="AQ343" s="131"/>
      <c r="AR343" s="131"/>
      <c r="AS343" s="131"/>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41"/>
      <c r="AJ344" s="141"/>
      <c r="AK344" s="141"/>
      <c r="AL344" s="134"/>
      <c r="AM344" s="131"/>
      <c r="AN344" s="131"/>
      <c r="AO344" s="131"/>
      <c r="AP344" s="131"/>
      <c r="AQ344" s="131"/>
      <c r="AR344" s="131"/>
      <c r="AS344" s="131"/>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41"/>
      <c r="AJ345" s="141"/>
      <c r="AK345" s="141"/>
      <c r="AL345" s="134"/>
      <c r="AM345" s="131"/>
      <c r="AN345" s="131"/>
      <c r="AO345" s="131"/>
      <c r="AP345" s="131"/>
      <c r="AQ345" s="131"/>
      <c r="AR345" s="131"/>
      <c r="AS345" s="131"/>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41"/>
      <c r="AJ346" s="141"/>
      <c r="AK346" s="141"/>
      <c r="AL346" s="134"/>
      <c r="AM346" s="131"/>
      <c r="AN346" s="131"/>
      <c r="AO346" s="131"/>
      <c r="AP346" s="131"/>
      <c r="AQ346" s="131"/>
      <c r="AR346" s="131"/>
      <c r="AS346" s="131"/>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34"/>
      <c r="AE347" s="134"/>
      <c r="AF347" s="141"/>
      <c r="AG347" s="141"/>
      <c r="AH347" s="141"/>
      <c r="AI347" s="141"/>
      <c r="AJ347" s="141"/>
      <c r="AK347" s="141"/>
      <c r="AL347" s="134"/>
      <c r="AM347" s="131"/>
      <c r="AN347" s="131"/>
      <c r="AO347" s="131"/>
      <c r="AP347" s="131"/>
      <c r="AQ347" s="131"/>
      <c r="AR347" s="131"/>
      <c r="AS347" s="131"/>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4"/>
      <c r="AK348" s="134"/>
      <c r="AL348" s="134"/>
      <c r="AM348" s="131"/>
      <c r="AN348" s="131"/>
      <c r="AO348" s="131"/>
      <c r="AP348" s="131"/>
      <c r="AQ348" s="131"/>
      <c r="AR348" s="131"/>
      <c r="AS348" s="131"/>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1"/>
      <c r="AN349" s="131"/>
      <c r="AO349" s="131"/>
      <c r="AP349" s="131"/>
      <c r="AQ349" s="131"/>
      <c r="AR349" s="131"/>
      <c r="AS349" s="131"/>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4"/>
      <c r="AK350" s="134"/>
      <c r="AL350" s="134"/>
      <c r="AM350" s="131"/>
      <c r="AN350" s="131"/>
      <c r="AO350" s="131"/>
      <c r="AP350" s="131"/>
      <c r="AQ350" s="131"/>
      <c r="AR350" s="131"/>
      <c r="AS350" s="131"/>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4"/>
      <c r="AK351" s="134"/>
      <c r="AL351" s="134"/>
      <c r="AM351" s="131"/>
      <c r="AN351" s="131"/>
      <c r="AO351" s="131"/>
      <c r="AP351" s="131"/>
      <c r="AQ351" s="131"/>
      <c r="AR351" s="131"/>
      <c r="AS351" s="131"/>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4"/>
      <c r="AK352" s="134"/>
      <c r="AL352" s="134"/>
      <c r="AM352" s="131"/>
      <c r="AN352" s="131"/>
      <c r="AO352" s="131"/>
      <c r="AP352" s="131"/>
      <c r="AQ352" s="131"/>
      <c r="AR352" s="131"/>
      <c r="AS352" s="131"/>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4"/>
      <c r="AK353" s="134"/>
      <c r="AL353" s="134"/>
      <c r="AM353" s="131"/>
      <c r="AN353" s="131"/>
      <c r="AO353" s="131"/>
      <c r="AP353" s="131"/>
      <c r="AQ353" s="131"/>
      <c r="AR353" s="131"/>
      <c r="AS353" s="131"/>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4"/>
      <c r="AK354" s="134"/>
      <c r="AL354" s="134"/>
      <c r="AM354" s="131"/>
      <c r="AN354" s="131"/>
      <c r="AO354" s="131"/>
      <c r="AP354" s="131"/>
      <c r="AQ354" s="131"/>
      <c r="AR354" s="131"/>
      <c r="AS354" s="131"/>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4"/>
      <c r="AK355" s="134"/>
      <c r="AL355" s="134"/>
      <c r="AM355" s="131"/>
      <c r="AN355" s="131"/>
      <c r="AO355" s="131"/>
      <c r="AP355" s="131"/>
      <c r="AQ355" s="131"/>
      <c r="AR355" s="131"/>
      <c r="AS355" s="131"/>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4"/>
      <c r="AK356" s="134"/>
      <c r="AL356" s="134"/>
      <c r="AM356" s="131"/>
      <c r="AN356" s="131"/>
      <c r="AO356" s="131"/>
      <c r="AP356" s="131"/>
      <c r="AQ356" s="131"/>
      <c r="AR356" s="131"/>
      <c r="AS356" s="131"/>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4"/>
      <c r="AK357" s="134"/>
      <c r="AL357" s="134"/>
      <c r="AM357" s="131"/>
      <c r="AN357" s="131"/>
      <c r="AO357" s="131"/>
      <c r="AP357" s="131"/>
      <c r="AQ357" s="131"/>
      <c r="AR357" s="131"/>
      <c r="AS357" s="131"/>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4"/>
      <c r="AK358" s="134"/>
      <c r="AL358" s="134"/>
      <c r="AM358" s="131"/>
      <c r="AN358" s="131"/>
      <c r="AO358" s="131"/>
      <c r="AP358" s="131"/>
      <c r="AQ358" s="131"/>
      <c r="AR358" s="131"/>
      <c r="AS358" s="131"/>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4"/>
      <c r="AK359" s="134"/>
      <c r="AL359" s="134"/>
      <c r="AM359" s="131"/>
      <c r="AN359" s="131"/>
      <c r="AO359" s="131"/>
      <c r="AP359" s="131"/>
      <c r="AQ359" s="131"/>
      <c r="AR359" s="131"/>
      <c r="AS359" s="131"/>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4"/>
      <c r="AK360" s="134"/>
      <c r="AL360" s="134"/>
      <c r="AM360" s="131"/>
      <c r="AN360" s="131"/>
      <c r="AO360" s="131"/>
      <c r="AP360" s="131"/>
      <c r="AQ360" s="131"/>
      <c r="AR360" s="131"/>
      <c r="AS360" s="131"/>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4"/>
      <c r="AK361" s="134"/>
      <c r="AL361" s="134"/>
      <c r="AM361" s="131"/>
      <c r="AN361" s="131"/>
      <c r="AO361" s="131"/>
      <c r="AP361" s="131"/>
      <c r="AQ361" s="131"/>
      <c r="AR361" s="131"/>
      <c r="AS361" s="131"/>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4"/>
      <c r="AK362" s="134"/>
      <c r="AL362" s="134"/>
      <c r="AM362" s="131"/>
      <c r="AN362" s="131"/>
      <c r="AO362" s="131"/>
      <c r="AP362" s="131"/>
      <c r="AQ362" s="131"/>
      <c r="AR362" s="131"/>
      <c r="AS362" s="131"/>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4"/>
      <c r="AK363" s="134"/>
      <c r="AL363" s="134"/>
      <c r="AM363" s="131"/>
      <c r="AN363" s="131"/>
      <c r="AO363" s="131"/>
      <c r="AP363" s="131"/>
      <c r="AQ363" s="131"/>
      <c r="AR363" s="131"/>
      <c r="AS363" s="131"/>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4"/>
      <c r="AK364" s="134"/>
      <c r="AL364" s="134"/>
      <c r="AM364" s="131"/>
      <c r="AN364" s="131"/>
      <c r="AO364" s="131"/>
      <c r="AP364" s="131"/>
      <c r="AQ364" s="131"/>
      <c r="AR364" s="131"/>
      <c r="AS364" s="131"/>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4"/>
      <c r="AK365" s="134"/>
      <c r="AL365" s="134"/>
      <c r="AM365" s="131"/>
      <c r="AN365" s="131"/>
      <c r="AO365" s="131"/>
      <c r="AP365" s="131"/>
      <c r="AQ365" s="131"/>
      <c r="AR365" s="131"/>
      <c r="AS365" s="131"/>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4"/>
      <c r="AK366" s="134"/>
      <c r="AL366" s="134"/>
      <c r="AM366" s="131"/>
      <c r="AN366" s="131"/>
      <c r="AO366" s="131"/>
      <c r="AP366" s="131"/>
      <c r="AQ366" s="131"/>
      <c r="AR366" s="131"/>
      <c r="AS366" s="131"/>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4"/>
      <c r="AK367" s="134"/>
      <c r="AL367" s="134"/>
      <c r="AM367" s="131"/>
      <c r="AN367" s="131"/>
      <c r="AO367" s="131"/>
      <c r="AP367" s="131"/>
      <c r="AQ367" s="131"/>
      <c r="AR367" s="131"/>
      <c r="AS367" s="131"/>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4"/>
      <c r="AK368" s="134"/>
      <c r="AL368" s="134"/>
      <c r="AM368" s="131"/>
      <c r="AN368" s="131"/>
      <c r="AO368" s="131"/>
      <c r="AP368" s="131"/>
      <c r="AQ368" s="131"/>
      <c r="AR368" s="131"/>
      <c r="AS368" s="131"/>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4"/>
      <c r="AK369" s="134"/>
      <c r="AL369" s="134"/>
      <c r="AM369" s="131"/>
      <c r="AN369" s="131"/>
      <c r="AO369" s="131"/>
      <c r="AP369" s="131"/>
      <c r="AQ369" s="131"/>
      <c r="AR369" s="131"/>
      <c r="AS369" s="131"/>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4"/>
      <c r="AK370" s="134"/>
      <c r="AL370" s="134"/>
      <c r="AM370" s="131"/>
      <c r="AN370" s="131"/>
      <c r="AO370" s="131"/>
      <c r="AP370" s="131"/>
      <c r="AQ370" s="131"/>
      <c r="AR370" s="131"/>
      <c r="AS370" s="131"/>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4"/>
      <c r="AK371" s="134"/>
      <c r="AL371" s="134"/>
      <c r="AM371" s="131"/>
      <c r="AN371" s="131"/>
      <c r="AO371" s="131"/>
      <c r="AP371" s="131"/>
      <c r="AQ371" s="131"/>
      <c r="AR371" s="131"/>
      <c r="AS371" s="131"/>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4"/>
      <c r="AK372" s="134"/>
      <c r="AL372" s="134"/>
      <c r="AM372" s="131"/>
      <c r="AN372" s="131"/>
      <c r="AO372" s="131"/>
      <c r="AP372" s="131"/>
      <c r="AQ372" s="131"/>
      <c r="AR372" s="131"/>
      <c r="AS372" s="131"/>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4"/>
      <c r="AK373" s="134"/>
      <c r="AL373" s="134"/>
      <c r="AM373" s="131"/>
      <c r="AN373" s="131"/>
      <c r="AO373" s="131"/>
      <c r="AP373" s="131"/>
      <c r="AQ373" s="131"/>
      <c r="AR373" s="131"/>
      <c r="AS373" s="131"/>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4"/>
      <c r="AK374" s="134"/>
      <c r="AL374" s="134"/>
      <c r="AM374" s="131"/>
      <c r="AN374" s="131"/>
      <c r="AO374" s="131"/>
      <c r="AP374" s="131"/>
      <c r="AQ374" s="131"/>
      <c r="AR374" s="131"/>
      <c r="AS374" s="131"/>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4"/>
      <c r="AK375" s="134"/>
      <c r="AL375" s="134"/>
      <c r="AM375" s="131"/>
      <c r="AN375" s="131"/>
      <c r="AO375" s="131"/>
      <c r="AP375" s="131"/>
      <c r="AQ375" s="131"/>
      <c r="AR375" s="131"/>
      <c r="AS375" s="131"/>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4"/>
      <c r="AK376" s="134"/>
      <c r="AL376" s="134"/>
      <c r="AM376" s="131"/>
      <c r="AN376" s="131"/>
      <c r="AO376" s="131"/>
      <c r="AP376" s="131"/>
      <c r="AQ376" s="131"/>
      <c r="AR376" s="131"/>
      <c r="AS376" s="131"/>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4"/>
      <c r="AK377" s="134"/>
      <c r="AL377" s="134"/>
      <c r="AM377" s="131"/>
      <c r="AN377" s="131"/>
      <c r="AO377" s="131"/>
      <c r="AP377" s="131"/>
      <c r="AQ377" s="131"/>
      <c r="AR377" s="131"/>
      <c r="AS377" s="131"/>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4"/>
      <c r="AK378" s="134"/>
      <c r="AL378" s="134"/>
      <c r="AM378" s="131"/>
      <c r="AN378" s="131"/>
      <c r="AO378" s="131"/>
      <c r="AP378" s="131"/>
      <c r="AQ378" s="131"/>
      <c r="AR378" s="131"/>
      <c r="AS378" s="131"/>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4"/>
      <c r="AK379" s="134"/>
      <c r="AL379" s="134"/>
      <c r="AM379" s="131"/>
      <c r="AN379" s="131"/>
      <c r="AO379" s="131"/>
      <c r="AP379" s="131"/>
      <c r="AQ379" s="131"/>
      <c r="AR379" s="131"/>
      <c r="AS379" s="131"/>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4"/>
      <c r="AK380" s="134"/>
      <c r="AL380" s="134"/>
      <c r="AM380" s="131"/>
      <c r="AN380" s="131"/>
      <c r="AO380" s="131"/>
      <c r="AP380" s="131"/>
      <c r="AQ380" s="131"/>
      <c r="AR380" s="131"/>
      <c r="AS380" s="131"/>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4"/>
      <c r="AK381" s="134"/>
      <c r="AL381" s="134"/>
      <c r="AM381" s="131"/>
      <c r="AN381" s="131"/>
      <c r="AO381" s="131"/>
      <c r="AP381" s="131"/>
      <c r="AQ381" s="131"/>
      <c r="AR381" s="131"/>
      <c r="AS381" s="131"/>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4"/>
      <c r="AK382" s="134"/>
      <c r="AL382" s="134"/>
      <c r="AM382" s="131"/>
      <c r="AN382" s="131"/>
      <c r="AO382" s="131"/>
      <c r="AP382" s="131"/>
      <c r="AQ382" s="131"/>
      <c r="AR382" s="131"/>
      <c r="AS382" s="131"/>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4"/>
      <c r="AK383" s="134"/>
      <c r="AL383" s="134"/>
      <c r="AM383" s="131"/>
      <c r="AN383" s="131"/>
      <c r="AO383" s="131"/>
      <c r="AP383" s="131"/>
      <c r="AQ383" s="131"/>
      <c r="AR383" s="131"/>
      <c r="AS383" s="131"/>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4"/>
      <c r="AK384" s="134"/>
      <c r="AL384" s="134"/>
      <c r="AM384" s="131"/>
      <c r="AN384" s="131"/>
      <c r="AO384" s="131"/>
      <c r="AP384" s="131"/>
      <c r="AQ384" s="131"/>
      <c r="AR384" s="131"/>
      <c r="AS384" s="131"/>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4"/>
      <c r="AK385" s="134"/>
      <c r="AL385" s="134"/>
      <c r="AM385" s="131"/>
      <c r="AN385" s="131"/>
      <c r="AO385" s="131"/>
      <c r="AP385" s="131"/>
      <c r="AQ385" s="131"/>
      <c r="AR385" s="131"/>
      <c r="AS385" s="131"/>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4"/>
      <c r="AK386" s="134"/>
      <c r="AL386" s="134"/>
      <c r="AM386" s="131"/>
      <c r="AN386" s="131"/>
      <c r="AO386" s="131"/>
      <c r="AP386" s="131"/>
      <c r="AQ386" s="131"/>
      <c r="AR386" s="131"/>
      <c r="AS386" s="131"/>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4"/>
      <c r="AK387" s="134"/>
      <c r="AL387" s="134"/>
      <c r="AM387" s="131"/>
      <c r="AN387" s="131"/>
      <c r="AO387" s="131"/>
      <c r="AP387" s="131"/>
      <c r="AQ387" s="131"/>
      <c r="AR387" s="131"/>
      <c r="AS387" s="131"/>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4"/>
      <c r="AK388" s="134"/>
      <c r="AL388" s="134"/>
      <c r="AM388" s="131"/>
      <c r="AN388" s="131"/>
      <c r="AO388" s="131"/>
      <c r="AP388" s="131"/>
      <c r="AQ388" s="131"/>
      <c r="AR388" s="131"/>
      <c r="AS388" s="131"/>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4"/>
      <c r="AK389" s="134"/>
      <c r="AL389" s="134"/>
      <c r="AM389" s="131"/>
      <c r="AN389" s="131"/>
      <c r="AO389" s="131"/>
      <c r="AP389" s="131"/>
      <c r="AQ389" s="131"/>
      <c r="AR389" s="131"/>
      <c r="AS389" s="131"/>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4"/>
      <c r="AK390" s="134"/>
      <c r="AL390" s="134"/>
      <c r="AM390" s="131"/>
      <c r="AN390" s="131"/>
      <c r="AO390" s="131"/>
      <c r="AP390" s="131"/>
      <c r="AQ390" s="131"/>
      <c r="AR390" s="131"/>
      <c r="AS390" s="131"/>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4"/>
      <c r="AK391" s="134"/>
      <c r="AL391" s="134"/>
      <c r="AM391" s="131"/>
      <c r="AN391" s="131"/>
      <c r="AO391" s="131"/>
      <c r="AP391" s="131"/>
      <c r="AQ391" s="131"/>
      <c r="AR391" s="131"/>
      <c r="AS391" s="131"/>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4"/>
      <c r="AK392" s="134"/>
      <c r="AL392" s="134"/>
      <c r="AM392" s="131"/>
      <c r="AN392" s="131"/>
      <c r="AO392" s="131"/>
      <c r="AP392" s="131"/>
      <c r="AQ392" s="131"/>
      <c r="AR392" s="131"/>
      <c r="AS392" s="131"/>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4"/>
      <c r="AK393" s="134"/>
      <c r="AL393" s="134"/>
      <c r="AM393" s="131"/>
      <c r="AN393" s="131"/>
      <c r="AO393" s="131"/>
      <c r="AP393" s="131"/>
      <c r="AQ393" s="131"/>
      <c r="AR393" s="131"/>
      <c r="AS393" s="131"/>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4"/>
      <c r="AK394" s="134"/>
      <c r="AL394" s="134"/>
      <c r="AM394" s="131"/>
      <c r="AN394" s="131"/>
      <c r="AO394" s="131"/>
      <c r="AP394" s="131"/>
      <c r="AQ394" s="131"/>
      <c r="AR394" s="131"/>
      <c r="AS394" s="131"/>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4"/>
      <c r="AK395" s="134"/>
      <c r="AL395" s="134"/>
      <c r="AM395" s="131"/>
      <c r="AN395" s="131"/>
      <c r="AO395" s="131"/>
      <c r="AP395" s="131"/>
      <c r="AQ395" s="131"/>
      <c r="AR395" s="131"/>
      <c r="AS395" s="131"/>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4"/>
      <c r="AK396" s="134"/>
      <c r="AL396" s="134"/>
      <c r="AM396" s="131"/>
      <c r="AN396" s="131"/>
      <c r="AO396" s="131"/>
      <c r="AP396" s="131"/>
      <c r="AQ396" s="131"/>
      <c r="AR396" s="131"/>
      <c r="AS396" s="131"/>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4"/>
      <c r="AK397" s="134"/>
      <c r="AL397" s="134"/>
      <c r="AM397" s="131"/>
      <c r="AN397" s="131"/>
      <c r="AO397" s="131"/>
      <c r="AP397" s="131"/>
      <c r="AQ397" s="131"/>
      <c r="AR397" s="131"/>
      <c r="AS397" s="131"/>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4"/>
      <c r="AK398" s="134"/>
      <c r="AL398" s="134"/>
      <c r="AM398" s="131"/>
      <c r="AN398" s="131"/>
      <c r="AO398" s="131"/>
      <c r="AP398" s="131"/>
      <c r="AQ398" s="131"/>
      <c r="AR398" s="131"/>
      <c r="AS398" s="131"/>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4"/>
      <c r="AK399" s="134"/>
      <c r="AL399" s="134"/>
      <c r="AM399" s="131"/>
      <c r="AN399" s="131"/>
      <c r="AO399" s="131"/>
      <c r="AP399" s="131"/>
      <c r="AQ399" s="131"/>
      <c r="AR399" s="131"/>
      <c r="AS399" s="131"/>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4"/>
      <c r="AK400" s="134"/>
      <c r="AL400" s="134"/>
      <c r="AM400" s="131"/>
      <c r="AN400" s="131"/>
      <c r="AO400" s="131"/>
      <c r="AP400" s="131"/>
      <c r="AQ400" s="131"/>
      <c r="AR400" s="131"/>
      <c r="AS400" s="131"/>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4"/>
      <c r="AK401" s="134"/>
      <c r="AL401" s="134"/>
      <c r="AM401" s="131"/>
      <c r="AN401" s="131"/>
      <c r="AO401" s="131"/>
      <c r="AP401" s="131"/>
      <c r="AQ401" s="131"/>
      <c r="AR401" s="131"/>
      <c r="AS401" s="131"/>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4"/>
      <c r="AK402" s="134"/>
      <c r="AL402" s="134"/>
      <c r="AM402" s="131"/>
      <c r="AN402" s="131"/>
      <c r="AO402" s="131"/>
      <c r="AP402" s="131"/>
      <c r="AQ402" s="131"/>
      <c r="AR402" s="131"/>
      <c r="AS402" s="131"/>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4"/>
      <c r="AK403" s="134"/>
      <c r="AL403" s="134"/>
      <c r="AM403" s="131"/>
      <c r="AN403" s="131"/>
      <c r="AO403" s="131"/>
      <c r="AP403" s="131"/>
      <c r="AQ403" s="131"/>
      <c r="AR403" s="131"/>
      <c r="AS403" s="131"/>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4"/>
      <c r="AK404" s="134"/>
      <c r="AL404" s="134"/>
      <c r="AM404" s="131"/>
      <c r="AN404" s="131"/>
      <c r="AO404" s="131"/>
      <c r="AP404" s="131"/>
      <c r="AQ404" s="131"/>
      <c r="AR404" s="131"/>
      <c r="AS404" s="131"/>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4"/>
      <c r="AK405" s="134"/>
      <c r="AL405" s="134"/>
      <c r="AM405" s="131"/>
      <c r="AN405" s="131"/>
      <c r="AO405" s="131"/>
      <c r="AP405" s="131"/>
      <c r="AQ405" s="131"/>
      <c r="AR405" s="131"/>
      <c r="AS405" s="131"/>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4"/>
      <c r="AK406" s="134"/>
      <c r="AL406" s="134"/>
      <c r="AM406" s="131"/>
      <c r="AN406" s="131"/>
      <c r="AO406" s="131"/>
      <c r="AP406" s="131"/>
      <c r="AQ406" s="131"/>
      <c r="AR406" s="131"/>
      <c r="AS406" s="131"/>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4"/>
      <c r="AK407" s="134"/>
      <c r="AL407" s="134"/>
      <c r="AM407" s="131"/>
      <c r="AN407" s="131"/>
      <c r="AO407" s="131"/>
      <c r="AP407" s="131"/>
      <c r="AQ407" s="131"/>
      <c r="AR407" s="131"/>
      <c r="AS407" s="131"/>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4"/>
      <c r="AK408" s="134"/>
      <c r="AL408" s="134"/>
      <c r="AM408" s="131"/>
      <c r="AN408" s="131"/>
      <c r="AO408" s="131"/>
      <c r="AP408" s="131"/>
      <c r="AQ408" s="131"/>
      <c r="AR408" s="131"/>
      <c r="AS408" s="131"/>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4"/>
      <c r="AK409" s="134"/>
      <c r="AL409" s="134"/>
      <c r="AM409" s="131"/>
      <c r="AN409" s="131"/>
      <c r="AO409" s="131"/>
      <c r="AP409" s="131"/>
      <c r="AQ409" s="131"/>
      <c r="AR409" s="131"/>
      <c r="AS409" s="131"/>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4"/>
      <c r="AK410" s="134"/>
      <c r="AL410" s="134"/>
      <c r="AM410" s="131"/>
      <c r="AN410" s="131"/>
      <c r="AO410" s="131"/>
      <c r="AP410" s="131"/>
      <c r="AQ410" s="131"/>
      <c r="AR410" s="131"/>
      <c r="AS410" s="131"/>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4"/>
      <c r="AK411" s="134"/>
      <c r="AL411" s="134"/>
      <c r="AM411" s="131"/>
      <c r="AN411" s="131"/>
      <c r="AO411" s="131"/>
      <c r="AP411" s="131"/>
      <c r="AQ411" s="131"/>
      <c r="AR411" s="131"/>
      <c r="AS411" s="131"/>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4"/>
      <c r="AK412" s="134"/>
      <c r="AL412" s="134"/>
      <c r="AM412" s="131"/>
      <c r="AN412" s="131"/>
      <c r="AO412" s="131"/>
      <c r="AP412" s="131"/>
      <c r="AQ412" s="131"/>
      <c r="AR412" s="131"/>
      <c r="AS412" s="131"/>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4"/>
      <c r="AK413" s="134"/>
      <c r="AL413" s="134"/>
      <c r="AM413" s="131"/>
      <c r="AN413" s="131"/>
      <c r="AO413" s="131"/>
      <c r="AP413" s="131"/>
      <c r="AQ413" s="131"/>
      <c r="AR413" s="131"/>
      <c r="AS413" s="131"/>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4"/>
      <c r="AK414" s="134"/>
      <c r="AL414" s="134"/>
      <c r="AM414" s="131"/>
      <c r="AN414" s="131"/>
      <c r="AO414" s="131"/>
      <c r="AP414" s="131"/>
      <c r="AQ414" s="131"/>
      <c r="AR414" s="131"/>
      <c r="AS414" s="131"/>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4"/>
      <c r="AK415" s="134"/>
      <c r="AL415" s="134"/>
      <c r="AM415" s="131"/>
      <c r="AN415" s="131"/>
      <c r="AO415" s="131"/>
      <c r="AP415" s="131"/>
      <c r="AQ415" s="131"/>
      <c r="AR415" s="131"/>
      <c r="AS415" s="131"/>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4"/>
      <c r="AK416" s="134"/>
      <c r="AL416" s="134"/>
      <c r="AM416" s="131"/>
      <c r="AN416" s="131"/>
      <c r="AO416" s="131"/>
      <c r="AP416" s="131"/>
      <c r="AQ416" s="131"/>
      <c r="AR416" s="131"/>
      <c r="AS416" s="131"/>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4"/>
      <c r="AK417" s="134"/>
      <c r="AL417" s="134"/>
      <c r="AM417" s="131"/>
      <c r="AN417" s="131"/>
      <c r="AO417" s="131"/>
      <c r="AP417" s="131"/>
      <c r="AQ417" s="131"/>
      <c r="AR417" s="131"/>
      <c r="AS417" s="131"/>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4"/>
      <c r="AK418" s="134"/>
      <c r="AL418" s="134"/>
      <c r="AM418" s="131"/>
      <c r="AN418" s="131"/>
      <c r="AO418" s="131"/>
      <c r="AP418" s="131"/>
      <c r="AQ418" s="131"/>
      <c r="AR418" s="131"/>
      <c r="AS418" s="131"/>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4"/>
      <c r="AK419" s="134"/>
      <c r="AL419" s="134"/>
      <c r="AM419" s="131"/>
      <c r="AN419" s="131"/>
      <c r="AO419" s="131"/>
      <c r="AP419" s="131"/>
      <c r="AQ419" s="131"/>
      <c r="AR419" s="131"/>
      <c r="AS419" s="131"/>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4"/>
      <c r="AK420" s="134"/>
      <c r="AL420" s="134"/>
      <c r="AM420" s="131"/>
      <c r="AN420" s="131"/>
      <c r="AO420" s="131"/>
      <c r="AP420" s="131"/>
      <c r="AQ420" s="131"/>
      <c r="AR420" s="131"/>
      <c r="AS420" s="131"/>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4"/>
      <c r="AK421" s="134"/>
      <c r="AL421" s="134"/>
      <c r="AM421" s="131"/>
      <c r="AN421" s="131"/>
      <c r="AO421" s="131"/>
      <c r="AP421" s="131"/>
      <c r="AQ421" s="131"/>
      <c r="AR421" s="131"/>
      <c r="AS421" s="131"/>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4"/>
      <c r="AK422" s="134"/>
      <c r="AL422" s="134"/>
      <c r="AM422" s="131"/>
      <c r="AN422" s="131"/>
      <c r="AO422" s="131"/>
      <c r="AP422" s="131"/>
      <c r="AQ422" s="131"/>
      <c r="AR422" s="131"/>
      <c r="AS422" s="131"/>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4"/>
      <c r="AK423" s="134"/>
      <c r="AL423" s="134"/>
      <c r="AM423" s="131"/>
      <c r="AN423" s="131"/>
      <c r="AO423" s="131"/>
      <c r="AP423" s="131"/>
      <c r="AQ423" s="131"/>
      <c r="AR423" s="131"/>
      <c r="AS423" s="131"/>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4"/>
      <c r="AK424" s="134"/>
      <c r="AL424" s="134"/>
      <c r="AM424" s="131"/>
      <c r="AN424" s="131"/>
      <c r="AO424" s="131"/>
      <c r="AP424" s="131"/>
      <c r="AQ424" s="131"/>
      <c r="AR424" s="131"/>
      <c r="AS424" s="131"/>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4"/>
      <c r="AK425" s="134"/>
      <c r="AL425" s="134"/>
      <c r="AM425" s="131"/>
      <c r="AN425" s="131"/>
      <c r="AO425" s="131"/>
      <c r="AP425" s="131"/>
      <c r="AQ425" s="131"/>
      <c r="AR425" s="131"/>
      <c r="AS425" s="131"/>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4"/>
      <c r="AK426" s="134"/>
      <c r="AL426" s="134"/>
      <c r="AM426" s="131"/>
      <c r="AN426" s="131"/>
      <c r="AO426" s="131"/>
      <c r="AP426" s="131"/>
      <c r="AQ426" s="131"/>
      <c r="AR426" s="131"/>
      <c r="AS426" s="131"/>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4"/>
      <c r="AK427" s="134"/>
      <c r="AL427" s="134"/>
      <c r="AM427" s="131"/>
      <c r="AN427" s="131"/>
      <c r="AO427" s="131"/>
      <c r="AP427" s="131"/>
      <c r="AQ427" s="131"/>
      <c r="AR427" s="131"/>
      <c r="AS427" s="131"/>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4"/>
      <c r="AK428" s="134"/>
      <c r="AL428" s="134"/>
      <c r="AM428" s="131"/>
      <c r="AN428" s="131"/>
      <c r="AO428" s="131"/>
      <c r="AP428" s="131"/>
      <c r="AQ428" s="131"/>
      <c r="AR428" s="131"/>
      <c r="AS428" s="131"/>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4"/>
      <c r="AK429" s="134"/>
      <c r="AL429" s="134"/>
      <c r="AM429" s="131"/>
      <c r="AN429" s="131"/>
      <c r="AO429" s="131"/>
      <c r="AP429" s="131"/>
      <c r="AQ429" s="131"/>
      <c r="AR429" s="131"/>
      <c r="AS429" s="131"/>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4"/>
      <c r="AK430" s="134"/>
      <c r="AL430" s="134"/>
      <c r="AM430" s="131"/>
      <c r="AN430" s="131"/>
      <c r="AO430" s="131"/>
      <c r="AP430" s="131"/>
      <c r="AQ430" s="131"/>
      <c r="AR430" s="131"/>
      <c r="AS430" s="131"/>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4"/>
      <c r="AK431" s="134"/>
      <c r="AL431" s="134"/>
      <c r="AM431" s="131"/>
      <c r="AN431" s="131"/>
      <c r="AO431" s="131"/>
      <c r="AP431" s="131"/>
      <c r="AQ431" s="131"/>
      <c r="AR431" s="131"/>
      <c r="AS431" s="131"/>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1"/>
      <c r="AE432" s="131"/>
      <c r="AF432" s="134"/>
      <c r="AG432" s="134"/>
      <c r="AH432" s="134"/>
      <c r="AI432" s="134"/>
      <c r="AJ432" s="134"/>
      <c r="AK432" s="131"/>
      <c r="AL432" s="131"/>
      <c r="AM432" s="131"/>
      <c r="AN432" s="131"/>
      <c r="AO432" s="131"/>
      <c r="AP432" s="131"/>
      <c r="AQ432" s="131"/>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131"/>
      <c r="AP433" s="131"/>
      <c r="AQ433" s="131"/>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131"/>
      <c r="AP434" s="131"/>
      <c r="AQ434" s="131"/>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131"/>
      <c r="AP435" s="131"/>
      <c r="AQ435" s="131"/>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131"/>
      <c r="AP436" s="131"/>
      <c r="AQ436" s="131"/>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131"/>
      <c r="AP437" s="131"/>
      <c r="AQ437" s="131"/>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131"/>
      <c r="AP438" s="131"/>
      <c r="AQ438" s="131"/>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131"/>
      <c r="AP439" s="131"/>
      <c r="AQ439" s="131"/>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131"/>
      <c r="AP440" s="131"/>
      <c r="AQ440" s="131"/>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131"/>
      <c r="AP441" s="131"/>
      <c r="AQ441" s="131"/>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131"/>
      <c r="AP442" s="131"/>
      <c r="AQ442" s="131"/>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131"/>
      <c r="AP443" s="131"/>
      <c r="AQ443" s="131"/>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131"/>
      <c r="AP444" s="131"/>
      <c r="AQ444" s="131"/>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131"/>
      <c r="AP446" s="131"/>
      <c r="AQ446" s="131"/>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131"/>
      <c r="AP447" s="131"/>
      <c r="AQ447" s="131"/>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131"/>
      <c r="AP448" s="131"/>
      <c r="AQ448" s="131"/>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131"/>
      <c r="AP449" s="131"/>
      <c r="AQ449" s="131"/>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131"/>
      <c r="AP450" s="131"/>
      <c r="AQ450" s="131"/>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131"/>
      <c r="AP451" s="131"/>
      <c r="AQ451" s="131"/>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131"/>
      <c r="AP452" s="131"/>
      <c r="AQ452" s="131"/>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131"/>
      <c r="AP453" s="131"/>
      <c r="AQ453" s="131"/>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131"/>
      <c r="AP454" s="131"/>
      <c r="AQ454" s="131"/>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131"/>
      <c r="AP455" s="131"/>
      <c r="AQ455" s="131"/>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131"/>
      <c r="AP456" s="131"/>
      <c r="AQ456" s="131"/>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131"/>
      <c r="AP457" s="131"/>
      <c r="AQ457" s="131"/>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131"/>
      <c r="AP458" s="131"/>
      <c r="AQ458" s="131"/>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131"/>
      <c r="AP459" s="131"/>
      <c r="AQ459" s="131"/>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131"/>
      <c r="AP460" s="131"/>
      <c r="AQ460" s="131"/>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131"/>
      <c r="AP461" s="131"/>
      <c r="AQ461" s="131"/>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131"/>
      <c r="AP463" s="131"/>
      <c r="AQ463" s="131"/>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131"/>
      <c r="AP464" s="131"/>
      <c r="AQ464" s="131"/>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131"/>
      <c r="AP465" s="131"/>
      <c r="AQ465" s="131"/>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131"/>
      <c r="AP466" s="131"/>
      <c r="AQ466" s="131"/>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131"/>
      <c r="AP467" s="131"/>
      <c r="AQ467" s="131"/>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131"/>
      <c r="AP468" s="131"/>
      <c r="AQ468" s="131"/>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131"/>
      <c r="AP469" s="131"/>
      <c r="AQ469" s="131"/>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131"/>
      <c r="AP470" s="131"/>
      <c r="AQ470" s="131"/>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131"/>
      <c r="AP471" s="131"/>
      <c r="AQ471" s="131"/>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131"/>
      <c r="AP472" s="131"/>
      <c r="AQ472" s="131"/>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131"/>
      <c r="AP473" s="131"/>
      <c r="AQ473" s="131"/>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131"/>
      <c r="AP474" s="131"/>
      <c r="AQ474" s="131"/>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131"/>
      <c r="AP475" s="131"/>
      <c r="AQ475" s="131"/>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131"/>
      <c r="AP476" s="131"/>
      <c r="AQ476" s="131"/>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131"/>
      <c r="AP477" s="131"/>
      <c r="AQ477" s="131"/>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131"/>
      <c r="AP478" s="131"/>
      <c r="AQ478" s="131"/>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131"/>
      <c r="AP480" s="131"/>
      <c r="AQ480" s="131"/>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131"/>
      <c r="AP481" s="131"/>
      <c r="AQ481" s="131"/>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131"/>
      <c r="AP482" s="131"/>
      <c r="AQ482" s="131"/>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131"/>
      <c r="AP483" s="131"/>
      <c r="AQ483" s="131"/>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131"/>
      <c r="AP484" s="131"/>
      <c r="AQ484" s="131"/>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131"/>
      <c r="AP485" s="131"/>
      <c r="AQ485" s="131"/>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131"/>
      <c r="AP486" s="131"/>
      <c r="AQ486" s="131"/>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131"/>
      <c r="AP487" s="131"/>
      <c r="AQ487" s="131"/>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131"/>
      <c r="AP488" s="131"/>
      <c r="AQ488" s="131"/>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131"/>
      <c r="AP489" s="131"/>
      <c r="AQ489" s="131"/>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131"/>
      <c r="AP490" s="131"/>
      <c r="AQ490" s="131"/>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131"/>
      <c r="AP491" s="131"/>
      <c r="AQ491" s="131"/>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131"/>
      <c r="AP492" s="131"/>
      <c r="AQ492" s="131"/>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131"/>
      <c r="AP493" s="131"/>
      <c r="AQ493" s="131"/>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131"/>
      <c r="AP494" s="131"/>
      <c r="AQ494" s="131"/>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131"/>
      <c r="AP495" s="131"/>
      <c r="AQ495" s="131"/>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131"/>
      <c r="AP497" s="131"/>
      <c r="AQ497" s="131"/>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131"/>
      <c r="AP498" s="131"/>
      <c r="AQ498" s="131"/>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131"/>
      <c r="AP499" s="131"/>
      <c r="AQ499" s="131"/>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131"/>
      <c r="AP500" s="131"/>
      <c r="AQ500" s="131"/>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131"/>
      <c r="AP501" s="131"/>
      <c r="AQ501" s="131"/>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131"/>
      <c r="AP502" s="131"/>
      <c r="AQ502" s="131"/>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131"/>
      <c r="AP503" s="131"/>
      <c r="AQ503" s="131"/>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131"/>
      <c r="AP504" s="131"/>
      <c r="AQ504" s="131"/>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131"/>
      <c r="AP505" s="131"/>
      <c r="AQ505" s="131"/>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131"/>
      <c r="AP506" s="131"/>
      <c r="AQ506" s="131"/>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131"/>
      <c r="AP507" s="131"/>
      <c r="AQ507" s="131"/>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131"/>
      <c r="AP508" s="131"/>
      <c r="AQ508" s="131"/>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131"/>
      <c r="AP509" s="131"/>
      <c r="AQ509" s="131"/>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131"/>
      <c r="AP510" s="131"/>
      <c r="AQ510" s="131"/>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131"/>
      <c r="AP511" s="131"/>
      <c r="AQ511" s="131"/>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131"/>
      <c r="AP512" s="131"/>
      <c r="AQ512" s="131"/>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131"/>
      <c r="AP514" s="131"/>
      <c r="AQ514" s="131"/>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131"/>
      <c r="AP515" s="131"/>
      <c r="AQ515" s="131"/>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131"/>
      <c r="AP516" s="131"/>
      <c r="AQ516" s="131"/>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131"/>
      <c r="AP517" s="131"/>
      <c r="AQ517" s="131"/>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131"/>
      <c r="AP518" s="131"/>
      <c r="AQ518" s="131"/>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131"/>
      <c r="AP519" s="131"/>
      <c r="AQ519" s="131"/>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131"/>
      <c r="AP520" s="131"/>
      <c r="AQ520" s="131"/>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131"/>
      <c r="AP521" s="131"/>
      <c r="AQ521" s="131"/>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131"/>
      <c r="AP522" s="131"/>
      <c r="AQ522" s="131"/>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131"/>
      <c r="AP523" s="131"/>
      <c r="AQ523" s="131"/>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131"/>
      <c r="AP524" s="131"/>
      <c r="AQ524" s="131"/>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131"/>
      <c r="AP525" s="131"/>
      <c r="AQ525" s="131"/>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131"/>
      <c r="AP526" s="131"/>
      <c r="AQ526" s="131"/>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131"/>
      <c r="AP527" s="131"/>
      <c r="AQ527" s="131"/>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131"/>
      <c r="AP528" s="131"/>
      <c r="AQ528" s="131"/>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131"/>
      <c r="AP529" s="131"/>
      <c r="AQ529" s="131"/>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131"/>
      <c r="AP531" s="131"/>
      <c r="AQ531" s="131"/>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131"/>
      <c r="AP532" s="131"/>
      <c r="AQ532" s="131"/>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33"/>
      <c r="AE533" s="33"/>
      <c r="AF533" s="131"/>
      <c r="AG533" s="131"/>
      <c r="AH533" s="131"/>
      <c r="AI533" s="131"/>
      <c r="AJ533" s="131"/>
      <c r="AK533" s="131"/>
      <c r="AL533" s="131"/>
      <c r="AM533" s="131"/>
      <c r="AN533" s="131"/>
      <c r="AO533" s="131"/>
      <c r="AP533" s="131"/>
      <c r="AQ533" s="131"/>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3"/>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54"/>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5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5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5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5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5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5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5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5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5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5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5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5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5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5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5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5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5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5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5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5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5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5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5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5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5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5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5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5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5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5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5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5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5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5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5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5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5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5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5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5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5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5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5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5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5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5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5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5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5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5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5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5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5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5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5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5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5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5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5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5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5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5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5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5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5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5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5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5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5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5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5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5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5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5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5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5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5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9" sqref="B9:C12"/>
    </sheetView>
  </sheetViews>
  <sheetFormatPr baseColWidth="10" defaultRowHeight="12" x14ac:dyDescent="0"/>
  <cols>
    <col min="1" max="1" width="10.83203125" style="408"/>
    <col min="2" max="2" width="15.1640625" style="408" customWidth="1"/>
    <col min="3" max="3" width="32.5" style="408" customWidth="1"/>
    <col min="4" max="4" width="10.83203125" style="408"/>
    <col min="5" max="5" width="6.1640625" style="408" bestFit="1" customWidth="1"/>
    <col min="6" max="9" width="15.5" style="408" customWidth="1"/>
    <col min="10" max="10" width="14.6640625" style="408" customWidth="1"/>
    <col min="11" max="17" width="15.5" style="408" customWidth="1"/>
    <col min="18" max="18" width="15" style="408" customWidth="1"/>
    <col min="19" max="19" width="15.33203125" style="408" customWidth="1"/>
    <col min="20" max="20" width="7.1640625" style="408" customWidth="1"/>
    <col min="21" max="21" width="47.33203125" style="408" customWidth="1"/>
    <col min="22" max="23" width="20.33203125" style="408" customWidth="1"/>
    <col min="24" max="16384" width="10.83203125" style="408"/>
  </cols>
  <sheetData>
    <row r="2" spans="2:19" ht="32">
      <c r="B2" s="488" t="s">
        <v>340</v>
      </c>
    </row>
    <row r="5" spans="2:19" ht="18" customHeight="1">
      <c r="B5" s="489" t="s">
        <v>341</v>
      </c>
      <c r="C5" s="490" t="s">
        <v>342</v>
      </c>
      <c r="H5" s="491"/>
    </row>
    <row r="6" spans="2:19" ht="18">
      <c r="E6" s="489" t="str">
        <f>C5 &amp; " Scenario"</f>
        <v>Full Everywhere Scenario</v>
      </c>
    </row>
    <row r="7" spans="2:19" ht="27" thickBot="1">
      <c r="B7" s="489" t="s">
        <v>343</v>
      </c>
      <c r="C7" s="492"/>
      <c r="F7" s="554" t="s">
        <v>125</v>
      </c>
      <c r="G7" s="555"/>
      <c r="H7" s="555"/>
      <c r="I7" s="556"/>
      <c r="J7" s="554" t="s">
        <v>126</v>
      </c>
      <c r="K7" s="555"/>
      <c r="L7" s="555"/>
      <c r="M7" s="556"/>
      <c r="N7" s="554" t="s">
        <v>127</v>
      </c>
      <c r="O7" s="555"/>
      <c r="P7" s="555"/>
      <c r="Q7" s="556"/>
    </row>
    <row r="8" spans="2:19" ht="50" customHeight="1" thickTop="1" thickBot="1">
      <c r="B8" s="493" t="s">
        <v>129</v>
      </c>
      <c r="C8" s="494" t="s">
        <v>344</v>
      </c>
      <c r="E8" s="495" t="s">
        <v>324</v>
      </c>
      <c r="F8" s="495" t="s">
        <v>345</v>
      </c>
      <c r="G8" s="496" t="s">
        <v>346</v>
      </c>
      <c r="H8" s="496" t="s">
        <v>347</v>
      </c>
      <c r="I8" s="497" t="s">
        <v>348</v>
      </c>
      <c r="J8" s="495" t="s">
        <v>345</v>
      </c>
      <c r="K8" s="496" t="s">
        <v>346</v>
      </c>
      <c r="L8" s="496" t="s">
        <v>347</v>
      </c>
      <c r="M8" s="497" t="s">
        <v>348</v>
      </c>
      <c r="N8" s="495" t="s">
        <v>345</v>
      </c>
      <c r="O8" s="496" t="s">
        <v>346</v>
      </c>
      <c r="P8" s="496" t="s">
        <v>347</v>
      </c>
      <c r="Q8" s="497" t="s">
        <v>348</v>
      </c>
      <c r="R8" s="495" t="s">
        <v>349</v>
      </c>
      <c r="S8" s="497" t="s">
        <v>350</v>
      </c>
    </row>
    <row r="9" spans="2:19" ht="18">
      <c r="B9" s="498" t="s">
        <v>130</v>
      </c>
      <c r="C9" s="499" t="b">
        <v>1</v>
      </c>
      <c r="E9" s="500" t="s">
        <v>211</v>
      </c>
      <c r="F9" s="501" t="s">
        <v>351</v>
      </c>
      <c r="G9" s="502" t="s">
        <v>351</v>
      </c>
      <c r="H9" s="502">
        <v>0</v>
      </c>
      <c r="I9" s="503">
        <v>0</v>
      </c>
      <c r="J9" s="501" t="s">
        <v>351</v>
      </c>
      <c r="K9" s="502" t="s">
        <v>351</v>
      </c>
      <c r="L9" s="502">
        <v>0</v>
      </c>
      <c r="M9" s="504">
        <v>0</v>
      </c>
      <c r="N9" s="505" t="s">
        <v>351</v>
      </c>
      <c r="O9" s="502" t="s">
        <v>351</v>
      </c>
      <c r="P9" s="502">
        <v>0</v>
      </c>
      <c r="Q9" s="504">
        <v>0</v>
      </c>
      <c r="R9" s="506">
        <v>2014</v>
      </c>
      <c r="S9" s="507">
        <v>2050</v>
      </c>
    </row>
    <row r="10" spans="2:19" ht="18">
      <c r="B10" s="508" t="s">
        <v>131</v>
      </c>
      <c r="C10" s="509" t="b">
        <v>1</v>
      </c>
      <c r="E10" s="510" t="s">
        <v>210</v>
      </c>
      <c r="F10" s="511" t="s">
        <v>351</v>
      </c>
      <c r="G10" s="512" t="s">
        <v>351</v>
      </c>
      <c r="H10" s="512">
        <v>0</v>
      </c>
      <c r="I10" s="513">
        <v>0</v>
      </c>
      <c r="J10" s="511" t="s">
        <v>351</v>
      </c>
      <c r="K10" s="512" t="s">
        <v>351</v>
      </c>
      <c r="L10" s="512">
        <v>0</v>
      </c>
      <c r="M10" s="514">
        <v>0</v>
      </c>
      <c r="N10" s="515" t="s">
        <v>351</v>
      </c>
      <c r="O10" s="512" t="s">
        <v>351</v>
      </c>
      <c r="P10" s="512">
        <v>0</v>
      </c>
      <c r="Q10" s="514">
        <v>0</v>
      </c>
      <c r="R10" s="516">
        <v>2014</v>
      </c>
      <c r="S10" s="517">
        <v>2050</v>
      </c>
    </row>
    <row r="11" spans="2:19" ht="18">
      <c r="B11" s="508" t="s">
        <v>151</v>
      </c>
      <c r="C11" s="509" t="b">
        <v>1</v>
      </c>
      <c r="E11" s="510" t="s">
        <v>213</v>
      </c>
      <c r="F11" s="511" t="s">
        <v>351</v>
      </c>
      <c r="G11" s="512" t="s">
        <v>351</v>
      </c>
      <c r="H11" s="512">
        <v>0</v>
      </c>
      <c r="I11" s="513">
        <v>0</v>
      </c>
      <c r="J11" s="511" t="s">
        <v>351</v>
      </c>
      <c r="K11" s="512" t="s">
        <v>351</v>
      </c>
      <c r="L11" s="512">
        <v>0</v>
      </c>
      <c r="M11" s="514">
        <v>0</v>
      </c>
      <c r="N11" s="515" t="s">
        <v>351</v>
      </c>
      <c r="O11" s="512" t="s">
        <v>351</v>
      </c>
      <c r="P11" s="512">
        <v>0</v>
      </c>
      <c r="Q11" s="514">
        <v>0</v>
      </c>
      <c r="R11" s="516">
        <v>2014</v>
      </c>
      <c r="S11" s="517">
        <v>2050</v>
      </c>
    </row>
    <row r="12" spans="2:19" ht="19" thickBot="1">
      <c r="B12" s="518" t="s">
        <v>152</v>
      </c>
      <c r="C12" s="519" t="b">
        <v>1</v>
      </c>
      <c r="E12" s="510" t="s">
        <v>212</v>
      </c>
      <c r="F12" s="511" t="s">
        <v>351</v>
      </c>
      <c r="G12" s="512" t="s">
        <v>351</v>
      </c>
      <c r="H12" s="512">
        <v>0</v>
      </c>
      <c r="I12" s="513">
        <v>0</v>
      </c>
      <c r="J12" s="511" t="s">
        <v>351</v>
      </c>
      <c r="K12" s="512" t="s">
        <v>351</v>
      </c>
      <c r="L12" s="512">
        <v>0</v>
      </c>
      <c r="M12" s="514">
        <v>0</v>
      </c>
      <c r="N12" s="515" t="s">
        <v>351</v>
      </c>
      <c r="O12" s="512" t="s">
        <v>351</v>
      </c>
      <c r="P12" s="512">
        <v>0</v>
      </c>
      <c r="Q12" s="514">
        <v>0</v>
      </c>
      <c r="R12" s="516">
        <v>2014</v>
      </c>
      <c r="S12" s="517">
        <v>2050</v>
      </c>
    </row>
    <row r="13" spans="2:19" ht="13" thickTop="1">
      <c r="E13" s="510" t="s">
        <v>214</v>
      </c>
      <c r="F13" s="511" t="s">
        <v>351</v>
      </c>
      <c r="G13" s="512" t="s">
        <v>351</v>
      </c>
      <c r="H13" s="512">
        <v>0</v>
      </c>
      <c r="I13" s="513">
        <v>0</v>
      </c>
      <c r="J13" s="511" t="s">
        <v>351</v>
      </c>
      <c r="K13" s="512" t="s">
        <v>351</v>
      </c>
      <c r="L13" s="512">
        <v>0</v>
      </c>
      <c r="M13" s="514">
        <v>0</v>
      </c>
      <c r="N13" s="515" t="s">
        <v>351</v>
      </c>
      <c r="O13" s="512" t="s">
        <v>351</v>
      </c>
      <c r="P13" s="512">
        <v>0</v>
      </c>
      <c r="Q13" s="514">
        <v>0</v>
      </c>
      <c r="R13" s="516">
        <v>2014</v>
      </c>
      <c r="S13" s="517">
        <v>2050</v>
      </c>
    </row>
    <row r="14" spans="2:19" ht="12" customHeight="1">
      <c r="B14" s="557" t="s">
        <v>352</v>
      </c>
      <c r="C14" s="557"/>
      <c r="E14" s="510" t="s">
        <v>215</v>
      </c>
      <c r="F14" s="511" t="s">
        <v>351</v>
      </c>
      <c r="G14" s="512" t="s">
        <v>351</v>
      </c>
      <c r="H14" s="512">
        <v>0</v>
      </c>
      <c r="I14" s="513">
        <v>0</v>
      </c>
      <c r="J14" s="511" t="s">
        <v>351</v>
      </c>
      <c r="K14" s="512" t="s">
        <v>351</v>
      </c>
      <c r="L14" s="512">
        <v>0</v>
      </c>
      <c r="M14" s="514">
        <v>0</v>
      </c>
      <c r="N14" s="515" t="s">
        <v>351</v>
      </c>
      <c r="O14" s="512" t="s">
        <v>351</v>
      </c>
      <c r="P14" s="512">
        <v>0</v>
      </c>
      <c r="Q14" s="514">
        <v>0</v>
      </c>
      <c r="R14" s="516">
        <v>2014</v>
      </c>
      <c r="S14" s="517">
        <v>2050</v>
      </c>
    </row>
    <row r="15" spans="2:19" ht="12" customHeight="1">
      <c r="B15" s="557"/>
      <c r="C15" s="557"/>
      <c r="E15" s="510" t="s">
        <v>216</v>
      </c>
      <c r="F15" s="511" t="s">
        <v>351</v>
      </c>
      <c r="G15" s="512" t="s">
        <v>351</v>
      </c>
      <c r="H15" s="512">
        <v>0</v>
      </c>
      <c r="I15" s="513">
        <v>0</v>
      </c>
      <c r="J15" s="511" t="s">
        <v>351</v>
      </c>
      <c r="K15" s="512" t="s">
        <v>351</v>
      </c>
      <c r="L15" s="512">
        <v>0</v>
      </c>
      <c r="M15" s="514">
        <v>0</v>
      </c>
      <c r="N15" s="515" t="s">
        <v>351</v>
      </c>
      <c r="O15" s="512" t="s">
        <v>351</v>
      </c>
      <c r="P15" s="512">
        <v>0</v>
      </c>
      <c r="Q15" s="514">
        <v>0</v>
      </c>
      <c r="R15" s="516">
        <v>2014</v>
      </c>
      <c r="S15" s="517">
        <v>2050</v>
      </c>
    </row>
    <row r="16" spans="2:19" ht="12" customHeight="1">
      <c r="B16" s="557"/>
      <c r="C16" s="557"/>
      <c r="E16" s="510" t="s">
        <v>11</v>
      </c>
      <c r="F16" s="511" t="s">
        <v>351</v>
      </c>
      <c r="G16" s="512" t="s">
        <v>351</v>
      </c>
      <c r="H16" s="512">
        <v>0</v>
      </c>
      <c r="I16" s="513">
        <v>0</v>
      </c>
      <c r="J16" s="511" t="s">
        <v>351</v>
      </c>
      <c r="K16" s="512" t="s">
        <v>351</v>
      </c>
      <c r="L16" s="512">
        <v>0</v>
      </c>
      <c r="M16" s="514">
        <v>0</v>
      </c>
      <c r="N16" s="515" t="s">
        <v>351</v>
      </c>
      <c r="O16" s="512" t="s">
        <v>351</v>
      </c>
      <c r="P16" s="512">
        <v>0</v>
      </c>
      <c r="Q16" s="514">
        <v>0</v>
      </c>
      <c r="R16" s="516">
        <v>2014</v>
      </c>
      <c r="S16" s="517">
        <v>2050</v>
      </c>
    </row>
    <row r="17" spans="2:19" ht="12" customHeight="1">
      <c r="B17" s="557"/>
      <c r="C17" s="557"/>
      <c r="E17" s="510" t="s">
        <v>217</v>
      </c>
      <c r="F17" s="511" t="s">
        <v>351</v>
      </c>
      <c r="G17" s="512" t="s">
        <v>351</v>
      </c>
      <c r="H17" s="512">
        <v>0</v>
      </c>
      <c r="I17" s="513">
        <v>0</v>
      </c>
      <c r="J17" s="511" t="s">
        <v>351</v>
      </c>
      <c r="K17" s="512" t="s">
        <v>351</v>
      </c>
      <c r="L17" s="512">
        <v>0</v>
      </c>
      <c r="M17" s="514">
        <v>0</v>
      </c>
      <c r="N17" s="515" t="s">
        <v>351</v>
      </c>
      <c r="O17" s="512" t="s">
        <v>351</v>
      </c>
      <c r="P17" s="512">
        <v>0</v>
      </c>
      <c r="Q17" s="514">
        <v>0</v>
      </c>
      <c r="R17" s="516">
        <v>2014</v>
      </c>
      <c r="S17" s="517">
        <v>2050</v>
      </c>
    </row>
    <row r="18" spans="2:19" ht="13" customHeight="1">
      <c r="B18" s="557"/>
      <c r="C18" s="557"/>
      <c r="E18" s="510" t="s">
        <v>218</v>
      </c>
      <c r="F18" s="511" t="s">
        <v>351</v>
      </c>
      <c r="G18" s="512" t="s">
        <v>351</v>
      </c>
      <c r="H18" s="512">
        <v>0</v>
      </c>
      <c r="I18" s="513">
        <v>0</v>
      </c>
      <c r="J18" s="511" t="s">
        <v>351</v>
      </c>
      <c r="K18" s="512" t="s">
        <v>351</v>
      </c>
      <c r="L18" s="512">
        <v>0</v>
      </c>
      <c r="M18" s="514">
        <v>0</v>
      </c>
      <c r="N18" s="515" t="s">
        <v>351</v>
      </c>
      <c r="O18" s="512" t="s">
        <v>351</v>
      </c>
      <c r="P18" s="512">
        <v>0</v>
      </c>
      <c r="Q18" s="514">
        <v>0</v>
      </c>
      <c r="R18" s="516">
        <v>2014</v>
      </c>
      <c r="S18" s="517">
        <v>2050</v>
      </c>
    </row>
    <row r="19" spans="2:19" ht="12" customHeight="1">
      <c r="B19" s="557"/>
      <c r="C19" s="557"/>
      <c r="E19" s="510" t="s">
        <v>219</v>
      </c>
      <c r="F19" s="511" t="s">
        <v>351</v>
      </c>
      <c r="G19" s="512" t="s">
        <v>351</v>
      </c>
      <c r="H19" s="512">
        <v>0</v>
      </c>
      <c r="I19" s="513">
        <v>0</v>
      </c>
      <c r="J19" s="511" t="s">
        <v>351</v>
      </c>
      <c r="K19" s="512" t="s">
        <v>351</v>
      </c>
      <c r="L19" s="512">
        <v>0</v>
      </c>
      <c r="M19" s="514">
        <v>0</v>
      </c>
      <c r="N19" s="515" t="s">
        <v>351</v>
      </c>
      <c r="O19" s="512" t="s">
        <v>351</v>
      </c>
      <c r="P19" s="512">
        <v>0</v>
      </c>
      <c r="Q19" s="514">
        <v>0</v>
      </c>
      <c r="R19" s="516">
        <v>2014</v>
      </c>
      <c r="S19" s="517">
        <v>2050</v>
      </c>
    </row>
    <row r="20" spans="2:19" ht="12" customHeight="1">
      <c r="B20" s="557"/>
      <c r="C20" s="557"/>
      <c r="E20" s="510" t="s">
        <v>220</v>
      </c>
      <c r="F20" s="511" t="s">
        <v>351</v>
      </c>
      <c r="G20" s="512" t="s">
        <v>351</v>
      </c>
      <c r="H20" s="512">
        <v>0</v>
      </c>
      <c r="I20" s="513">
        <v>0</v>
      </c>
      <c r="J20" s="511" t="s">
        <v>351</v>
      </c>
      <c r="K20" s="512" t="s">
        <v>351</v>
      </c>
      <c r="L20" s="512">
        <v>0</v>
      </c>
      <c r="M20" s="514">
        <v>0</v>
      </c>
      <c r="N20" s="515" t="s">
        <v>351</v>
      </c>
      <c r="O20" s="512" t="s">
        <v>351</v>
      </c>
      <c r="P20" s="512">
        <v>0</v>
      </c>
      <c r="Q20" s="514">
        <v>0</v>
      </c>
      <c r="R20" s="516">
        <v>2014</v>
      </c>
      <c r="S20" s="517">
        <v>2050</v>
      </c>
    </row>
    <row r="21" spans="2:19" ht="12" customHeight="1">
      <c r="B21" s="557"/>
      <c r="C21" s="557"/>
      <c r="E21" s="510" t="s">
        <v>224</v>
      </c>
      <c r="F21" s="511" t="s">
        <v>351</v>
      </c>
      <c r="G21" s="512" t="s">
        <v>351</v>
      </c>
      <c r="H21" s="512">
        <v>0</v>
      </c>
      <c r="I21" s="513">
        <v>0</v>
      </c>
      <c r="J21" s="511" t="s">
        <v>351</v>
      </c>
      <c r="K21" s="512" t="s">
        <v>351</v>
      </c>
      <c r="L21" s="512">
        <v>0</v>
      </c>
      <c r="M21" s="514">
        <v>0</v>
      </c>
      <c r="N21" s="515" t="s">
        <v>351</v>
      </c>
      <c r="O21" s="512" t="s">
        <v>351</v>
      </c>
      <c r="P21" s="512">
        <v>0</v>
      </c>
      <c r="Q21" s="514">
        <v>0</v>
      </c>
      <c r="R21" s="516">
        <v>2014</v>
      </c>
      <c r="S21" s="517">
        <v>2050</v>
      </c>
    </row>
    <row r="22" spans="2:19" ht="12" customHeight="1">
      <c r="B22" s="557"/>
      <c r="C22" s="557"/>
      <c r="E22" s="510" t="s">
        <v>221</v>
      </c>
      <c r="F22" s="511" t="s">
        <v>351</v>
      </c>
      <c r="G22" s="512" t="s">
        <v>351</v>
      </c>
      <c r="H22" s="512">
        <v>0</v>
      </c>
      <c r="I22" s="513">
        <v>0</v>
      </c>
      <c r="J22" s="511" t="s">
        <v>351</v>
      </c>
      <c r="K22" s="512" t="s">
        <v>351</v>
      </c>
      <c r="L22" s="512">
        <v>0</v>
      </c>
      <c r="M22" s="514">
        <v>0</v>
      </c>
      <c r="N22" s="515" t="s">
        <v>351</v>
      </c>
      <c r="O22" s="512" t="s">
        <v>351</v>
      </c>
      <c r="P22" s="512">
        <v>0</v>
      </c>
      <c r="Q22" s="514">
        <v>0</v>
      </c>
      <c r="R22" s="516">
        <v>2014</v>
      </c>
      <c r="S22" s="517">
        <v>2050</v>
      </c>
    </row>
    <row r="23" spans="2:19" ht="12" customHeight="1">
      <c r="B23" s="557"/>
      <c r="C23" s="557"/>
      <c r="E23" s="510" t="s">
        <v>222</v>
      </c>
      <c r="F23" s="511" t="s">
        <v>351</v>
      </c>
      <c r="G23" s="512" t="s">
        <v>351</v>
      </c>
      <c r="H23" s="512">
        <v>0</v>
      </c>
      <c r="I23" s="513">
        <v>0</v>
      </c>
      <c r="J23" s="511" t="s">
        <v>351</v>
      </c>
      <c r="K23" s="512" t="s">
        <v>351</v>
      </c>
      <c r="L23" s="512">
        <v>0</v>
      </c>
      <c r="M23" s="514">
        <v>0</v>
      </c>
      <c r="N23" s="515" t="s">
        <v>351</v>
      </c>
      <c r="O23" s="512" t="s">
        <v>351</v>
      </c>
      <c r="P23" s="512">
        <v>0</v>
      </c>
      <c r="Q23" s="514">
        <v>0</v>
      </c>
      <c r="R23" s="516">
        <v>2014</v>
      </c>
      <c r="S23" s="517">
        <v>2050</v>
      </c>
    </row>
    <row r="24" spans="2:19" ht="12" customHeight="1">
      <c r="B24" s="557"/>
      <c r="C24" s="557"/>
      <c r="E24" s="510" t="s">
        <v>223</v>
      </c>
      <c r="F24" s="511" t="s">
        <v>351</v>
      </c>
      <c r="G24" s="512" t="s">
        <v>351</v>
      </c>
      <c r="H24" s="512">
        <v>0</v>
      </c>
      <c r="I24" s="513">
        <v>0</v>
      </c>
      <c r="J24" s="511" t="s">
        <v>351</v>
      </c>
      <c r="K24" s="512" t="s">
        <v>351</v>
      </c>
      <c r="L24" s="512">
        <v>0</v>
      </c>
      <c r="M24" s="514">
        <v>0</v>
      </c>
      <c r="N24" s="515" t="s">
        <v>351</v>
      </c>
      <c r="O24" s="512" t="s">
        <v>351</v>
      </c>
      <c r="P24" s="512">
        <v>0</v>
      </c>
      <c r="Q24" s="514">
        <v>0</v>
      </c>
      <c r="R24" s="516">
        <v>2014</v>
      </c>
      <c r="S24" s="517">
        <v>2050</v>
      </c>
    </row>
    <row r="25" spans="2:19" ht="12" customHeight="1">
      <c r="B25" s="557"/>
      <c r="C25" s="557"/>
      <c r="E25" s="510" t="s">
        <v>225</v>
      </c>
      <c r="F25" s="511" t="s">
        <v>351</v>
      </c>
      <c r="G25" s="512" t="s">
        <v>351</v>
      </c>
      <c r="H25" s="512">
        <v>0</v>
      </c>
      <c r="I25" s="513">
        <v>0</v>
      </c>
      <c r="J25" s="511" t="s">
        <v>351</v>
      </c>
      <c r="K25" s="512" t="s">
        <v>351</v>
      </c>
      <c r="L25" s="512">
        <v>0</v>
      </c>
      <c r="M25" s="514">
        <v>0</v>
      </c>
      <c r="N25" s="515" t="s">
        <v>351</v>
      </c>
      <c r="O25" s="512" t="s">
        <v>351</v>
      </c>
      <c r="P25" s="512">
        <v>0</v>
      </c>
      <c r="Q25" s="514">
        <v>0</v>
      </c>
      <c r="R25" s="516">
        <v>2014</v>
      </c>
      <c r="S25" s="517">
        <v>2050</v>
      </c>
    </row>
    <row r="26" spans="2:19" ht="12" customHeight="1">
      <c r="B26" s="557"/>
      <c r="C26" s="557"/>
      <c r="E26" s="510" t="s">
        <v>226</v>
      </c>
      <c r="F26" s="511" t="s">
        <v>351</v>
      </c>
      <c r="G26" s="512" t="s">
        <v>351</v>
      </c>
      <c r="H26" s="512">
        <v>0</v>
      </c>
      <c r="I26" s="513">
        <v>0</v>
      </c>
      <c r="J26" s="511" t="s">
        <v>351</v>
      </c>
      <c r="K26" s="512" t="s">
        <v>351</v>
      </c>
      <c r="L26" s="512">
        <v>0</v>
      </c>
      <c r="M26" s="514">
        <v>0</v>
      </c>
      <c r="N26" s="515" t="s">
        <v>351</v>
      </c>
      <c r="O26" s="512" t="s">
        <v>351</v>
      </c>
      <c r="P26" s="512">
        <v>0</v>
      </c>
      <c r="Q26" s="514">
        <v>0</v>
      </c>
      <c r="R26" s="516">
        <v>2014</v>
      </c>
      <c r="S26" s="517">
        <v>2050</v>
      </c>
    </row>
    <row r="27" spans="2:19" ht="12" customHeight="1">
      <c r="B27" s="557"/>
      <c r="C27" s="557"/>
      <c r="E27" s="510" t="s">
        <v>227</v>
      </c>
      <c r="F27" s="511" t="s">
        <v>351</v>
      </c>
      <c r="G27" s="512" t="s">
        <v>351</v>
      </c>
      <c r="H27" s="512">
        <v>0</v>
      </c>
      <c r="I27" s="513">
        <v>0</v>
      </c>
      <c r="J27" s="511" t="s">
        <v>351</v>
      </c>
      <c r="K27" s="512" t="s">
        <v>351</v>
      </c>
      <c r="L27" s="512">
        <v>0</v>
      </c>
      <c r="M27" s="514">
        <v>0</v>
      </c>
      <c r="N27" s="515" t="s">
        <v>351</v>
      </c>
      <c r="O27" s="512" t="s">
        <v>351</v>
      </c>
      <c r="P27" s="512">
        <v>0</v>
      </c>
      <c r="Q27" s="514">
        <v>0</v>
      </c>
      <c r="R27" s="516">
        <v>2014</v>
      </c>
      <c r="S27" s="517">
        <v>2050</v>
      </c>
    </row>
    <row r="28" spans="2:19" ht="12" customHeight="1">
      <c r="B28" s="557"/>
      <c r="C28" s="557"/>
      <c r="E28" s="510" t="s">
        <v>230</v>
      </c>
      <c r="F28" s="511" t="s">
        <v>351</v>
      </c>
      <c r="G28" s="512" t="s">
        <v>351</v>
      </c>
      <c r="H28" s="512">
        <v>0</v>
      </c>
      <c r="I28" s="513">
        <v>0</v>
      </c>
      <c r="J28" s="511" t="s">
        <v>351</v>
      </c>
      <c r="K28" s="512" t="s">
        <v>351</v>
      </c>
      <c r="L28" s="512">
        <v>0</v>
      </c>
      <c r="M28" s="514">
        <v>0</v>
      </c>
      <c r="N28" s="515" t="s">
        <v>351</v>
      </c>
      <c r="O28" s="512" t="s">
        <v>351</v>
      </c>
      <c r="P28" s="512">
        <v>0</v>
      </c>
      <c r="Q28" s="514">
        <v>0</v>
      </c>
      <c r="R28" s="516">
        <v>2014</v>
      </c>
      <c r="S28" s="517">
        <v>2050</v>
      </c>
    </row>
    <row r="29" spans="2:19" ht="12" customHeight="1">
      <c r="B29" s="557"/>
      <c r="C29" s="557"/>
      <c r="E29" s="510" t="s">
        <v>229</v>
      </c>
      <c r="F29" s="511" t="s">
        <v>351</v>
      </c>
      <c r="G29" s="512" t="s">
        <v>351</v>
      </c>
      <c r="H29" s="512">
        <v>0</v>
      </c>
      <c r="I29" s="513">
        <v>0</v>
      </c>
      <c r="J29" s="511" t="s">
        <v>351</v>
      </c>
      <c r="K29" s="512" t="s">
        <v>351</v>
      </c>
      <c r="L29" s="512">
        <v>0</v>
      </c>
      <c r="M29" s="514">
        <v>0</v>
      </c>
      <c r="N29" s="515" t="s">
        <v>351</v>
      </c>
      <c r="O29" s="512" t="s">
        <v>351</v>
      </c>
      <c r="P29" s="512">
        <v>0</v>
      </c>
      <c r="Q29" s="514">
        <v>0</v>
      </c>
      <c r="R29" s="516">
        <v>2014</v>
      </c>
      <c r="S29" s="517">
        <v>2050</v>
      </c>
    </row>
    <row r="30" spans="2:19" ht="12" customHeight="1">
      <c r="B30" s="557"/>
      <c r="C30" s="557"/>
      <c r="E30" s="510" t="s">
        <v>228</v>
      </c>
      <c r="F30" s="511" t="s">
        <v>351</v>
      </c>
      <c r="G30" s="512" t="s">
        <v>351</v>
      </c>
      <c r="H30" s="512">
        <v>0</v>
      </c>
      <c r="I30" s="513">
        <v>0</v>
      </c>
      <c r="J30" s="511" t="s">
        <v>351</v>
      </c>
      <c r="K30" s="512" t="s">
        <v>351</v>
      </c>
      <c r="L30" s="512">
        <v>0</v>
      </c>
      <c r="M30" s="514">
        <v>0</v>
      </c>
      <c r="N30" s="515" t="s">
        <v>351</v>
      </c>
      <c r="O30" s="512" t="s">
        <v>351</v>
      </c>
      <c r="P30" s="512">
        <v>0</v>
      </c>
      <c r="Q30" s="514">
        <v>0</v>
      </c>
      <c r="R30" s="516">
        <v>2014</v>
      </c>
      <c r="S30" s="517">
        <v>2050</v>
      </c>
    </row>
    <row r="31" spans="2:19" ht="12" customHeight="1">
      <c r="B31" s="557"/>
      <c r="C31" s="557"/>
      <c r="E31" s="510" t="s">
        <v>231</v>
      </c>
      <c r="F31" s="511" t="s">
        <v>351</v>
      </c>
      <c r="G31" s="512" t="s">
        <v>351</v>
      </c>
      <c r="H31" s="512">
        <v>0</v>
      </c>
      <c r="I31" s="513">
        <v>0</v>
      </c>
      <c r="J31" s="511" t="s">
        <v>351</v>
      </c>
      <c r="K31" s="512" t="s">
        <v>351</v>
      </c>
      <c r="L31" s="512">
        <v>0</v>
      </c>
      <c r="M31" s="514">
        <v>0</v>
      </c>
      <c r="N31" s="515" t="s">
        <v>351</v>
      </c>
      <c r="O31" s="512" t="s">
        <v>351</v>
      </c>
      <c r="P31" s="512">
        <v>0</v>
      </c>
      <c r="Q31" s="514">
        <v>0</v>
      </c>
      <c r="R31" s="516">
        <v>2014</v>
      </c>
      <c r="S31" s="517">
        <v>2050</v>
      </c>
    </row>
    <row r="32" spans="2:19" ht="12" customHeight="1">
      <c r="B32" s="557"/>
      <c r="C32" s="557"/>
      <c r="E32" s="510" t="s">
        <v>232</v>
      </c>
      <c r="F32" s="511" t="s">
        <v>351</v>
      </c>
      <c r="G32" s="512" t="s">
        <v>351</v>
      </c>
      <c r="H32" s="512">
        <v>0</v>
      </c>
      <c r="I32" s="513">
        <v>0</v>
      </c>
      <c r="J32" s="511" t="s">
        <v>351</v>
      </c>
      <c r="K32" s="512" t="s">
        <v>351</v>
      </c>
      <c r="L32" s="512">
        <v>0</v>
      </c>
      <c r="M32" s="514">
        <v>0</v>
      </c>
      <c r="N32" s="515" t="s">
        <v>351</v>
      </c>
      <c r="O32" s="512" t="s">
        <v>351</v>
      </c>
      <c r="P32" s="512">
        <v>0</v>
      </c>
      <c r="Q32" s="514">
        <v>0</v>
      </c>
      <c r="R32" s="516">
        <v>2014</v>
      </c>
      <c r="S32" s="517">
        <v>2050</v>
      </c>
    </row>
    <row r="33" spans="2:19" ht="12" customHeight="1">
      <c r="B33" s="557"/>
      <c r="C33" s="557"/>
      <c r="E33" s="510" t="s">
        <v>234</v>
      </c>
      <c r="F33" s="511" t="s">
        <v>351</v>
      </c>
      <c r="G33" s="512" t="s">
        <v>351</v>
      </c>
      <c r="H33" s="512">
        <v>0</v>
      </c>
      <c r="I33" s="513">
        <v>0</v>
      </c>
      <c r="J33" s="511" t="s">
        <v>351</v>
      </c>
      <c r="K33" s="512" t="s">
        <v>351</v>
      </c>
      <c r="L33" s="512">
        <v>0</v>
      </c>
      <c r="M33" s="514">
        <v>0</v>
      </c>
      <c r="N33" s="515" t="s">
        <v>351</v>
      </c>
      <c r="O33" s="512" t="s">
        <v>351</v>
      </c>
      <c r="P33" s="512">
        <v>0</v>
      </c>
      <c r="Q33" s="514">
        <v>0</v>
      </c>
      <c r="R33" s="516">
        <v>2014</v>
      </c>
      <c r="S33" s="517">
        <v>2050</v>
      </c>
    </row>
    <row r="34" spans="2:19" ht="12" customHeight="1">
      <c r="B34" s="557"/>
      <c r="C34" s="557"/>
      <c r="E34" s="510" t="s">
        <v>233</v>
      </c>
      <c r="F34" s="511" t="s">
        <v>351</v>
      </c>
      <c r="G34" s="512" t="s">
        <v>351</v>
      </c>
      <c r="H34" s="512">
        <v>0</v>
      </c>
      <c r="I34" s="513">
        <v>0</v>
      </c>
      <c r="J34" s="511" t="s">
        <v>351</v>
      </c>
      <c r="K34" s="512" t="s">
        <v>351</v>
      </c>
      <c r="L34" s="512">
        <v>0</v>
      </c>
      <c r="M34" s="514">
        <v>0</v>
      </c>
      <c r="N34" s="515" t="s">
        <v>351</v>
      </c>
      <c r="O34" s="512" t="s">
        <v>351</v>
      </c>
      <c r="P34" s="512">
        <v>0</v>
      </c>
      <c r="Q34" s="514">
        <v>0</v>
      </c>
      <c r="R34" s="516">
        <v>2014</v>
      </c>
      <c r="S34" s="517">
        <v>2050</v>
      </c>
    </row>
    <row r="35" spans="2:19" ht="12" customHeight="1">
      <c r="B35" s="557"/>
      <c r="C35" s="557"/>
      <c r="E35" s="510" t="s">
        <v>235</v>
      </c>
      <c r="F35" s="511" t="s">
        <v>351</v>
      </c>
      <c r="G35" s="512" t="s">
        <v>351</v>
      </c>
      <c r="H35" s="512">
        <v>0</v>
      </c>
      <c r="I35" s="513">
        <v>0</v>
      </c>
      <c r="J35" s="511" t="s">
        <v>351</v>
      </c>
      <c r="K35" s="512" t="s">
        <v>351</v>
      </c>
      <c r="L35" s="512">
        <v>0</v>
      </c>
      <c r="M35" s="514">
        <v>0</v>
      </c>
      <c r="N35" s="515" t="s">
        <v>351</v>
      </c>
      <c r="O35" s="512" t="s">
        <v>351</v>
      </c>
      <c r="P35" s="512">
        <v>0</v>
      </c>
      <c r="Q35" s="514">
        <v>0</v>
      </c>
      <c r="R35" s="516">
        <v>2014</v>
      </c>
      <c r="S35" s="517">
        <v>2050</v>
      </c>
    </row>
    <row r="36" spans="2:19" ht="12" customHeight="1">
      <c r="B36" s="557"/>
      <c r="C36" s="557"/>
      <c r="E36" s="510" t="s">
        <v>242</v>
      </c>
      <c r="F36" s="511" t="s">
        <v>351</v>
      </c>
      <c r="G36" s="512" t="s">
        <v>351</v>
      </c>
      <c r="H36" s="512">
        <v>0</v>
      </c>
      <c r="I36" s="513">
        <v>0</v>
      </c>
      <c r="J36" s="511" t="s">
        <v>351</v>
      </c>
      <c r="K36" s="512" t="s">
        <v>351</v>
      </c>
      <c r="L36" s="512">
        <v>0</v>
      </c>
      <c r="M36" s="514">
        <v>0</v>
      </c>
      <c r="N36" s="515" t="s">
        <v>351</v>
      </c>
      <c r="O36" s="512" t="s">
        <v>351</v>
      </c>
      <c r="P36" s="512">
        <v>0</v>
      </c>
      <c r="Q36" s="514">
        <v>0</v>
      </c>
      <c r="R36" s="516">
        <v>2014</v>
      </c>
      <c r="S36" s="517">
        <v>2050</v>
      </c>
    </row>
    <row r="37" spans="2:19" ht="12" customHeight="1">
      <c r="B37" s="557"/>
      <c r="C37" s="557"/>
      <c r="E37" s="510" t="s">
        <v>243</v>
      </c>
      <c r="F37" s="511" t="s">
        <v>351</v>
      </c>
      <c r="G37" s="512" t="s">
        <v>351</v>
      </c>
      <c r="H37" s="512">
        <v>0</v>
      </c>
      <c r="I37" s="513">
        <v>0</v>
      </c>
      <c r="J37" s="511" t="s">
        <v>351</v>
      </c>
      <c r="K37" s="512" t="s">
        <v>351</v>
      </c>
      <c r="L37" s="512">
        <v>0</v>
      </c>
      <c r="M37" s="514">
        <v>0</v>
      </c>
      <c r="N37" s="515" t="s">
        <v>351</v>
      </c>
      <c r="O37" s="512" t="s">
        <v>351</v>
      </c>
      <c r="P37" s="512">
        <v>0</v>
      </c>
      <c r="Q37" s="514">
        <v>0</v>
      </c>
      <c r="R37" s="516">
        <v>2014</v>
      </c>
      <c r="S37" s="517">
        <v>2050</v>
      </c>
    </row>
    <row r="38" spans="2:19" ht="12" customHeight="1">
      <c r="B38" s="557"/>
      <c r="C38" s="557"/>
      <c r="E38" s="510" t="s">
        <v>236</v>
      </c>
      <c r="F38" s="511" t="s">
        <v>351</v>
      </c>
      <c r="G38" s="512" t="s">
        <v>351</v>
      </c>
      <c r="H38" s="512">
        <v>0</v>
      </c>
      <c r="I38" s="513">
        <v>0</v>
      </c>
      <c r="J38" s="511" t="s">
        <v>351</v>
      </c>
      <c r="K38" s="512" t="s">
        <v>351</v>
      </c>
      <c r="L38" s="512">
        <v>0</v>
      </c>
      <c r="M38" s="514">
        <v>0</v>
      </c>
      <c r="N38" s="515" t="s">
        <v>351</v>
      </c>
      <c r="O38" s="512" t="s">
        <v>351</v>
      </c>
      <c r="P38" s="512">
        <v>0</v>
      </c>
      <c r="Q38" s="514">
        <v>0</v>
      </c>
      <c r="R38" s="516">
        <v>2014</v>
      </c>
      <c r="S38" s="517">
        <v>2050</v>
      </c>
    </row>
    <row r="39" spans="2:19">
      <c r="B39" s="557"/>
      <c r="C39" s="557"/>
      <c r="E39" s="510" t="s">
        <v>238</v>
      </c>
      <c r="F39" s="511" t="s">
        <v>351</v>
      </c>
      <c r="G39" s="512" t="s">
        <v>351</v>
      </c>
      <c r="H39" s="512">
        <v>0</v>
      </c>
      <c r="I39" s="513">
        <v>0</v>
      </c>
      <c r="J39" s="511" t="s">
        <v>351</v>
      </c>
      <c r="K39" s="512" t="s">
        <v>351</v>
      </c>
      <c r="L39" s="512">
        <v>0</v>
      </c>
      <c r="M39" s="514">
        <v>0</v>
      </c>
      <c r="N39" s="515" t="s">
        <v>351</v>
      </c>
      <c r="O39" s="512" t="s">
        <v>351</v>
      </c>
      <c r="P39" s="512">
        <v>0</v>
      </c>
      <c r="Q39" s="514">
        <v>0</v>
      </c>
      <c r="R39" s="516">
        <v>2014</v>
      </c>
      <c r="S39" s="517">
        <v>2050</v>
      </c>
    </row>
    <row r="40" spans="2:19">
      <c r="B40" s="557"/>
      <c r="C40" s="557"/>
      <c r="E40" s="510" t="s">
        <v>239</v>
      </c>
      <c r="F40" s="511" t="s">
        <v>351</v>
      </c>
      <c r="G40" s="512" t="s">
        <v>351</v>
      </c>
      <c r="H40" s="512">
        <v>0</v>
      </c>
      <c r="I40" s="513">
        <v>0</v>
      </c>
      <c r="J40" s="511" t="s">
        <v>351</v>
      </c>
      <c r="K40" s="512" t="s">
        <v>351</v>
      </c>
      <c r="L40" s="512">
        <v>0</v>
      </c>
      <c r="M40" s="514">
        <v>0</v>
      </c>
      <c r="N40" s="515" t="s">
        <v>351</v>
      </c>
      <c r="O40" s="512" t="s">
        <v>351</v>
      </c>
      <c r="P40" s="512">
        <v>0</v>
      </c>
      <c r="Q40" s="514">
        <v>0</v>
      </c>
      <c r="R40" s="516">
        <v>2014</v>
      </c>
      <c r="S40" s="517">
        <v>2050</v>
      </c>
    </row>
    <row r="41" spans="2:19">
      <c r="B41" s="557"/>
      <c r="C41" s="557"/>
      <c r="E41" s="510" t="s">
        <v>240</v>
      </c>
      <c r="F41" s="511" t="s">
        <v>351</v>
      </c>
      <c r="G41" s="512" t="s">
        <v>351</v>
      </c>
      <c r="H41" s="512">
        <v>0</v>
      </c>
      <c r="I41" s="513">
        <v>0</v>
      </c>
      <c r="J41" s="511" t="s">
        <v>351</v>
      </c>
      <c r="K41" s="512" t="s">
        <v>351</v>
      </c>
      <c r="L41" s="512">
        <v>0</v>
      </c>
      <c r="M41" s="514">
        <v>0</v>
      </c>
      <c r="N41" s="515" t="s">
        <v>351</v>
      </c>
      <c r="O41" s="512" t="s">
        <v>351</v>
      </c>
      <c r="P41" s="512">
        <v>0</v>
      </c>
      <c r="Q41" s="514">
        <v>0</v>
      </c>
      <c r="R41" s="516">
        <v>2014</v>
      </c>
      <c r="S41" s="517">
        <v>2050</v>
      </c>
    </row>
    <row r="42" spans="2:19">
      <c r="B42" s="557"/>
      <c r="C42" s="557"/>
      <c r="E42" s="510" t="s">
        <v>237</v>
      </c>
      <c r="F42" s="511" t="s">
        <v>351</v>
      </c>
      <c r="G42" s="512" t="s">
        <v>351</v>
      </c>
      <c r="H42" s="512">
        <v>0</v>
      </c>
      <c r="I42" s="513">
        <v>0</v>
      </c>
      <c r="J42" s="511" t="s">
        <v>351</v>
      </c>
      <c r="K42" s="512" t="s">
        <v>351</v>
      </c>
      <c r="L42" s="512">
        <v>0</v>
      </c>
      <c r="M42" s="514">
        <v>0</v>
      </c>
      <c r="N42" s="515" t="s">
        <v>351</v>
      </c>
      <c r="O42" s="512" t="s">
        <v>351</v>
      </c>
      <c r="P42" s="512">
        <v>0</v>
      </c>
      <c r="Q42" s="514">
        <v>0</v>
      </c>
      <c r="R42" s="516">
        <v>2014</v>
      </c>
      <c r="S42" s="517">
        <v>2050</v>
      </c>
    </row>
    <row r="43" spans="2:19">
      <c r="B43" s="557"/>
      <c r="C43" s="557"/>
      <c r="E43" s="510" t="s">
        <v>241</v>
      </c>
      <c r="F43" s="511" t="s">
        <v>351</v>
      </c>
      <c r="G43" s="512" t="s">
        <v>351</v>
      </c>
      <c r="H43" s="512">
        <v>0</v>
      </c>
      <c r="I43" s="513">
        <v>0</v>
      </c>
      <c r="J43" s="511" t="s">
        <v>351</v>
      </c>
      <c r="K43" s="512" t="s">
        <v>351</v>
      </c>
      <c r="L43" s="512">
        <v>0</v>
      </c>
      <c r="M43" s="514">
        <v>0</v>
      </c>
      <c r="N43" s="515" t="s">
        <v>351</v>
      </c>
      <c r="O43" s="512" t="s">
        <v>351</v>
      </c>
      <c r="P43" s="512">
        <v>0</v>
      </c>
      <c r="Q43" s="514">
        <v>0</v>
      </c>
      <c r="R43" s="516">
        <v>2014</v>
      </c>
      <c r="S43" s="517">
        <v>2050</v>
      </c>
    </row>
    <row r="44" spans="2:19">
      <c r="B44" s="557"/>
      <c r="C44" s="557"/>
      <c r="E44" s="510" t="s">
        <v>244</v>
      </c>
      <c r="F44" s="511" t="s">
        <v>351</v>
      </c>
      <c r="G44" s="512" t="s">
        <v>351</v>
      </c>
      <c r="H44" s="512">
        <v>0</v>
      </c>
      <c r="I44" s="513">
        <v>0</v>
      </c>
      <c r="J44" s="511" t="s">
        <v>351</v>
      </c>
      <c r="K44" s="512" t="s">
        <v>351</v>
      </c>
      <c r="L44" s="512">
        <v>0</v>
      </c>
      <c r="M44" s="514">
        <v>0</v>
      </c>
      <c r="N44" s="515" t="s">
        <v>351</v>
      </c>
      <c r="O44" s="512" t="s">
        <v>351</v>
      </c>
      <c r="P44" s="512">
        <v>0</v>
      </c>
      <c r="Q44" s="514">
        <v>0</v>
      </c>
      <c r="R44" s="516">
        <v>2014</v>
      </c>
      <c r="S44" s="517">
        <v>2050</v>
      </c>
    </row>
    <row r="45" spans="2:19">
      <c r="B45" s="557"/>
      <c r="C45" s="557"/>
      <c r="E45" s="510" t="s">
        <v>245</v>
      </c>
      <c r="F45" s="511" t="s">
        <v>351</v>
      </c>
      <c r="G45" s="512" t="s">
        <v>351</v>
      </c>
      <c r="H45" s="512">
        <v>0</v>
      </c>
      <c r="I45" s="513">
        <v>0</v>
      </c>
      <c r="J45" s="511" t="s">
        <v>351</v>
      </c>
      <c r="K45" s="512" t="s">
        <v>351</v>
      </c>
      <c r="L45" s="512">
        <v>0</v>
      </c>
      <c r="M45" s="514">
        <v>0</v>
      </c>
      <c r="N45" s="515" t="s">
        <v>351</v>
      </c>
      <c r="O45" s="512" t="s">
        <v>351</v>
      </c>
      <c r="P45" s="512">
        <v>0</v>
      </c>
      <c r="Q45" s="514">
        <v>0</v>
      </c>
      <c r="R45" s="516">
        <v>2014</v>
      </c>
      <c r="S45" s="517">
        <v>2050</v>
      </c>
    </row>
    <row r="46" spans="2:19">
      <c r="B46" s="557"/>
      <c r="C46" s="557"/>
      <c r="E46" s="510" t="s">
        <v>246</v>
      </c>
      <c r="F46" s="511" t="s">
        <v>351</v>
      </c>
      <c r="G46" s="512" t="s">
        <v>351</v>
      </c>
      <c r="H46" s="512">
        <v>0</v>
      </c>
      <c r="I46" s="513">
        <v>0</v>
      </c>
      <c r="J46" s="511" t="s">
        <v>351</v>
      </c>
      <c r="K46" s="512" t="s">
        <v>351</v>
      </c>
      <c r="L46" s="512">
        <v>0</v>
      </c>
      <c r="M46" s="514">
        <v>0</v>
      </c>
      <c r="N46" s="515" t="s">
        <v>351</v>
      </c>
      <c r="O46" s="512" t="s">
        <v>351</v>
      </c>
      <c r="P46" s="512">
        <v>0</v>
      </c>
      <c r="Q46" s="514">
        <v>0</v>
      </c>
      <c r="R46" s="516">
        <v>2014</v>
      </c>
      <c r="S46" s="517">
        <v>2050</v>
      </c>
    </row>
    <row r="47" spans="2:19">
      <c r="B47" s="557"/>
      <c r="C47" s="557"/>
      <c r="E47" s="510" t="s">
        <v>247</v>
      </c>
      <c r="F47" s="511" t="s">
        <v>351</v>
      </c>
      <c r="G47" s="512" t="s">
        <v>351</v>
      </c>
      <c r="H47" s="512">
        <v>0</v>
      </c>
      <c r="I47" s="513">
        <v>0</v>
      </c>
      <c r="J47" s="511" t="s">
        <v>351</v>
      </c>
      <c r="K47" s="512" t="s">
        <v>351</v>
      </c>
      <c r="L47" s="512">
        <v>0</v>
      </c>
      <c r="M47" s="514">
        <v>0</v>
      </c>
      <c r="N47" s="515" t="s">
        <v>351</v>
      </c>
      <c r="O47" s="512" t="s">
        <v>351</v>
      </c>
      <c r="P47" s="512">
        <v>0</v>
      </c>
      <c r="Q47" s="514">
        <v>0</v>
      </c>
      <c r="R47" s="516">
        <v>2014</v>
      </c>
      <c r="S47" s="517">
        <v>2050</v>
      </c>
    </row>
    <row r="48" spans="2:19">
      <c r="B48" s="557"/>
      <c r="C48" s="557"/>
      <c r="E48" s="510" t="s">
        <v>248</v>
      </c>
      <c r="F48" s="511" t="s">
        <v>351</v>
      </c>
      <c r="G48" s="512" t="s">
        <v>351</v>
      </c>
      <c r="H48" s="512">
        <v>0</v>
      </c>
      <c r="I48" s="513">
        <v>0</v>
      </c>
      <c r="J48" s="511" t="s">
        <v>351</v>
      </c>
      <c r="K48" s="512" t="s">
        <v>351</v>
      </c>
      <c r="L48" s="512">
        <v>0</v>
      </c>
      <c r="M48" s="514">
        <v>0</v>
      </c>
      <c r="N48" s="515" t="s">
        <v>351</v>
      </c>
      <c r="O48" s="512" t="s">
        <v>351</v>
      </c>
      <c r="P48" s="512">
        <v>0</v>
      </c>
      <c r="Q48" s="514">
        <v>0</v>
      </c>
      <c r="R48" s="516">
        <v>2014</v>
      </c>
      <c r="S48" s="517">
        <v>2050</v>
      </c>
    </row>
    <row r="49" spans="2:19">
      <c r="B49" s="557"/>
      <c r="C49" s="557"/>
      <c r="E49" s="510" t="s">
        <v>249</v>
      </c>
      <c r="F49" s="511" t="s">
        <v>351</v>
      </c>
      <c r="G49" s="512" t="s">
        <v>351</v>
      </c>
      <c r="H49" s="512">
        <v>0</v>
      </c>
      <c r="I49" s="513">
        <v>0</v>
      </c>
      <c r="J49" s="511" t="s">
        <v>351</v>
      </c>
      <c r="K49" s="512" t="s">
        <v>351</v>
      </c>
      <c r="L49" s="512">
        <v>0</v>
      </c>
      <c r="M49" s="514">
        <v>0</v>
      </c>
      <c r="N49" s="515" t="s">
        <v>351</v>
      </c>
      <c r="O49" s="512" t="s">
        <v>351</v>
      </c>
      <c r="P49" s="512">
        <v>0</v>
      </c>
      <c r="Q49" s="514">
        <v>0</v>
      </c>
      <c r="R49" s="516">
        <v>2014</v>
      </c>
      <c r="S49" s="517">
        <v>2050</v>
      </c>
    </row>
    <row r="50" spans="2:19">
      <c r="B50" s="557"/>
      <c r="C50" s="557"/>
      <c r="E50" s="510" t="s">
        <v>250</v>
      </c>
      <c r="F50" s="511" t="s">
        <v>351</v>
      </c>
      <c r="G50" s="512" t="s">
        <v>351</v>
      </c>
      <c r="H50" s="512">
        <v>0</v>
      </c>
      <c r="I50" s="513">
        <v>0</v>
      </c>
      <c r="J50" s="511" t="s">
        <v>351</v>
      </c>
      <c r="K50" s="512" t="s">
        <v>351</v>
      </c>
      <c r="L50" s="512">
        <v>0</v>
      </c>
      <c r="M50" s="514">
        <v>0</v>
      </c>
      <c r="N50" s="515" t="s">
        <v>351</v>
      </c>
      <c r="O50" s="512" t="s">
        <v>351</v>
      </c>
      <c r="P50" s="512">
        <v>0</v>
      </c>
      <c r="Q50" s="514">
        <v>0</v>
      </c>
      <c r="R50" s="516">
        <v>2014</v>
      </c>
      <c r="S50" s="517">
        <v>2050</v>
      </c>
    </row>
    <row r="51" spans="2:19">
      <c r="B51" s="557"/>
      <c r="C51" s="557"/>
      <c r="E51" s="510" t="s">
        <v>251</v>
      </c>
      <c r="F51" s="511" t="s">
        <v>351</v>
      </c>
      <c r="G51" s="512" t="s">
        <v>351</v>
      </c>
      <c r="H51" s="512">
        <v>0</v>
      </c>
      <c r="I51" s="513">
        <v>0</v>
      </c>
      <c r="J51" s="511" t="s">
        <v>351</v>
      </c>
      <c r="K51" s="512" t="s">
        <v>351</v>
      </c>
      <c r="L51" s="512">
        <v>0</v>
      </c>
      <c r="M51" s="514">
        <v>0</v>
      </c>
      <c r="N51" s="515" t="s">
        <v>351</v>
      </c>
      <c r="O51" s="512" t="s">
        <v>351</v>
      </c>
      <c r="P51" s="512">
        <v>0</v>
      </c>
      <c r="Q51" s="514">
        <v>0</v>
      </c>
      <c r="R51" s="516">
        <v>2014</v>
      </c>
      <c r="S51" s="517">
        <v>2050</v>
      </c>
    </row>
    <row r="52" spans="2:19">
      <c r="E52" s="510" t="s">
        <v>252</v>
      </c>
      <c r="F52" s="511" t="s">
        <v>351</v>
      </c>
      <c r="G52" s="512" t="s">
        <v>351</v>
      </c>
      <c r="H52" s="512">
        <v>0</v>
      </c>
      <c r="I52" s="513">
        <v>0</v>
      </c>
      <c r="J52" s="511" t="s">
        <v>351</v>
      </c>
      <c r="K52" s="512" t="s">
        <v>351</v>
      </c>
      <c r="L52" s="512">
        <v>0</v>
      </c>
      <c r="M52" s="514">
        <v>0</v>
      </c>
      <c r="N52" s="515" t="s">
        <v>351</v>
      </c>
      <c r="O52" s="512" t="s">
        <v>351</v>
      </c>
      <c r="P52" s="512">
        <v>0</v>
      </c>
      <c r="Q52" s="514">
        <v>0</v>
      </c>
      <c r="R52" s="516">
        <v>2014</v>
      </c>
      <c r="S52" s="517">
        <v>2050</v>
      </c>
    </row>
    <row r="53" spans="2:19">
      <c r="B53" s="558" t="s">
        <v>353</v>
      </c>
      <c r="C53" s="558"/>
      <c r="E53" s="510" t="s">
        <v>253</v>
      </c>
      <c r="F53" s="511" t="s">
        <v>351</v>
      </c>
      <c r="G53" s="512" t="s">
        <v>351</v>
      </c>
      <c r="H53" s="512">
        <v>0</v>
      </c>
      <c r="I53" s="513">
        <v>0</v>
      </c>
      <c r="J53" s="511" t="s">
        <v>351</v>
      </c>
      <c r="K53" s="512" t="s">
        <v>351</v>
      </c>
      <c r="L53" s="512">
        <v>0</v>
      </c>
      <c r="M53" s="514">
        <v>0</v>
      </c>
      <c r="N53" s="515" t="s">
        <v>351</v>
      </c>
      <c r="O53" s="512" t="s">
        <v>351</v>
      </c>
      <c r="P53" s="512">
        <v>0</v>
      </c>
      <c r="Q53" s="514">
        <v>0</v>
      </c>
      <c r="R53" s="516">
        <v>2014</v>
      </c>
      <c r="S53" s="517">
        <v>2050</v>
      </c>
    </row>
    <row r="54" spans="2:19">
      <c r="B54" s="558"/>
      <c r="C54" s="558"/>
      <c r="E54" s="510" t="s">
        <v>255</v>
      </c>
      <c r="F54" s="511" t="s">
        <v>351</v>
      </c>
      <c r="G54" s="512" t="s">
        <v>351</v>
      </c>
      <c r="H54" s="512">
        <v>0</v>
      </c>
      <c r="I54" s="513">
        <v>0</v>
      </c>
      <c r="J54" s="511" t="s">
        <v>351</v>
      </c>
      <c r="K54" s="512" t="s">
        <v>351</v>
      </c>
      <c r="L54" s="512">
        <v>0</v>
      </c>
      <c r="M54" s="514">
        <v>0</v>
      </c>
      <c r="N54" s="515" t="s">
        <v>351</v>
      </c>
      <c r="O54" s="512" t="s">
        <v>351</v>
      </c>
      <c r="P54" s="512">
        <v>0</v>
      </c>
      <c r="Q54" s="514">
        <v>0</v>
      </c>
      <c r="R54" s="516">
        <v>2014</v>
      </c>
      <c r="S54" s="517">
        <v>2050</v>
      </c>
    </row>
    <row r="55" spans="2:19">
      <c r="B55" s="558"/>
      <c r="C55" s="558"/>
      <c r="E55" s="510" t="s">
        <v>254</v>
      </c>
      <c r="F55" s="511" t="s">
        <v>351</v>
      </c>
      <c r="G55" s="512" t="s">
        <v>351</v>
      </c>
      <c r="H55" s="512">
        <v>0</v>
      </c>
      <c r="I55" s="513">
        <v>0</v>
      </c>
      <c r="J55" s="511" t="s">
        <v>351</v>
      </c>
      <c r="K55" s="512" t="s">
        <v>351</v>
      </c>
      <c r="L55" s="512">
        <v>0</v>
      </c>
      <c r="M55" s="514">
        <v>0</v>
      </c>
      <c r="N55" s="515" t="s">
        <v>351</v>
      </c>
      <c r="O55" s="512" t="s">
        <v>351</v>
      </c>
      <c r="P55" s="512">
        <v>0</v>
      </c>
      <c r="Q55" s="514">
        <v>0</v>
      </c>
      <c r="R55" s="516">
        <v>2014</v>
      </c>
      <c r="S55" s="517">
        <v>2050</v>
      </c>
    </row>
    <row r="56" spans="2:19">
      <c r="E56" s="510" t="s">
        <v>256</v>
      </c>
      <c r="F56" s="511" t="s">
        <v>351</v>
      </c>
      <c r="G56" s="512" t="s">
        <v>351</v>
      </c>
      <c r="H56" s="512">
        <v>0</v>
      </c>
      <c r="I56" s="513">
        <v>0</v>
      </c>
      <c r="J56" s="511" t="s">
        <v>351</v>
      </c>
      <c r="K56" s="512" t="s">
        <v>351</v>
      </c>
      <c r="L56" s="512">
        <v>0</v>
      </c>
      <c r="M56" s="514">
        <v>0</v>
      </c>
      <c r="N56" s="515" t="s">
        <v>351</v>
      </c>
      <c r="O56" s="512" t="s">
        <v>351</v>
      </c>
      <c r="P56" s="512">
        <v>0</v>
      </c>
      <c r="Q56" s="514">
        <v>0</v>
      </c>
      <c r="R56" s="516">
        <v>2014</v>
      </c>
      <c r="S56" s="517">
        <v>2050</v>
      </c>
    </row>
    <row r="57" spans="2:19">
      <c r="B57" s="553" t="s">
        <v>354</v>
      </c>
      <c r="C57" s="553"/>
      <c r="E57" s="510" t="s">
        <v>258</v>
      </c>
      <c r="F57" s="511" t="s">
        <v>351</v>
      </c>
      <c r="G57" s="512" t="s">
        <v>351</v>
      </c>
      <c r="H57" s="512">
        <v>0</v>
      </c>
      <c r="I57" s="513">
        <v>0</v>
      </c>
      <c r="J57" s="511" t="s">
        <v>351</v>
      </c>
      <c r="K57" s="512" t="s">
        <v>351</v>
      </c>
      <c r="L57" s="512">
        <v>0</v>
      </c>
      <c r="M57" s="514">
        <v>0</v>
      </c>
      <c r="N57" s="515" t="s">
        <v>351</v>
      </c>
      <c r="O57" s="512" t="s">
        <v>351</v>
      </c>
      <c r="P57" s="512">
        <v>0</v>
      </c>
      <c r="Q57" s="514">
        <v>0</v>
      </c>
      <c r="R57" s="516">
        <v>2014</v>
      </c>
      <c r="S57" s="517">
        <v>2050</v>
      </c>
    </row>
    <row r="58" spans="2:19">
      <c r="B58" s="553"/>
      <c r="C58" s="553"/>
      <c r="E58" s="510" t="s">
        <v>257</v>
      </c>
      <c r="F58" s="511" t="s">
        <v>351</v>
      </c>
      <c r="G58" s="512" t="s">
        <v>351</v>
      </c>
      <c r="H58" s="512">
        <v>0</v>
      </c>
      <c r="I58" s="513">
        <v>0</v>
      </c>
      <c r="J58" s="511" t="s">
        <v>351</v>
      </c>
      <c r="K58" s="512" t="s">
        <v>351</v>
      </c>
      <c r="L58" s="512">
        <v>0</v>
      </c>
      <c r="M58" s="514">
        <v>0</v>
      </c>
      <c r="N58" s="515" t="s">
        <v>351</v>
      </c>
      <c r="O58" s="512" t="s">
        <v>351</v>
      </c>
      <c r="P58" s="512">
        <v>0</v>
      </c>
      <c r="Q58" s="514">
        <v>0</v>
      </c>
      <c r="R58" s="516">
        <v>2014</v>
      </c>
      <c r="S58" s="517">
        <v>2050</v>
      </c>
    </row>
    <row r="59" spans="2:19" ht="13" thickBot="1">
      <c r="B59" s="553"/>
      <c r="C59" s="553"/>
      <c r="E59" s="520" t="s">
        <v>259</v>
      </c>
      <c r="F59" s="521" t="s">
        <v>351</v>
      </c>
      <c r="G59" s="522" t="s">
        <v>351</v>
      </c>
      <c r="H59" s="522">
        <v>0</v>
      </c>
      <c r="I59" s="523">
        <v>0</v>
      </c>
      <c r="J59" s="521" t="s">
        <v>351</v>
      </c>
      <c r="K59" s="522" t="s">
        <v>351</v>
      </c>
      <c r="L59" s="522">
        <v>0</v>
      </c>
      <c r="M59" s="524">
        <v>0</v>
      </c>
      <c r="N59" s="525" t="s">
        <v>351</v>
      </c>
      <c r="O59" s="522" t="s">
        <v>351</v>
      </c>
      <c r="P59" s="522">
        <v>0</v>
      </c>
      <c r="Q59" s="524">
        <v>0</v>
      </c>
      <c r="R59" s="526">
        <v>2014</v>
      </c>
      <c r="S59" s="527">
        <v>2050</v>
      </c>
    </row>
    <row r="60" spans="2:19">
      <c r="B60" s="553"/>
      <c r="C60" s="553"/>
      <c r="M60" s="491"/>
    </row>
    <row r="125" spans="2:2">
      <c r="B125" s="528" t="s">
        <v>355</v>
      </c>
    </row>
    <row r="126" spans="2:2">
      <c r="B126" s="528" t="s">
        <v>342</v>
      </c>
    </row>
    <row r="127" spans="2:2">
      <c r="B127" s="528" t="s">
        <v>356</v>
      </c>
    </row>
    <row r="128" spans="2:2">
      <c r="B128" s="528" t="s">
        <v>357</v>
      </c>
    </row>
    <row r="129" spans="2:2">
      <c r="B129" s="528" t="s">
        <v>358</v>
      </c>
    </row>
    <row r="132" spans="2:2">
      <c r="B132" s="529">
        <v>2014</v>
      </c>
    </row>
    <row r="133" spans="2:2">
      <c r="B133" s="529">
        <v>2016</v>
      </c>
    </row>
    <row r="134" spans="2:2">
      <c r="B134" s="529">
        <v>2018</v>
      </c>
    </row>
    <row r="135" spans="2:2">
      <c r="B135" s="529">
        <v>2020</v>
      </c>
    </row>
    <row r="136" spans="2:2">
      <c r="B136" s="529">
        <v>2022</v>
      </c>
    </row>
    <row r="137" spans="2:2">
      <c r="B137" s="529">
        <v>2024</v>
      </c>
    </row>
    <row r="138" spans="2:2">
      <c r="B138" s="529">
        <v>2026</v>
      </c>
    </row>
    <row r="139" spans="2:2">
      <c r="B139" s="529">
        <v>2028</v>
      </c>
    </row>
    <row r="140" spans="2:2">
      <c r="B140" s="529">
        <v>2030</v>
      </c>
    </row>
    <row r="141" spans="2:2">
      <c r="B141" s="529">
        <v>2032</v>
      </c>
    </row>
    <row r="142" spans="2:2">
      <c r="B142" s="529">
        <v>2034</v>
      </c>
    </row>
    <row r="143" spans="2:2">
      <c r="B143" s="529">
        <v>2036</v>
      </c>
    </row>
    <row r="144" spans="2:2">
      <c r="B144" s="529">
        <v>2038</v>
      </c>
    </row>
    <row r="145" spans="2:2">
      <c r="B145" s="529">
        <v>2040</v>
      </c>
    </row>
    <row r="146" spans="2:2">
      <c r="B146" s="529">
        <v>2042</v>
      </c>
    </row>
    <row r="147" spans="2:2">
      <c r="B147" s="529">
        <v>2044</v>
      </c>
    </row>
    <row r="148" spans="2:2">
      <c r="B148" s="529">
        <v>2046</v>
      </c>
    </row>
    <row r="149" spans="2:2">
      <c r="B149" s="529">
        <v>2048</v>
      </c>
    </row>
    <row r="150" spans="2:2">
      <c r="B150" s="529">
        <v>2050</v>
      </c>
    </row>
    <row r="153" spans="2:2">
      <c r="B153" s="530" t="b">
        <v>1</v>
      </c>
    </row>
    <row r="154" spans="2:2">
      <c r="B154" s="530" t="b">
        <v>0</v>
      </c>
    </row>
    <row r="166" spans="1:4">
      <c r="A166" s="529"/>
      <c r="B166" s="529" t="s">
        <v>359</v>
      </c>
      <c r="C166" s="529" t="s">
        <v>360</v>
      </c>
      <c r="D166" s="529" t="s">
        <v>361</v>
      </c>
    </row>
    <row r="167" spans="1:4">
      <c r="A167" s="529" t="s">
        <v>211</v>
      </c>
      <c r="B167" s="529">
        <v>25</v>
      </c>
      <c r="C167" s="529">
        <v>25</v>
      </c>
      <c r="D167" s="529">
        <v>25</v>
      </c>
    </row>
    <row r="168" spans="1:4">
      <c r="A168" s="529" t="s">
        <v>210</v>
      </c>
      <c r="B168" s="529">
        <v>0</v>
      </c>
      <c r="C168" s="529">
        <v>0</v>
      </c>
      <c r="D168" s="529">
        <v>0</v>
      </c>
    </row>
    <row r="169" spans="1:4">
      <c r="A169" s="529" t="s">
        <v>213</v>
      </c>
      <c r="B169" s="529">
        <v>25</v>
      </c>
      <c r="C169" s="529">
        <v>300</v>
      </c>
      <c r="D169" s="529">
        <v>300</v>
      </c>
    </row>
    <row r="170" spans="1:4">
      <c r="A170" s="529" t="s">
        <v>212</v>
      </c>
      <c r="B170" s="529" t="s">
        <v>351</v>
      </c>
      <c r="C170" s="529" t="s">
        <v>351</v>
      </c>
      <c r="D170" s="529" t="s">
        <v>351</v>
      </c>
    </row>
    <row r="171" spans="1:4">
      <c r="A171" s="529" t="s">
        <v>214</v>
      </c>
      <c r="B171" s="529">
        <v>1000</v>
      </c>
      <c r="C171" s="529">
        <v>1000</v>
      </c>
      <c r="D171" s="529">
        <v>1000</v>
      </c>
    </row>
    <row r="172" spans="1:4">
      <c r="A172" s="529" t="s">
        <v>215</v>
      </c>
      <c r="B172" s="529" t="s">
        <v>351</v>
      </c>
      <c r="C172" s="529" t="s">
        <v>351</v>
      </c>
      <c r="D172" s="529" t="s">
        <v>351</v>
      </c>
    </row>
    <row r="173" spans="1:4">
      <c r="A173" s="529" t="s">
        <v>216</v>
      </c>
      <c r="B173" s="529">
        <v>2000</v>
      </c>
      <c r="C173" s="529">
        <v>2000</v>
      </c>
      <c r="D173" s="529">
        <v>2000</v>
      </c>
    </row>
    <row r="174" spans="1:4">
      <c r="A174" s="529" t="s">
        <v>11</v>
      </c>
      <c r="B174" s="529">
        <v>1000</v>
      </c>
      <c r="C174" s="529">
        <v>1000</v>
      </c>
      <c r="D174" s="529">
        <v>0</v>
      </c>
    </row>
    <row r="175" spans="1:4">
      <c r="A175" s="529" t="s">
        <v>217</v>
      </c>
      <c r="B175" s="529">
        <v>25</v>
      </c>
      <c r="C175" s="529">
        <v>2000</v>
      </c>
      <c r="D175" s="529">
        <v>2000</v>
      </c>
    </row>
    <row r="176" spans="1:4">
      <c r="A176" s="529" t="s">
        <v>218</v>
      </c>
      <c r="B176" s="529">
        <v>2000</v>
      </c>
      <c r="C176" s="529">
        <v>2000</v>
      </c>
      <c r="D176" s="529">
        <v>2000</v>
      </c>
    </row>
    <row r="177" spans="1:4">
      <c r="A177" s="529" t="s">
        <v>219</v>
      </c>
      <c r="B177" s="529">
        <v>10</v>
      </c>
      <c r="C177" s="529">
        <v>100</v>
      </c>
      <c r="D177" s="529">
        <v>100</v>
      </c>
    </row>
    <row r="178" spans="1:4">
      <c r="A178" s="529" t="s">
        <v>220</v>
      </c>
      <c r="B178" s="529">
        <v>100</v>
      </c>
      <c r="C178" s="529">
        <v>100</v>
      </c>
      <c r="D178" s="529">
        <v>100</v>
      </c>
    </row>
    <row r="179" spans="1:4">
      <c r="A179" s="529" t="s">
        <v>224</v>
      </c>
      <c r="B179" s="529">
        <v>500</v>
      </c>
      <c r="C179" s="529">
        <v>500</v>
      </c>
      <c r="D179" s="529">
        <v>500</v>
      </c>
    </row>
    <row r="180" spans="1:4">
      <c r="A180" s="529" t="s">
        <v>221</v>
      </c>
      <c r="B180" s="529">
        <v>0</v>
      </c>
      <c r="C180" s="529">
        <v>0</v>
      </c>
      <c r="D180" s="529">
        <v>0</v>
      </c>
    </row>
    <row r="181" spans="1:4">
      <c r="A181" s="529" t="s">
        <v>222</v>
      </c>
      <c r="B181" s="529">
        <v>40</v>
      </c>
      <c r="C181" s="529">
        <v>40</v>
      </c>
      <c r="D181" s="529">
        <v>40</v>
      </c>
    </row>
    <row r="182" spans="1:4">
      <c r="A182" s="529" t="s">
        <v>223</v>
      </c>
      <c r="B182" s="529">
        <v>1000</v>
      </c>
      <c r="C182" s="529">
        <v>1000</v>
      </c>
      <c r="D182" s="529">
        <v>1000</v>
      </c>
    </row>
    <row r="183" spans="1:4">
      <c r="A183" s="529" t="s">
        <v>225</v>
      </c>
      <c r="B183" s="529">
        <v>25</v>
      </c>
      <c r="C183" s="529">
        <v>200</v>
      </c>
      <c r="D183" s="529">
        <v>200</v>
      </c>
    </row>
    <row r="184" spans="1:4">
      <c r="A184" s="529" t="s">
        <v>226</v>
      </c>
      <c r="B184" s="529">
        <v>30</v>
      </c>
      <c r="C184" s="529">
        <v>30</v>
      </c>
      <c r="D184" s="529">
        <v>30</v>
      </c>
    </row>
    <row r="185" spans="1:4">
      <c r="A185" s="529" t="s">
        <v>227</v>
      </c>
      <c r="B185" s="529">
        <v>25</v>
      </c>
      <c r="C185" s="529">
        <v>300</v>
      </c>
      <c r="D185" s="529">
        <v>0</v>
      </c>
    </row>
    <row r="186" spans="1:4">
      <c r="A186" s="529" t="s">
        <v>230</v>
      </c>
      <c r="B186" s="529">
        <v>2000</v>
      </c>
      <c r="C186" s="529">
        <v>2000</v>
      </c>
      <c r="D186" s="529">
        <v>2000</v>
      </c>
    </row>
    <row r="187" spans="1:4">
      <c r="A187" s="529" t="s">
        <v>229</v>
      </c>
      <c r="B187" s="529">
        <v>2000</v>
      </c>
      <c r="C187" s="529">
        <v>2000</v>
      </c>
      <c r="D187" s="529">
        <v>2000</v>
      </c>
    </row>
    <row r="188" spans="1:4">
      <c r="A188" s="529" t="s">
        <v>228</v>
      </c>
      <c r="B188" s="529">
        <v>660</v>
      </c>
      <c r="C188" s="529">
        <v>660</v>
      </c>
      <c r="D188" s="529">
        <v>660</v>
      </c>
    </row>
    <row r="189" spans="1:4">
      <c r="A189" s="529" t="s">
        <v>231</v>
      </c>
      <c r="B189" s="529">
        <v>150</v>
      </c>
      <c r="C189" s="529">
        <v>150</v>
      </c>
      <c r="D189" s="529">
        <v>150</v>
      </c>
    </row>
    <row r="190" spans="1:4">
      <c r="A190" s="529" t="s">
        <v>232</v>
      </c>
      <c r="B190" s="529">
        <v>1000</v>
      </c>
      <c r="C190" s="529">
        <v>1000</v>
      </c>
      <c r="D190" s="529">
        <v>1000</v>
      </c>
    </row>
    <row r="191" spans="1:4">
      <c r="A191" s="529" t="s">
        <v>234</v>
      </c>
      <c r="B191" s="529">
        <v>100</v>
      </c>
      <c r="C191" s="529">
        <v>100</v>
      </c>
      <c r="D191" s="529">
        <v>100</v>
      </c>
    </row>
    <row r="192" spans="1:4">
      <c r="A192" s="529" t="s">
        <v>233</v>
      </c>
      <c r="B192" s="529">
        <v>0</v>
      </c>
      <c r="C192" s="529">
        <v>0</v>
      </c>
      <c r="D192" s="529">
        <v>0</v>
      </c>
    </row>
    <row r="193" spans="1:4">
      <c r="A193" s="529" t="s">
        <v>235</v>
      </c>
      <c r="B193" s="529">
        <v>50</v>
      </c>
      <c r="C193" s="529">
        <v>50</v>
      </c>
      <c r="D193" s="529">
        <v>50</v>
      </c>
    </row>
    <row r="194" spans="1:4">
      <c r="A194" s="529" t="s">
        <v>242</v>
      </c>
      <c r="B194" s="529">
        <v>1000</v>
      </c>
      <c r="C194" s="529">
        <v>1000</v>
      </c>
      <c r="D194" s="529">
        <v>1000</v>
      </c>
    </row>
    <row r="195" spans="1:4">
      <c r="A195" s="529" t="s">
        <v>243</v>
      </c>
      <c r="B195" s="529">
        <v>100</v>
      </c>
      <c r="C195" s="529">
        <v>100</v>
      </c>
      <c r="D195" s="529">
        <v>100</v>
      </c>
    </row>
    <row r="196" spans="1:4">
      <c r="A196" s="529" t="s">
        <v>236</v>
      </c>
      <c r="B196" s="529">
        <v>25</v>
      </c>
      <c r="C196" s="529">
        <v>25</v>
      </c>
      <c r="D196" s="529">
        <v>25</v>
      </c>
    </row>
    <row r="197" spans="1:4">
      <c r="A197" s="529" t="s">
        <v>238</v>
      </c>
      <c r="B197" s="529">
        <v>100</v>
      </c>
      <c r="C197" s="529">
        <v>100</v>
      </c>
      <c r="D197" s="529">
        <v>100</v>
      </c>
    </row>
    <row r="198" spans="1:4">
      <c r="A198" s="529" t="s">
        <v>239</v>
      </c>
      <c r="B198" s="529" t="s">
        <v>351</v>
      </c>
      <c r="C198" s="529" t="s">
        <v>351</v>
      </c>
      <c r="D198" s="529" t="s">
        <v>351</v>
      </c>
    </row>
    <row r="199" spans="1:4">
      <c r="A199" s="529" t="s">
        <v>240</v>
      </c>
      <c r="B199" s="529">
        <v>80000</v>
      </c>
      <c r="C199" s="529">
        <v>80000</v>
      </c>
      <c r="D199" s="529">
        <v>80000</v>
      </c>
    </row>
    <row r="200" spans="1:4">
      <c r="A200" s="529" t="s">
        <v>237</v>
      </c>
      <c r="B200" s="529">
        <v>1000</v>
      </c>
      <c r="C200" s="529">
        <v>1000</v>
      </c>
      <c r="D200" s="529">
        <v>1000</v>
      </c>
    </row>
    <row r="201" spans="1:4">
      <c r="A201" s="529" t="s">
        <v>241</v>
      </c>
      <c r="B201" s="529">
        <v>25</v>
      </c>
      <c r="C201" s="529">
        <v>2000</v>
      </c>
      <c r="D201" s="529">
        <v>2000</v>
      </c>
    </row>
    <row r="202" spans="1:4">
      <c r="A202" s="529" t="s">
        <v>244</v>
      </c>
      <c r="B202" s="529" t="s">
        <v>351</v>
      </c>
      <c r="C202" s="529" t="s">
        <v>351</v>
      </c>
      <c r="D202" s="529" t="s">
        <v>351</v>
      </c>
    </row>
    <row r="203" spans="1:4">
      <c r="A203" s="529" t="s">
        <v>245</v>
      </c>
      <c r="B203" s="529">
        <v>15</v>
      </c>
      <c r="C203" s="529">
        <v>15</v>
      </c>
      <c r="D203" s="529">
        <v>15</v>
      </c>
    </row>
    <row r="204" spans="1:4">
      <c r="A204" s="529" t="s">
        <v>246</v>
      </c>
      <c r="B204" s="529">
        <v>25</v>
      </c>
      <c r="C204" s="529">
        <v>2000</v>
      </c>
      <c r="D204" s="529">
        <v>2000</v>
      </c>
    </row>
    <row r="205" spans="1:4">
      <c r="A205" s="529" t="s">
        <v>247</v>
      </c>
      <c r="B205" s="529">
        <v>50</v>
      </c>
      <c r="C205" s="529">
        <v>3000</v>
      </c>
      <c r="D205" s="529">
        <v>3000</v>
      </c>
    </row>
    <row r="206" spans="1:4">
      <c r="A206" s="529" t="s">
        <v>248</v>
      </c>
      <c r="B206" s="529">
        <v>5000</v>
      </c>
      <c r="C206" s="529">
        <v>5000</v>
      </c>
      <c r="D206" s="529">
        <v>5000</v>
      </c>
    </row>
    <row r="207" spans="1:4">
      <c r="A207" s="529" t="s">
        <v>249</v>
      </c>
      <c r="B207" s="529">
        <v>20</v>
      </c>
      <c r="C207" s="529">
        <v>100</v>
      </c>
      <c r="D207" s="529">
        <v>100</v>
      </c>
    </row>
    <row r="208" spans="1:4">
      <c r="A208" s="529" t="s">
        <v>250</v>
      </c>
      <c r="B208" s="529">
        <v>0</v>
      </c>
      <c r="C208" s="529">
        <v>0</v>
      </c>
      <c r="D208" s="529">
        <v>0</v>
      </c>
    </row>
    <row r="209" spans="1:4">
      <c r="A209" s="529" t="s">
        <v>251</v>
      </c>
      <c r="B209" s="529">
        <v>0</v>
      </c>
      <c r="C209" s="529">
        <v>0</v>
      </c>
      <c r="D209" s="529">
        <v>0</v>
      </c>
    </row>
    <row r="210" spans="1:4">
      <c r="A210" s="529" t="s">
        <v>252</v>
      </c>
      <c r="B210" s="529">
        <v>0</v>
      </c>
      <c r="C210" s="529">
        <v>0</v>
      </c>
      <c r="D210" s="529">
        <v>0</v>
      </c>
    </row>
    <row r="211" spans="1:4">
      <c r="A211" s="529" t="s">
        <v>253</v>
      </c>
      <c r="B211" s="529">
        <v>25</v>
      </c>
      <c r="C211" s="529">
        <v>2000</v>
      </c>
      <c r="D211" s="529">
        <v>2000</v>
      </c>
    </row>
    <row r="212" spans="1:4">
      <c r="A212" s="529" t="s">
        <v>255</v>
      </c>
      <c r="B212" s="529">
        <v>10</v>
      </c>
      <c r="C212" s="529">
        <v>500</v>
      </c>
      <c r="D212" s="529">
        <v>500</v>
      </c>
    </row>
    <row r="213" spans="1:4">
      <c r="A213" s="529" t="s">
        <v>254</v>
      </c>
      <c r="B213" s="529">
        <v>500</v>
      </c>
      <c r="C213" s="529">
        <v>500</v>
      </c>
      <c r="D213" s="529">
        <v>500</v>
      </c>
    </row>
    <row r="214" spans="1:4">
      <c r="A214" s="529" t="s">
        <v>256</v>
      </c>
      <c r="B214" s="529">
        <v>100</v>
      </c>
      <c r="C214" s="529">
        <v>100</v>
      </c>
      <c r="D214" s="529">
        <v>100</v>
      </c>
    </row>
    <row r="215" spans="1:4">
      <c r="A215" s="529" t="s">
        <v>258</v>
      </c>
      <c r="B215" s="529">
        <v>100</v>
      </c>
      <c r="C215" s="529">
        <v>100</v>
      </c>
      <c r="D215" s="529">
        <v>100</v>
      </c>
    </row>
    <row r="216" spans="1:4">
      <c r="A216" s="529" t="s">
        <v>257</v>
      </c>
      <c r="B216" s="529">
        <v>25</v>
      </c>
      <c r="C216" s="529">
        <v>500</v>
      </c>
      <c r="D216" s="529">
        <v>2000</v>
      </c>
    </row>
    <row r="217" spans="1:4">
      <c r="A217" s="529" t="s">
        <v>259</v>
      </c>
      <c r="B217" s="529">
        <v>25</v>
      </c>
      <c r="C217" s="529">
        <v>25</v>
      </c>
      <c r="D217" s="529">
        <v>25</v>
      </c>
    </row>
    <row r="218" spans="1:4">
      <c r="B218" s="53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Wind Cost</vt:lpstr>
      <vt:lpstr>Wind Performance</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2015-01-08T18:59:50Z</dcterms:modified>
</cp:coreProperties>
</file>