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516" codeName="{8C4F1C90-05EB-6A55-5F09-09C24B55AC0B}"/>
  <workbookPr showInkAnnotation="0" codeName="ThisWorkbook" autoCompressPictures="0"/>
  <bookViews>
    <workbookView xWindow="0" yWindow="0" windowWidth="38400" windowHeight="19400" tabRatio="782" activeTab="3"/>
  </bookViews>
  <sheets>
    <sheet name="Main" sheetId="8" r:id="rId1"/>
    <sheet name="Wind Cost" sheetId="34" r:id="rId2"/>
    <sheet name="Wind Performance" sheetId="35" r:id="rId3"/>
    <sheet name="Turbine Siting" sheetId="39" r:id="rId4"/>
    <sheet name="Finance" sheetId="15" r:id="rId5"/>
    <sheet name="Market Projections" sheetId="37" r:id="rId6"/>
    <sheet name="Wind Policies" sheetId="36" r:id="rId7"/>
    <sheet name="Net Metering" sheetId="38" r:id="rId8"/>
  </sheets>
  <externalReferences>
    <externalReference r:id="rId9"/>
    <externalReference r:id="rId10"/>
    <externalReference r:id="rId11"/>
  </externalReferences>
  <definedNames>
    <definedName name="_xlnm._FilterDatabase" localSheetId="0" hidden="1">Main!$E$151:$E$153</definedName>
    <definedName name="Analysis_End_Year">Main!$D$12</definedName>
    <definedName name="Annual_Inflation">Finance!$E$6</definedName>
    <definedName name="Batch_Runs" localSheetId="7">[1]Main!#REF!</definedName>
    <definedName name="Batch_Runs">Main!#REF!</definedName>
    <definedName name="Building_Type_Run_Scenario">Main!$D$13</definedName>
    <definedName name="canopy_clearance">'Turbine Siting'!$D$29:$D$39</definedName>
    <definedName name="Carbon_Scenario">Main!$D$26</definedName>
    <definedName name="Com_Max_Market">Main!$D$21</definedName>
    <definedName name="Com_Payback_Metric" localSheetId="7">[1]Main!#REF!</definedName>
    <definedName name="Com_Payback_Metric">Main!#REF!</definedName>
    <definedName name="Com_Rate_Escal">Main!$D$20</definedName>
    <definedName name="Com_Rate_Scenario">Main!$D$19</definedName>
    <definedName name="Depreciation_Schedule">Finance!$J$11:$L$30</definedName>
    <definedName name="Fed_Tax_Scenario" localSheetId="7">[1]Main!#REF!</definedName>
    <definedName name="Fed_Tax_Scenario">Main!#REF!</definedName>
    <definedName name="incent_start_year">'Wind Policies'!$P$4</definedName>
    <definedName name="Incentive_Budgets" localSheetId="7">[1]Main!#REF!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Main!$D$11:$D$28</definedName>
    <definedName name="Inputs_Commercial">Finance!$E$17:$F$23</definedName>
    <definedName name="Inputs_Industrial">Finance!$E$26:$F$32</definedName>
    <definedName name="Inputs_Residential">Finance!$E$9:$F$14</definedName>
    <definedName name="leasing_avail">'Market Projections'!$C$34:$V$83</definedName>
    <definedName name="Load_Growth_Scenario">Main!$D$15</definedName>
    <definedName name="Local_Incentive_Scenario" localSheetId="7">[1]Main!#REF!</definedName>
    <definedName name="Local_Incentive_Scenario">Main!#REF!</definedName>
    <definedName name="man_net_metering">'Wind Policies'!$B$17:$B$67,'Wind Policies'!#REF!</definedName>
    <definedName name="Market_Projections">'Market Projections'!$C$7:$U$14</definedName>
    <definedName name="Metering_Availability_Scenario">Main!$D$25</definedName>
    <definedName name="Metering_Cap_Scenario" localSheetId="5">Main!#REF!</definedName>
    <definedName name="Metering_Cap_Scenario" localSheetId="7">[1]Main!#REF!</definedName>
    <definedName name="Metering_Cap_Scenario" localSheetId="1">[2]Main!#REF!</definedName>
    <definedName name="Metering_Cap_Scenario" localSheetId="2">[2]Main!#REF!</definedName>
    <definedName name="Metering_Cap_Scenario" localSheetId="6">[3]Main!#REF!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'Net Metering'!$I$9:$I$59,'Net Metering'!$M$9:$M$59,'Net Metering'!$Q$9:$Q$59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'Net Metering'!$H$9:$H$59,'Net Metering'!$L$9:$L$59,'Net Metering'!$P$9:$P$59</definedName>
    <definedName name="nem_years">'Net Metering'!$R$9:$S$59</definedName>
    <definedName name="Net_Metering" localSheetId="7">#REF!,#REF!</definedName>
    <definedName name="nm" localSheetId="7">#REF!,#REF!</definedName>
    <definedName name="nm">'Wind Policies'!$B$17:$B$67,'Wind Policies'!#REF!</definedName>
    <definedName name="Normalized_Wind_Power_Curves" localSheetId="7">#REF!</definedName>
    <definedName name="Normalized_Wind_Power_Curves">'Wind Performance'!$B$24:$I$42</definedName>
    <definedName name="overwrite_exist_inc">'Wind Policies'!$P$3</definedName>
    <definedName name="overwrite_exist_nm">'Wind Policies'!#REF!</definedName>
    <definedName name="parcel_size">'Turbine Siting'!$C$9:$C$13</definedName>
    <definedName name="pct_hi_dev">'Turbine Siting'!$C$19:$C$23</definedName>
    <definedName name="Price_Escalation_Scenario" localSheetId="5">Main!#REF!</definedName>
    <definedName name="Price_Escalation_Scenario" localSheetId="7">[1]Main!#REF!</definedName>
    <definedName name="Price_Escalation_Scenario" localSheetId="1">[2]Main!#REF!</definedName>
    <definedName name="Price_Escalation_Scenario" localSheetId="2">[2]Main!#REF!</definedName>
    <definedName name="Price_Escalation_Scenario" localSheetId="6">[3]Main!#REF!</definedName>
    <definedName name="Price_Escalation_Scenario">Main!#REF!</definedName>
    <definedName name="PV_Base_Installed" localSheetId="5">Main!#REF!</definedName>
    <definedName name="PV_Base_Installed" localSheetId="7">[1]Main!#REF!</definedName>
    <definedName name="PV_Base_Installed" localSheetId="2">Main!#REF!</definedName>
    <definedName name="PV_Base_Installed" localSheetId="6">[3]Main!#REF!</definedName>
    <definedName name="PV_Base_Installed">Main!#REF!</definedName>
    <definedName name="PV_Efficiency" localSheetId="7">[1]Main!#REF!</definedName>
    <definedName name="PV_Efficiency">Main!#REF!</definedName>
    <definedName name="PV_Price_Scenario" localSheetId="7">[1]Main!#REF!</definedName>
    <definedName name="PV_Price_Scenario">Main!#REF!</definedName>
    <definedName name="rate_type_weights">'Market Projections'!$J$88:$L$96</definedName>
    <definedName name="Region_Scenario">Main!$D$11</definedName>
    <definedName name="Res_Max_Market">Main!$D$18</definedName>
    <definedName name="Res_Rate_Escal">Main!$D$17</definedName>
    <definedName name="Res_Rate_Scenario">Main!$D$16</definedName>
    <definedName name="Scenario_Name" localSheetId="1">[2]Main!$C$7</definedName>
    <definedName name="Scenario_Name" localSheetId="2">[2]Main!$C$7</definedName>
    <definedName name="Scenario_Name" localSheetId="6">[3]Main!$C$7</definedName>
    <definedName name="sys_sizing">'Wind Performance'!$B$64:$F$66</definedName>
    <definedName name="ud_rates">'Market Projections'!$C$88:$F$138</definedName>
    <definedName name="user_defined_max_market_share">Finance!$C$35:$I$67</definedName>
    <definedName name="User_Elec_Growth_Rate">Main!$D$14</definedName>
    <definedName name="Wind_Cost_Projections_10_kw" localSheetId="7">#REF!</definedName>
    <definedName name="Wind_Cost_Projections_10_kw">'Wind Cost'!$D$25:$V$30</definedName>
    <definedName name="Wind_Cost_Projections_100_kw" localSheetId="7">#REF!</definedName>
    <definedName name="Wind_Cost_Projections_100_kw">'Wind Cost'!$D$46:$V$51</definedName>
    <definedName name="Wind_Cost_Projections_1000_kw" localSheetId="7">#REF!</definedName>
    <definedName name="Wind_Cost_Projections_1000_kw">'Wind Cost'!$Z$32:$AR$37</definedName>
    <definedName name="Wind_Cost_Projections_1500_kw" localSheetId="7">#REF!</definedName>
    <definedName name="Wind_Cost_Projections_1500_kw">'Wind Cost'!$Z$39:$AR$44</definedName>
    <definedName name="Wind_Cost_Projections_2.5_kw" localSheetId="7">#REF!</definedName>
    <definedName name="Wind_Cost_Projections_2.5_kw">'Wind Cost'!$D$11:$V$16</definedName>
    <definedName name="Wind_Cost_Projections_20_kw" localSheetId="7">#REF!</definedName>
    <definedName name="Wind_Cost_Projections_20_kw">'Wind Cost'!$D$32:$V$37</definedName>
    <definedName name="Wind_Cost_Projections_250_kw" localSheetId="7">#REF!</definedName>
    <definedName name="Wind_Cost_Projections_250_kw">'Wind Cost'!$Z$11:$AR$16</definedName>
    <definedName name="Wind_Cost_Projections_5_kw" localSheetId="7">#REF!</definedName>
    <definedName name="Wind_Cost_Projections_5_kw">'Wind Cost'!$D$18:$V$23</definedName>
    <definedName name="Wind_Cost_Projections_50_kw" localSheetId="7">#REF!</definedName>
    <definedName name="Wind_Cost_Projections_50_kw">'Wind Cost'!$D$39:$V$44</definedName>
    <definedName name="Wind_Cost_Projections_500_kw" localSheetId="7">#REF!</definedName>
    <definedName name="Wind_Cost_Projections_500_kw">'Wind Cost'!$Z$18:$AR$23</definedName>
    <definedName name="Wind_Cost_Projections_750_kw" localSheetId="7">#REF!</definedName>
    <definedName name="Wind_Cost_Projections_750_kw">'Wind Cost'!$Z$25:$AR$30</definedName>
    <definedName name="Wind_Derate_Factors" localSheetId="7">#REF!</definedName>
    <definedName name="Wind_Derate_Factors">'Wind Performance'!$C$46:$V$57</definedName>
    <definedName name="Wind_Performance_Improvements" localSheetId="7">#REF!</definedName>
    <definedName name="Wind_Performance_Improvements">'Wind Performance'!$B$7:$V$18</definedName>
    <definedName name="Year_Start" localSheetId="5">Main!#REF!</definedName>
    <definedName name="Year_Start" localSheetId="7">[1]Main!#REF!</definedName>
    <definedName name="Year_Start" localSheetId="1">[2]Main!#REF!</definedName>
    <definedName name="Year_Start" localSheetId="2">[2]Main!#REF!</definedName>
    <definedName name="Year_Start" localSheetId="6">[3]Main!#REF!</definedName>
    <definedName name="Year_Start">Main!#REF!</definedName>
    <definedName name="Year_Stop" localSheetId="5">Main!#REF!</definedName>
    <definedName name="Year_Stop" localSheetId="7">[1]Main!#REF!</definedName>
    <definedName name="Year_Stop" localSheetId="1">[2]Main!#REF!</definedName>
    <definedName name="Year_Stop" localSheetId="2">[2]Main!#REF!</definedName>
    <definedName name="Year_Stop" localSheetId="6">[3]Main!#REF!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A40" i="34" l="1"/>
  <c r="AB40" i="34"/>
  <c r="AC40" i="34"/>
  <c r="AD40" i="34"/>
  <c r="AE40" i="34"/>
  <c r="AF40" i="34"/>
  <c r="AG40" i="34"/>
  <c r="AH40" i="34"/>
  <c r="AI40" i="34"/>
  <c r="AJ40" i="34"/>
  <c r="AK40" i="34"/>
  <c r="AL40" i="34"/>
  <c r="AM40" i="34"/>
  <c r="AN40" i="34"/>
  <c r="AO40" i="34"/>
  <c r="AP40" i="34"/>
  <c r="AQ40" i="34"/>
  <c r="AR40" i="34"/>
  <c r="AA33" i="34"/>
  <c r="AB33" i="34"/>
  <c r="AC33" i="34"/>
  <c r="AD33" i="34"/>
  <c r="AE33" i="34"/>
  <c r="AF33" i="34"/>
  <c r="AG33" i="34"/>
  <c r="AH33" i="34"/>
  <c r="AI33" i="34"/>
  <c r="AJ33" i="34"/>
  <c r="AK33" i="34"/>
  <c r="AL33" i="34"/>
  <c r="AM33" i="34"/>
  <c r="AN33" i="34"/>
  <c r="AO33" i="34"/>
  <c r="AP33" i="34"/>
  <c r="AQ33" i="34"/>
  <c r="AR33" i="34"/>
  <c r="AA26" i="34"/>
  <c r="AB26" i="34"/>
  <c r="AC26" i="34"/>
  <c r="AD26" i="34"/>
  <c r="AE26" i="34"/>
  <c r="AF26" i="34"/>
  <c r="AG26" i="34"/>
  <c r="AH26" i="34"/>
  <c r="AI26" i="34"/>
  <c r="AJ26" i="34"/>
  <c r="AK26" i="34"/>
  <c r="AL26" i="34"/>
  <c r="AM26" i="34"/>
  <c r="AN26" i="34"/>
  <c r="AO26" i="34"/>
  <c r="AP26" i="34"/>
  <c r="AQ26" i="34"/>
  <c r="AR26" i="34"/>
  <c r="AA19" i="34"/>
  <c r="AB19" i="34"/>
  <c r="AC19" i="34"/>
  <c r="AD19" i="34"/>
  <c r="AE19" i="34"/>
  <c r="AF19" i="34"/>
  <c r="AG19" i="34"/>
  <c r="AH19" i="34"/>
  <c r="AI19" i="34"/>
  <c r="AJ19" i="34"/>
  <c r="AK19" i="34"/>
  <c r="AL19" i="34"/>
  <c r="AM19" i="34"/>
  <c r="AN19" i="34"/>
  <c r="AO19" i="34"/>
  <c r="AP19" i="34"/>
  <c r="AQ19" i="34"/>
  <c r="AR19" i="34"/>
  <c r="AA12" i="34"/>
  <c r="AB12" i="34"/>
  <c r="AC12" i="34"/>
  <c r="AD12" i="34"/>
  <c r="AE12" i="34"/>
  <c r="AF12" i="34"/>
  <c r="AG12" i="34"/>
  <c r="AH12" i="34"/>
  <c r="AI12" i="34"/>
  <c r="AJ12" i="34"/>
  <c r="AK12" i="34"/>
  <c r="AL12" i="34"/>
  <c r="AM12" i="34"/>
  <c r="AN12" i="34"/>
  <c r="AO12" i="34"/>
  <c r="AP12" i="34"/>
  <c r="AQ12" i="34"/>
  <c r="AR12" i="34"/>
  <c r="E47" i="34"/>
  <c r="F47" i="34"/>
  <c r="G47" i="34"/>
  <c r="H47" i="34"/>
  <c r="I47" i="34"/>
  <c r="J47" i="34"/>
  <c r="K47" i="34"/>
  <c r="L47" i="34"/>
  <c r="M47" i="34"/>
  <c r="N47" i="34"/>
  <c r="O47" i="34"/>
  <c r="P47" i="34"/>
  <c r="Q47" i="34"/>
  <c r="R47" i="34"/>
  <c r="S47" i="34"/>
  <c r="T47" i="34"/>
  <c r="U47" i="34"/>
  <c r="V47" i="34"/>
  <c r="E40" i="34"/>
  <c r="F40" i="34"/>
  <c r="G40" i="34"/>
  <c r="H40" i="34"/>
  <c r="I40" i="34"/>
  <c r="J40" i="34"/>
  <c r="K40" i="34"/>
  <c r="L40" i="34"/>
  <c r="M40" i="34"/>
  <c r="N40" i="34"/>
  <c r="O40" i="34"/>
  <c r="P40" i="34"/>
  <c r="Q40" i="34"/>
  <c r="R40" i="34"/>
  <c r="S40" i="34"/>
  <c r="T40" i="34"/>
  <c r="U40" i="34"/>
  <c r="V40" i="34"/>
  <c r="E33" i="34"/>
  <c r="F33" i="34"/>
  <c r="G33" i="34"/>
  <c r="H33" i="34"/>
  <c r="I33" i="34"/>
  <c r="J33" i="34"/>
  <c r="K33" i="34"/>
  <c r="L33" i="34"/>
  <c r="M33" i="34"/>
  <c r="N33" i="34"/>
  <c r="O33" i="34"/>
  <c r="P33" i="34"/>
  <c r="Q33" i="34"/>
  <c r="R33" i="34"/>
  <c r="S33" i="34"/>
  <c r="T33" i="34"/>
  <c r="U33" i="34"/>
  <c r="V33" i="34"/>
  <c r="E26" i="34"/>
  <c r="F26" i="34"/>
  <c r="G26" i="34"/>
  <c r="H26" i="34"/>
  <c r="I26" i="34"/>
  <c r="J26" i="34"/>
  <c r="K26" i="34"/>
  <c r="L26" i="34"/>
  <c r="M26" i="34"/>
  <c r="N26" i="34"/>
  <c r="O26" i="34"/>
  <c r="P26" i="34"/>
  <c r="Q26" i="34"/>
  <c r="R26" i="34"/>
  <c r="S26" i="34"/>
  <c r="T26" i="34"/>
  <c r="U26" i="34"/>
  <c r="V26" i="34"/>
  <c r="E19" i="34"/>
  <c r="F19" i="34"/>
  <c r="G19" i="34"/>
  <c r="H19" i="34"/>
  <c r="I19" i="34"/>
  <c r="J19" i="34"/>
  <c r="K19" i="34"/>
  <c r="L19" i="34"/>
  <c r="M19" i="34"/>
  <c r="N19" i="34"/>
  <c r="O19" i="34"/>
  <c r="P19" i="34"/>
  <c r="Q19" i="34"/>
  <c r="R19" i="34"/>
  <c r="S19" i="34"/>
  <c r="T19" i="34"/>
  <c r="U19" i="34"/>
  <c r="V19" i="34"/>
  <c r="E12" i="34"/>
  <c r="F12" i="34"/>
  <c r="G12" i="34"/>
  <c r="H12" i="34"/>
  <c r="I12" i="34"/>
  <c r="J12" i="34"/>
  <c r="K12" i="34"/>
  <c r="L12" i="34"/>
  <c r="M12" i="34"/>
  <c r="N12" i="34"/>
  <c r="O12" i="34"/>
  <c r="P12" i="34"/>
  <c r="Q12" i="34"/>
  <c r="R12" i="34"/>
  <c r="S12" i="34"/>
  <c r="T12" i="34"/>
  <c r="U12" i="34"/>
  <c r="V12" i="34"/>
  <c r="E6" i="38"/>
  <c r="AA44" i="34"/>
  <c r="AB44" i="34"/>
  <c r="AC44" i="34"/>
  <c r="AD44" i="34"/>
  <c r="AE44" i="34"/>
  <c r="AF44" i="34"/>
  <c r="AG44" i="34"/>
  <c r="AH44" i="34"/>
  <c r="AI44" i="34"/>
  <c r="AJ44" i="34"/>
  <c r="AK44" i="34"/>
  <c r="AL44" i="34"/>
  <c r="AM44" i="34"/>
  <c r="AN44" i="34"/>
  <c r="AO44" i="34"/>
  <c r="AP44" i="34"/>
  <c r="AQ44" i="34"/>
  <c r="AR44" i="34"/>
  <c r="AA43" i="34"/>
  <c r="AB43" i="34"/>
  <c r="AC43" i="34"/>
  <c r="AD43" i="34"/>
  <c r="AE43" i="34"/>
  <c r="AF43" i="34"/>
  <c r="AG43" i="34"/>
  <c r="AH43" i="34"/>
  <c r="AI43" i="34"/>
  <c r="AJ43" i="34"/>
  <c r="AK43" i="34"/>
  <c r="AL43" i="34"/>
  <c r="AM43" i="34"/>
  <c r="AN43" i="34"/>
  <c r="AO43" i="34"/>
  <c r="AP43" i="34"/>
  <c r="AQ43" i="34"/>
  <c r="AR43" i="34"/>
  <c r="AA37" i="34"/>
  <c r="AB37" i="34"/>
  <c r="AC37" i="34"/>
  <c r="AD37" i="34"/>
  <c r="AE37" i="34"/>
  <c r="AF37" i="34"/>
  <c r="AG37" i="34"/>
  <c r="AH37" i="34"/>
  <c r="AI37" i="34"/>
  <c r="AJ37" i="34"/>
  <c r="AK37" i="34"/>
  <c r="AL37" i="34"/>
  <c r="AM37" i="34"/>
  <c r="AN37" i="34"/>
  <c r="AO37" i="34"/>
  <c r="AP37" i="34"/>
  <c r="AQ37" i="34"/>
  <c r="AR37" i="34"/>
  <c r="AA36" i="34"/>
  <c r="AB36" i="34"/>
  <c r="AC36" i="34"/>
  <c r="AD36" i="34"/>
  <c r="AE36" i="34"/>
  <c r="AF36" i="34"/>
  <c r="AG36" i="34"/>
  <c r="AH36" i="34"/>
  <c r="AI36" i="34"/>
  <c r="AJ36" i="34"/>
  <c r="AK36" i="34"/>
  <c r="AL36" i="34"/>
  <c r="AM36" i="34"/>
  <c r="AN36" i="34"/>
  <c r="AO36" i="34"/>
  <c r="AP36" i="34"/>
  <c r="AQ36" i="34"/>
  <c r="AR36" i="34"/>
  <c r="AA30" i="34"/>
  <c r="AB30" i="34"/>
  <c r="AC30" i="34"/>
  <c r="AD30" i="34"/>
  <c r="AE30" i="34"/>
  <c r="AF30" i="34"/>
  <c r="AG30" i="34"/>
  <c r="AH30" i="34"/>
  <c r="AI30" i="34"/>
  <c r="AJ30" i="34"/>
  <c r="AK30" i="34"/>
  <c r="AL30" i="34"/>
  <c r="AM30" i="34"/>
  <c r="AN30" i="34"/>
  <c r="AO30" i="34"/>
  <c r="AP30" i="34"/>
  <c r="AQ30" i="34"/>
  <c r="AR30" i="34"/>
  <c r="AA29" i="34"/>
  <c r="AB29" i="34"/>
  <c r="AC29" i="34"/>
  <c r="AD29" i="34"/>
  <c r="AE29" i="34"/>
  <c r="AF29" i="34"/>
  <c r="AG29" i="34"/>
  <c r="AH29" i="34"/>
  <c r="AI29" i="34"/>
  <c r="AJ29" i="34"/>
  <c r="AK29" i="34"/>
  <c r="AL29" i="34"/>
  <c r="AM29" i="34"/>
  <c r="AN29" i="34"/>
  <c r="AO29" i="34"/>
  <c r="AP29" i="34"/>
  <c r="AQ29" i="34"/>
  <c r="AR29" i="34"/>
  <c r="AA23" i="34"/>
  <c r="AB23" i="34"/>
  <c r="AC23" i="34"/>
  <c r="AD23" i="34"/>
  <c r="AE23" i="34"/>
  <c r="AF23" i="34"/>
  <c r="AG23" i="34"/>
  <c r="AH23" i="34"/>
  <c r="AI23" i="34"/>
  <c r="AJ23" i="34"/>
  <c r="AK23" i="34"/>
  <c r="AL23" i="34"/>
  <c r="AM23" i="34"/>
  <c r="AN23" i="34"/>
  <c r="AO23" i="34"/>
  <c r="AP23" i="34"/>
  <c r="AQ23" i="34"/>
  <c r="AR23" i="34"/>
  <c r="AA22" i="34"/>
  <c r="AB22" i="34"/>
  <c r="AC22" i="34"/>
  <c r="AD22" i="34"/>
  <c r="AE22" i="34"/>
  <c r="AF22" i="34"/>
  <c r="AG22" i="34"/>
  <c r="AH22" i="34"/>
  <c r="AI22" i="34"/>
  <c r="AJ22" i="34"/>
  <c r="AK22" i="34"/>
  <c r="AL22" i="34"/>
  <c r="AM22" i="34"/>
  <c r="AN22" i="34"/>
  <c r="AO22" i="34"/>
  <c r="AP22" i="34"/>
  <c r="AQ22" i="34"/>
  <c r="AR22" i="34"/>
  <c r="AA16" i="34"/>
  <c r="AB16" i="34"/>
  <c r="AC16" i="34"/>
  <c r="AD16" i="34"/>
  <c r="AE16" i="34"/>
  <c r="AF16" i="34"/>
  <c r="AG16" i="34"/>
  <c r="AH16" i="34"/>
  <c r="AI16" i="34"/>
  <c r="AJ16" i="34"/>
  <c r="AK16" i="34"/>
  <c r="AL16" i="34"/>
  <c r="AM16" i="34"/>
  <c r="AN16" i="34"/>
  <c r="AO16" i="34"/>
  <c r="AP16" i="34"/>
  <c r="AQ16" i="34"/>
  <c r="AR16" i="34"/>
  <c r="AA15" i="34"/>
  <c r="AB15" i="34"/>
  <c r="AC15" i="34"/>
  <c r="AD15" i="34"/>
  <c r="AE15" i="34"/>
  <c r="AF15" i="34"/>
  <c r="AG15" i="34"/>
  <c r="AH15" i="34"/>
  <c r="AI15" i="34"/>
  <c r="AJ15" i="34"/>
  <c r="AK15" i="34"/>
  <c r="AL15" i="34"/>
  <c r="AM15" i="34"/>
  <c r="AN15" i="34"/>
  <c r="AO15" i="34"/>
  <c r="AP15" i="34"/>
  <c r="AQ15" i="34"/>
  <c r="AR15" i="34"/>
  <c r="E51" i="34"/>
  <c r="F51" i="34"/>
  <c r="G51" i="34"/>
  <c r="H51" i="34"/>
  <c r="I51" i="34"/>
  <c r="J51" i="34"/>
  <c r="K51" i="34"/>
  <c r="L51" i="34"/>
  <c r="M51" i="34"/>
  <c r="N51" i="34"/>
  <c r="O51" i="34"/>
  <c r="P51" i="34"/>
  <c r="Q51" i="34"/>
  <c r="R51" i="34"/>
  <c r="S51" i="34"/>
  <c r="T51" i="34"/>
  <c r="U51" i="34"/>
  <c r="V51" i="34"/>
  <c r="E50" i="34"/>
  <c r="F50" i="34"/>
  <c r="G50" i="34"/>
  <c r="H50" i="34"/>
  <c r="I50" i="34"/>
  <c r="J50" i="34"/>
  <c r="K50" i="34"/>
  <c r="L50" i="34"/>
  <c r="M50" i="34"/>
  <c r="N50" i="34"/>
  <c r="O50" i="34"/>
  <c r="P50" i="34"/>
  <c r="Q50" i="34"/>
  <c r="R50" i="34"/>
  <c r="S50" i="34"/>
  <c r="T50" i="34"/>
  <c r="U50" i="34"/>
  <c r="V50" i="34"/>
  <c r="E44" i="34"/>
  <c r="F44" i="34"/>
  <c r="G44" i="34"/>
  <c r="H44" i="34"/>
  <c r="I44" i="34"/>
  <c r="J44" i="34"/>
  <c r="K44" i="34"/>
  <c r="L44" i="34"/>
  <c r="M44" i="34"/>
  <c r="N44" i="34"/>
  <c r="O44" i="34"/>
  <c r="P44" i="34"/>
  <c r="Q44" i="34"/>
  <c r="R44" i="34"/>
  <c r="S44" i="34"/>
  <c r="T44" i="34"/>
  <c r="U44" i="34"/>
  <c r="V44" i="34"/>
  <c r="E43" i="34"/>
  <c r="F43" i="34"/>
  <c r="G43" i="34"/>
  <c r="H43" i="34"/>
  <c r="I43" i="34"/>
  <c r="J43" i="34"/>
  <c r="K43" i="34"/>
  <c r="L43" i="34"/>
  <c r="M43" i="34"/>
  <c r="N43" i="34"/>
  <c r="O43" i="34"/>
  <c r="P43" i="34"/>
  <c r="Q43" i="34"/>
  <c r="R43" i="34"/>
  <c r="S43" i="34"/>
  <c r="T43" i="34"/>
  <c r="U43" i="34"/>
  <c r="V43" i="34"/>
  <c r="E37" i="34"/>
  <c r="F37" i="34"/>
  <c r="G37" i="34"/>
  <c r="H37" i="34"/>
  <c r="I37" i="34"/>
  <c r="J37" i="34"/>
  <c r="K37" i="34"/>
  <c r="L37" i="34"/>
  <c r="M37" i="34"/>
  <c r="N37" i="34"/>
  <c r="O37" i="34"/>
  <c r="P37" i="34"/>
  <c r="Q37" i="34"/>
  <c r="R37" i="34"/>
  <c r="S37" i="34"/>
  <c r="T37" i="34"/>
  <c r="U37" i="34"/>
  <c r="V37" i="34"/>
  <c r="E36" i="34"/>
  <c r="F36" i="34"/>
  <c r="G36" i="34"/>
  <c r="H36" i="34"/>
  <c r="I36" i="34"/>
  <c r="J36" i="34"/>
  <c r="K36" i="34"/>
  <c r="L36" i="34"/>
  <c r="M36" i="34"/>
  <c r="N36" i="34"/>
  <c r="O36" i="34"/>
  <c r="P36" i="34"/>
  <c r="Q36" i="34"/>
  <c r="R36" i="34"/>
  <c r="S36" i="34"/>
  <c r="T36" i="34"/>
  <c r="U36" i="34"/>
  <c r="V36" i="34"/>
  <c r="E30" i="34"/>
  <c r="F30" i="34"/>
  <c r="G30" i="34"/>
  <c r="H30" i="34"/>
  <c r="I30" i="34"/>
  <c r="J30" i="34"/>
  <c r="K30" i="34"/>
  <c r="L30" i="34"/>
  <c r="M30" i="34"/>
  <c r="N30" i="34"/>
  <c r="O30" i="34"/>
  <c r="P30" i="34"/>
  <c r="Q30" i="34"/>
  <c r="R30" i="34"/>
  <c r="S30" i="34"/>
  <c r="T30" i="34"/>
  <c r="U30" i="34"/>
  <c r="V30" i="34"/>
  <c r="E29" i="34"/>
  <c r="F29" i="34"/>
  <c r="G29" i="34"/>
  <c r="H29" i="34"/>
  <c r="I29" i="34"/>
  <c r="J29" i="34"/>
  <c r="K29" i="34"/>
  <c r="L29" i="34"/>
  <c r="M29" i="34"/>
  <c r="N29" i="34"/>
  <c r="O29" i="34"/>
  <c r="P29" i="34"/>
  <c r="Q29" i="34"/>
  <c r="R29" i="34"/>
  <c r="S29" i="34"/>
  <c r="T29" i="34"/>
  <c r="U29" i="34"/>
  <c r="V29" i="34"/>
  <c r="E23" i="34"/>
  <c r="F23" i="34"/>
  <c r="G23" i="34"/>
  <c r="H23" i="34"/>
  <c r="I23" i="34"/>
  <c r="J23" i="34"/>
  <c r="K23" i="34"/>
  <c r="L23" i="34"/>
  <c r="M23" i="34"/>
  <c r="N23" i="34"/>
  <c r="O23" i="34"/>
  <c r="P23" i="34"/>
  <c r="Q23" i="34"/>
  <c r="R23" i="34"/>
  <c r="S23" i="34"/>
  <c r="T23" i="34"/>
  <c r="U23" i="34"/>
  <c r="V23" i="34"/>
  <c r="E22" i="34"/>
  <c r="F22" i="34"/>
  <c r="G22" i="34"/>
  <c r="H22" i="34"/>
  <c r="I22" i="34"/>
  <c r="J22" i="34"/>
  <c r="K22" i="34"/>
  <c r="L22" i="34"/>
  <c r="M22" i="34"/>
  <c r="N22" i="34"/>
  <c r="O22" i="34"/>
  <c r="P22" i="34"/>
  <c r="Q22" i="34"/>
  <c r="R22" i="34"/>
  <c r="S22" i="34"/>
  <c r="T22" i="34"/>
  <c r="U22" i="34"/>
  <c r="V22" i="34"/>
  <c r="E16" i="34"/>
  <c r="F16" i="34"/>
  <c r="G16" i="34"/>
  <c r="H16" i="34"/>
  <c r="I16" i="34"/>
  <c r="J16" i="34"/>
  <c r="K16" i="34"/>
  <c r="L16" i="34"/>
  <c r="M16" i="34"/>
  <c r="N16" i="34"/>
  <c r="O16" i="34"/>
  <c r="P16" i="34"/>
  <c r="Q16" i="34"/>
  <c r="R16" i="34"/>
  <c r="S16" i="34"/>
  <c r="T16" i="34"/>
  <c r="U16" i="34"/>
  <c r="V16" i="34"/>
  <c r="E15" i="34"/>
  <c r="F15" i="34"/>
  <c r="G15" i="34"/>
  <c r="H15" i="34"/>
  <c r="I15" i="34"/>
  <c r="J15" i="34"/>
  <c r="K15" i="34"/>
  <c r="L15" i="34"/>
  <c r="M15" i="34"/>
  <c r="N15" i="34"/>
  <c r="O15" i="34"/>
  <c r="P15" i="34"/>
  <c r="Q15" i="34"/>
  <c r="R15" i="34"/>
  <c r="S15" i="34"/>
  <c r="T15" i="34"/>
  <c r="U15" i="34"/>
  <c r="V15" i="34"/>
  <c r="J203" i="8"/>
  <c r="J204" i="8"/>
  <c r="J205" i="8"/>
  <c r="J206" i="8"/>
  <c r="J207" i="8"/>
  <c r="J208" i="8"/>
  <c r="J209" i="8"/>
  <c r="J210" i="8"/>
  <c r="J211" i="8"/>
  <c r="J212" i="8"/>
  <c r="J213" i="8"/>
  <c r="J214" i="8"/>
  <c r="J215" i="8"/>
  <c r="J216" i="8"/>
  <c r="J217" i="8"/>
  <c r="J218" i="8"/>
  <c r="J219" i="8"/>
  <c r="J220" i="8"/>
  <c r="J221" i="8"/>
  <c r="J222"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5"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 ref="C28"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<sst xmlns="http://schemas.openxmlformats.org/spreadsheetml/2006/main" count="1209" uniqueCount="378">
  <si>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</si>
  <si>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</si>
  <si>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</si>
  <si>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</si>
  <si>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</si>
  <si>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</si>
  <si>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</si>
  <si>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</si>
  <si>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</si>
  <si>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</si>
  <si>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</si>
  <si>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</si>
  <si>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</si>
  <si>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</si>
  <si>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</si>
  <si>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</si>
  <si>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</si>
  <si>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</si>
  <si>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</si>
  <si>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</si>
  <si>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</si>
  <si>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</si>
  <si>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</si>
  <si>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</si>
  <si>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</si>
  <si>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</si>
  <si>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</si>
  <si>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</si>
  <si>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</si>
  <si>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</si>
  <si>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</si>
  <si>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</si>
  <si>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</si>
  <si>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</si>
  <si>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</si>
  <si>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</si>
  <si>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</si>
  <si>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</si>
  <si>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</si>
  <si>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</si>
  <si>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</si>
  <si>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</si>
  <si>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</si>
  <si>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</si>
  <si>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</si>
  <si>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</si>
  <si>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</si>
  <si>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</si>
  <si>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</si>
  <si>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</si>
  <si>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</si>
  <si>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</si>
  <si>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</si>
  <si>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</si>
  <si>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</si>
  <si>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</si>
  <si>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</si>
  <si>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</si>
  <si>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</si>
  <si>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</si>
  <si>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</si>
  <si>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</si>
  <si>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</si>
  <si>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</si>
  <si>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</si>
  <si>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</si>
  <si>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</si>
  <si>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</si>
  <si>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</si>
  <si>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</si>
  <si>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</si>
  <si>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</si>
  <si>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</si>
  <si>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</si>
  <si>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</si>
  <si>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</si>
  <si>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</si>
  <si>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</si>
  <si>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</si>
  <si>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</si>
  <si>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</si>
  <si>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</si>
  <si>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</si>
  <si>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</si>
  <si>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</si>
  <si>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</si>
  <si>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</si>
  <si>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</si>
  <si>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</si>
  <si>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</si>
  <si>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</si>
  <si>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</si>
  <si>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</si>
  <si>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</si>
  <si>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</si>
  <si>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</si>
  <si>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</si>
  <si>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</si>
  <si>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</si>
  <si>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</si>
  <si>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</si>
  <si>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</si>
  <si>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</si>
  <si>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</si>
  <si>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</si>
  <si>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</si>
  <si>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</si>
  <si>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</si>
  <si>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</si>
  <si>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</si>
  <si>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</si>
  <si>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</si>
  <si>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</si>
  <si>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</si>
  <si>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</si>
  <si>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</si>
  <si>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</si>
  <si>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</si>
  <si>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</si>
  <si>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</si>
  <si>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</si>
  <si>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</si>
  <si>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</si>
  <si>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</si>
  <si>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</si>
  <si>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</si>
  <si>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</si>
  <si>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</si>
  <si>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</si>
  <si>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</si>
  <si>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</si>
  <si>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</si>
  <si>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</si>
  <si>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</si>
  <si>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</si>
  <si>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</si>
  <si>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</si>
  <si>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</si>
  <si>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</si>
  <si>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</si>
  <si>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</si>
  <si>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</si>
  <si>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</si>
  <si>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</si>
  <si>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</si>
  <si>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</si>
  <si>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</si>
  <si>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</si>
  <si>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</si>
  <si>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</si>
  <si>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</si>
  <si>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</si>
  <si>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</si>
  <si>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</si>
  <si>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</si>
  <si>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</si>
  <si>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</si>
  <si>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</si>
  <si>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</si>
  <si>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</si>
  <si>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</si>
  <si>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</si>
  <si>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</si>
  <si>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</si>
  <si>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</si>
  <si>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</si>
  <si>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</si>
  <si>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</si>
  <si>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</si>
  <si>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</si>
  <si>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</si>
  <si>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</si>
  <si>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</si>
  <si>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</si>
  <si>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</si>
  <si>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</si>
  <si>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</si>
  <si>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</si>
  <si>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</si>
  <si>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</si>
  <si>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</si>
  <si>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</si>
  <si>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</si>
  <si>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</si>
  <si>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</si>
  <si>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</si>
  <si>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</si>
  <si>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</si>
  <si>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</si>
  <si>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</si>
  <si>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</si>
  <si>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</si>
  <si>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</si>
  <si>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</si>
  <si>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</si>
  <si>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</si>
  <si>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</si>
  <si>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</si>
  <si>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</si>
  <si>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</si>
  <si>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</si>
  <si>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</si>
  <si>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</si>
  <si>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</si>
  <si>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</si>
  <si>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</si>
  <si>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</si>
  <si>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</si>
  <si>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</si>
  <si>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</si>
  <si>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</si>
  <si>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</si>
  <si>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</si>
  <si>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</si>
  <si>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</si>
  <si>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</si>
  <si>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</si>
  <si>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</si>
  <si>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</si>
  <si>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</si>
  <si>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</si>
  <si>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</si>
  <si>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</si>
  <si>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</si>
  <si>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</si>
  <si>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</si>
  <si>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</si>
  <si>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</si>
  <si>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</si>
  <si>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</si>
  <si>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</si>
  <si>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</si>
  <si>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</si>
  <si>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</si>
  <si>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</si>
  <si>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</si>
  <si>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</si>
  <si>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</si>
  <si>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</si>
  <si>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</si>
  <si>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</si>
  <si>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</si>
  <si>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</si>
  <si>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</si>
  <si>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</si>
  <si>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</si>
  <si>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</si>
  <si>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</si>
  <si>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</si>
  <si>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</si>
  <si>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</si>
  <si>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</si>
  <si>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</si>
  <si>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</si>
  <si>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</si>
  <si>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</si>
  <si>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</si>
  <si>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</si>
  <si>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</si>
  <si>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</si>
  <si>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</si>
  <si>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</si>
  <si>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</si>
  <si>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</si>
  <si>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</si>
  <si>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</si>
  <si>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</si>
  <si>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</si>
  <si>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</si>
  <si>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</si>
  <si>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</si>
  <si>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</si>
  <si>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</si>
  <si>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</si>
  <si>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</si>
  <si>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</si>
  <si>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</si>
  <si>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</si>
  <si>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</si>
  <si>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</si>
  <si>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</si>
  <si>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</si>
  <si>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</si>
  <si>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</si>
  <si>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</si>
  <si>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</si>
  <si>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</si>
  <si>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</si>
  <si>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</si>
  <si>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</si>
  <si>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</si>
  <si>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dWind</t>
  </si>
  <si>
    <t>Fast Tech Change</t>
  </si>
  <si>
    <t>Small - 2.5 - 50 kW</t>
  </si>
  <si>
    <t>Medium - 100 - 500 kW</t>
  </si>
  <si>
    <t>Large - 500+ kW</t>
  </si>
  <si>
    <t>System Sizes</t>
  </si>
  <si>
    <t>Select Scenario</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</si>
  <si>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</si>
  <si>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</si>
  <si>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</si>
  <si>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</si>
  <si>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</si>
  <si>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</si>
  <si>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</si>
  <si>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</si>
  <si>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</si>
  <si>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</si>
  <si>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</si>
  <si>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</si>
  <si>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</si>
  <si>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</si>
  <si>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</si>
  <si>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</si>
  <si>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</si>
  <si>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</si>
  <si>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</si>
  <si>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</si>
  <si>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</si>
  <si>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</si>
  <si>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</si>
  <si>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</si>
  <si>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</si>
  <si>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</si>
  <si>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</si>
  <si>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</si>
  <si>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</si>
  <si>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</si>
  <si>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</si>
  <si>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</si>
  <si>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</si>
  <si>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</si>
  <si>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</si>
  <si>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</si>
  <si>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</si>
  <si>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</si>
  <si>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</si>
  <si>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</si>
  <si>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</si>
  <si>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</si>
  <si>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</si>
  <si>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</si>
  <si>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</si>
  <si>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</si>
  <si>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</si>
  <si>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</si>
  <si>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</si>
  <si>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</si>
  <si>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</si>
  <si>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</si>
  <si>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</si>
  <si>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</si>
  <si>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</si>
  <si>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</si>
  <si>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</si>
  <si>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</si>
  <si>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</si>
  <si>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</si>
  <si>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</si>
  <si>
    <t>Reference</t>
  </si>
  <si>
    <t>Residential Parcel Size</t>
  </si>
  <si>
    <t>Required Clearance above Tree Canopy</t>
  </si>
  <si>
    <t>Turbine Hub Height (m)</t>
  </si>
  <si>
    <t>Minimum Parcel Size (acres)</t>
  </si>
  <si>
    <t>20 m</t>
  </si>
  <si>
    <t>30 m</t>
  </si>
  <si>
    <t>40 m</t>
  </si>
  <si>
    <t>50 m</t>
  </si>
  <si>
    <t>80 m</t>
  </si>
  <si>
    <t>Heavily Developed Land</t>
  </si>
  <si>
    <t>Maximum % Heavily Developed Land</t>
  </si>
  <si>
    <t>Turbine Size (kW)</t>
  </si>
  <si>
    <t>Approx. Rotor Radius (m)</t>
  </si>
  <si>
    <t>Required Clearance (m)</t>
  </si>
  <si>
    <t>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</si>
  <si>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</si>
  <si>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</si>
  <si>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Wind Turbine Siting Parameters</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</si>
</sst>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 numFmtId="170" formatCode="&quot;Cost Floor ($/kW):&quot;\ 0"/>
  </numFmts>
  <fonts count="92"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sz val="22"/>
      <name val="Arial"/>
      <family val="2"/>
    </font>
    <font>
      <b/>
      <sz val="16"/>
      <color indexed="18"/>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s>
  <fills count="2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
      <patternFill patternType="solid">
        <fgColor rgb="FF000090"/>
        <bgColor indexed="64"/>
      </patternFill>
    </fill>
    <fill>
      <patternFill patternType="solid">
        <fgColor theme="1"/>
        <bgColor indexed="64"/>
      </patternFill>
    </fill>
  </fills>
  <borders count="147">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
      <left style="thick">
        <color auto="1"/>
      </left>
      <right style="thick">
        <color auto="1"/>
      </right>
      <top style="thick">
        <color auto="1"/>
      </top>
      <bottom style="thick">
        <color auto="1"/>
      </bottom>
      <diagonal/>
    </border>
    <border>
      <left style="medium">
        <color auto="1"/>
      </left>
      <right style="medium">
        <color auto="1"/>
      </right>
      <top style="thick">
        <color auto="1"/>
      </top>
      <bottom/>
      <diagonal/>
    </border>
    <border>
      <left style="medium">
        <color auto="1"/>
      </left>
      <right style="medium">
        <color auto="1"/>
      </right>
      <top/>
      <bottom style="medium">
        <color auto="1"/>
      </bottom>
      <diagonal/>
    </border>
    <border>
      <left style="medium">
        <color auto="1"/>
      </left>
      <right/>
      <top style="thick">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diagonal/>
    </border>
    <border>
      <left style="mediumDashed">
        <color rgb="FFFF6600"/>
      </left>
      <right style="mediumDashed">
        <color rgb="FFFF6600"/>
      </right>
      <top/>
      <bottom style="mediumDashed">
        <color rgb="FFFF6600"/>
      </bottom>
      <diagonal/>
    </border>
  </borders>
  <cellStyleXfs count="76">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8"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615">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2" fontId="14" fillId="10" borderId="43" xfId="3" applyNumberFormat="1" applyFont="1" applyFill="1" applyBorder="1" applyAlignment="1">
      <alignment horizontal="center"/>
    </xf>
    <xf numFmtId="2" fontId="14" fillId="3" borderId="38" xfId="3" applyNumberFormat="1" applyFont="1" applyFill="1" applyBorder="1" applyAlignment="1" applyProtection="1">
      <alignment horizontal="center"/>
      <protection locked="0"/>
    </xf>
    <xf numFmtId="2" fontId="14" fillId="3" borderId="39" xfId="3" applyNumberFormat="1" applyFont="1" applyFill="1" applyBorder="1" applyAlignment="1">
      <alignment horizontal="center"/>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4" xfId="3" applyNumberFormat="1" applyFont="1" applyFill="1" applyBorder="1" applyProtection="1">
      <protection locked="0"/>
    </xf>
    <xf numFmtId="1" fontId="14" fillId="4" borderId="65" xfId="3" applyNumberFormat="1" applyFont="1" applyFill="1" applyBorder="1" applyProtection="1">
      <protection locked="0"/>
    </xf>
    <xf numFmtId="1" fontId="14" fillId="4" borderId="66" xfId="3" applyNumberFormat="1" applyFont="1" applyFill="1" applyBorder="1" applyProtection="1">
      <protection locked="0"/>
    </xf>
    <xf numFmtId="1" fontId="0" fillId="14" borderId="67" xfId="0" applyNumberFormat="1" applyFill="1" applyBorder="1" applyProtection="1">
      <protection locked="0"/>
    </xf>
    <xf numFmtId="1" fontId="0" fillId="0" borderId="50" xfId="0" applyNumberFormat="1" applyBorder="1" applyProtection="1">
      <protection locked="0"/>
    </xf>
    <xf numFmtId="1" fontId="0" fillId="14" borderId="68" xfId="0" applyNumberFormat="1" applyFill="1" applyBorder="1" applyProtection="1">
      <protection locked="0"/>
    </xf>
    <xf numFmtId="165" fontId="0" fillId="14" borderId="68" xfId="0" applyNumberFormat="1" applyFill="1" applyBorder="1" applyProtection="1">
      <protection locked="0"/>
    </xf>
    <xf numFmtId="1" fontId="9" fillId="14" borderId="68" xfId="3" applyNumberFormat="1" applyFont="1" applyFill="1" applyBorder="1" applyProtection="1">
      <protection locked="0"/>
    </xf>
    <xf numFmtId="1" fontId="9" fillId="14" borderId="69" xfId="3" applyNumberFormat="1" applyFont="1" applyFill="1" applyBorder="1" applyProtection="1">
      <protection locked="0"/>
    </xf>
    <xf numFmtId="1" fontId="9" fillId="0" borderId="53" xfId="3" applyNumberFormat="1" applyFont="1" applyFill="1" applyBorder="1" applyProtection="1">
      <protection locked="0"/>
    </xf>
    <xf numFmtId="0" fontId="24" fillId="8" borderId="70" xfId="3" applyFont="1" applyFill="1" applyBorder="1" applyAlignment="1" applyProtection="1">
      <alignment horizontal="center" wrapText="1"/>
    </xf>
    <xf numFmtId="0" fontId="0" fillId="0" borderId="50" xfId="0" applyBorder="1"/>
    <xf numFmtId="0" fontId="24" fillId="8" borderId="71" xfId="3" applyFont="1" applyFill="1" applyBorder="1" applyAlignment="1" applyProtection="1">
      <alignment horizontal="center" wrapText="1"/>
    </xf>
    <xf numFmtId="0" fontId="24" fillId="8" borderId="72" xfId="3" applyFont="1" applyFill="1" applyBorder="1" applyAlignment="1" applyProtection="1">
      <alignment horizontal="center" wrapText="1"/>
    </xf>
    <xf numFmtId="0" fontId="0" fillId="0" borderId="53" xfId="0" applyBorder="1"/>
    <xf numFmtId="0" fontId="0" fillId="0" borderId="54" xfId="0" applyBorder="1"/>
    <xf numFmtId="0" fontId="27" fillId="5" borderId="74" xfId="3" applyFont="1" applyFill="1" applyBorder="1" applyAlignment="1" applyProtection="1">
      <alignment horizontal="center" wrapText="1"/>
    </xf>
    <xf numFmtId="0" fontId="27" fillId="5" borderId="75" xfId="3" applyFont="1" applyFill="1" applyBorder="1" applyAlignment="1" applyProtection="1">
      <alignment horizontal="center" wrapText="1"/>
    </xf>
    <xf numFmtId="0" fontId="27" fillId="5" borderId="76"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7" xfId="0" applyFont="1" applyFill="1" applyBorder="1" applyAlignment="1">
      <alignment horizontal="center" wrapText="1"/>
    </xf>
    <xf numFmtId="0" fontId="59" fillId="10" borderId="78" xfId="0" applyFont="1" applyFill="1" applyBorder="1" applyAlignment="1">
      <alignment horizontal="center" wrapText="1"/>
    </xf>
    <xf numFmtId="0" fontId="59" fillId="10" borderId="79"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73"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80" xfId="3" applyFont="1" applyFill="1" applyBorder="1" applyAlignment="1">
      <alignment horizontal="left"/>
    </xf>
    <xf numFmtId="0" fontId="30" fillId="5" borderId="81" xfId="3" applyFont="1" applyFill="1" applyBorder="1" applyAlignment="1">
      <alignment horizontal="left"/>
    </xf>
    <xf numFmtId="0" fontId="30" fillId="5" borderId="81" xfId="2" applyFont="1" applyFill="1" applyBorder="1" applyAlignment="1" applyProtection="1">
      <alignment horizontal="left"/>
    </xf>
    <xf numFmtId="0" fontId="30" fillId="5" borderId="81" xfId="0" applyFont="1" applyFill="1" applyBorder="1" applyAlignment="1">
      <alignment horizontal="left"/>
    </xf>
    <xf numFmtId="0" fontId="30" fillId="5" borderId="82"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83"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84"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1" fontId="0" fillId="0" borderId="0" xfId="0" applyNumberFormat="1"/>
    <xf numFmtId="1" fontId="9" fillId="0" borderId="53" xfId="3" applyNumberFormat="1" applyFont="1" applyFill="1" applyBorder="1" applyProtection="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quotePrefix="1" applyFont="1" applyFill="1" applyBorder="1" applyAlignment="1" applyProtection="1">
      <alignment horizontal="left"/>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85" xfId="3" applyFont="1" applyFill="1" applyBorder="1" applyAlignment="1" applyProtection="1">
      <alignment horizontal="left"/>
      <protection locked="0"/>
    </xf>
    <xf numFmtId="0" fontId="58" fillId="3" borderId="85"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6"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8"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2" fontId="14" fillId="3" borderId="43" xfId="3" applyNumberFormat="1" applyFont="1" applyFill="1" applyBorder="1" applyAlignment="1" applyProtection="1">
      <alignment horizontal="center"/>
      <protection locked="0"/>
    </xf>
    <xf numFmtId="2" fontId="14" fillId="3" borderId="44" xfId="3" applyNumberFormat="1" applyFont="1" applyFill="1" applyBorder="1" applyAlignment="1">
      <alignment horizontal="center"/>
    </xf>
    <xf numFmtId="0" fontId="1" fillId="3" borderId="60" xfId="3" applyFont="1" applyFill="1" applyBorder="1" applyProtection="1">
      <protection locked="0"/>
    </xf>
    <xf numFmtId="0" fontId="24" fillId="8" borderId="70"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71"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2"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7" xfId="3" applyNumberFormat="1" applyFont="1" applyFill="1" applyBorder="1" applyProtection="1">
      <protection locked="0"/>
    </xf>
    <xf numFmtId="1" fontId="14" fillId="4" borderId="78" xfId="3" applyNumberFormat="1" applyFont="1" applyFill="1" applyBorder="1" applyProtection="1">
      <protection locked="0"/>
    </xf>
    <xf numFmtId="1" fontId="14" fillId="4" borderId="79" xfId="3" applyNumberFormat="1" applyFont="1" applyFill="1" applyBorder="1" applyProtection="1">
      <protection locked="0"/>
    </xf>
    <xf numFmtId="0" fontId="0" fillId="10" borderId="0" xfId="0" applyFill="1" applyProtection="1">
      <protection locked="0"/>
    </xf>
    <xf numFmtId="0" fontId="39" fillId="3" borderId="0" xfId="3" applyFont="1" applyFill="1" applyBorder="1"/>
    <xf numFmtId="0" fontId="76" fillId="3" borderId="0" xfId="3" applyFont="1" applyFill="1" applyProtection="1">
      <protection locked="0"/>
    </xf>
    <xf numFmtId="0" fontId="77" fillId="3" borderId="0" xfId="3" quotePrefix="1" applyFont="1" applyFill="1" applyBorder="1" applyAlignment="1">
      <alignment horizontal="center"/>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9" fillId="3" borderId="80" xfId="3" applyFont="1" applyFill="1" applyBorder="1" applyProtection="1">
      <protection locked="0"/>
    </xf>
    <xf numFmtId="0" fontId="9" fillId="3" borderId="89" xfId="3" applyFont="1" applyFill="1" applyBorder="1" applyProtection="1">
      <protection locked="0"/>
    </xf>
    <xf numFmtId="0" fontId="9" fillId="10" borderId="89" xfId="3" applyFont="1" applyFill="1" applyBorder="1" applyProtection="1">
      <protection locked="0"/>
    </xf>
    <xf numFmtId="0" fontId="59" fillId="10" borderId="89" xfId="3" applyFont="1" applyFill="1" applyBorder="1" applyProtection="1">
      <protection locked="0"/>
    </xf>
    <xf numFmtId="0" fontId="9" fillId="3" borderId="90" xfId="3" applyFont="1" applyFill="1" applyBorder="1" applyProtection="1">
      <protection locked="0"/>
    </xf>
    <xf numFmtId="0" fontId="39" fillId="3" borderId="0" xfId="3" applyFont="1" applyFill="1" applyBorder="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9" fillId="3" borderId="91" xfId="3" applyFont="1" applyFill="1" applyBorder="1" applyProtection="1">
      <protection locked="0"/>
    </xf>
    <xf numFmtId="0" fontId="80" fillId="10" borderId="0" xfId="3" applyFont="1" applyFill="1" applyBorder="1" applyProtection="1">
      <protection locked="0"/>
    </xf>
    <xf numFmtId="0" fontId="2" fillId="10" borderId="92" xfId="3" applyFill="1" applyBorder="1" applyProtection="1">
      <protection locked="0"/>
    </xf>
    <xf numFmtId="0" fontId="2" fillId="10" borderId="93" xfId="3" applyFill="1" applyBorder="1" applyProtection="1">
      <protection locked="0"/>
    </xf>
    <xf numFmtId="0" fontId="59" fillId="10" borderId="0" xfId="3" applyFont="1" applyFill="1" applyBorder="1" applyProtection="1">
      <protection locked="0"/>
    </xf>
    <xf numFmtId="167" fontId="39" fillId="14" borderId="0" xfId="4" applyNumberFormat="1" applyFont="1" applyFill="1" applyBorder="1" applyProtection="1">
      <protection locked="0"/>
    </xf>
    <xf numFmtId="0" fontId="81" fillId="10" borderId="0" xfId="3" applyFont="1" applyFill="1" applyBorder="1" applyAlignment="1" applyProtection="1">
      <alignment vertical="center"/>
      <protection locked="0"/>
    </xf>
    <xf numFmtId="0" fontId="59" fillId="3" borderId="81" xfId="3" applyFont="1" applyFill="1" applyBorder="1" applyAlignment="1" applyProtection="1">
      <alignment horizontal="center"/>
      <protection locked="0"/>
    </xf>
    <xf numFmtId="0" fontId="81" fillId="10" borderId="81" xfId="3" applyFont="1" applyFill="1" applyBorder="1" applyAlignment="1" applyProtection="1">
      <alignment vertical="center"/>
      <protection locked="0"/>
    </xf>
    <xf numFmtId="0" fontId="2" fillId="10" borderId="82" xfId="3" applyFill="1" applyBorder="1" applyProtection="1">
      <protection locked="0"/>
    </xf>
    <xf numFmtId="0" fontId="14" fillId="14" borderId="0" xfId="3" applyFont="1" applyFill="1" applyBorder="1" applyAlignment="1" applyProtection="1">
      <alignment horizontal="center" vertical="center"/>
      <protection locked="0"/>
    </xf>
    <xf numFmtId="0" fontId="30" fillId="5" borderId="94"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95"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84" fillId="3" borderId="0" xfId="3" applyFont="1" applyFill="1" applyAlignment="1"/>
    <xf numFmtId="0" fontId="1" fillId="3" borderId="96" xfId="0" applyFont="1" applyFill="1" applyBorder="1" applyAlignment="1">
      <alignment horizontal="center" vertical="center"/>
    </xf>
    <xf numFmtId="0" fontId="0" fillId="3" borderId="96" xfId="3" applyFont="1" applyFill="1" applyBorder="1" applyAlignment="1">
      <alignment horizontal="center" vertical="center" wrapText="1"/>
    </xf>
    <xf numFmtId="0" fontId="20" fillId="10" borderId="97" xfId="5" applyFont="1" applyFill="1" applyBorder="1"/>
    <xf numFmtId="2" fontId="1" fillId="3" borderId="98" xfId="3" applyNumberFormat="1" applyFont="1" applyFill="1" applyBorder="1" applyAlignment="1">
      <alignment horizontal="center"/>
    </xf>
    <xf numFmtId="2" fontId="1" fillId="3" borderId="99" xfId="3" applyNumberFormat="1" applyFont="1" applyFill="1" applyBorder="1" applyAlignment="1">
      <alignment horizontal="center"/>
    </xf>
    <xf numFmtId="0" fontId="20" fillId="10" borderId="100" xfId="5" applyFont="1" applyFill="1" applyBorder="1"/>
    <xf numFmtId="2" fontId="1" fillId="3" borderId="101" xfId="3" applyNumberFormat="1" applyFont="1" applyFill="1" applyBorder="1" applyAlignment="1">
      <alignment horizontal="center"/>
    </xf>
    <xf numFmtId="2" fontId="1" fillId="3" borderId="102" xfId="3" applyNumberFormat="1" applyFont="1" applyFill="1" applyBorder="1" applyAlignment="1">
      <alignment horizontal="center"/>
    </xf>
    <xf numFmtId="0" fontId="20" fillId="10" borderId="103" xfId="5" applyFont="1" applyFill="1" applyBorder="1"/>
    <xf numFmtId="2" fontId="1" fillId="3" borderId="104" xfId="3" applyNumberFormat="1" applyFont="1" applyFill="1" applyBorder="1" applyAlignment="1">
      <alignment horizontal="center"/>
    </xf>
    <xf numFmtId="2" fontId="1" fillId="3" borderId="105" xfId="3" applyNumberFormat="1" applyFont="1" applyFill="1" applyBorder="1" applyAlignment="1">
      <alignment horizontal="center"/>
    </xf>
    <xf numFmtId="0" fontId="2" fillId="0" borderId="107" xfId="0" applyFont="1" applyBorder="1" applyAlignment="1">
      <alignment horizontal="center" vertical="center"/>
    </xf>
    <xf numFmtId="0" fontId="0" fillId="17" borderId="108" xfId="0" applyFill="1" applyBorder="1" applyAlignment="1">
      <alignment horizontal="center" vertical="center"/>
    </xf>
    <xf numFmtId="0" fontId="0" fillId="17" borderId="109" xfId="0" applyFill="1" applyBorder="1" applyAlignment="1">
      <alignment horizontal="center" vertical="center" wrapText="1"/>
    </xf>
    <xf numFmtId="0" fontId="0" fillId="17" borderId="110" xfId="0" applyFill="1" applyBorder="1"/>
    <xf numFmtId="0" fontId="0" fillId="17" borderId="106" xfId="0" applyFill="1" applyBorder="1"/>
    <xf numFmtId="0" fontId="0" fillId="17" borderId="111" xfId="0" applyFill="1" applyBorder="1"/>
    <xf numFmtId="0" fontId="0" fillId="17" borderId="112" xfId="0" applyFill="1" applyBorder="1"/>
    <xf numFmtId="0" fontId="0" fillId="17" borderId="113" xfId="0" applyFill="1" applyBorder="1"/>
    <xf numFmtId="0" fontId="0" fillId="17" borderId="114" xfId="0" applyFill="1" applyBorder="1"/>
    <xf numFmtId="0" fontId="0" fillId="17" borderId="115"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5" fillId="3" borderId="0" xfId="3" applyFont="1" applyFill="1" applyProtection="1">
      <protection locked="0"/>
    </xf>
    <xf numFmtId="0" fontId="86"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16" xfId="0" applyFont="1" applyFill="1" applyBorder="1" applyAlignment="1" applyProtection="1">
      <alignment horizontal="center" vertical="center" wrapText="1"/>
      <protection locked="0"/>
    </xf>
    <xf numFmtId="0" fontId="31" fillId="19" borderId="117" xfId="0" applyFont="1" applyFill="1" applyBorder="1" applyAlignment="1" applyProtection="1">
      <alignment horizontal="center" vertical="center" wrapText="1"/>
      <protection locked="0"/>
    </xf>
    <xf numFmtId="0" fontId="31" fillId="19" borderId="118"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19"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20" xfId="0" applyFont="1" applyFill="1" applyBorder="1" applyAlignment="1" applyProtection="1">
      <alignment horizontal="center"/>
    </xf>
    <xf numFmtId="0" fontId="0" fillId="20" borderId="121"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122"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23"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15" xfId="0" applyFont="1" applyFill="1" applyBorder="1" applyAlignment="1" applyProtection="1">
      <alignment horizontal="center"/>
    </xf>
    <xf numFmtId="0" fontId="0" fillId="20" borderId="124" xfId="0" applyFont="1" applyFill="1" applyBorder="1" applyAlignment="1" applyProtection="1">
      <alignment horizontal="center"/>
    </xf>
    <xf numFmtId="0" fontId="0" fillId="18" borderId="125" xfId="0" applyFont="1" applyFill="1" applyBorder="1" applyAlignment="1" applyProtection="1">
      <alignment horizontal="center"/>
    </xf>
    <xf numFmtId="0" fontId="0" fillId="18" borderId="125"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26"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27" xfId="0" applyFont="1" applyFill="1" applyBorder="1" applyAlignment="1" applyProtection="1">
      <alignment horizontal="center"/>
    </xf>
    <xf numFmtId="0" fontId="0" fillId="20" borderId="128" xfId="0" applyFont="1" applyFill="1" applyBorder="1" applyAlignment="1" applyProtection="1">
      <alignment horizontal="center"/>
    </xf>
    <xf numFmtId="0" fontId="0" fillId="18" borderId="129" xfId="0" applyFont="1" applyFill="1" applyBorder="1" applyAlignment="1" applyProtection="1">
      <alignment horizontal="center"/>
    </xf>
    <xf numFmtId="0" fontId="0" fillId="18" borderId="129" xfId="0" applyFill="1" applyBorder="1" applyAlignment="1" applyProtection="1">
      <alignment horizontal="center"/>
    </xf>
    <xf numFmtId="0" fontId="0" fillId="18" borderId="54" xfId="0" applyFill="1" applyBorder="1" applyAlignment="1" applyProtection="1">
      <alignment horizontal="center"/>
    </xf>
    <xf numFmtId="0" fontId="87" fillId="10" borderId="0" xfId="0" applyFont="1" applyFill="1" applyProtection="1">
      <protection locked="0"/>
    </xf>
    <xf numFmtId="0" fontId="87" fillId="10" borderId="0" xfId="0" applyFont="1" applyFill="1" applyAlignment="1" applyProtection="1">
      <alignment horizontal="left"/>
      <protection locked="0"/>
    </xf>
    <xf numFmtId="0" fontId="87"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30" xfId="5" applyFont="1" applyFill="1" applyBorder="1" applyAlignment="1">
      <alignment horizontal="center" wrapText="1"/>
    </xf>
    <xf numFmtId="3" fontId="1" fillId="0" borderId="131" xfId="5" applyNumberFormat="1" applyFont="1" applyFill="1" applyBorder="1" applyAlignment="1">
      <alignment horizontal="center"/>
    </xf>
    <xf numFmtId="1" fontId="87" fillId="3" borderId="0" xfId="3" applyNumberFormat="1" applyFont="1" applyFill="1" applyBorder="1"/>
    <xf numFmtId="0" fontId="87" fillId="3" borderId="0" xfId="3" applyFont="1" applyFill="1" applyBorder="1"/>
    <xf numFmtId="1" fontId="19" fillId="10" borderId="0" xfId="3" applyNumberFormat="1" applyFont="1" applyFill="1" applyBorder="1"/>
    <xf numFmtId="0" fontId="45" fillId="3" borderId="132" xfId="3" applyFont="1" applyFill="1" applyBorder="1"/>
    <xf numFmtId="0" fontId="1" fillId="10" borderId="0" xfId="3" applyFont="1" applyFill="1" applyBorder="1"/>
    <xf numFmtId="1" fontId="19" fillId="10" borderId="87"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33"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34" xfId="0" applyFont="1" applyFill="1" applyBorder="1" applyAlignment="1">
      <alignment horizontal="left"/>
    </xf>
    <xf numFmtId="0" fontId="30" fillId="5" borderId="135" xfId="0" applyFont="1" applyFill="1" applyBorder="1" applyAlignment="1">
      <alignment horizontal="left"/>
    </xf>
    <xf numFmtId="167" fontId="11" fillId="0" borderId="40" xfId="3" applyNumberFormat="1" applyFont="1" applyFill="1" applyBorder="1" applyAlignment="1">
      <alignment horizontal="center"/>
    </xf>
    <xf numFmtId="167" fontId="11" fillId="0" borderId="139"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90" fillId="3" borderId="0" xfId="3" applyFont="1" applyFill="1" applyProtection="1">
      <protection locked="0"/>
    </xf>
    <xf numFmtId="0" fontId="91" fillId="2" borderId="0" xfId="3" applyFont="1" applyFill="1" applyProtection="1">
      <protection locked="0"/>
    </xf>
    <xf numFmtId="0" fontId="91" fillId="3" borderId="0" xfId="3" applyFont="1" applyFill="1" applyProtection="1">
      <protection locked="0"/>
    </xf>
    <xf numFmtId="0" fontId="90" fillId="10" borderId="0" xfId="0" applyFont="1" applyFill="1"/>
    <xf numFmtId="0" fontId="90" fillId="10" borderId="0" xfId="3" applyFont="1" applyFill="1" applyProtection="1">
      <protection locked="0"/>
    </xf>
    <xf numFmtId="0" fontId="91"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0" fontId="1" fillId="3" borderId="0" xfId="3" applyFont="1" applyFill="1" applyBorder="1" applyProtection="1">
      <protection locked="0"/>
    </xf>
    <xf numFmtId="170" fontId="31" fillId="3" borderId="0" xfId="3" applyNumberFormat="1" applyFont="1" applyFill="1" applyAlignment="1" applyProtection="1">
      <alignment horizontal="center"/>
      <protection locked="0"/>
    </xf>
    <xf numFmtId="10" fontId="0" fillId="10" borderId="0" xfId="4" applyNumberFormat="1" applyFont="1" applyFill="1"/>
    <xf numFmtId="0" fontId="11" fillId="22" borderId="48" xfId="3" applyFont="1" applyFill="1" applyBorder="1" applyAlignment="1">
      <alignment horizontal="center"/>
    </xf>
    <xf numFmtId="0" fontId="31" fillId="22" borderId="81" xfId="0" applyFont="1" applyFill="1" applyBorder="1" applyAlignment="1">
      <alignment horizontal="left"/>
    </xf>
    <xf numFmtId="0" fontId="11" fillId="10" borderId="0" xfId="0" applyFont="1" applyFill="1" applyAlignment="1">
      <alignment horizontal="center" vertical="center" wrapText="1"/>
    </xf>
    <xf numFmtId="0" fontId="89" fillId="21" borderId="136" xfId="3" applyFont="1" applyFill="1" applyBorder="1" applyAlignment="1" applyProtection="1">
      <alignment horizontal="center"/>
      <protection locked="0"/>
    </xf>
    <xf numFmtId="0" fontId="89" fillId="21" borderId="137" xfId="3" applyFont="1" applyFill="1" applyBorder="1" applyAlignment="1" applyProtection="1">
      <alignment horizontal="center"/>
      <protection locked="0"/>
    </xf>
    <xf numFmtId="0" fontId="89" fillId="21" borderId="138"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30"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xf numFmtId="1" fontId="14" fillId="4" borderId="74" xfId="3" applyNumberFormat="1" applyFont="1" applyFill="1" applyBorder="1" applyAlignment="1" applyProtection="1">
      <alignment horizontal="center"/>
      <protection locked="0"/>
    </xf>
    <xf numFmtId="1" fontId="14" fillId="4" borderId="140" xfId="3" applyNumberFormat="1" applyFont="1" applyFill="1" applyBorder="1" applyAlignment="1" applyProtection="1">
      <alignment horizontal="center"/>
      <protection locked="0"/>
    </xf>
    <xf numFmtId="2" fontId="11" fillId="10" borderId="48" xfId="3" applyNumberFormat="1" applyFont="1" applyFill="1" applyBorder="1" applyAlignment="1">
      <alignment horizontal="center"/>
    </xf>
    <xf numFmtId="2" fontId="11" fillId="10" borderId="48" xfId="0" applyNumberFormat="1" applyFont="1" applyFill="1" applyBorder="1" applyAlignment="1">
      <alignment horizontal="center"/>
    </xf>
    <xf numFmtId="2" fontId="11" fillId="10" borderId="49" xfId="0" applyNumberFormat="1" applyFont="1" applyFill="1" applyBorder="1" applyAlignment="1">
      <alignment horizontal="center"/>
    </xf>
    <xf numFmtId="0" fontId="30" fillId="5" borderId="94" xfId="0" applyFont="1" applyFill="1" applyBorder="1" applyAlignment="1">
      <alignment horizontal="center"/>
    </xf>
    <xf numFmtId="0" fontId="30" fillId="5" borderId="135" xfId="0" applyFont="1" applyFill="1" applyBorder="1" applyAlignment="1">
      <alignment horizontal="center"/>
    </xf>
    <xf numFmtId="9" fontId="11" fillId="10" borderId="48" xfId="3" applyNumberFormat="1" applyFont="1" applyFill="1" applyBorder="1" applyAlignment="1">
      <alignment horizontal="center"/>
    </xf>
    <xf numFmtId="9" fontId="11" fillId="10" borderId="48" xfId="0" applyNumberFormat="1" applyFont="1" applyFill="1" applyBorder="1" applyAlignment="1">
      <alignment horizontal="center"/>
    </xf>
    <xf numFmtId="9" fontId="11" fillId="10" borderId="49" xfId="0" applyNumberFormat="1" applyFont="1" applyFill="1" applyBorder="1" applyAlignment="1">
      <alignment horizontal="center"/>
    </xf>
    <xf numFmtId="0" fontId="30" fillId="5" borderId="141" xfId="0" applyFont="1" applyFill="1" applyBorder="1" applyAlignment="1">
      <alignment horizontal="center"/>
    </xf>
    <xf numFmtId="0" fontId="30" fillId="5" borderId="34" xfId="0" applyFont="1" applyFill="1" applyBorder="1" applyAlignment="1">
      <alignment horizontal="center"/>
    </xf>
    <xf numFmtId="0" fontId="30" fillId="5" borderId="142" xfId="0" applyFont="1" applyFill="1" applyBorder="1" applyAlignment="1">
      <alignment horizontal="center"/>
    </xf>
    <xf numFmtId="0" fontId="30" fillId="5" borderId="143" xfId="0" applyFont="1" applyFill="1" applyBorder="1" applyAlignment="1">
      <alignment horizontal="center"/>
    </xf>
    <xf numFmtId="0" fontId="30" fillId="5" borderId="81" xfId="0" applyFont="1" applyFill="1" applyBorder="1" applyAlignment="1">
      <alignment horizontal="center"/>
    </xf>
    <xf numFmtId="0" fontId="30" fillId="5" borderId="82" xfId="0" applyFont="1" applyFill="1" applyBorder="1" applyAlignment="1">
      <alignment horizontal="center"/>
    </xf>
    <xf numFmtId="2" fontId="11" fillId="10" borderId="144" xfId="3" applyNumberFormat="1" applyFont="1" applyFill="1" applyBorder="1" applyAlignment="1">
      <alignment horizontal="center" vertical="center"/>
    </xf>
    <xf numFmtId="2" fontId="11" fillId="10" borderId="145" xfId="3" applyNumberFormat="1" applyFont="1" applyFill="1" applyBorder="1" applyAlignment="1">
      <alignment horizontal="center" vertical="center"/>
    </xf>
    <xf numFmtId="2" fontId="11" fillId="10" borderId="145" xfId="0" applyNumberFormat="1" applyFont="1" applyFill="1" applyBorder="1" applyAlignment="1">
      <alignment horizontal="center" vertical="center"/>
    </xf>
    <xf numFmtId="0" fontId="11" fillId="10" borderId="146" xfId="0" applyFont="1" applyFill="1" applyBorder="1" applyAlignment="1">
      <alignment horizontal="center" vertical="center"/>
    </xf>
    <xf numFmtId="2" fontId="0" fillId="10" borderId="0" xfId="0" applyNumberFormat="1" applyFill="1"/>
    <xf numFmtId="0" fontId="0" fillId="10" borderId="0" xfId="0" applyFill="1" applyAlignment="1">
      <alignment horizontal="center" wrapText="1"/>
    </xf>
    <xf numFmtId="0" fontId="0" fillId="10" borderId="0" xfId="0" applyFill="1" applyAlignment="1">
      <alignment horizontal="center" vertical="center" wrapText="1"/>
    </xf>
    <xf numFmtId="2" fontId="11" fillId="10" borderId="47" xfId="3" applyNumberFormat="1" applyFont="1" applyFill="1" applyBorder="1" applyAlignment="1">
      <alignment horizontal="center"/>
    </xf>
    <xf numFmtId="9" fontId="11" fillId="10" borderId="47" xfId="3" applyNumberFormat="1" applyFont="1" applyFill="1" applyBorder="1" applyAlignment="1">
      <alignment horizontal="center"/>
    </xf>
  </cellXfs>
  <cellStyles count="76">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externalLink" Target="externalLinks/externalLink3.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externalLink" Target="externalLinks/externalLink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
          <c:y val="0.038943289645202"/>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06840872"/>
        <c:axId val="2106845384"/>
      </c:scatterChart>
      <c:valAx>
        <c:axId val="2106840872"/>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06845384"/>
        <c:crosses val="autoZero"/>
        <c:crossBetween val="midCat"/>
      </c:valAx>
      <c:valAx>
        <c:axId val="2106845384"/>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06840872"/>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07766712"/>
        <c:axId val="2107770040"/>
      </c:scatterChart>
      <c:valAx>
        <c:axId val="2107766712"/>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07770040"/>
        <c:crosses val="autoZero"/>
        <c:crossBetween val="midCat"/>
      </c:valAx>
      <c:valAx>
        <c:axId val="210777004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0776671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042576696"/>
        <c:axId val="2042580056"/>
      </c:scatterChart>
      <c:valAx>
        <c:axId val="2042576696"/>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42580056"/>
        <c:crosses val="autoZero"/>
        <c:crossBetween val="midCat"/>
      </c:valAx>
      <c:valAx>
        <c:axId val="204258005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4257669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1498600</xdr:colOff>
          <xdr:row>6</xdr:row>
          <xdr:rowOff>50800</xdr:rowOff>
        </xdr:from>
        <xdr:to>
          <xdr:col>9</xdr:col>
          <xdr:colOff>63500</xdr:colOff>
          <xdr:row>7</xdr:row>
          <xdr:rowOff>101600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ctrlProp" Target="../ctrlProps/ctrlProp4.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ctrlProp" Target="../ctrlProps/ctrlProp6.xml"/><Relationship Id="rId5" Type="http://schemas.openxmlformats.org/officeDocument/2006/relationships/comments" Target="../comments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4" Type="http://schemas.openxmlformats.org/officeDocument/2006/relationships/ctrlProp" Target="../ctrlProps/ctrlProp8.xml"/><Relationship Id="rId5"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7"/>
  <sheetViews>
    <sheetView workbookViewId="0">
      <selection activeCell="C24" sqref="C24"/>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18" t="s">
        <v>113</v>
      </c>
      <c r="E3" s="126"/>
      <c r="F3" s="73"/>
      <c r="G3" s="12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1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406" t="s">
        <v>291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10" t="s">
        <v>102</v>
      </c>
      <c r="D10" s="21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11" t="s">
        <v>69</v>
      </c>
      <c r="D11" s="241" t="s">
        <v>4</v>
      </c>
      <c r="E11" s="61"/>
      <c r="F11" s="131"/>
      <c r="G11" s="61"/>
      <c r="H11" s="37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12" t="s">
        <v>101</v>
      </c>
      <c r="D12" s="242">
        <v>2050</v>
      </c>
      <c r="E12" s="61"/>
      <c r="F12" s="131"/>
      <c r="G12" s="61" t="s">
        <v>270</v>
      </c>
      <c r="H12" s="13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12" t="s">
        <v>153</v>
      </c>
      <c r="D13" s="287" t="s">
        <v>203</v>
      </c>
      <c r="E13" s="61"/>
      <c r="F13" s="131"/>
      <c r="G13" s="135"/>
      <c r="H13" s="13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13" t="s">
        <v>94</v>
      </c>
      <c r="D14" s="242" t="s">
        <v>180</v>
      </c>
      <c r="E14" s="135"/>
      <c r="F14" s="131"/>
      <c r="G14" s="135"/>
      <c r="H14" s="13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13" t="s">
        <v>195</v>
      </c>
      <c r="D15" s="242" t="s">
        <v>198</v>
      </c>
      <c r="E15" s="61"/>
      <c r="F15" s="131"/>
      <c r="G15" s="135"/>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13" t="s">
        <v>65</v>
      </c>
      <c r="D16" s="242" t="s">
        <v>310</v>
      </c>
      <c r="E16" s="61"/>
      <c r="F16" s="131"/>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13" t="s">
        <v>70</v>
      </c>
      <c r="D17" s="242" t="s">
        <v>180</v>
      </c>
      <c r="E17" s="131"/>
      <c r="F17" s="131"/>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14" t="s">
        <v>72</v>
      </c>
      <c r="D18" s="242" t="s">
        <v>74</v>
      </c>
      <c r="E18" s="61"/>
      <c r="F18" s="131"/>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13" t="s">
        <v>66</v>
      </c>
      <c r="D19" s="242" t="s">
        <v>310</v>
      </c>
      <c r="E19" s="61"/>
      <c r="F19" s="131"/>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13" t="s">
        <v>71</v>
      </c>
      <c r="D20" s="242" t="s">
        <v>180</v>
      </c>
      <c r="E20" s="61"/>
      <c r="F20" s="131"/>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14" t="s">
        <v>73</v>
      </c>
      <c r="D21" s="242" t="s">
        <v>74</v>
      </c>
      <c r="E21" s="61"/>
      <c r="F21" s="131"/>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13" t="s">
        <v>183</v>
      </c>
      <c r="D22" s="242" t="s">
        <v>310</v>
      </c>
      <c r="E22" s="61"/>
      <c r="F22" s="131"/>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c r="A23" s="21"/>
      <c r="B23" s="21"/>
      <c r="C23" s="314" t="s">
        <v>181</v>
      </c>
      <c r="D23" s="242" t="s">
        <v>180</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314" t="s">
        <v>182</v>
      </c>
      <c r="D24" s="242" t="s">
        <v>74</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557" t="s">
        <v>62</v>
      </c>
      <c r="D25" s="556" t="s">
        <v>280</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13" t="s">
        <v>63</v>
      </c>
      <c r="D26" s="242" t="s">
        <v>88</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427" t="s">
        <v>191</v>
      </c>
      <c r="D27" s="242" t="s">
        <v>187</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 thickBot="1">
      <c r="A28" s="21"/>
      <c r="B28" s="21"/>
      <c r="C28" s="315" t="s">
        <v>298</v>
      </c>
      <c r="D28" s="243">
        <v>1</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61" t="s">
        <v>103</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82</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19"/>
      <c r="B147" s="21"/>
      <c r="C147" s="21"/>
      <c r="D147" s="21"/>
      <c r="E147" s="108" t="s">
        <v>83</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108" t="s">
        <v>84</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21"/>
      <c r="E149" s="61" t="s">
        <v>104</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67"/>
      <c r="D150" s="19"/>
      <c r="E150" s="61"/>
      <c r="F150" s="61"/>
      <c r="G150" s="106"/>
      <c r="H150" s="67"/>
      <c r="I150" s="61" t="s">
        <v>108</v>
      </c>
      <c r="J150" s="67" t="s">
        <v>4</v>
      </c>
      <c r="K150" s="61" t="s">
        <v>78</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19"/>
      <c r="D151" s="19"/>
      <c r="E151" s="61" t="s">
        <v>86</v>
      </c>
      <c r="F151" s="61"/>
      <c r="G151" s="107" t="s">
        <v>68</v>
      </c>
      <c r="H151" s="61"/>
      <c r="I151" s="61" t="s">
        <v>58</v>
      </c>
      <c r="J151" s="67" t="s">
        <v>5</v>
      </c>
      <c r="K151" s="61" t="s">
        <v>79</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61" t="s">
        <v>60</v>
      </c>
      <c r="F152" s="109"/>
      <c r="G152" s="107"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61" t="s">
        <v>61</v>
      </c>
      <c r="F153" s="109"/>
      <c r="G153" s="106"/>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112"/>
      <c r="F154" s="109"/>
      <c r="G154" s="106"/>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109" t="s">
        <v>280</v>
      </c>
      <c r="F155" s="109"/>
      <c r="G155" s="106"/>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109" t="s">
        <v>281</v>
      </c>
      <c r="F156" s="109"/>
      <c r="G156" s="107" t="s">
        <v>86</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09" t="s">
        <v>282</v>
      </c>
      <c r="F157" s="109"/>
      <c r="G157" s="107" t="s">
        <v>60</v>
      </c>
      <c r="H157" s="67"/>
      <c r="I157" s="111"/>
      <c r="J157" s="67" t="s">
        <v>10</v>
      </c>
      <c r="K157" s="111"/>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09" t="s">
        <v>283</v>
      </c>
      <c r="F158" s="109"/>
      <c r="G158" s="110" t="s">
        <v>67</v>
      </c>
      <c r="H158" s="67"/>
      <c r="I158" s="111"/>
      <c r="J158" s="67" t="s">
        <v>201</v>
      </c>
      <c r="K158" s="111"/>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F159" s="109"/>
      <c r="G159" s="110" t="s">
        <v>61</v>
      </c>
      <c r="H159" s="67"/>
      <c r="I159" s="111"/>
      <c r="J159" s="67" t="s">
        <v>12</v>
      </c>
      <c r="K159" s="111"/>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09"/>
      <c r="F160" s="109"/>
      <c r="G160" s="61"/>
      <c r="H160" s="111"/>
      <c r="I160" s="111"/>
      <c r="J160" s="67" t="s">
        <v>13</v>
      </c>
      <c r="K160" s="111"/>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109" t="s">
        <v>59</v>
      </c>
      <c r="F161" s="109"/>
      <c r="G161" s="61"/>
      <c r="H161" s="111"/>
      <c r="I161" s="111"/>
      <c r="J161" s="67" t="s">
        <v>14</v>
      </c>
      <c r="K161" s="111"/>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109" t="s">
        <v>64</v>
      </c>
      <c r="F162" s="109"/>
      <c r="G162" s="61"/>
      <c r="H162" s="111"/>
      <c r="I162" s="111"/>
      <c r="J162" s="67" t="s">
        <v>15</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109"/>
      <c r="F163" s="61"/>
      <c r="G163" s="61"/>
      <c r="H163" s="111"/>
      <c r="I163" s="111"/>
      <c r="J163" s="67" t="s">
        <v>16</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109" t="s">
        <v>88</v>
      </c>
      <c r="F164" s="61"/>
      <c r="G164" s="61"/>
      <c r="H164" s="111"/>
      <c r="I164" s="111"/>
      <c r="J164" s="67" t="s">
        <v>17</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89</v>
      </c>
      <c r="F165" s="61"/>
      <c r="G165" s="61"/>
      <c r="H165" s="111"/>
      <c r="I165" s="111"/>
      <c r="J165" s="67" t="s">
        <v>18</v>
      </c>
      <c r="K165" s="111"/>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61"/>
      <c r="F166" s="61"/>
      <c r="G166" s="61"/>
      <c r="H166" s="111"/>
      <c r="I166" s="111"/>
      <c r="J166" s="67" t="s">
        <v>19</v>
      </c>
      <c r="K166" s="111"/>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c r="F167" s="61"/>
      <c r="G167" s="61"/>
      <c r="H167" s="111"/>
      <c r="I167" s="111"/>
      <c r="J167" s="67" t="s">
        <v>20</v>
      </c>
      <c r="K167" s="11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t="s">
        <v>85</v>
      </c>
      <c r="F168" s="61"/>
      <c r="G168" s="61"/>
      <c r="H168" s="111"/>
      <c r="I168" s="109"/>
      <c r="J168" s="67" t="s">
        <v>21</v>
      </c>
      <c r="K168" s="109"/>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108" t="s">
        <v>96</v>
      </c>
      <c r="F169" s="61"/>
      <c r="G169" s="61"/>
      <c r="H169" s="111"/>
      <c r="I169" s="109"/>
      <c r="J169" s="67" t="s">
        <v>22</v>
      </c>
      <c r="K169" s="109"/>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113" t="s">
        <v>87</v>
      </c>
      <c r="F170" s="61"/>
      <c r="G170" s="61"/>
      <c r="H170" s="67"/>
      <c r="I170" s="109"/>
      <c r="J170" s="67" t="s">
        <v>23</v>
      </c>
      <c r="K170" s="109"/>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c r="F171" s="61"/>
      <c r="G171" s="61"/>
      <c r="H171" s="67"/>
      <c r="I171" s="109"/>
      <c r="J171" s="67" t="s">
        <v>24</v>
      </c>
      <c r="K171" s="109"/>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203</v>
      </c>
      <c r="F172" s="61"/>
      <c r="G172" s="61"/>
      <c r="H172" s="61"/>
      <c r="I172" s="109"/>
      <c r="J172" s="67" t="s">
        <v>25</v>
      </c>
      <c r="K172" s="109"/>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t="s">
        <v>202</v>
      </c>
      <c r="F173" s="61"/>
      <c r="G173" s="61"/>
      <c r="H173" s="61"/>
      <c r="I173" s="109"/>
      <c r="J173" s="67" t="s">
        <v>26</v>
      </c>
      <c r="K173" s="109"/>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204</v>
      </c>
      <c r="F174" s="61"/>
      <c r="G174" s="61"/>
      <c r="H174" s="61"/>
      <c r="I174" s="109"/>
      <c r="J174" s="67" t="s">
        <v>27</v>
      </c>
      <c r="K174" s="109"/>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179</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106</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74</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105</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106</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t="s">
        <v>74</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105</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75</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74</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77</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76</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80</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81</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87</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91</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90</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93</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95</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92</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c r="F202" s="61"/>
      <c r="G202" s="61"/>
      <c r="H202" s="61"/>
      <c r="I202" s="61"/>
      <c r="J202" s="116">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97</v>
      </c>
      <c r="F203" s="61"/>
      <c r="G203" s="61"/>
      <c r="H203" s="61"/>
      <c r="I203" s="61"/>
      <c r="J203" s="116">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1" t="s">
        <v>99</v>
      </c>
      <c r="F204" s="61"/>
      <c r="G204" s="61"/>
      <c r="H204" s="61"/>
      <c r="I204" s="61"/>
      <c r="J204" s="116">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c r="F205" s="61"/>
      <c r="G205" s="61"/>
      <c r="H205" s="61"/>
      <c r="I205" s="61"/>
      <c r="J205" s="116">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c r="F206" s="61"/>
      <c r="G206" s="61"/>
      <c r="H206" s="61"/>
      <c r="I206" s="61"/>
      <c r="J206" s="116">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7" t="s">
        <v>98</v>
      </c>
      <c r="F207" s="61"/>
      <c r="G207" s="61"/>
      <c r="H207" s="61"/>
      <c r="I207" s="61"/>
      <c r="J207" s="116">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t="s">
        <v>58</v>
      </c>
      <c r="F208" s="61"/>
      <c r="G208" s="61"/>
      <c r="H208" s="61"/>
      <c r="I208" s="61"/>
      <c r="J208" s="116">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108" t="s">
        <v>84</v>
      </c>
      <c r="F209" s="61"/>
      <c r="G209" s="61"/>
      <c r="H209" s="61"/>
      <c r="I209" s="61"/>
      <c r="J209" s="116">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c r="F210" s="61"/>
      <c r="G210" s="61"/>
      <c r="H210" s="61"/>
      <c r="I210" s="61"/>
      <c r="J210" s="116">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c r="F211" s="61"/>
      <c r="G211" s="61"/>
      <c r="H211" s="61"/>
      <c r="I211" s="61"/>
      <c r="J211" s="116">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t="s">
        <v>187</v>
      </c>
      <c r="F212" s="61"/>
      <c r="G212" s="61"/>
      <c r="H212" s="61"/>
      <c r="I212" s="61"/>
      <c r="J212" s="116">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t="s">
        <v>188</v>
      </c>
      <c r="F213" s="61"/>
      <c r="G213" s="61"/>
      <c r="H213" s="61"/>
      <c r="I213" s="61"/>
      <c r="J213" s="116">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189</v>
      </c>
      <c r="F214" s="61"/>
      <c r="G214" s="61"/>
      <c r="H214" s="61"/>
      <c r="I214" s="61"/>
      <c r="J214" s="116">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190</v>
      </c>
      <c r="F215" s="61"/>
      <c r="G215" s="61"/>
      <c r="H215" s="61"/>
      <c r="I215" s="61"/>
      <c r="J215" s="116">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116">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c r="F217" s="61"/>
      <c r="G217" s="61"/>
      <c r="H217" s="61"/>
      <c r="I217" s="61"/>
      <c r="J217" s="116">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t="s">
        <v>196</v>
      </c>
      <c r="F218" s="61"/>
      <c r="G218" s="61"/>
      <c r="H218" s="61"/>
      <c r="I218" s="61"/>
      <c r="J218" s="116">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t="s">
        <v>197</v>
      </c>
      <c r="F219" s="61"/>
      <c r="G219" s="61"/>
      <c r="H219" s="61"/>
      <c r="I219" s="61"/>
      <c r="J219" s="116">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198</v>
      </c>
      <c r="F220" s="61"/>
      <c r="G220" s="61"/>
      <c r="H220" s="61"/>
      <c r="I220" s="61"/>
      <c r="J220" s="116">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199</v>
      </c>
      <c r="F221" s="61"/>
      <c r="G221" s="61"/>
      <c r="H221" s="61"/>
      <c r="I221" s="61"/>
      <c r="J221" s="116">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200</v>
      </c>
      <c r="F222" s="61"/>
      <c r="G222" s="61"/>
      <c r="H222" s="61"/>
      <c r="I222" s="61"/>
      <c r="J222" s="116">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v>0</v>
      </c>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v>0.1</v>
      </c>
      <c r="F225" s="61"/>
      <c r="G225" s="61"/>
      <c r="H225" s="61"/>
      <c r="I225" s="61"/>
      <c r="J225" s="61" t="s">
        <v>310</v>
      </c>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0.2</v>
      </c>
      <c r="F226" s="61"/>
      <c r="G226" s="61"/>
      <c r="H226" s="61"/>
      <c r="I226" s="61"/>
      <c r="J226" s="61" t="s">
        <v>311</v>
      </c>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0.3</v>
      </c>
      <c r="F227" s="61"/>
      <c r="G227" s="61"/>
      <c r="H227" s="61"/>
      <c r="I227" s="61"/>
      <c r="J227" s="61" t="s">
        <v>312</v>
      </c>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0.4</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0.5</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0.6</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0.7</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0.8</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0.9</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1</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row>
    <row r="1244" spans="1:50">
      <c r="A1244" s="1"/>
      <c r="E1244" s="1"/>
      <c r="G1244" s="33"/>
      <c r="H1244" s="33"/>
    </row>
    <row r="1245" spans="1:50">
      <c r="A1245" s="1"/>
      <c r="E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sheetData>
  <phoneticPr fontId="4" type="noConversion"/>
  <dataValidations count="11">
    <dataValidation type="list" allowBlank="1" showInputMessage="1" showErrorMessage="1" sqref="D26">
      <formula1>"No Carbon Price, Price Based On State Carbon Intensity, Price Based On NG Offset"</formula1>
    </dataValidation>
    <dataValidation type="list" allowBlank="1" showInputMessage="1" showErrorMessage="1" sqref="D22 D19 D16">
      <formula1>$J$225:$J$227</formula1>
    </dataValidation>
    <dataValidation type="list" allowBlank="1" showInputMessage="1" showErrorMessage="1" sqref="D21 D18 D24">
      <formula1>"NEMS, Navigant, RW Beck, User Fit"</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$J$204:$J$222</formula1>
    </dataValidation>
    <dataValidation type="list" allowBlank="1" showInputMessage="1" showErrorMessage="1" sqref="D15">
      <formula1>$E$218:$E$222</formula1>
    </dataValidation>
    <dataValidation type="list" allowBlank="1" showInputMessage="1" showErrorMessage="1" sqref="D25">
      <formula1>$E$155:$E$158</formula1>
    </dataValidation>
    <dataValidation type="whole" showInputMessage="1" showErrorMessage="1" sqref="D28">
      <formula1>-10000000000</formula1>
      <formula2>10000000000</formula2>
    </dataValidation>
    <dataValidation type="list" allowBlank="1" showInputMessage="1" showErrorMessage="1" sqref="D27">
      <formula1>$E$212:$E$215</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6"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DQ799"/>
  <sheetViews>
    <sheetView topLeftCell="A4" zoomScale="70" zoomScaleNormal="70" zoomScalePageLayoutView="70" workbookViewId="0">
      <selection activeCell="Q10" sqref="Q10"/>
    </sheetView>
  </sheetViews>
  <sheetFormatPr baseColWidth="10" defaultColWidth="9.1640625" defaultRowHeight="14" x14ac:dyDescent="0"/>
  <cols>
    <col min="1" max="1" width="4.83203125" style="91" customWidth="1"/>
    <col min="2" max="2" width="23.5" style="91" customWidth="1"/>
    <col min="3" max="3" width="33.1640625" style="91" customWidth="1"/>
    <col min="4" max="4" width="9.1640625" style="91" bestFit="1" customWidth="1"/>
    <col min="5" max="6" width="7.5" style="91" customWidth="1"/>
    <col min="7" max="7" width="6.6640625" style="91" customWidth="1"/>
    <col min="8" max="8" width="23.6640625" style="91" customWidth="1"/>
    <col min="9" max="9" width="21" style="91" customWidth="1"/>
    <col min="10" max="10" width="8.5" style="91" customWidth="1"/>
    <col min="11" max="11" width="6.5" style="91" bestFit="1" customWidth="1"/>
    <col min="12" max="12" width="6.5" style="91" customWidth="1"/>
    <col min="13" max="13" width="6.83203125" style="91" customWidth="1"/>
    <col min="14" max="18" width="6.5" style="91" customWidth="1"/>
    <col min="19" max="19" width="6.6640625" style="91" customWidth="1"/>
    <col min="20" max="20" width="7" style="91" customWidth="1"/>
    <col min="21" max="21" width="6.5" style="91" customWidth="1"/>
    <col min="22" max="23" width="6.6640625" style="91" customWidth="1"/>
    <col min="24" max="24" width="21.1640625" style="91" customWidth="1"/>
    <col min="25" max="25" width="33.5" style="91" customWidth="1"/>
    <col min="26" max="26" width="6.5" style="91" customWidth="1"/>
    <col min="27" max="27" width="7.33203125" style="91" bestFit="1" customWidth="1"/>
    <col min="28" max="28" width="10.83203125" style="91" bestFit="1" customWidth="1"/>
    <col min="29" max="33" width="6.6640625" style="91" customWidth="1"/>
    <col min="34" max="44" width="9.5" style="9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378"/>
      <c r="X1" s="530"/>
      <c r="Y1" s="530"/>
      <c r="Z1" s="530"/>
      <c r="AA1" s="530"/>
      <c r="AB1" s="530"/>
      <c r="AC1" s="530"/>
      <c r="AD1" s="530"/>
      <c r="AE1" s="530"/>
      <c r="AF1" s="530"/>
      <c r="AG1" s="530"/>
      <c r="AH1" s="530"/>
      <c r="AI1" s="530"/>
      <c r="AJ1" s="202"/>
      <c r="AK1" s="202"/>
      <c r="AL1" s="202"/>
      <c r="AM1" s="202"/>
      <c r="AN1" s="202"/>
      <c r="AO1" s="202"/>
      <c r="AP1" s="202"/>
      <c r="AQ1" s="202"/>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c r="A2" s="88"/>
      <c r="B2" s="88"/>
      <c r="C2" s="371" t="s">
        <v>109</v>
      </c>
      <c r="D2" s="89"/>
      <c r="E2" s="88"/>
      <c r="F2" s="88"/>
      <c r="G2" s="88"/>
      <c r="H2" s="88"/>
      <c r="I2" s="88"/>
      <c r="J2" s="88"/>
      <c r="K2" s="88"/>
      <c r="L2" s="88"/>
      <c r="M2" s="88"/>
      <c r="N2" s="88"/>
      <c r="O2" s="88"/>
      <c r="P2" s="88"/>
      <c r="Q2" s="88"/>
      <c r="R2" s="88"/>
      <c r="S2" s="88"/>
      <c r="T2" s="88"/>
      <c r="U2" s="88"/>
      <c r="V2" s="88"/>
      <c r="W2" s="530"/>
      <c r="X2" s="530"/>
      <c r="Y2" s="555"/>
      <c r="Z2" s="555"/>
      <c r="AA2" s="555"/>
      <c r="AB2" s="555"/>
      <c r="AC2" s="555"/>
      <c r="AD2" s="555"/>
      <c r="AE2" s="555"/>
      <c r="AF2" s="555"/>
      <c r="AG2" s="555"/>
      <c r="AH2" s="555"/>
      <c r="AI2" s="555"/>
      <c r="AJ2" s="555"/>
      <c r="AK2" s="555"/>
      <c r="AL2" s="555"/>
      <c r="AM2" s="555"/>
      <c r="AN2" s="555"/>
      <c r="AO2" s="555"/>
      <c r="AP2" s="202"/>
      <c r="AQ2" s="202"/>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c r="A3" s="88"/>
      <c r="B3" s="88"/>
      <c r="C3" s="88"/>
      <c r="D3" s="88"/>
      <c r="E3" s="88"/>
      <c r="F3" s="88"/>
      <c r="G3" s="88"/>
      <c r="H3" s="88"/>
      <c r="I3" s="88"/>
      <c r="J3" s="88"/>
      <c r="K3" s="88"/>
      <c r="L3" s="88"/>
      <c r="M3" s="88"/>
      <c r="N3" s="88"/>
      <c r="O3" s="88"/>
      <c r="P3" s="88"/>
      <c r="Q3" s="88"/>
      <c r="R3" s="88"/>
      <c r="S3" s="88"/>
      <c r="T3" s="88"/>
      <c r="U3" s="88"/>
      <c r="V3" s="88"/>
      <c r="W3" s="530"/>
      <c r="X3" s="530"/>
      <c r="Y3" s="555"/>
      <c r="Z3" s="555"/>
      <c r="AA3" s="555"/>
      <c r="AB3" s="555"/>
      <c r="AC3" s="555"/>
      <c r="AD3" s="555"/>
      <c r="AE3" s="555"/>
      <c r="AF3" s="555"/>
      <c r="AG3" s="555"/>
      <c r="AH3" s="555"/>
      <c r="AI3" s="555"/>
      <c r="AJ3" s="555"/>
      <c r="AK3" s="555"/>
      <c r="AL3" s="555"/>
      <c r="AM3" s="555"/>
      <c r="AN3" s="555"/>
      <c r="AO3" s="555"/>
      <c r="AP3" s="202"/>
      <c r="AQ3" s="202"/>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c r="A4" s="88"/>
      <c r="B4" s="254"/>
      <c r="C4" s="408"/>
      <c r="D4" s="409"/>
      <c r="E4" s="409"/>
      <c r="F4" s="410"/>
      <c r="G4" s="411" t="s">
        <v>296</v>
      </c>
      <c r="H4" s="410"/>
      <c r="I4" s="409"/>
      <c r="J4" s="412"/>
      <c r="K4" s="88"/>
      <c r="L4" s="88"/>
      <c r="M4" s="88"/>
      <c r="N4" s="88"/>
      <c r="O4" s="88"/>
      <c r="P4" s="88"/>
      <c r="Q4" s="88"/>
      <c r="R4" s="88"/>
      <c r="S4" s="88"/>
      <c r="T4" s="88"/>
      <c r="U4" s="88"/>
      <c r="V4" s="88"/>
      <c r="W4" s="530"/>
      <c r="X4" s="530"/>
      <c r="Y4" s="555"/>
      <c r="Z4" s="555"/>
      <c r="AA4" s="555"/>
      <c r="AB4" s="555"/>
      <c r="AC4" s="555"/>
      <c r="AD4" s="555"/>
      <c r="AE4" s="555"/>
      <c r="AF4" s="555"/>
      <c r="AG4" s="555"/>
      <c r="AH4" s="555"/>
      <c r="AI4" s="555"/>
      <c r="AJ4" s="555"/>
      <c r="AK4" s="555"/>
      <c r="AL4" s="555"/>
      <c r="AM4" s="555"/>
      <c r="AN4" s="555"/>
      <c r="AO4" s="555"/>
      <c r="AP4" s="202"/>
      <c r="AQ4" s="202"/>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c r="A5" s="88"/>
      <c r="B5" s="254"/>
      <c r="C5" s="423" t="s">
        <v>160</v>
      </c>
      <c r="D5" s="421">
        <v>0.03</v>
      </c>
      <c r="E5" s="413" t="s">
        <v>161</v>
      </c>
      <c r="F5" s="414"/>
      <c r="G5" s="415" t="s">
        <v>293</v>
      </c>
      <c r="H5" s="414"/>
      <c r="I5" s="420" t="s">
        <v>297</v>
      </c>
      <c r="J5" s="416"/>
      <c r="K5" s="88"/>
      <c r="L5" s="88"/>
      <c r="M5" s="88"/>
      <c r="N5" s="88"/>
      <c r="O5" s="88"/>
      <c r="P5" s="88"/>
      <c r="Q5" s="88"/>
      <c r="R5" s="88"/>
      <c r="S5" s="88"/>
      <c r="T5" s="88"/>
      <c r="U5" s="88"/>
      <c r="V5" s="88"/>
      <c r="W5" s="530"/>
      <c r="X5" s="530"/>
      <c r="Y5" s="555"/>
      <c r="Z5" s="555"/>
      <c r="AA5" s="555"/>
      <c r="AB5" s="555"/>
      <c r="AC5" s="555"/>
      <c r="AD5" s="555"/>
      <c r="AE5" s="555"/>
      <c r="AF5" s="555"/>
      <c r="AG5" s="555"/>
      <c r="AH5" s="555"/>
      <c r="AI5" s="555"/>
      <c r="AJ5" s="555"/>
      <c r="AK5" s="555"/>
      <c r="AL5" s="555"/>
      <c r="AM5" s="555"/>
      <c r="AN5" s="555"/>
      <c r="AO5" s="555"/>
      <c r="AP5" s="202"/>
      <c r="AQ5" s="202"/>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c r="A6" s="88"/>
      <c r="B6" s="422"/>
      <c r="C6" s="424"/>
      <c r="D6" s="421">
        <v>1.2999999999999999E-2</v>
      </c>
      <c r="E6" s="413" t="s">
        <v>161</v>
      </c>
      <c r="F6" s="414"/>
      <c r="G6" s="415" t="s">
        <v>294</v>
      </c>
      <c r="H6" s="417"/>
      <c r="I6" s="426" t="s">
        <v>359</v>
      </c>
      <c r="J6" s="416"/>
      <c r="K6" s="88"/>
      <c r="L6" s="88"/>
      <c r="M6" s="88"/>
      <c r="N6" s="88"/>
      <c r="O6" s="88"/>
      <c r="P6" s="88"/>
      <c r="Q6" s="88"/>
      <c r="R6" s="88"/>
      <c r="S6" s="88"/>
      <c r="T6" s="88"/>
      <c r="U6" s="88"/>
      <c r="V6" s="88"/>
      <c r="W6" s="530"/>
      <c r="X6" s="530"/>
      <c r="Y6" s="555"/>
      <c r="Z6" s="555"/>
      <c r="AA6" s="555"/>
      <c r="AB6" s="555"/>
      <c r="AC6" s="555"/>
      <c r="AD6" s="555"/>
      <c r="AE6" s="555"/>
      <c r="AF6" s="555"/>
      <c r="AG6" s="555"/>
      <c r="AH6" s="555"/>
      <c r="AI6" s="555"/>
      <c r="AJ6" s="555"/>
      <c r="AK6" s="555"/>
      <c r="AL6" s="555"/>
      <c r="AM6" s="555"/>
      <c r="AN6" s="555"/>
      <c r="AO6" s="555"/>
      <c r="AP6" s="202"/>
      <c r="AQ6" s="202"/>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c r="A7" s="88"/>
      <c r="B7" s="422"/>
      <c r="C7" s="424"/>
      <c r="D7" s="421">
        <v>7.0000000000000001E-3</v>
      </c>
      <c r="E7" s="413" t="s">
        <v>161</v>
      </c>
      <c r="F7" s="417"/>
      <c r="G7" s="415" t="s">
        <v>295</v>
      </c>
      <c r="H7" s="417"/>
      <c r="I7" s="254"/>
      <c r="J7" s="416"/>
      <c r="K7" s="88"/>
      <c r="L7" s="88"/>
      <c r="M7" s="88"/>
      <c r="N7" s="88"/>
      <c r="O7" s="88"/>
      <c r="P7" s="88"/>
      <c r="Q7" s="88"/>
      <c r="R7" s="88"/>
      <c r="S7" s="88"/>
      <c r="T7" s="88"/>
      <c r="U7" s="88"/>
      <c r="V7" s="88"/>
      <c r="W7" s="530"/>
      <c r="X7" s="530"/>
      <c r="Y7" s="530"/>
      <c r="Z7" s="530"/>
      <c r="AA7" s="530"/>
      <c r="AB7" s="530"/>
      <c r="AC7" s="530"/>
      <c r="AD7" s="530"/>
      <c r="AE7" s="530"/>
      <c r="AF7" s="530"/>
      <c r="AG7" s="396"/>
      <c r="AH7" s="530"/>
      <c r="AI7" s="530"/>
      <c r="AJ7" s="202"/>
      <c r="AK7" s="202"/>
      <c r="AL7" s="202"/>
      <c r="AM7" s="202"/>
      <c r="AN7" s="202"/>
      <c r="AO7" s="202"/>
      <c r="AP7" s="202"/>
      <c r="AQ7" s="202"/>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 thickBot="1">
      <c r="A8" s="100"/>
      <c r="B8" s="254"/>
      <c r="C8" s="425"/>
      <c r="D8" s="418"/>
      <c r="E8" s="418"/>
      <c r="F8" s="418"/>
      <c r="G8" s="418"/>
      <c r="H8" s="418"/>
      <c r="I8" s="418"/>
      <c r="J8" s="419"/>
      <c r="K8" s="88"/>
      <c r="L8" s="88"/>
      <c r="M8" s="88"/>
      <c r="N8" s="202"/>
      <c r="O8" s="202"/>
      <c r="P8" s="202"/>
      <c r="Q8" s="202"/>
      <c r="R8" s="202"/>
      <c r="S8" s="202"/>
      <c r="T8" s="202"/>
      <c r="U8" s="202"/>
      <c r="V8" s="202"/>
      <c r="W8" s="396"/>
      <c r="X8" s="88"/>
      <c r="Y8" s="88"/>
      <c r="Z8" s="88"/>
      <c r="AA8" s="88"/>
      <c r="AB8" s="88"/>
      <c r="AC8" s="88"/>
      <c r="AD8" s="88"/>
      <c r="AE8" s="88"/>
      <c r="AF8" s="88"/>
      <c r="AG8" s="396"/>
      <c r="AH8" s="88"/>
      <c r="AI8" s="88"/>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c r="A9" s="100"/>
      <c r="B9" s="88"/>
      <c r="C9" s="407"/>
      <c r="D9" s="88"/>
      <c r="E9" s="88"/>
      <c r="F9" s="88"/>
      <c r="G9" s="88"/>
      <c r="H9" s="88"/>
      <c r="I9" s="88"/>
      <c r="J9" s="88"/>
      <c r="K9" s="88"/>
      <c r="L9" s="88"/>
      <c r="M9" s="88"/>
      <c r="N9" s="88"/>
      <c r="O9" s="88"/>
      <c r="P9" s="88"/>
      <c r="Q9" s="88"/>
      <c r="R9" s="88"/>
      <c r="S9" s="88"/>
      <c r="T9" s="88"/>
      <c r="U9" s="88"/>
      <c r="V9" s="88"/>
      <c r="W9" s="396"/>
      <c r="X9" s="88"/>
      <c r="Y9" s="88"/>
      <c r="Z9" s="88"/>
      <c r="AA9" s="88"/>
      <c r="AB9" s="88"/>
      <c r="AC9" s="88"/>
      <c r="AD9" s="88"/>
      <c r="AE9" s="88"/>
      <c r="AF9" s="88"/>
      <c r="AG9" s="396"/>
      <c r="AH9" s="88"/>
      <c r="AI9" s="88"/>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ht="18.75" customHeight="1" thickBot="1">
      <c r="A10" s="100"/>
      <c r="B10" s="89"/>
      <c r="C10" s="88"/>
      <c r="D10" s="88"/>
      <c r="E10" s="88"/>
      <c r="F10" s="88"/>
      <c r="G10" s="88"/>
      <c r="H10" s="88"/>
      <c r="I10" s="88"/>
      <c r="J10" s="88"/>
      <c r="K10" s="88"/>
      <c r="L10" s="88"/>
      <c r="M10" s="88"/>
      <c r="N10" s="88"/>
      <c r="O10" s="88"/>
      <c r="P10" s="88"/>
      <c r="Q10" s="88"/>
      <c r="R10" s="88"/>
      <c r="S10" s="88"/>
      <c r="T10" s="88"/>
      <c r="U10" s="88"/>
      <c r="V10" s="88"/>
      <c r="W10" s="396"/>
      <c r="X10" s="88"/>
      <c r="Y10" s="88"/>
      <c r="Z10" s="88"/>
      <c r="AA10" s="88"/>
      <c r="AB10" s="88"/>
      <c r="AC10" s="88"/>
      <c r="AD10" s="88"/>
      <c r="AE10" s="88"/>
      <c r="AF10" s="88"/>
      <c r="AG10" s="396"/>
      <c r="AH10" s="88"/>
      <c r="AI10" s="89"/>
      <c r="AJ10" s="89"/>
      <c r="AK10" s="89"/>
      <c r="AL10" s="89"/>
      <c r="AM10" s="89"/>
      <c r="AN10" s="89"/>
      <c r="AO10" s="89"/>
      <c r="AP10" s="89"/>
      <c r="AQ10" s="89"/>
      <c r="AR10" s="90"/>
      <c r="AS10" s="90"/>
      <c r="AT10" s="94"/>
      <c r="AU10" s="94"/>
      <c r="AV10" s="94"/>
      <c r="AW10" s="94"/>
      <c r="AX10" s="94"/>
      <c r="AY10" s="94"/>
      <c r="AZ10" s="89"/>
      <c r="BA10" s="89"/>
      <c r="BB10" s="89"/>
      <c r="BC10" s="89"/>
      <c r="BD10" s="89"/>
      <c r="BE10" s="89"/>
      <c r="BF10" s="89"/>
      <c r="BG10" s="89"/>
      <c r="BH10" s="89"/>
      <c r="BI10" s="89"/>
    </row>
    <row r="11" spans="1:121" ht="18.75" customHeight="1">
      <c r="A11" s="100"/>
      <c r="B11" s="553"/>
      <c r="C11" s="554">
        <v>4468</v>
      </c>
      <c r="D11" s="265">
        <v>2014</v>
      </c>
      <c r="E11" s="266">
        <v>2016</v>
      </c>
      <c r="F11" s="266">
        <v>2018</v>
      </c>
      <c r="G11" s="266">
        <v>2020</v>
      </c>
      <c r="H11" s="266">
        <v>2022</v>
      </c>
      <c r="I11" s="266">
        <v>2024</v>
      </c>
      <c r="J11" s="266">
        <v>2026</v>
      </c>
      <c r="K11" s="266">
        <v>2028</v>
      </c>
      <c r="L11" s="266">
        <v>2030</v>
      </c>
      <c r="M11" s="266">
        <v>2032</v>
      </c>
      <c r="N11" s="266">
        <v>2034</v>
      </c>
      <c r="O11" s="266">
        <v>2036</v>
      </c>
      <c r="P11" s="266">
        <v>2038</v>
      </c>
      <c r="Q11" s="266">
        <v>2040</v>
      </c>
      <c r="R11" s="266">
        <v>2042</v>
      </c>
      <c r="S11" s="266">
        <v>2044</v>
      </c>
      <c r="T11" s="266">
        <v>2046</v>
      </c>
      <c r="U11" s="266">
        <v>2048</v>
      </c>
      <c r="V11" s="267">
        <v>2050</v>
      </c>
      <c r="W11" s="396"/>
      <c r="X11" s="254"/>
      <c r="Y11" s="554">
        <v>2612</v>
      </c>
      <c r="Z11" s="265">
        <v>2014</v>
      </c>
      <c r="AA11" s="266">
        <v>2016</v>
      </c>
      <c r="AB11" s="266">
        <v>2018</v>
      </c>
      <c r="AC11" s="266">
        <v>2020</v>
      </c>
      <c r="AD11" s="266">
        <v>2022</v>
      </c>
      <c r="AE11" s="266">
        <v>2024</v>
      </c>
      <c r="AF11" s="266">
        <v>2026</v>
      </c>
      <c r="AG11" s="266">
        <v>2028</v>
      </c>
      <c r="AH11" s="266">
        <v>2030</v>
      </c>
      <c r="AI11" s="266">
        <v>2032</v>
      </c>
      <c r="AJ11" s="266">
        <v>2034</v>
      </c>
      <c r="AK11" s="266">
        <v>2036</v>
      </c>
      <c r="AL11" s="266">
        <v>2038</v>
      </c>
      <c r="AM11" s="266">
        <v>2040</v>
      </c>
      <c r="AN11" s="266">
        <v>2042</v>
      </c>
      <c r="AO11" s="266">
        <v>2044</v>
      </c>
      <c r="AP11" s="266">
        <v>2046</v>
      </c>
      <c r="AQ11" s="266">
        <v>2048</v>
      </c>
      <c r="AR11" s="267">
        <v>2050</v>
      </c>
      <c r="AS11" s="89"/>
      <c r="AT11" s="94"/>
      <c r="AU11" s="94"/>
      <c r="AV11" s="94"/>
      <c r="AW11" s="94"/>
      <c r="AX11" s="94"/>
      <c r="AY11" s="94"/>
      <c r="AZ11" s="89"/>
      <c r="BA11" s="89"/>
      <c r="BB11" s="89"/>
      <c r="BC11" s="89"/>
      <c r="BD11" s="89"/>
      <c r="BE11" s="89"/>
      <c r="BF11" s="89"/>
    </row>
    <row r="12" spans="1:121" ht="19.5" customHeight="1">
      <c r="A12" s="100"/>
      <c r="B12" s="255"/>
      <c r="C12" s="256" t="s">
        <v>110</v>
      </c>
      <c r="D12" s="268">
        <v>10072</v>
      </c>
      <c r="E12" s="257">
        <f>MAX(D12*(1-$D$5)^2,$C11)</f>
        <v>9476.7448000000004</v>
      </c>
      <c r="F12" s="257">
        <f t="shared" ref="F12:I12" si="0">MAX(E12*(1-$D$5)^2,$C11)</f>
        <v>8916.6691823199999</v>
      </c>
      <c r="G12" s="257">
        <f t="shared" si="0"/>
        <v>8389.6940336448879</v>
      </c>
      <c r="H12" s="257">
        <f t="shared" si="0"/>
        <v>7893.8631162564743</v>
      </c>
      <c r="I12" s="257">
        <f t="shared" si="0"/>
        <v>7427.3358060857163</v>
      </c>
      <c r="J12" s="257">
        <f t="shared" ref="J12" si="1">MAX(I12*(1-$D$5)^2,$C11)</f>
        <v>6988.3802599460505</v>
      </c>
      <c r="K12" s="257">
        <f t="shared" ref="K12" si="2">MAX(J12*(1-$D$5)^2,$C11)</f>
        <v>6575.3669865832389</v>
      </c>
      <c r="L12" s="257">
        <f t="shared" ref="L12:M12" si="3">MAX(K12*(1-$D$5)^2,$C11)</f>
        <v>6186.7627976761696</v>
      </c>
      <c r="M12" s="257">
        <f t="shared" si="3"/>
        <v>5821.1251163335073</v>
      </c>
      <c r="N12" s="257">
        <f t="shared" ref="N12" si="4">MAX(M12*(1-$D$5)^2,$C11)</f>
        <v>5477.0966219581969</v>
      </c>
      <c r="O12" s="257">
        <f t="shared" ref="O12" si="5">MAX(N12*(1-$D$5)^2,$C11)</f>
        <v>5153.4002116004676</v>
      </c>
      <c r="P12" s="257">
        <f t="shared" ref="P12:Q12" si="6">MAX(O12*(1-$D$5)^2,$C11)</f>
        <v>4848.8342590948796</v>
      </c>
      <c r="Q12" s="257">
        <f t="shared" si="6"/>
        <v>4562.2681543823719</v>
      </c>
      <c r="R12" s="257">
        <f t="shared" ref="R12" si="7">MAX(Q12*(1-$D$5)^2,$C11)</f>
        <v>4468</v>
      </c>
      <c r="S12" s="257">
        <f t="shared" ref="S12" si="8">MAX(R12*(1-$D$5)^2,$C11)</f>
        <v>4468</v>
      </c>
      <c r="T12" s="257">
        <f t="shared" ref="T12:U12" si="9">MAX(S12*(1-$D$5)^2,$C11)</f>
        <v>4468</v>
      </c>
      <c r="U12" s="257">
        <f t="shared" si="9"/>
        <v>4468</v>
      </c>
      <c r="V12" s="257">
        <f t="shared" ref="V12" si="10">MAX(U12*(1-$D$5)^2,$C11)</f>
        <v>4468</v>
      </c>
      <c r="W12" s="253"/>
      <c r="X12" s="255"/>
      <c r="Y12" s="256" t="s">
        <v>110</v>
      </c>
      <c r="Z12" s="268">
        <v>4449</v>
      </c>
      <c r="AA12" s="257">
        <f>MAX(Z12*(1-$D$6)^2,$Y11)</f>
        <v>4334.0778810000002</v>
      </c>
      <c r="AB12" s="257">
        <f>MAX(AA12*(1-$D$6)^2,$Y11)</f>
        <v>4222.1243152558891</v>
      </c>
      <c r="AC12" s="257">
        <f t="shared" ref="AC12:AR12" si="11">MAX(AB12*(1-$D$6)^2,$Y11)</f>
        <v>4113.0626220685144</v>
      </c>
      <c r="AD12" s="257">
        <f t="shared" si="11"/>
        <v>4006.8181014778625</v>
      </c>
      <c r="AE12" s="257">
        <f t="shared" si="11"/>
        <v>3903.3179830985878</v>
      </c>
      <c r="AF12" s="257">
        <f t="shared" si="11"/>
        <v>3802.491376277168</v>
      </c>
      <c r="AG12" s="257">
        <f t="shared" si="11"/>
        <v>3704.2692215365523</v>
      </c>
      <c r="AH12" s="257">
        <f t="shared" si="11"/>
        <v>3608.5842432750414</v>
      </c>
      <c r="AI12" s="257">
        <f t="shared" si="11"/>
        <v>3515.3709036870036</v>
      </c>
      <c r="AJ12" s="257">
        <f t="shared" si="11"/>
        <v>3424.5653578738643</v>
      </c>
      <c r="AK12" s="257">
        <f t="shared" si="11"/>
        <v>3336.1054101146242</v>
      </c>
      <c r="AL12" s="257">
        <f t="shared" si="11"/>
        <v>3249.9304712659532</v>
      </c>
      <c r="AM12" s="257">
        <f t="shared" si="11"/>
        <v>3165.9815172626822</v>
      </c>
      <c r="AN12" s="257">
        <f t="shared" si="11"/>
        <v>3084.2010486902695</v>
      </c>
      <c r="AO12" s="257">
        <f t="shared" si="11"/>
        <v>3004.5330514015509</v>
      </c>
      <c r="AP12" s="257">
        <f t="shared" si="11"/>
        <v>2926.9229581507975</v>
      </c>
      <c r="AQ12" s="257">
        <f t="shared" si="11"/>
        <v>2851.3176112188039</v>
      </c>
      <c r="AR12" s="257">
        <f t="shared" si="11"/>
        <v>2777.6652260034107</v>
      </c>
      <c r="AS12" s="89"/>
      <c r="AT12" s="94"/>
      <c r="AU12" s="94"/>
      <c r="AV12" s="94"/>
      <c r="AW12" s="94"/>
      <c r="AX12" s="94"/>
      <c r="AY12" s="94"/>
      <c r="AZ12" s="89"/>
      <c r="BA12" s="89"/>
      <c r="BB12" s="89"/>
      <c r="BC12" s="89"/>
      <c r="BD12" s="89"/>
      <c r="BE12" s="89"/>
      <c r="BF12" s="89"/>
    </row>
    <row r="13" spans="1:121" ht="20.25" customHeight="1">
      <c r="A13" s="100"/>
      <c r="B13" s="209" t="s">
        <v>173</v>
      </c>
      <c r="C13" s="258" t="s">
        <v>112</v>
      </c>
      <c r="D13" s="270">
        <v>0</v>
      </c>
      <c r="E13" s="257">
        <v>0</v>
      </c>
      <c r="F13" s="257">
        <v>0</v>
      </c>
      <c r="G13" s="257">
        <v>0</v>
      </c>
      <c r="H13" s="257">
        <v>0</v>
      </c>
      <c r="I13" s="257">
        <v>0</v>
      </c>
      <c r="J13" s="257">
        <v>0</v>
      </c>
      <c r="K13" s="257">
        <v>0</v>
      </c>
      <c r="L13" s="257">
        <v>0</v>
      </c>
      <c r="M13" s="257">
        <v>0</v>
      </c>
      <c r="N13" s="257">
        <v>0</v>
      </c>
      <c r="O13" s="257">
        <v>0</v>
      </c>
      <c r="P13" s="257">
        <v>0</v>
      </c>
      <c r="Q13" s="257">
        <v>0</v>
      </c>
      <c r="R13" s="257">
        <v>0</v>
      </c>
      <c r="S13" s="257">
        <v>0</v>
      </c>
      <c r="T13" s="257">
        <v>0</v>
      </c>
      <c r="U13" s="257">
        <v>0</v>
      </c>
      <c r="V13" s="269">
        <v>0</v>
      </c>
      <c r="W13" s="88"/>
      <c r="X13" s="209" t="s">
        <v>174</v>
      </c>
      <c r="Y13" s="258" t="s">
        <v>112</v>
      </c>
      <c r="Z13" s="270">
        <v>0</v>
      </c>
      <c r="AA13" s="257">
        <v>0</v>
      </c>
      <c r="AB13" s="257">
        <v>0</v>
      </c>
      <c r="AC13" s="257">
        <v>0</v>
      </c>
      <c r="AD13" s="257">
        <v>0</v>
      </c>
      <c r="AE13" s="257">
        <v>0</v>
      </c>
      <c r="AF13" s="257">
        <v>0</v>
      </c>
      <c r="AG13" s="257">
        <v>0</v>
      </c>
      <c r="AH13" s="257">
        <v>0</v>
      </c>
      <c r="AI13" s="257">
        <v>0</v>
      </c>
      <c r="AJ13" s="257">
        <v>0</v>
      </c>
      <c r="AK13" s="257">
        <v>0</v>
      </c>
      <c r="AL13" s="257">
        <v>0</v>
      </c>
      <c r="AM13" s="257">
        <v>0</v>
      </c>
      <c r="AN13" s="257">
        <v>0</v>
      </c>
      <c r="AO13" s="257">
        <v>0</v>
      </c>
      <c r="AP13" s="257">
        <v>0</v>
      </c>
      <c r="AQ13" s="257">
        <v>0</v>
      </c>
      <c r="AR13" s="257">
        <v>0</v>
      </c>
      <c r="AS13" s="89"/>
      <c r="AT13" s="94"/>
      <c r="AU13" s="94"/>
      <c r="AV13" s="94"/>
      <c r="AW13" s="94"/>
      <c r="AX13" s="94"/>
      <c r="AY13" s="94"/>
      <c r="AZ13" s="89"/>
      <c r="BA13" s="89"/>
      <c r="BB13" s="89"/>
      <c r="BC13" s="89"/>
      <c r="BD13" s="89"/>
      <c r="BE13" s="89"/>
      <c r="BF13" s="89"/>
    </row>
    <row r="14" spans="1:121" ht="20.25" customHeight="1">
      <c r="A14" s="100"/>
      <c r="B14" s="259" t="s">
        <v>157</v>
      </c>
      <c r="C14" s="258" t="s">
        <v>162</v>
      </c>
      <c r="D14" s="271">
        <v>5.0000000000000001E-3</v>
      </c>
      <c r="E14" s="260">
        <v>5.0000000000000001E-3</v>
      </c>
      <c r="F14" s="260">
        <v>5.0000000000000001E-3</v>
      </c>
      <c r="G14" s="260">
        <v>5.0000000000000001E-3</v>
      </c>
      <c r="H14" s="260">
        <v>5.0000000000000001E-3</v>
      </c>
      <c r="I14" s="260">
        <v>5.0000000000000001E-3</v>
      </c>
      <c r="J14" s="260">
        <v>5.0000000000000001E-3</v>
      </c>
      <c r="K14" s="260">
        <v>5.0000000000000001E-3</v>
      </c>
      <c r="L14" s="260">
        <v>5.0000000000000001E-3</v>
      </c>
      <c r="M14" s="260">
        <v>5.0000000000000001E-3</v>
      </c>
      <c r="N14" s="260">
        <v>5.0000000000000001E-3</v>
      </c>
      <c r="O14" s="260">
        <v>5.0000000000000001E-3</v>
      </c>
      <c r="P14" s="260">
        <v>5.0000000000000001E-3</v>
      </c>
      <c r="Q14" s="260">
        <v>5.0000000000000001E-3</v>
      </c>
      <c r="R14" s="260">
        <v>5.0000000000000001E-3</v>
      </c>
      <c r="S14" s="260">
        <v>5.0000000000000001E-3</v>
      </c>
      <c r="T14" s="260">
        <v>5.0000000000000001E-3</v>
      </c>
      <c r="U14" s="260">
        <v>5.0000000000000001E-3</v>
      </c>
      <c r="V14" s="260">
        <v>5.0000000000000001E-3</v>
      </c>
      <c r="W14" s="88"/>
      <c r="X14" s="259" t="s">
        <v>157</v>
      </c>
      <c r="Y14" s="258" t="s">
        <v>162</v>
      </c>
      <c r="Z14" s="271">
        <v>5.0000000000000001E-3</v>
      </c>
      <c r="AA14" s="260">
        <v>5.0000000000000001E-3</v>
      </c>
      <c r="AB14" s="260">
        <v>5.0000000000000001E-3</v>
      </c>
      <c r="AC14" s="260">
        <v>5.0000000000000001E-3</v>
      </c>
      <c r="AD14" s="260">
        <v>5.0000000000000001E-3</v>
      </c>
      <c r="AE14" s="260">
        <v>5.0000000000000001E-3</v>
      </c>
      <c r="AF14" s="260">
        <v>5.0000000000000001E-3</v>
      </c>
      <c r="AG14" s="260">
        <v>5.0000000000000001E-3</v>
      </c>
      <c r="AH14" s="260">
        <v>5.0000000000000001E-3</v>
      </c>
      <c r="AI14" s="260">
        <v>5.0000000000000001E-3</v>
      </c>
      <c r="AJ14" s="260">
        <v>5.0000000000000001E-3</v>
      </c>
      <c r="AK14" s="260">
        <v>5.0000000000000001E-3</v>
      </c>
      <c r="AL14" s="260">
        <v>5.0000000000000001E-3</v>
      </c>
      <c r="AM14" s="260">
        <v>5.0000000000000001E-3</v>
      </c>
      <c r="AN14" s="260">
        <v>5.0000000000000001E-3</v>
      </c>
      <c r="AO14" s="260">
        <v>5.0000000000000001E-3</v>
      </c>
      <c r="AP14" s="260">
        <v>5.0000000000000001E-3</v>
      </c>
      <c r="AQ14" s="260">
        <v>5.0000000000000001E-3</v>
      </c>
      <c r="AR14" s="260">
        <v>5.0000000000000001E-3</v>
      </c>
      <c r="AS14" s="89"/>
      <c r="AT14" s="94"/>
      <c r="AU14" s="94"/>
      <c r="AV14" s="94"/>
      <c r="AW14" s="94"/>
      <c r="AX14" s="94"/>
      <c r="AY14" s="94"/>
      <c r="AZ14" s="89"/>
      <c r="BA14" s="89"/>
      <c r="BB14" s="89"/>
      <c r="BC14" s="89"/>
      <c r="BD14" s="89"/>
      <c r="BE14" s="89"/>
      <c r="BF14" s="89"/>
    </row>
    <row r="15" spans="1:121" ht="14.25" customHeight="1">
      <c r="A15" s="100"/>
      <c r="B15" s="261"/>
      <c r="C15" s="258" t="s">
        <v>111</v>
      </c>
      <c r="D15" s="272">
        <v>30</v>
      </c>
      <c r="E15" s="117">
        <f>D15</f>
        <v>30</v>
      </c>
      <c r="F15" s="117">
        <f t="shared" ref="F15:V15" si="12">E15</f>
        <v>30</v>
      </c>
      <c r="G15" s="117">
        <f t="shared" si="12"/>
        <v>30</v>
      </c>
      <c r="H15" s="117">
        <f t="shared" si="12"/>
        <v>30</v>
      </c>
      <c r="I15" s="117">
        <f t="shared" si="12"/>
        <v>30</v>
      </c>
      <c r="J15" s="117">
        <f t="shared" si="12"/>
        <v>30</v>
      </c>
      <c r="K15" s="117">
        <f t="shared" si="12"/>
        <v>30</v>
      </c>
      <c r="L15" s="117">
        <f t="shared" si="12"/>
        <v>30</v>
      </c>
      <c r="M15" s="117">
        <f t="shared" si="12"/>
        <v>30</v>
      </c>
      <c r="N15" s="117">
        <f t="shared" si="12"/>
        <v>30</v>
      </c>
      <c r="O15" s="117">
        <f t="shared" si="12"/>
        <v>30</v>
      </c>
      <c r="P15" s="117">
        <f t="shared" si="12"/>
        <v>30</v>
      </c>
      <c r="Q15" s="117">
        <f t="shared" si="12"/>
        <v>30</v>
      </c>
      <c r="R15" s="117">
        <f t="shared" si="12"/>
        <v>30</v>
      </c>
      <c r="S15" s="117">
        <f t="shared" si="12"/>
        <v>30</v>
      </c>
      <c r="T15" s="117">
        <f t="shared" si="12"/>
        <v>30</v>
      </c>
      <c r="U15" s="117">
        <f t="shared" si="12"/>
        <v>30</v>
      </c>
      <c r="V15" s="117">
        <f t="shared" si="12"/>
        <v>30</v>
      </c>
      <c r="W15" s="88"/>
      <c r="X15" s="261"/>
      <c r="Y15" s="258" t="s">
        <v>111</v>
      </c>
      <c r="Z15" s="272">
        <v>50</v>
      </c>
      <c r="AA15" s="117">
        <f>Z15</f>
        <v>50</v>
      </c>
      <c r="AB15" s="117">
        <f t="shared" ref="AB15:AR15" si="13">AA15</f>
        <v>50</v>
      </c>
      <c r="AC15" s="117">
        <f t="shared" si="13"/>
        <v>50</v>
      </c>
      <c r="AD15" s="117">
        <f t="shared" si="13"/>
        <v>50</v>
      </c>
      <c r="AE15" s="117">
        <f t="shared" si="13"/>
        <v>50</v>
      </c>
      <c r="AF15" s="117">
        <f t="shared" si="13"/>
        <v>50</v>
      </c>
      <c r="AG15" s="117">
        <f t="shared" si="13"/>
        <v>50</v>
      </c>
      <c r="AH15" s="117">
        <f t="shared" si="13"/>
        <v>50</v>
      </c>
      <c r="AI15" s="117">
        <f t="shared" si="13"/>
        <v>50</v>
      </c>
      <c r="AJ15" s="117">
        <f t="shared" si="13"/>
        <v>50</v>
      </c>
      <c r="AK15" s="117">
        <f t="shared" si="13"/>
        <v>50</v>
      </c>
      <c r="AL15" s="117">
        <f t="shared" si="13"/>
        <v>50</v>
      </c>
      <c r="AM15" s="117">
        <f t="shared" si="13"/>
        <v>50</v>
      </c>
      <c r="AN15" s="117">
        <f t="shared" si="13"/>
        <v>50</v>
      </c>
      <c r="AO15" s="117">
        <f t="shared" si="13"/>
        <v>50</v>
      </c>
      <c r="AP15" s="117">
        <f t="shared" si="13"/>
        <v>50</v>
      </c>
      <c r="AQ15" s="117">
        <f t="shared" si="13"/>
        <v>50</v>
      </c>
      <c r="AR15" s="117">
        <f t="shared" si="13"/>
        <v>50</v>
      </c>
      <c r="AS15" s="90"/>
      <c r="AT15" s="94"/>
      <c r="AU15" s="94"/>
      <c r="AV15" s="94"/>
      <c r="AW15" s="94"/>
      <c r="AX15" s="94"/>
      <c r="AY15" s="94"/>
      <c r="AZ15" s="89"/>
      <c r="BA15" s="89"/>
      <c r="BB15" s="89"/>
      <c r="BC15" s="89"/>
      <c r="BD15" s="89"/>
      <c r="BE15" s="89"/>
      <c r="BF15" s="89"/>
    </row>
    <row r="16" spans="1:121" ht="18.75" customHeight="1" thickBot="1">
      <c r="A16" s="88"/>
      <c r="B16" s="129"/>
      <c r="C16" s="262" t="s">
        <v>194</v>
      </c>
      <c r="D16" s="273">
        <v>216</v>
      </c>
      <c r="E16" s="334">
        <f>D16</f>
        <v>216</v>
      </c>
      <c r="F16" s="334">
        <f t="shared" ref="F16:V16" si="14">E16</f>
        <v>216</v>
      </c>
      <c r="G16" s="334">
        <f t="shared" si="14"/>
        <v>216</v>
      </c>
      <c r="H16" s="334">
        <f t="shared" si="14"/>
        <v>216</v>
      </c>
      <c r="I16" s="334">
        <f t="shared" si="14"/>
        <v>216</v>
      </c>
      <c r="J16" s="334">
        <f t="shared" si="14"/>
        <v>216</v>
      </c>
      <c r="K16" s="334">
        <f t="shared" si="14"/>
        <v>216</v>
      </c>
      <c r="L16" s="334">
        <f t="shared" si="14"/>
        <v>216</v>
      </c>
      <c r="M16" s="334">
        <f t="shared" si="14"/>
        <v>216</v>
      </c>
      <c r="N16" s="334">
        <f t="shared" si="14"/>
        <v>216</v>
      </c>
      <c r="O16" s="334">
        <f t="shared" si="14"/>
        <v>216</v>
      </c>
      <c r="P16" s="334">
        <f t="shared" si="14"/>
        <v>216</v>
      </c>
      <c r="Q16" s="334">
        <f t="shared" si="14"/>
        <v>216</v>
      </c>
      <c r="R16" s="334">
        <f t="shared" si="14"/>
        <v>216</v>
      </c>
      <c r="S16" s="334">
        <f t="shared" si="14"/>
        <v>216</v>
      </c>
      <c r="T16" s="334">
        <f t="shared" si="14"/>
        <v>216</v>
      </c>
      <c r="U16" s="334">
        <f t="shared" si="14"/>
        <v>216</v>
      </c>
      <c r="V16" s="334">
        <f t="shared" si="14"/>
        <v>216</v>
      </c>
      <c r="W16" s="88"/>
      <c r="X16" s="129"/>
      <c r="Y16" s="262" t="s">
        <v>194</v>
      </c>
      <c r="Z16" s="273">
        <v>10.757999999999999</v>
      </c>
      <c r="AA16" s="274">
        <f>Z16</f>
        <v>10.757999999999999</v>
      </c>
      <c r="AB16" s="274">
        <f t="shared" ref="AB16:AR16" si="15">AA16</f>
        <v>10.757999999999999</v>
      </c>
      <c r="AC16" s="274">
        <f t="shared" si="15"/>
        <v>10.757999999999999</v>
      </c>
      <c r="AD16" s="274">
        <f t="shared" si="15"/>
        <v>10.757999999999999</v>
      </c>
      <c r="AE16" s="274">
        <f t="shared" si="15"/>
        <v>10.757999999999999</v>
      </c>
      <c r="AF16" s="274">
        <f t="shared" si="15"/>
        <v>10.757999999999999</v>
      </c>
      <c r="AG16" s="274">
        <f t="shared" si="15"/>
        <v>10.757999999999999</v>
      </c>
      <c r="AH16" s="274">
        <f t="shared" si="15"/>
        <v>10.757999999999999</v>
      </c>
      <c r="AI16" s="274">
        <f t="shared" si="15"/>
        <v>10.757999999999999</v>
      </c>
      <c r="AJ16" s="274">
        <f t="shared" si="15"/>
        <v>10.757999999999999</v>
      </c>
      <c r="AK16" s="274">
        <f t="shared" si="15"/>
        <v>10.757999999999999</v>
      </c>
      <c r="AL16" s="274">
        <f t="shared" si="15"/>
        <v>10.757999999999999</v>
      </c>
      <c r="AM16" s="274">
        <f t="shared" si="15"/>
        <v>10.757999999999999</v>
      </c>
      <c r="AN16" s="274">
        <f t="shared" si="15"/>
        <v>10.757999999999999</v>
      </c>
      <c r="AO16" s="274">
        <f t="shared" si="15"/>
        <v>10.757999999999999</v>
      </c>
      <c r="AP16" s="274">
        <f t="shared" si="15"/>
        <v>10.757999999999999</v>
      </c>
      <c r="AQ16" s="274">
        <f t="shared" si="15"/>
        <v>10.757999999999999</v>
      </c>
      <c r="AR16" s="274">
        <f t="shared" si="15"/>
        <v>10.757999999999999</v>
      </c>
      <c r="AS16" s="94"/>
      <c r="AT16" s="94"/>
      <c r="AU16" s="94"/>
      <c r="AV16" s="94"/>
      <c r="AW16" s="94"/>
      <c r="AX16" s="94"/>
      <c r="AY16" s="94"/>
      <c r="AZ16" s="93"/>
      <c r="BA16" s="89"/>
      <c r="BB16" s="89"/>
      <c r="BC16" s="89"/>
      <c r="BD16" s="89"/>
      <c r="BE16" s="89"/>
      <c r="BF16" s="89"/>
      <c r="BG16" s="89"/>
      <c r="BH16" s="89"/>
    </row>
    <row r="17" spans="1:62" ht="15" thickBot="1">
      <c r="A17" s="88"/>
      <c r="B17" s="88"/>
      <c r="C17" s="263"/>
      <c r="D17" s="264"/>
      <c r="E17" s="264"/>
      <c r="F17" s="264"/>
      <c r="G17" s="264"/>
      <c r="H17" s="264"/>
      <c r="I17" s="264"/>
      <c r="J17" s="264"/>
      <c r="K17" s="264"/>
      <c r="L17" s="264"/>
      <c r="M17" s="264"/>
      <c r="N17" s="264"/>
      <c r="O17" s="264"/>
      <c r="P17" s="264"/>
      <c r="Q17" s="264"/>
      <c r="R17" s="264"/>
      <c r="S17" s="264"/>
      <c r="T17" s="264"/>
      <c r="U17" s="264"/>
      <c r="V17" s="264"/>
      <c r="W17" s="264"/>
      <c r="X17" s="264"/>
      <c r="Y17" s="88"/>
      <c r="Z17" s="88"/>
      <c r="AA17" s="88"/>
      <c r="AB17" s="88"/>
      <c r="AC17" s="88"/>
      <c r="AD17" s="88"/>
      <c r="AE17" s="88"/>
      <c r="AF17" s="88"/>
      <c r="AG17" s="88"/>
      <c r="AH17" s="88"/>
      <c r="AI17" s="88"/>
      <c r="AJ17" s="89"/>
      <c r="AK17" s="89"/>
      <c r="AL17" s="89"/>
      <c r="AM17" s="89"/>
      <c r="AN17" s="89"/>
      <c r="AO17" s="89"/>
      <c r="AP17" s="89"/>
      <c r="AQ17" s="89"/>
      <c r="AR17" s="89"/>
      <c r="AS17" s="89"/>
      <c r="AT17" s="94"/>
      <c r="AU17" s="94"/>
      <c r="AV17" s="94"/>
      <c r="AW17" s="94"/>
      <c r="AX17" s="94"/>
      <c r="AY17" s="94"/>
      <c r="AZ17" s="95"/>
      <c r="BA17" s="96"/>
      <c r="BB17" s="93"/>
      <c r="BC17" s="89"/>
      <c r="BD17" s="89"/>
      <c r="BE17" s="89"/>
      <c r="BF17" s="89"/>
      <c r="BG17" s="89"/>
      <c r="BH17" s="89"/>
      <c r="BI17" s="89"/>
      <c r="BJ17" s="89"/>
    </row>
    <row r="18" spans="1:62" ht="15">
      <c r="A18" s="88"/>
      <c r="B18" s="254"/>
      <c r="C18" s="554">
        <v>4188</v>
      </c>
      <c r="D18" s="265">
        <v>2014</v>
      </c>
      <c r="E18" s="266">
        <v>2016</v>
      </c>
      <c r="F18" s="266">
        <v>2018</v>
      </c>
      <c r="G18" s="266">
        <v>2020</v>
      </c>
      <c r="H18" s="266">
        <v>2022</v>
      </c>
      <c r="I18" s="266">
        <v>2024</v>
      </c>
      <c r="J18" s="266">
        <v>2026</v>
      </c>
      <c r="K18" s="266">
        <v>2028</v>
      </c>
      <c r="L18" s="266">
        <v>2030</v>
      </c>
      <c r="M18" s="266">
        <v>2032</v>
      </c>
      <c r="N18" s="266">
        <v>2034</v>
      </c>
      <c r="O18" s="266">
        <v>2036</v>
      </c>
      <c r="P18" s="266">
        <v>2038</v>
      </c>
      <c r="Q18" s="266">
        <v>2040</v>
      </c>
      <c r="R18" s="266">
        <v>2042</v>
      </c>
      <c r="S18" s="266">
        <v>2044</v>
      </c>
      <c r="T18" s="266">
        <v>2046</v>
      </c>
      <c r="U18" s="266">
        <v>2048</v>
      </c>
      <c r="V18" s="267">
        <v>2050</v>
      </c>
      <c r="W18" s="88"/>
      <c r="X18" s="254"/>
      <c r="Y18" s="554">
        <v>2333</v>
      </c>
      <c r="Z18" s="265">
        <v>2014</v>
      </c>
      <c r="AA18" s="266">
        <v>2016</v>
      </c>
      <c r="AB18" s="266">
        <v>2018</v>
      </c>
      <c r="AC18" s="266">
        <v>2020</v>
      </c>
      <c r="AD18" s="266">
        <v>2022</v>
      </c>
      <c r="AE18" s="266">
        <v>2024</v>
      </c>
      <c r="AF18" s="266">
        <v>2026</v>
      </c>
      <c r="AG18" s="266">
        <v>2028</v>
      </c>
      <c r="AH18" s="266">
        <v>2030</v>
      </c>
      <c r="AI18" s="266">
        <v>2032</v>
      </c>
      <c r="AJ18" s="266">
        <v>2034</v>
      </c>
      <c r="AK18" s="266">
        <v>2036</v>
      </c>
      <c r="AL18" s="266">
        <v>2038</v>
      </c>
      <c r="AM18" s="266">
        <v>2040</v>
      </c>
      <c r="AN18" s="266">
        <v>2042</v>
      </c>
      <c r="AO18" s="266">
        <v>2044</v>
      </c>
      <c r="AP18" s="266">
        <v>2046</v>
      </c>
      <c r="AQ18" s="266">
        <v>2048</v>
      </c>
      <c r="AR18" s="267">
        <v>2050</v>
      </c>
      <c r="AS18" s="89"/>
      <c r="AT18" s="94"/>
      <c r="AU18" s="94"/>
      <c r="AV18" s="94"/>
      <c r="AW18" s="94"/>
      <c r="AX18" s="94"/>
      <c r="AY18" s="94"/>
      <c r="AZ18" s="95"/>
      <c r="BA18" s="96"/>
      <c r="BB18" s="93"/>
      <c r="BC18" s="89"/>
      <c r="BD18" s="89"/>
      <c r="BE18" s="89"/>
      <c r="BF18" s="89"/>
      <c r="BG18" s="89"/>
      <c r="BH18" s="89"/>
      <c r="BI18" s="89"/>
      <c r="BJ18" s="89"/>
    </row>
    <row r="19" spans="1:62" ht="15">
      <c r="A19" s="88"/>
      <c r="B19" s="255"/>
      <c r="C19" s="256" t="s">
        <v>110</v>
      </c>
      <c r="D19" s="270">
        <v>9226</v>
      </c>
      <c r="E19" s="257">
        <f>MAX(D19*(1-$D$5)^2,$C18)</f>
        <v>8680.7433999999994</v>
      </c>
      <c r="F19" s="257">
        <f t="shared" ref="F19:V19" si="16">MAX(E19*(1-$D$5)^2,$C18)</f>
        <v>8167.7114650599988</v>
      </c>
      <c r="G19" s="257">
        <f t="shared" si="16"/>
        <v>7684.9997174749524</v>
      </c>
      <c r="H19" s="257">
        <f t="shared" si="16"/>
        <v>7230.8162341721827</v>
      </c>
      <c r="I19" s="257">
        <f t="shared" si="16"/>
        <v>6803.4749947326063</v>
      </c>
      <c r="J19" s="257">
        <f t="shared" si="16"/>
        <v>6401.3896225439094</v>
      </c>
      <c r="K19" s="257">
        <f t="shared" si="16"/>
        <v>6023.0674958515638</v>
      </c>
      <c r="L19" s="257">
        <f t="shared" si="16"/>
        <v>5667.1042068467359</v>
      </c>
      <c r="M19" s="257">
        <f t="shared" si="16"/>
        <v>5332.1783482220935</v>
      </c>
      <c r="N19" s="257">
        <f t="shared" si="16"/>
        <v>5017.0466078421678</v>
      </c>
      <c r="O19" s="257">
        <f t="shared" si="16"/>
        <v>4720.5391533186958</v>
      </c>
      <c r="P19" s="257">
        <f t="shared" si="16"/>
        <v>4441.5552893575605</v>
      </c>
      <c r="Q19" s="257">
        <f t="shared" si="16"/>
        <v>4188</v>
      </c>
      <c r="R19" s="257">
        <f t="shared" si="16"/>
        <v>4188</v>
      </c>
      <c r="S19" s="257">
        <f t="shared" si="16"/>
        <v>4188</v>
      </c>
      <c r="T19" s="257">
        <f t="shared" si="16"/>
        <v>4188</v>
      </c>
      <c r="U19" s="257">
        <f t="shared" si="16"/>
        <v>4188</v>
      </c>
      <c r="V19" s="257">
        <f t="shared" si="16"/>
        <v>4188</v>
      </c>
      <c r="W19" s="88"/>
      <c r="X19" s="255"/>
      <c r="Y19" s="256" t="s">
        <v>110</v>
      </c>
      <c r="Z19" s="268">
        <v>3603</v>
      </c>
      <c r="AA19" s="257">
        <f>MAX(Z19*(1-$D$6)^2,$Y18)</f>
        <v>3509.9309069999999</v>
      </c>
      <c r="AB19" s="257">
        <f t="shared" ref="AB19:AR19" si="17">MAX(AA19*(1-$D$6)^2,$Y18)</f>
        <v>3419.2658817412826</v>
      </c>
      <c r="AC19" s="257">
        <f t="shared" si="17"/>
        <v>3330.9428247500232</v>
      </c>
      <c r="AD19" s="257">
        <f t="shared" si="17"/>
        <v>3244.9012406439051</v>
      </c>
      <c r="AE19" s="257">
        <f t="shared" si="17"/>
        <v>3161.0821966968324</v>
      </c>
      <c r="AF19" s="257">
        <f t="shared" si="17"/>
        <v>3079.4282824739562</v>
      </c>
      <c r="AG19" s="257">
        <f t="shared" si="17"/>
        <v>2999.8835705093711</v>
      </c>
      <c r="AH19" s="257">
        <f t="shared" si="17"/>
        <v>2922.3935779995436</v>
      </c>
      <c r="AI19" s="257">
        <f t="shared" si="17"/>
        <v>2846.9052294862372</v>
      </c>
      <c r="AJ19" s="257">
        <f t="shared" si="17"/>
        <v>2773.3668205033782</v>
      </c>
      <c r="AK19" s="257">
        <f t="shared" si="17"/>
        <v>2701.7279821629554</v>
      </c>
      <c r="AL19" s="257">
        <f t="shared" si="17"/>
        <v>2631.9396466557041</v>
      </c>
      <c r="AM19" s="257">
        <f t="shared" si="17"/>
        <v>2563.9540136429405</v>
      </c>
      <c r="AN19" s="257">
        <f t="shared" si="17"/>
        <v>2497.7245175165294</v>
      </c>
      <c r="AO19" s="257">
        <f t="shared" si="17"/>
        <v>2433.2057955045598</v>
      </c>
      <c r="AP19" s="257">
        <f t="shared" si="17"/>
        <v>2370.3536566008815</v>
      </c>
      <c r="AQ19" s="257">
        <f t="shared" si="17"/>
        <v>2333</v>
      </c>
      <c r="AR19" s="257">
        <f t="shared" si="17"/>
        <v>2333</v>
      </c>
      <c r="AS19" s="89"/>
      <c r="AT19" s="94"/>
      <c r="AU19" s="94"/>
      <c r="AV19" s="94"/>
      <c r="AW19" s="94"/>
      <c r="AX19" s="94"/>
      <c r="AY19" s="94"/>
      <c r="AZ19" s="95"/>
      <c r="BA19" s="96"/>
      <c r="BB19" s="93"/>
      <c r="BC19" s="89"/>
      <c r="BD19" s="89"/>
      <c r="BE19" s="89"/>
      <c r="BF19" s="89"/>
      <c r="BG19" s="89"/>
      <c r="BH19" s="89"/>
      <c r="BI19" s="89"/>
      <c r="BJ19" s="89"/>
    </row>
    <row r="20" spans="1:62" ht="18">
      <c r="A20" s="88"/>
      <c r="B20" s="209" t="s">
        <v>114</v>
      </c>
      <c r="C20" s="258" t="s">
        <v>112</v>
      </c>
      <c r="D20" s="270">
        <v>0</v>
      </c>
      <c r="E20" s="257">
        <v>0</v>
      </c>
      <c r="F20" s="257">
        <v>0</v>
      </c>
      <c r="G20" s="257">
        <v>0</v>
      </c>
      <c r="H20" s="257">
        <v>0</v>
      </c>
      <c r="I20" s="257">
        <v>0</v>
      </c>
      <c r="J20" s="257">
        <v>0</v>
      </c>
      <c r="K20" s="257">
        <v>0</v>
      </c>
      <c r="L20" s="257">
        <v>0</v>
      </c>
      <c r="M20" s="257">
        <v>0</v>
      </c>
      <c r="N20" s="257">
        <v>0</v>
      </c>
      <c r="O20" s="257">
        <v>0</v>
      </c>
      <c r="P20" s="257">
        <v>0</v>
      </c>
      <c r="Q20" s="257">
        <v>0</v>
      </c>
      <c r="R20" s="257">
        <v>0</v>
      </c>
      <c r="S20" s="257">
        <v>0</v>
      </c>
      <c r="T20" s="257">
        <v>0</v>
      </c>
      <c r="U20" s="257">
        <v>0</v>
      </c>
      <c r="V20" s="257">
        <v>0</v>
      </c>
      <c r="W20" s="88"/>
      <c r="X20" s="209" t="s">
        <v>136</v>
      </c>
      <c r="Y20" s="258" t="s">
        <v>112</v>
      </c>
      <c r="Z20" s="270">
        <v>0</v>
      </c>
      <c r="AA20" s="257">
        <v>0</v>
      </c>
      <c r="AB20" s="257">
        <v>0</v>
      </c>
      <c r="AC20" s="257">
        <v>0</v>
      </c>
      <c r="AD20" s="257">
        <v>0</v>
      </c>
      <c r="AE20" s="257">
        <v>0</v>
      </c>
      <c r="AF20" s="257">
        <v>0</v>
      </c>
      <c r="AG20" s="257">
        <v>0</v>
      </c>
      <c r="AH20" s="257">
        <v>0</v>
      </c>
      <c r="AI20" s="257">
        <v>0</v>
      </c>
      <c r="AJ20" s="257">
        <v>0</v>
      </c>
      <c r="AK20" s="257">
        <v>0</v>
      </c>
      <c r="AL20" s="257">
        <v>0</v>
      </c>
      <c r="AM20" s="257">
        <v>0</v>
      </c>
      <c r="AN20" s="257">
        <v>0</v>
      </c>
      <c r="AO20" s="257">
        <v>0</v>
      </c>
      <c r="AP20" s="257">
        <v>0</v>
      </c>
      <c r="AQ20" s="257">
        <v>0</v>
      </c>
      <c r="AR20" s="257">
        <v>0</v>
      </c>
      <c r="AS20" s="89"/>
      <c r="AT20" s="94"/>
      <c r="AU20" s="94"/>
      <c r="AV20" s="94"/>
      <c r="AW20" s="94"/>
      <c r="AX20" s="94"/>
      <c r="AY20" s="94"/>
      <c r="AZ20" s="95"/>
      <c r="BA20" s="96"/>
      <c r="BB20" s="93"/>
      <c r="BC20" s="89"/>
      <c r="BD20" s="89"/>
      <c r="BE20" s="89"/>
      <c r="BF20" s="89"/>
      <c r="BG20" s="89"/>
      <c r="BH20" s="89"/>
      <c r="BI20" s="89"/>
      <c r="BJ20" s="89"/>
    </row>
    <row r="21" spans="1:62" ht="18">
      <c r="A21" s="88"/>
      <c r="B21" s="259" t="s">
        <v>157</v>
      </c>
      <c r="C21" s="258" t="s">
        <v>162</v>
      </c>
      <c r="D21" s="271">
        <v>5.0000000000000001E-3</v>
      </c>
      <c r="E21" s="260">
        <v>5.0000000000000001E-3</v>
      </c>
      <c r="F21" s="260">
        <v>5.0000000000000001E-3</v>
      </c>
      <c r="G21" s="260">
        <v>5.0000000000000001E-3</v>
      </c>
      <c r="H21" s="260">
        <v>5.0000000000000001E-3</v>
      </c>
      <c r="I21" s="260">
        <v>5.0000000000000001E-3</v>
      </c>
      <c r="J21" s="260">
        <v>5.0000000000000001E-3</v>
      </c>
      <c r="K21" s="260">
        <v>5.0000000000000001E-3</v>
      </c>
      <c r="L21" s="260">
        <v>5.0000000000000001E-3</v>
      </c>
      <c r="M21" s="260">
        <v>5.0000000000000001E-3</v>
      </c>
      <c r="N21" s="260">
        <v>5.0000000000000001E-3</v>
      </c>
      <c r="O21" s="260">
        <v>5.0000000000000001E-3</v>
      </c>
      <c r="P21" s="260">
        <v>5.0000000000000001E-3</v>
      </c>
      <c r="Q21" s="260">
        <v>5.0000000000000001E-3</v>
      </c>
      <c r="R21" s="260">
        <v>5.0000000000000001E-3</v>
      </c>
      <c r="S21" s="260">
        <v>5.0000000000000001E-3</v>
      </c>
      <c r="T21" s="260">
        <v>5.0000000000000001E-3</v>
      </c>
      <c r="U21" s="260">
        <v>5.0000000000000001E-3</v>
      </c>
      <c r="V21" s="260">
        <v>5.0000000000000001E-3</v>
      </c>
      <c r="W21" s="88"/>
      <c r="X21" s="259" t="s">
        <v>157</v>
      </c>
      <c r="Y21" s="258" t="s">
        <v>162</v>
      </c>
      <c r="Z21" s="271">
        <v>5.0000000000000001E-3</v>
      </c>
      <c r="AA21" s="260">
        <v>5.0000000000000001E-3</v>
      </c>
      <c r="AB21" s="260">
        <v>5.0000000000000001E-3</v>
      </c>
      <c r="AC21" s="260">
        <v>5.0000000000000001E-3</v>
      </c>
      <c r="AD21" s="260">
        <v>5.0000000000000001E-3</v>
      </c>
      <c r="AE21" s="260">
        <v>5.0000000000000001E-3</v>
      </c>
      <c r="AF21" s="260">
        <v>5.0000000000000001E-3</v>
      </c>
      <c r="AG21" s="260">
        <v>5.0000000000000001E-3</v>
      </c>
      <c r="AH21" s="260">
        <v>5.0000000000000001E-3</v>
      </c>
      <c r="AI21" s="260">
        <v>5.0000000000000001E-3</v>
      </c>
      <c r="AJ21" s="260">
        <v>5.0000000000000001E-3</v>
      </c>
      <c r="AK21" s="260">
        <v>5.0000000000000001E-3</v>
      </c>
      <c r="AL21" s="260">
        <v>5.0000000000000001E-3</v>
      </c>
      <c r="AM21" s="260">
        <v>5.0000000000000001E-3</v>
      </c>
      <c r="AN21" s="260">
        <v>5.0000000000000001E-3</v>
      </c>
      <c r="AO21" s="260">
        <v>5.0000000000000001E-3</v>
      </c>
      <c r="AP21" s="260">
        <v>5.0000000000000001E-3</v>
      </c>
      <c r="AQ21" s="260">
        <v>5.0000000000000001E-3</v>
      </c>
      <c r="AR21" s="260">
        <v>5.0000000000000001E-3</v>
      </c>
      <c r="AS21" s="89"/>
      <c r="AT21" s="94"/>
      <c r="AU21" s="94"/>
      <c r="AV21" s="94"/>
      <c r="AW21" s="94"/>
      <c r="AX21" s="94"/>
      <c r="AY21" s="94"/>
      <c r="AZ21" s="95"/>
      <c r="BA21" s="96"/>
      <c r="BB21" s="93"/>
      <c r="BC21" s="89"/>
      <c r="BD21" s="89"/>
      <c r="BE21" s="89"/>
      <c r="BF21" s="89"/>
      <c r="BG21" s="89"/>
      <c r="BH21" s="89"/>
      <c r="BI21" s="89"/>
      <c r="BJ21" s="89"/>
    </row>
    <row r="22" spans="1:62" ht="15">
      <c r="A22" s="88"/>
      <c r="B22" s="261"/>
      <c r="C22" s="258" t="s">
        <v>111</v>
      </c>
      <c r="D22" s="272">
        <v>30</v>
      </c>
      <c r="E22" s="117">
        <f>D22</f>
        <v>30</v>
      </c>
      <c r="F22" s="117">
        <f t="shared" ref="F22:V22" si="18">E22</f>
        <v>30</v>
      </c>
      <c r="G22" s="117">
        <f t="shared" si="18"/>
        <v>30</v>
      </c>
      <c r="H22" s="117">
        <f t="shared" si="18"/>
        <v>30</v>
      </c>
      <c r="I22" s="117">
        <f t="shared" si="18"/>
        <v>30</v>
      </c>
      <c r="J22" s="117">
        <f t="shared" si="18"/>
        <v>30</v>
      </c>
      <c r="K22" s="117">
        <f t="shared" si="18"/>
        <v>30</v>
      </c>
      <c r="L22" s="117">
        <f t="shared" si="18"/>
        <v>30</v>
      </c>
      <c r="M22" s="117">
        <f t="shared" si="18"/>
        <v>30</v>
      </c>
      <c r="N22" s="117">
        <f t="shared" si="18"/>
        <v>30</v>
      </c>
      <c r="O22" s="117">
        <f t="shared" si="18"/>
        <v>30</v>
      </c>
      <c r="P22" s="117">
        <f t="shared" si="18"/>
        <v>30</v>
      </c>
      <c r="Q22" s="117">
        <f t="shared" si="18"/>
        <v>30</v>
      </c>
      <c r="R22" s="117">
        <f t="shared" si="18"/>
        <v>30</v>
      </c>
      <c r="S22" s="117">
        <f t="shared" si="18"/>
        <v>30</v>
      </c>
      <c r="T22" s="117">
        <f t="shared" si="18"/>
        <v>30</v>
      </c>
      <c r="U22" s="117">
        <f t="shared" si="18"/>
        <v>30</v>
      </c>
      <c r="V22" s="117">
        <f t="shared" si="18"/>
        <v>30</v>
      </c>
      <c r="W22" s="88"/>
      <c r="X22" s="261"/>
      <c r="Y22" s="258" t="s">
        <v>111</v>
      </c>
      <c r="Z22" s="272">
        <v>50</v>
      </c>
      <c r="AA22" s="117">
        <f>Z22</f>
        <v>50</v>
      </c>
      <c r="AB22" s="117">
        <f t="shared" ref="AB22:AR22" si="19">AA22</f>
        <v>50</v>
      </c>
      <c r="AC22" s="117">
        <f t="shared" si="19"/>
        <v>50</v>
      </c>
      <c r="AD22" s="117">
        <f t="shared" si="19"/>
        <v>50</v>
      </c>
      <c r="AE22" s="117">
        <f t="shared" si="19"/>
        <v>50</v>
      </c>
      <c r="AF22" s="117">
        <f t="shared" si="19"/>
        <v>50</v>
      </c>
      <c r="AG22" s="117">
        <f t="shared" si="19"/>
        <v>50</v>
      </c>
      <c r="AH22" s="117">
        <f t="shared" si="19"/>
        <v>50</v>
      </c>
      <c r="AI22" s="117">
        <f t="shared" si="19"/>
        <v>50</v>
      </c>
      <c r="AJ22" s="117">
        <f t="shared" si="19"/>
        <v>50</v>
      </c>
      <c r="AK22" s="117">
        <f t="shared" si="19"/>
        <v>50</v>
      </c>
      <c r="AL22" s="117">
        <f t="shared" si="19"/>
        <v>50</v>
      </c>
      <c r="AM22" s="117">
        <f t="shared" si="19"/>
        <v>50</v>
      </c>
      <c r="AN22" s="117">
        <f t="shared" si="19"/>
        <v>50</v>
      </c>
      <c r="AO22" s="117">
        <f t="shared" si="19"/>
        <v>50</v>
      </c>
      <c r="AP22" s="117">
        <f t="shared" si="19"/>
        <v>50</v>
      </c>
      <c r="AQ22" s="117">
        <f t="shared" si="19"/>
        <v>50</v>
      </c>
      <c r="AR22" s="117">
        <f t="shared" si="19"/>
        <v>50</v>
      </c>
      <c r="AS22" s="89"/>
      <c r="AT22" s="94"/>
      <c r="AU22" s="94"/>
      <c r="AV22" s="94"/>
      <c r="AW22" s="94"/>
      <c r="AX22" s="94"/>
      <c r="AY22" s="94"/>
      <c r="AZ22" s="333"/>
      <c r="BA22" s="96"/>
      <c r="BB22" s="93"/>
      <c r="BC22" s="89"/>
      <c r="BD22" s="89"/>
      <c r="BE22" s="89"/>
      <c r="BF22" s="89"/>
      <c r="BG22" s="89"/>
      <c r="BH22" s="89"/>
      <c r="BI22" s="89"/>
      <c r="BJ22" s="89"/>
    </row>
    <row r="23" spans="1:62" ht="15" thickBot="1">
      <c r="A23" s="88"/>
      <c r="B23" s="129"/>
      <c r="C23" s="262" t="s">
        <v>194</v>
      </c>
      <c r="D23" s="273">
        <v>164.29</v>
      </c>
      <c r="E23" s="274">
        <f>D23</f>
        <v>164.29</v>
      </c>
      <c r="F23" s="274">
        <f t="shared" ref="F23:V23" si="20">E23</f>
        <v>164.29</v>
      </c>
      <c r="G23" s="274">
        <f t="shared" si="20"/>
        <v>164.29</v>
      </c>
      <c r="H23" s="274">
        <f t="shared" si="20"/>
        <v>164.29</v>
      </c>
      <c r="I23" s="274">
        <f t="shared" si="20"/>
        <v>164.29</v>
      </c>
      <c r="J23" s="274">
        <f t="shared" si="20"/>
        <v>164.29</v>
      </c>
      <c r="K23" s="274">
        <f t="shared" si="20"/>
        <v>164.29</v>
      </c>
      <c r="L23" s="274">
        <f t="shared" si="20"/>
        <v>164.29</v>
      </c>
      <c r="M23" s="274">
        <f t="shared" si="20"/>
        <v>164.29</v>
      </c>
      <c r="N23" s="274">
        <f t="shared" si="20"/>
        <v>164.29</v>
      </c>
      <c r="O23" s="274">
        <f t="shared" si="20"/>
        <v>164.29</v>
      </c>
      <c r="P23" s="274">
        <f t="shared" si="20"/>
        <v>164.29</v>
      </c>
      <c r="Q23" s="274">
        <f t="shared" si="20"/>
        <v>164.29</v>
      </c>
      <c r="R23" s="274">
        <f t="shared" si="20"/>
        <v>164.29</v>
      </c>
      <c r="S23" s="274">
        <f t="shared" si="20"/>
        <v>164.29</v>
      </c>
      <c r="T23" s="274">
        <f t="shared" si="20"/>
        <v>164.29</v>
      </c>
      <c r="U23" s="274">
        <f t="shared" si="20"/>
        <v>164.29</v>
      </c>
      <c r="V23" s="274">
        <f t="shared" si="20"/>
        <v>164.29</v>
      </c>
      <c r="W23" s="88"/>
      <c r="X23" s="129"/>
      <c r="Y23" s="262" t="s">
        <v>194</v>
      </c>
      <c r="Z23" s="273">
        <v>9.8829999999999991</v>
      </c>
      <c r="AA23" s="274">
        <f>Z23</f>
        <v>9.8829999999999991</v>
      </c>
      <c r="AB23" s="274">
        <f t="shared" ref="AB23:AR23" si="21">AA23</f>
        <v>9.8829999999999991</v>
      </c>
      <c r="AC23" s="274">
        <f t="shared" si="21"/>
        <v>9.8829999999999991</v>
      </c>
      <c r="AD23" s="274">
        <f t="shared" si="21"/>
        <v>9.8829999999999991</v>
      </c>
      <c r="AE23" s="274">
        <f t="shared" si="21"/>
        <v>9.8829999999999991</v>
      </c>
      <c r="AF23" s="274">
        <f t="shared" si="21"/>
        <v>9.8829999999999991</v>
      </c>
      <c r="AG23" s="274">
        <f t="shared" si="21"/>
        <v>9.8829999999999991</v>
      </c>
      <c r="AH23" s="274">
        <f t="shared" si="21"/>
        <v>9.8829999999999991</v>
      </c>
      <c r="AI23" s="274">
        <f t="shared" si="21"/>
        <v>9.8829999999999991</v>
      </c>
      <c r="AJ23" s="274">
        <f t="shared" si="21"/>
        <v>9.8829999999999991</v>
      </c>
      <c r="AK23" s="274">
        <f t="shared" si="21"/>
        <v>9.8829999999999991</v>
      </c>
      <c r="AL23" s="274">
        <f t="shared" si="21"/>
        <v>9.8829999999999991</v>
      </c>
      <c r="AM23" s="274">
        <f t="shared" si="21"/>
        <v>9.8829999999999991</v>
      </c>
      <c r="AN23" s="274">
        <f t="shared" si="21"/>
        <v>9.8829999999999991</v>
      </c>
      <c r="AO23" s="274">
        <f t="shared" si="21"/>
        <v>9.8829999999999991</v>
      </c>
      <c r="AP23" s="274">
        <f t="shared" si="21"/>
        <v>9.8829999999999991</v>
      </c>
      <c r="AQ23" s="274">
        <f t="shared" si="21"/>
        <v>9.8829999999999991</v>
      </c>
      <c r="AR23" s="274">
        <f t="shared" si="21"/>
        <v>9.8829999999999991</v>
      </c>
      <c r="AS23" s="89"/>
      <c r="AT23" s="94"/>
      <c r="AU23" s="94"/>
      <c r="AV23" s="94"/>
      <c r="AW23" s="94"/>
      <c r="AX23" s="94"/>
      <c r="AY23" s="94"/>
      <c r="AZ23" s="95"/>
      <c r="BA23" s="96"/>
      <c r="BB23" s="93"/>
      <c r="BC23" s="89"/>
      <c r="BD23" s="89"/>
      <c r="BE23" s="89"/>
      <c r="BF23" s="89"/>
      <c r="BG23" s="89"/>
      <c r="BH23" s="89"/>
      <c r="BI23" s="89"/>
      <c r="BJ23" s="89"/>
    </row>
    <row r="24" spans="1:62" ht="15" thickBot="1">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9"/>
      <c r="AK24" s="89"/>
      <c r="AL24" s="89"/>
      <c r="AM24" s="89"/>
      <c r="AN24" s="89"/>
      <c r="AO24" s="89"/>
      <c r="AP24" s="89"/>
      <c r="AQ24" s="89"/>
      <c r="AR24" s="89"/>
      <c r="AS24" s="89"/>
      <c r="AT24" s="94"/>
      <c r="AU24" s="94"/>
      <c r="AV24" s="94"/>
      <c r="AW24" s="94"/>
      <c r="AX24" s="94"/>
      <c r="AY24" s="94"/>
      <c r="AZ24" s="95"/>
      <c r="BA24" s="96"/>
      <c r="BB24" s="93"/>
      <c r="BC24" s="89"/>
      <c r="BD24" s="89"/>
      <c r="BE24" s="89"/>
      <c r="BF24" s="89"/>
      <c r="BG24" s="89"/>
      <c r="BH24" s="89"/>
      <c r="BI24" s="89"/>
      <c r="BJ24" s="89"/>
    </row>
    <row r="25" spans="1:62" ht="15">
      <c r="A25" s="88"/>
      <c r="B25" s="254"/>
      <c r="C25" s="554">
        <v>3909</v>
      </c>
      <c r="D25" s="265">
        <v>2014</v>
      </c>
      <c r="E25" s="266">
        <v>2016</v>
      </c>
      <c r="F25" s="266">
        <v>2018</v>
      </c>
      <c r="G25" s="266">
        <v>2020</v>
      </c>
      <c r="H25" s="266">
        <v>2022</v>
      </c>
      <c r="I25" s="266">
        <v>2024</v>
      </c>
      <c r="J25" s="266">
        <v>2026</v>
      </c>
      <c r="K25" s="266">
        <v>2028</v>
      </c>
      <c r="L25" s="266">
        <v>2030</v>
      </c>
      <c r="M25" s="266">
        <v>2032</v>
      </c>
      <c r="N25" s="266">
        <v>2034</v>
      </c>
      <c r="O25" s="266">
        <v>2036</v>
      </c>
      <c r="P25" s="266">
        <v>2038</v>
      </c>
      <c r="Q25" s="266">
        <v>2040</v>
      </c>
      <c r="R25" s="266">
        <v>2042</v>
      </c>
      <c r="S25" s="266">
        <v>2044</v>
      </c>
      <c r="T25" s="266">
        <v>2046</v>
      </c>
      <c r="U25" s="266">
        <v>2048</v>
      </c>
      <c r="V25" s="267">
        <v>2050</v>
      </c>
      <c r="W25" s="88"/>
      <c r="X25" s="254"/>
      <c r="Y25" s="554">
        <v>2169</v>
      </c>
      <c r="Z25" s="265">
        <v>2014</v>
      </c>
      <c r="AA25" s="266">
        <v>2016</v>
      </c>
      <c r="AB25" s="266">
        <v>2018</v>
      </c>
      <c r="AC25" s="266">
        <v>2020</v>
      </c>
      <c r="AD25" s="266">
        <v>2022</v>
      </c>
      <c r="AE25" s="266">
        <v>2024</v>
      </c>
      <c r="AF25" s="266">
        <v>2026</v>
      </c>
      <c r="AG25" s="266">
        <v>2028</v>
      </c>
      <c r="AH25" s="266">
        <v>2030</v>
      </c>
      <c r="AI25" s="266">
        <v>2032</v>
      </c>
      <c r="AJ25" s="266">
        <v>2034</v>
      </c>
      <c r="AK25" s="266">
        <v>2036</v>
      </c>
      <c r="AL25" s="266">
        <v>2038</v>
      </c>
      <c r="AM25" s="266">
        <v>2040</v>
      </c>
      <c r="AN25" s="266">
        <v>2042</v>
      </c>
      <c r="AO25" s="266">
        <v>2044</v>
      </c>
      <c r="AP25" s="266">
        <v>2046</v>
      </c>
      <c r="AQ25" s="266">
        <v>2048</v>
      </c>
      <c r="AR25" s="267">
        <v>2050</v>
      </c>
      <c r="AS25" s="89"/>
      <c r="AT25" s="94"/>
      <c r="AU25" s="94"/>
      <c r="AV25" s="94"/>
      <c r="AW25" s="94"/>
      <c r="AX25" s="94"/>
      <c r="AY25" s="94"/>
      <c r="AZ25" s="95"/>
      <c r="BA25" s="96"/>
      <c r="BB25" s="93"/>
      <c r="BC25" s="89"/>
      <c r="BD25" s="89"/>
      <c r="BE25" s="89"/>
      <c r="BF25" s="89"/>
      <c r="BG25" s="89"/>
      <c r="BH25" s="89"/>
      <c r="BI25" s="89"/>
      <c r="BJ25" s="89"/>
    </row>
    <row r="26" spans="1:62" ht="15">
      <c r="A26" s="88"/>
      <c r="B26" s="255"/>
      <c r="C26" s="256" t="s">
        <v>110</v>
      </c>
      <c r="D26" s="268">
        <v>8380</v>
      </c>
      <c r="E26" s="257">
        <f>MAX(D26*(1-$D$5)^2,$C25)</f>
        <v>7884.7419999999993</v>
      </c>
      <c r="F26" s="257">
        <f t="shared" ref="F26:V26" si="22">MAX(E26*(1-$D$5)^2,$C25)</f>
        <v>7418.7537477999986</v>
      </c>
      <c r="G26" s="257">
        <f t="shared" si="22"/>
        <v>6980.3054013050187</v>
      </c>
      <c r="H26" s="257">
        <f t="shared" si="22"/>
        <v>6567.769352087892</v>
      </c>
      <c r="I26" s="257">
        <f t="shared" si="22"/>
        <v>6179.6141833794973</v>
      </c>
      <c r="J26" s="257">
        <f t="shared" si="22"/>
        <v>5814.3989851417691</v>
      </c>
      <c r="K26" s="257">
        <f t="shared" si="22"/>
        <v>5470.7680051198904</v>
      </c>
      <c r="L26" s="257">
        <f t="shared" si="22"/>
        <v>5147.4456160173049</v>
      </c>
      <c r="M26" s="257">
        <f t="shared" si="22"/>
        <v>4843.2315801106824</v>
      </c>
      <c r="N26" s="257">
        <f t="shared" si="22"/>
        <v>4556.9965937261413</v>
      </c>
      <c r="O26" s="257">
        <f t="shared" si="22"/>
        <v>4287.6780950369266</v>
      </c>
      <c r="P26" s="257">
        <f t="shared" si="22"/>
        <v>4034.2763196202441</v>
      </c>
      <c r="Q26" s="257">
        <f t="shared" si="22"/>
        <v>3909</v>
      </c>
      <c r="R26" s="257">
        <f t="shared" si="22"/>
        <v>3909</v>
      </c>
      <c r="S26" s="257">
        <f t="shared" si="22"/>
        <v>3909</v>
      </c>
      <c r="T26" s="257">
        <f t="shared" si="22"/>
        <v>3909</v>
      </c>
      <c r="U26" s="257">
        <f t="shared" si="22"/>
        <v>3909</v>
      </c>
      <c r="V26" s="257">
        <f t="shared" si="22"/>
        <v>3909</v>
      </c>
      <c r="W26" s="88"/>
      <c r="X26" s="255"/>
      <c r="Y26" s="256" t="s">
        <v>110</v>
      </c>
      <c r="Z26" s="268">
        <v>3108</v>
      </c>
      <c r="AA26" s="257">
        <f>MAX(Z26*(1-$D$7)^2,$Y25)</f>
        <v>3064.640292</v>
      </c>
      <c r="AB26" s="257">
        <f t="shared" ref="AB26:AR26" si="23">MAX(AA26*(1-$D$7)^2,$Y25)</f>
        <v>3021.885495286308</v>
      </c>
      <c r="AC26" s="257">
        <f t="shared" si="23"/>
        <v>2979.7271707415684</v>
      </c>
      <c r="AD26" s="257">
        <f t="shared" si="23"/>
        <v>2938.1569969825528</v>
      </c>
      <c r="AE26" s="257">
        <f t="shared" si="23"/>
        <v>2897.1667687176491</v>
      </c>
      <c r="AF26" s="257">
        <f t="shared" si="23"/>
        <v>2856.7483951272689</v>
      </c>
      <c r="AG26" s="257">
        <f t="shared" si="23"/>
        <v>2816.8938982668483</v>
      </c>
      <c r="AH26" s="257">
        <f t="shared" si="23"/>
        <v>2777.5954114921274</v>
      </c>
      <c r="AI26" s="257">
        <f t="shared" si="23"/>
        <v>2738.8451779064007</v>
      </c>
      <c r="AJ26" s="257">
        <f t="shared" si="23"/>
        <v>2700.6355488294284</v>
      </c>
      <c r="AK26" s="257">
        <f t="shared" si="23"/>
        <v>2662.9589822877087</v>
      </c>
      <c r="AL26" s="257">
        <f t="shared" si="23"/>
        <v>2625.8080415258128</v>
      </c>
      <c r="AM26" s="257">
        <f t="shared" si="23"/>
        <v>2589.1753935384859</v>
      </c>
      <c r="AN26" s="257">
        <f t="shared" si="23"/>
        <v>2553.0538076232301</v>
      </c>
      <c r="AO26" s="257">
        <f t="shared" si="23"/>
        <v>2517.4361539530782</v>
      </c>
      <c r="AP26" s="257">
        <f t="shared" si="23"/>
        <v>2482.3154021692785</v>
      </c>
      <c r="AQ26" s="257">
        <f t="shared" si="23"/>
        <v>2447.6846199936149</v>
      </c>
      <c r="AR26" s="257">
        <f t="shared" si="23"/>
        <v>2413.5369718600837</v>
      </c>
      <c r="AS26" s="89"/>
      <c r="AT26" s="94"/>
      <c r="AU26" s="94"/>
      <c r="AV26" s="94"/>
      <c r="AW26" s="94"/>
      <c r="AX26" s="94"/>
      <c r="AY26" s="94"/>
      <c r="AZ26" s="95"/>
      <c r="BA26" s="96"/>
      <c r="BB26" s="93"/>
      <c r="BC26" s="89"/>
      <c r="BD26" s="89"/>
      <c r="BE26" s="89"/>
      <c r="BF26" s="89"/>
      <c r="BG26" s="89"/>
      <c r="BH26" s="89"/>
      <c r="BI26" s="89"/>
      <c r="BJ26" s="89"/>
    </row>
    <row r="27" spans="1:62" ht="18">
      <c r="A27" s="88"/>
      <c r="B27" s="209" t="s">
        <v>133</v>
      </c>
      <c r="C27" s="258" t="s">
        <v>112</v>
      </c>
      <c r="D27" s="270">
        <v>0</v>
      </c>
      <c r="E27" s="257">
        <v>0</v>
      </c>
      <c r="F27" s="257">
        <v>0</v>
      </c>
      <c r="G27" s="257">
        <v>0</v>
      </c>
      <c r="H27" s="257">
        <v>0</v>
      </c>
      <c r="I27" s="257">
        <v>0</v>
      </c>
      <c r="J27" s="257">
        <v>0</v>
      </c>
      <c r="K27" s="257">
        <v>0</v>
      </c>
      <c r="L27" s="257">
        <v>0</v>
      </c>
      <c r="M27" s="257">
        <v>0</v>
      </c>
      <c r="N27" s="257">
        <v>0</v>
      </c>
      <c r="O27" s="257">
        <v>0</v>
      </c>
      <c r="P27" s="257">
        <v>0</v>
      </c>
      <c r="Q27" s="257">
        <v>0</v>
      </c>
      <c r="R27" s="257">
        <v>0</v>
      </c>
      <c r="S27" s="257">
        <v>0</v>
      </c>
      <c r="T27" s="257">
        <v>0</v>
      </c>
      <c r="U27" s="257">
        <v>0</v>
      </c>
      <c r="V27" s="257">
        <v>0</v>
      </c>
      <c r="W27" s="88"/>
      <c r="X27" s="209" t="s">
        <v>175</v>
      </c>
      <c r="Y27" s="258" t="s">
        <v>112</v>
      </c>
      <c r="Z27" s="270">
        <v>0</v>
      </c>
      <c r="AA27" s="257">
        <v>0</v>
      </c>
      <c r="AB27" s="257">
        <v>0</v>
      </c>
      <c r="AC27" s="257">
        <v>0</v>
      </c>
      <c r="AD27" s="257">
        <v>0</v>
      </c>
      <c r="AE27" s="257">
        <v>0</v>
      </c>
      <c r="AF27" s="257">
        <v>0</v>
      </c>
      <c r="AG27" s="257">
        <v>0</v>
      </c>
      <c r="AH27" s="257">
        <v>0</v>
      </c>
      <c r="AI27" s="257">
        <v>0</v>
      </c>
      <c r="AJ27" s="257">
        <v>0</v>
      </c>
      <c r="AK27" s="257">
        <v>0</v>
      </c>
      <c r="AL27" s="257">
        <v>0</v>
      </c>
      <c r="AM27" s="257">
        <v>0</v>
      </c>
      <c r="AN27" s="257">
        <v>0</v>
      </c>
      <c r="AO27" s="257">
        <v>0</v>
      </c>
      <c r="AP27" s="257">
        <v>0</v>
      </c>
      <c r="AQ27" s="257">
        <v>0</v>
      </c>
      <c r="AR27" s="257">
        <v>0</v>
      </c>
      <c r="AS27" s="89"/>
      <c r="AT27" s="94"/>
      <c r="AU27" s="94"/>
      <c r="AV27" s="94"/>
      <c r="AW27" s="94"/>
      <c r="AX27" s="94"/>
      <c r="AY27" s="94"/>
      <c r="AZ27" s="95"/>
      <c r="BA27" s="96"/>
      <c r="BB27" s="93"/>
      <c r="BC27" s="89"/>
      <c r="BD27" s="89"/>
      <c r="BE27" s="89"/>
      <c r="BF27" s="89"/>
      <c r="BG27" s="89"/>
      <c r="BH27" s="89"/>
      <c r="BI27" s="89"/>
      <c r="BJ27" s="89"/>
    </row>
    <row r="28" spans="1:62" ht="18">
      <c r="A28" s="88"/>
      <c r="B28" s="259" t="s">
        <v>157</v>
      </c>
      <c r="C28" s="258" t="s">
        <v>162</v>
      </c>
      <c r="D28" s="271">
        <v>5.0000000000000001E-3</v>
      </c>
      <c r="E28" s="260">
        <v>5.0000000000000001E-3</v>
      </c>
      <c r="F28" s="260">
        <v>5.0000000000000001E-3</v>
      </c>
      <c r="G28" s="260">
        <v>5.0000000000000001E-3</v>
      </c>
      <c r="H28" s="260">
        <v>5.0000000000000001E-3</v>
      </c>
      <c r="I28" s="260">
        <v>5.0000000000000001E-3</v>
      </c>
      <c r="J28" s="260">
        <v>5.0000000000000001E-3</v>
      </c>
      <c r="K28" s="260">
        <v>5.0000000000000001E-3</v>
      </c>
      <c r="L28" s="260">
        <v>5.0000000000000001E-3</v>
      </c>
      <c r="M28" s="260">
        <v>5.0000000000000001E-3</v>
      </c>
      <c r="N28" s="260">
        <v>5.0000000000000001E-3</v>
      </c>
      <c r="O28" s="260">
        <v>5.0000000000000001E-3</v>
      </c>
      <c r="P28" s="260">
        <v>5.0000000000000001E-3</v>
      </c>
      <c r="Q28" s="260">
        <v>5.0000000000000001E-3</v>
      </c>
      <c r="R28" s="260">
        <v>5.0000000000000001E-3</v>
      </c>
      <c r="S28" s="260">
        <v>5.0000000000000001E-3</v>
      </c>
      <c r="T28" s="260">
        <v>5.0000000000000001E-3</v>
      </c>
      <c r="U28" s="260">
        <v>5.0000000000000001E-3</v>
      </c>
      <c r="V28" s="260">
        <v>5.0000000000000001E-3</v>
      </c>
      <c r="W28" s="88"/>
      <c r="X28" s="259" t="s">
        <v>157</v>
      </c>
      <c r="Y28" s="258" t="s">
        <v>162</v>
      </c>
      <c r="Z28" s="271">
        <v>5.0000000000000001E-3</v>
      </c>
      <c r="AA28" s="260">
        <v>5.0000000000000001E-3</v>
      </c>
      <c r="AB28" s="260">
        <v>5.0000000000000001E-3</v>
      </c>
      <c r="AC28" s="260">
        <v>5.0000000000000001E-3</v>
      </c>
      <c r="AD28" s="260">
        <v>5.0000000000000001E-3</v>
      </c>
      <c r="AE28" s="260">
        <v>5.0000000000000001E-3</v>
      </c>
      <c r="AF28" s="260">
        <v>5.0000000000000001E-3</v>
      </c>
      <c r="AG28" s="260">
        <v>5.0000000000000001E-3</v>
      </c>
      <c r="AH28" s="260">
        <v>5.0000000000000001E-3</v>
      </c>
      <c r="AI28" s="260">
        <v>5.0000000000000001E-3</v>
      </c>
      <c r="AJ28" s="260">
        <v>5.0000000000000001E-3</v>
      </c>
      <c r="AK28" s="260">
        <v>5.0000000000000001E-3</v>
      </c>
      <c r="AL28" s="260">
        <v>5.0000000000000001E-3</v>
      </c>
      <c r="AM28" s="260">
        <v>5.0000000000000001E-3</v>
      </c>
      <c r="AN28" s="260">
        <v>5.0000000000000001E-3</v>
      </c>
      <c r="AO28" s="260">
        <v>5.0000000000000001E-3</v>
      </c>
      <c r="AP28" s="260">
        <v>5.0000000000000001E-3</v>
      </c>
      <c r="AQ28" s="260">
        <v>5.0000000000000001E-3</v>
      </c>
      <c r="AR28" s="260">
        <v>5.0000000000000001E-3</v>
      </c>
      <c r="AS28" s="89"/>
      <c r="AT28" s="94"/>
      <c r="AU28" s="94"/>
      <c r="AV28" s="94"/>
      <c r="AW28" s="94"/>
      <c r="AX28" s="94"/>
      <c r="AY28" s="94"/>
      <c r="AZ28" s="95"/>
      <c r="BA28" s="96"/>
      <c r="BB28" s="93"/>
      <c r="BC28" s="89"/>
      <c r="BD28" s="89"/>
      <c r="BE28" s="89"/>
      <c r="BF28" s="89"/>
      <c r="BG28" s="89"/>
      <c r="BH28" s="89"/>
      <c r="BI28" s="89"/>
      <c r="BJ28" s="89"/>
    </row>
    <row r="29" spans="1:62" ht="15">
      <c r="A29" s="88"/>
      <c r="B29" s="261"/>
      <c r="C29" s="258" t="s">
        <v>111</v>
      </c>
      <c r="D29" s="272">
        <v>30</v>
      </c>
      <c r="E29" s="117">
        <f>D29</f>
        <v>30</v>
      </c>
      <c r="F29" s="117">
        <f t="shared" ref="F29:V29" si="24">E29</f>
        <v>30</v>
      </c>
      <c r="G29" s="117">
        <f t="shared" si="24"/>
        <v>30</v>
      </c>
      <c r="H29" s="117">
        <f t="shared" si="24"/>
        <v>30</v>
      </c>
      <c r="I29" s="117">
        <f t="shared" si="24"/>
        <v>30</v>
      </c>
      <c r="J29" s="117">
        <f t="shared" si="24"/>
        <v>30</v>
      </c>
      <c r="K29" s="117">
        <f t="shared" si="24"/>
        <v>30</v>
      </c>
      <c r="L29" s="117">
        <f t="shared" si="24"/>
        <v>30</v>
      </c>
      <c r="M29" s="117">
        <f t="shared" si="24"/>
        <v>30</v>
      </c>
      <c r="N29" s="117">
        <f t="shared" si="24"/>
        <v>30</v>
      </c>
      <c r="O29" s="117">
        <f t="shared" si="24"/>
        <v>30</v>
      </c>
      <c r="P29" s="117">
        <f t="shared" si="24"/>
        <v>30</v>
      </c>
      <c r="Q29" s="117">
        <f t="shared" si="24"/>
        <v>30</v>
      </c>
      <c r="R29" s="117">
        <f t="shared" si="24"/>
        <v>30</v>
      </c>
      <c r="S29" s="117">
        <f t="shared" si="24"/>
        <v>30</v>
      </c>
      <c r="T29" s="117">
        <f t="shared" si="24"/>
        <v>30</v>
      </c>
      <c r="U29" s="117">
        <f t="shared" si="24"/>
        <v>30</v>
      </c>
      <c r="V29" s="117">
        <f t="shared" si="24"/>
        <v>30</v>
      </c>
      <c r="W29" s="88"/>
      <c r="X29" s="261"/>
      <c r="Y29" s="258" t="s">
        <v>111</v>
      </c>
      <c r="Z29" s="272">
        <v>50</v>
      </c>
      <c r="AA29" s="117">
        <f>Z29</f>
        <v>50</v>
      </c>
      <c r="AB29" s="117">
        <f t="shared" ref="AB29:AR29" si="25">AA29</f>
        <v>50</v>
      </c>
      <c r="AC29" s="117">
        <f t="shared" si="25"/>
        <v>50</v>
      </c>
      <c r="AD29" s="117">
        <f t="shared" si="25"/>
        <v>50</v>
      </c>
      <c r="AE29" s="117">
        <f t="shared" si="25"/>
        <v>50</v>
      </c>
      <c r="AF29" s="117">
        <f t="shared" si="25"/>
        <v>50</v>
      </c>
      <c r="AG29" s="117">
        <f t="shared" si="25"/>
        <v>50</v>
      </c>
      <c r="AH29" s="117">
        <f t="shared" si="25"/>
        <v>50</v>
      </c>
      <c r="AI29" s="117">
        <f t="shared" si="25"/>
        <v>50</v>
      </c>
      <c r="AJ29" s="117">
        <f t="shared" si="25"/>
        <v>50</v>
      </c>
      <c r="AK29" s="117">
        <f t="shared" si="25"/>
        <v>50</v>
      </c>
      <c r="AL29" s="117">
        <f t="shared" si="25"/>
        <v>50</v>
      </c>
      <c r="AM29" s="117">
        <f t="shared" si="25"/>
        <v>50</v>
      </c>
      <c r="AN29" s="117">
        <f t="shared" si="25"/>
        <v>50</v>
      </c>
      <c r="AO29" s="117">
        <f t="shared" si="25"/>
        <v>50</v>
      </c>
      <c r="AP29" s="117">
        <f t="shared" si="25"/>
        <v>50</v>
      </c>
      <c r="AQ29" s="117">
        <f t="shared" si="25"/>
        <v>50</v>
      </c>
      <c r="AR29" s="117">
        <f t="shared" si="25"/>
        <v>50</v>
      </c>
      <c r="AS29" s="89"/>
      <c r="AT29" s="94"/>
      <c r="AU29" s="94"/>
      <c r="AV29" s="94"/>
      <c r="AW29" s="94"/>
      <c r="AX29" s="94"/>
      <c r="AY29" s="94"/>
      <c r="AZ29" s="95"/>
      <c r="BA29" s="96"/>
      <c r="BB29" s="93"/>
      <c r="BC29" s="89"/>
      <c r="BD29" s="89"/>
      <c r="BE29" s="89"/>
      <c r="BF29" s="89"/>
      <c r="BG29" s="89"/>
      <c r="BH29" s="89"/>
      <c r="BI29" s="89"/>
      <c r="BJ29" s="89"/>
    </row>
    <row r="30" spans="1:62" ht="15" thickBot="1">
      <c r="A30" s="88"/>
      <c r="B30" s="129"/>
      <c r="C30" s="262" t="s">
        <v>194</v>
      </c>
      <c r="D30" s="273">
        <v>117.77</v>
      </c>
      <c r="E30" s="274">
        <f>D30</f>
        <v>117.77</v>
      </c>
      <c r="F30" s="274">
        <f t="shared" ref="F30:V30" si="26">E30</f>
        <v>117.77</v>
      </c>
      <c r="G30" s="274">
        <f t="shared" si="26"/>
        <v>117.77</v>
      </c>
      <c r="H30" s="274">
        <f t="shared" si="26"/>
        <v>117.77</v>
      </c>
      <c r="I30" s="274">
        <f t="shared" si="26"/>
        <v>117.77</v>
      </c>
      <c r="J30" s="274">
        <f t="shared" si="26"/>
        <v>117.77</v>
      </c>
      <c r="K30" s="274">
        <f t="shared" si="26"/>
        <v>117.77</v>
      </c>
      <c r="L30" s="274">
        <f t="shared" si="26"/>
        <v>117.77</v>
      </c>
      <c r="M30" s="274">
        <f t="shared" si="26"/>
        <v>117.77</v>
      </c>
      <c r="N30" s="274">
        <f t="shared" si="26"/>
        <v>117.77</v>
      </c>
      <c r="O30" s="274">
        <f t="shared" si="26"/>
        <v>117.77</v>
      </c>
      <c r="P30" s="274">
        <f t="shared" si="26"/>
        <v>117.77</v>
      </c>
      <c r="Q30" s="274">
        <f t="shared" si="26"/>
        <v>117.77</v>
      </c>
      <c r="R30" s="274">
        <f t="shared" si="26"/>
        <v>117.77</v>
      </c>
      <c r="S30" s="274">
        <f t="shared" si="26"/>
        <v>117.77</v>
      </c>
      <c r="T30" s="274">
        <f t="shared" si="26"/>
        <v>117.77</v>
      </c>
      <c r="U30" s="274">
        <f t="shared" si="26"/>
        <v>117.77</v>
      </c>
      <c r="V30" s="274">
        <f t="shared" si="26"/>
        <v>117.77</v>
      </c>
      <c r="W30" s="88"/>
      <c r="X30" s="129"/>
      <c r="Y30" s="262" t="s">
        <v>194</v>
      </c>
      <c r="Z30" s="273">
        <v>9.0079999999999991</v>
      </c>
      <c r="AA30" s="274">
        <f>Z30</f>
        <v>9.0079999999999991</v>
      </c>
      <c r="AB30" s="274">
        <f t="shared" ref="AB30:AR30" si="27">AA30</f>
        <v>9.0079999999999991</v>
      </c>
      <c r="AC30" s="274">
        <f t="shared" si="27"/>
        <v>9.0079999999999991</v>
      </c>
      <c r="AD30" s="274">
        <f t="shared" si="27"/>
        <v>9.0079999999999991</v>
      </c>
      <c r="AE30" s="274">
        <f t="shared" si="27"/>
        <v>9.0079999999999991</v>
      </c>
      <c r="AF30" s="274">
        <f t="shared" si="27"/>
        <v>9.0079999999999991</v>
      </c>
      <c r="AG30" s="274">
        <f t="shared" si="27"/>
        <v>9.0079999999999991</v>
      </c>
      <c r="AH30" s="274">
        <f t="shared" si="27"/>
        <v>9.0079999999999991</v>
      </c>
      <c r="AI30" s="274">
        <f t="shared" si="27"/>
        <v>9.0079999999999991</v>
      </c>
      <c r="AJ30" s="274">
        <f t="shared" si="27"/>
        <v>9.0079999999999991</v>
      </c>
      <c r="AK30" s="274">
        <f t="shared" si="27"/>
        <v>9.0079999999999991</v>
      </c>
      <c r="AL30" s="274">
        <f t="shared" si="27"/>
        <v>9.0079999999999991</v>
      </c>
      <c r="AM30" s="274">
        <f t="shared" si="27"/>
        <v>9.0079999999999991</v>
      </c>
      <c r="AN30" s="274">
        <f t="shared" si="27"/>
        <v>9.0079999999999991</v>
      </c>
      <c r="AO30" s="274">
        <f t="shared" si="27"/>
        <v>9.0079999999999991</v>
      </c>
      <c r="AP30" s="274">
        <f t="shared" si="27"/>
        <v>9.0079999999999991</v>
      </c>
      <c r="AQ30" s="274">
        <f t="shared" si="27"/>
        <v>9.0079999999999991</v>
      </c>
      <c r="AR30" s="274">
        <f t="shared" si="27"/>
        <v>9.0079999999999991</v>
      </c>
      <c r="AS30" s="89"/>
      <c r="AT30" s="94"/>
      <c r="AU30" s="94"/>
      <c r="AV30" s="94"/>
      <c r="AW30" s="94"/>
      <c r="AX30" s="94"/>
      <c r="AY30" s="94"/>
      <c r="AZ30" s="95"/>
      <c r="BA30" s="96"/>
      <c r="BB30" s="93"/>
      <c r="BC30" s="89"/>
      <c r="BD30" s="89"/>
      <c r="BE30" s="89"/>
      <c r="BF30" s="89"/>
      <c r="BG30" s="89"/>
      <c r="BH30" s="89"/>
      <c r="BI30" s="89"/>
      <c r="BJ30" s="89"/>
    </row>
    <row r="31" spans="1:62" ht="15" thickBot="1">
      <c r="A31" s="88"/>
      <c r="B31" s="88"/>
      <c r="C31" s="88"/>
      <c r="D31" s="88"/>
      <c r="E31" s="88"/>
      <c r="F31" s="88"/>
      <c r="G31" s="88"/>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9"/>
      <c r="AK31" s="89"/>
      <c r="AL31" s="89"/>
      <c r="AM31" s="89"/>
      <c r="AN31" s="89"/>
      <c r="AO31" s="89"/>
      <c r="AP31" s="89"/>
      <c r="AQ31" s="89"/>
      <c r="AR31" s="89"/>
      <c r="AS31" s="89"/>
      <c r="AT31" s="94"/>
      <c r="AU31" s="94"/>
      <c r="AV31" s="94"/>
      <c r="AW31" s="94"/>
      <c r="AX31" s="94"/>
      <c r="AY31" s="94"/>
      <c r="AZ31" s="95"/>
      <c r="BA31" s="96"/>
      <c r="BB31" s="93"/>
      <c r="BC31" s="89"/>
      <c r="BD31" s="89"/>
      <c r="BE31" s="89"/>
      <c r="BF31" s="89"/>
      <c r="BG31" s="89"/>
      <c r="BH31" s="89"/>
      <c r="BI31" s="89"/>
      <c r="BJ31" s="89"/>
    </row>
    <row r="32" spans="1:62" ht="15">
      <c r="A32" s="88"/>
      <c r="B32" s="254"/>
      <c r="C32" s="554">
        <v>3630</v>
      </c>
      <c r="D32" s="265">
        <v>2014</v>
      </c>
      <c r="E32" s="266">
        <v>2016</v>
      </c>
      <c r="F32" s="266">
        <v>2018</v>
      </c>
      <c r="G32" s="266">
        <v>2020</v>
      </c>
      <c r="H32" s="266">
        <v>2022</v>
      </c>
      <c r="I32" s="266">
        <v>2024</v>
      </c>
      <c r="J32" s="266">
        <v>2026</v>
      </c>
      <c r="K32" s="266">
        <v>2028</v>
      </c>
      <c r="L32" s="266">
        <v>2030</v>
      </c>
      <c r="M32" s="266">
        <v>2032</v>
      </c>
      <c r="N32" s="266">
        <v>2034</v>
      </c>
      <c r="O32" s="266">
        <v>2036</v>
      </c>
      <c r="P32" s="266">
        <v>2038</v>
      </c>
      <c r="Q32" s="266">
        <v>2040</v>
      </c>
      <c r="R32" s="266">
        <v>2042</v>
      </c>
      <c r="S32" s="266">
        <v>2044</v>
      </c>
      <c r="T32" s="266">
        <v>2046</v>
      </c>
      <c r="U32" s="266">
        <v>2048</v>
      </c>
      <c r="V32" s="267">
        <v>2050</v>
      </c>
      <c r="W32" s="88"/>
      <c r="X32" s="254"/>
      <c r="Y32" s="554">
        <v>2053</v>
      </c>
      <c r="Z32" s="265">
        <v>2014</v>
      </c>
      <c r="AA32" s="266">
        <v>2016</v>
      </c>
      <c r="AB32" s="266">
        <v>2018</v>
      </c>
      <c r="AC32" s="266">
        <v>2020</v>
      </c>
      <c r="AD32" s="266">
        <v>2022</v>
      </c>
      <c r="AE32" s="266">
        <v>2024</v>
      </c>
      <c r="AF32" s="266">
        <v>2026</v>
      </c>
      <c r="AG32" s="266">
        <v>2028</v>
      </c>
      <c r="AH32" s="266">
        <v>2030</v>
      </c>
      <c r="AI32" s="266">
        <v>2032</v>
      </c>
      <c r="AJ32" s="266">
        <v>2034</v>
      </c>
      <c r="AK32" s="266">
        <v>2036</v>
      </c>
      <c r="AL32" s="266">
        <v>2038</v>
      </c>
      <c r="AM32" s="266">
        <v>2040</v>
      </c>
      <c r="AN32" s="266">
        <v>2042</v>
      </c>
      <c r="AO32" s="266">
        <v>2044</v>
      </c>
      <c r="AP32" s="266">
        <v>2046</v>
      </c>
      <c r="AQ32" s="266">
        <v>2048</v>
      </c>
      <c r="AR32" s="267">
        <v>2050</v>
      </c>
      <c r="AS32" s="89"/>
      <c r="AT32" s="94"/>
      <c r="AU32" s="94"/>
      <c r="AV32" s="94"/>
      <c r="AW32" s="94"/>
      <c r="AX32" s="94"/>
      <c r="AY32" s="94"/>
      <c r="AZ32" s="95"/>
      <c r="BA32" s="96"/>
      <c r="BB32" s="93"/>
      <c r="BC32" s="89"/>
      <c r="BD32" s="89"/>
      <c r="BE32" s="89"/>
      <c r="BF32" s="89"/>
      <c r="BG32" s="89"/>
      <c r="BH32" s="89"/>
      <c r="BI32" s="89"/>
      <c r="BJ32" s="89"/>
    </row>
    <row r="33" spans="1:62" ht="15">
      <c r="A33" s="88"/>
      <c r="B33" s="255"/>
      <c r="C33" s="256" t="s">
        <v>110</v>
      </c>
      <c r="D33" s="268">
        <v>7533</v>
      </c>
      <c r="E33" s="257">
        <f>MAX(D33*(1-$D$5)^2,$C32)</f>
        <v>7087.7996999999996</v>
      </c>
      <c r="F33" s="257">
        <f t="shared" ref="F33:V33" si="28">MAX(E33*(1-$D$5)^2,$C32)</f>
        <v>6668.9107377299997</v>
      </c>
      <c r="G33" s="257">
        <f t="shared" si="28"/>
        <v>6274.7781131301563</v>
      </c>
      <c r="H33" s="257">
        <f t="shared" si="28"/>
        <v>5903.9387266441636</v>
      </c>
      <c r="I33" s="257">
        <f t="shared" si="28"/>
        <v>5555.0159478994929</v>
      </c>
      <c r="J33" s="257">
        <f t="shared" si="28"/>
        <v>5226.7145053786326</v>
      </c>
      <c r="K33" s="257">
        <f t="shared" si="28"/>
        <v>4917.8156781107555</v>
      </c>
      <c r="L33" s="257">
        <f t="shared" si="28"/>
        <v>4627.1727715344095</v>
      </c>
      <c r="M33" s="257">
        <f t="shared" si="28"/>
        <v>4353.7068607367255</v>
      </c>
      <c r="N33" s="257">
        <f t="shared" si="28"/>
        <v>4096.4027852671852</v>
      </c>
      <c r="O33" s="257">
        <f t="shared" si="28"/>
        <v>3854.3053806578946</v>
      </c>
      <c r="P33" s="257">
        <f t="shared" si="28"/>
        <v>3630</v>
      </c>
      <c r="Q33" s="257">
        <f t="shared" si="28"/>
        <v>3630</v>
      </c>
      <c r="R33" s="257">
        <f t="shared" si="28"/>
        <v>3630</v>
      </c>
      <c r="S33" s="257">
        <f t="shared" si="28"/>
        <v>3630</v>
      </c>
      <c r="T33" s="257">
        <f t="shared" si="28"/>
        <v>3630</v>
      </c>
      <c r="U33" s="257">
        <f t="shared" si="28"/>
        <v>3630</v>
      </c>
      <c r="V33" s="257">
        <f t="shared" si="28"/>
        <v>3630</v>
      </c>
      <c r="W33" s="88"/>
      <c r="X33" s="255"/>
      <c r="Y33" s="256" t="s">
        <v>110</v>
      </c>
      <c r="Z33" s="268">
        <v>2757</v>
      </c>
      <c r="AA33" s="257">
        <f>MAX(Z33*(1-$D$7)^2,$Y32)</f>
        <v>2718.5370929999999</v>
      </c>
      <c r="AB33" s="257">
        <f>MAX(AA33*(1-$D$7)^2,$Y32)</f>
        <v>2680.6107820155567</v>
      </c>
      <c r="AC33" s="257">
        <f t="shared" ref="AC33:AR33" si="29">MAX(AB33*(1-$D$7)^2,$Y32)</f>
        <v>2643.2135809956576</v>
      </c>
      <c r="AD33" s="257">
        <f t="shared" si="29"/>
        <v>2606.338108327187</v>
      </c>
      <c r="AE33" s="257">
        <f t="shared" si="29"/>
        <v>2569.9770853779141</v>
      </c>
      <c r="AF33" s="257">
        <f t="shared" si="29"/>
        <v>2534.1233350598068</v>
      </c>
      <c r="AG33" s="257">
        <f t="shared" si="29"/>
        <v>2498.7697804123873</v>
      </c>
      <c r="AH33" s="257">
        <f t="shared" si="29"/>
        <v>2463.9094432058541</v>
      </c>
      <c r="AI33" s="257">
        <f t="shared" si="29"/>
        <v>2429.5354425636892</v>
      </c>
      <c r="AJ33" s="257">
        <f t="shared" si="29"/>
        <v>2395.6409936044829</v>
      </c>
      <c r="AK33" s="257">
        <f t="shared" si="29"/>
        <v>2362.2194061027067</v>
      </c>
      <c r="AL33" s="257">
        <f t="shared" si="29"/>
        <v>2329.2640831681679</v>
      </c>
      <c r="AM33" s="257">
        <f t="shared" si="29"/>
        <v>2296.7685199438888</v>
      </c>
      <c r="AN33" s="257">
        <f t="shared" si="29"/>
        <v>2264.7263023221517</v>
      </c>
      <c r="AO33" s="257">
        <f t="shared" si="29"/>
        <v>2233.1311056784552</v>
      </c>
      <c r="AP33" s="257">
        <f t="shared" si="29"/>
        <v>2201.9766936231349</v>
      </c>
      <c r="AQ33" s="257">
        <f t="shared" si="29"/>
        <v>2171.2569167703987</v>
      </c>
      <c r="AR33" s="257">
        <f t="shared" si="29"/>
        <v>2140.9657115245345</v>
      </c>
      <c r="AS33" s="89"/>
      <c r="AT33" s="94"/>
      <c r="AU33" s="94"/>
      <c r="AV33" s="94"/>
      <c r="AW33" s="94"/>
      <c r="AX33" s="94"/>
      <c r="AY33" s="94"/>
      <c r="AZ33" s="95"/>
      <c r="BA33" s="96"/>
      <c r="BB33" s="93"/>
      <c r="BC33" s="89"/>
      <c r="BD33" s="89"/>
      <c r="BE33" s="89"/>
      <c r="BF33" s="89"/>
      <c r="BG33" s="89"/>
      <c r="BH33" s="89"/>
      <c r="BI33" s="89"/>
      <c r="BJ33" s="89"/>
    </row>
    <row r="34" spans="1:62" ht="18">
      <c r="A34" s="88"/>
      <c r="B34" s="209" t="s">
        <v>132</v>
      </c>
      <c r="C34" s="258" t="s">
        <v>112</v>
      </c>
      <c r="D34" s="270">
        <v>0</v>
      </c>
      <c r="E34" s="257">
        <v>0</v>
      </c>
      <c r="F34" s="257">
        <v>0</v>
      </c>
      <c r="G34" s="257">
        <v>0</v>
      </c>
      <c r="H34" s="257">
        <v>0</v>
      </c>
      <c r="I34" s="257">
        <v>0</v>
      </c>
      <c r="J34" s="257">
        <v>0</v>
      </c>
      <c r="K34" s="257">
        <v>0</v>
      </c>
      <c r="L34" s="257">
        <v>0</v>
      </c>
      <c r="M34" s="257">
        <v>0</v>
      </c>
      <c r="N34" s="257">
        <v>0</v>
      </c>
      <c r="O34" s="257">
        <v>0</v>
      </c>
      <c r="P34" s="257">
        <v>0</v>
      </c>
      <c r="Q34" s="257">
        <v>0</v>
      </c>
      <c r="R34" s="257">
        <v>0</v>
      </c>
      <c r="S34" s="257">
        <v>0</v>
      </c>
      <c r="T34" s="257">
        <v>0</v>
      </c>
      <c r="U34" s="257">
        <v>0</v>
      </c>
      <c r="V34" s="257">
        <v>0</v>
      </c>
      <c r="W34" s="88"/>
      <c r="X34" s="209" t="s">
        <v>176</v>
      </c>
      <c r="Y34" s="258" t="s">
        <v>112</v>
      </c>
      <c r="Z34" s="270">
        <v>0</v>
      </c>
      <c r="AA34" s="257">
        <v>0</v>
      </c>
      <c r="AB34" s="257">
        <v>0</v>
      </c>
      <c r="AC34" s="257">
        <v>0</v>
      </c>
      <c r="AD34" s="257">
        <v>0</v>
      </c>
      <c r="AE34" s="257">
        <v>0</v>
      </c>
      <c r="AF34" s="257">
        <v>0</v>
      </c>
      <c r="AG34" s="257">
        <v>0</v>
      </c>
      <c r="AH34" s="257">
        <v>0</v>
      </c>
      <c r="AI34" s="257">
        <v>0</v>
      </c>
      <c r="AJ34" s="257">
        <v>0</v>
      </c>
      <c r="AK34" s="257">
        <v>0</v>
      </c>
      <c r="AL34" s="257">
        <v>0</v>
      </c>
      <c r="AM34" s="257">
        <v>0</v>
      </c>
      <c r="AN34" s="257">
        <v>0</v>
      </c>
      <c r="AO34" s="257">
        <v>0</v>
      </c>
      <c r="AP34" s="257">
        <v>0</v>
      </c>
      <c r="AQ34" s="257">
        <v>0</v>
      </c>
      <c r="AR34" s="257">
        <v>0</v>
      </c>
      <c r="AS34" s="89"/>
      <c r="AT34" s="93"/>
      <c r="AU34" s="94"/>
      <c r="AV34" s="97"/>
      <c r="AW34" s="94"/>
      <c r="AX34" s="96"/>
      <c r="AY34" s="94"/>
      <c r="AZ34" s="95"/>
      <c r="BA34" s="96"/>
      <c r="BB34" s="93"/>
      <c r="BC34" s="89"/>
      <c r="BD34" s="89"/>
      <c r="BE34" s="89"/>
      <c r="BF34" s="89"/>
      <c r="BG34" s="89"/>
      <c r="BH34" s="89"/>
      <c r="BI34" s="89"/>
      <c r="BJ34" s="89"/>
    </row>
    <row r="35" spans="1:62" ht="18">
      <c r="A35" s="88"/>
      <c r="B35" s="259" t="s">
        <v>157</v>
      </c>
      <c r="C35" s="258" t="s">
        <v>162</v>
      </c>
      <c r="D35" s="271">
        <v>5.0000000000000001E-3</v>
      </c>
      <c r="E35" s="260">
        <v>5.0000000000000001E-3</v>
      </c>
      <c r="F35" s="260">
        <v>5.0000000000000001E-3</v>
      </c>
      <c r="G35" s="260">
        <v>5.0000000000000001E-3</v>
      </c>
      <c r="H35" s="260">
        <v>5.0000000000000001E-3</v>
      </c>
      <c r="I35" s="260">
        <v>5.0000000000000001E-3</v>
      </c>
      <c r="J35" s="260">
        <v>5.0000000000000001E-3</v>
      </c>
      <c r="K35" s="260">
        <v>5.0000000000000001E-3</v>
      </c>
      <c r="L35" s="260">
        <v>5.0000000000000001E-3</v>
      </c>
      <c r="M35" s="260">
        <v>5.0000000000000001E-3</v>
      </c>
      <c r="N35" s="260">
        <v>5.0000000000000001E-3</v>
      </c>
      <c r="O35" s="260">
        <v>5.0000000000000001E-3</v>
      </c>
      <c r="P35" s="260">
        <v>5.0000000000000001E-3</v>
      </c>
      <c r="Q35" s="260">
        <v>5.0000000000000001E-3</v>
      </c>
      <c r="R35" s="260">
        <v>5.0000000000000001E-3</v>
      </c>
      <c r="S35" s="260">
        <v>5.0000000000000001E-3</v>
      </c>
      <c r="T35" s="260">
        <v>5.0000000000000001E-3</v>
      </c>
      <c r="U35" s="260">
        <v>5.0000000000000001E-3</v>
      </c>
      <c r="V35" s="260">
        <v>5.0000000000000001E-3</v>
      </c>
      <c r="W35" s="88"/>
      <c r="X35" s="259" t="s">
        <v>157</v>
      </c>
      <c r="Y35" s="258" t="s">
        <v>162</v>
      </c>
      <c r="Z35" s="271">
        <v>5.0000000000000001E-3</v>
      </c>
      <c r="AA35" s="260">
        <v>5.0000000000000001E-3</v>
      </c>
      <c r="AB35" s="260">
        <v>5.0000000000000001E-3</v>
      </c>
      <c r="AC35" s="260">
        <v>5.0000000000000001E-3</v>
      </c>
      <c r="AD35" s="260">
        <v>5.0000000000000001E-3</v>
      </c>
      <c r="AE35" s="260">
        <v>5.0000000000000001E-3</v>
      </c>
      <c r="AF35" s="260">
        <v>5.0000000000000001E-3</v>
      </c>
      <c r="AG35" s="260">
        <v>5.0000000000000001E-3</v>
      </c>
      <c r="AH35" s="260">
        <v>5.0000000000000001E-3</v>
      </c>
      <c r="AI35" s="260">
        <v>5.0000000000000001E-3</v>
      </c>
      <c r="AJ35" s="260">
        <v>5.0000000000000001E-3</v>
      </c>
      <c r="AK35" s="260">
        <v>5.0000000000000001E-3</v>
      </c>
      <c r="AL35" s="260">
        <v>5.0000000000000001E-3</v>
      </c>
      <c r="AM35" s="260">
        <v>5.0000000000000001E-3</v>
      </c>
      <c r="AN35" s="260">
        <v>5.0000000000000001E-3</v>
      </c>
      <c r="AO35" s="260">
        <v>5.0000000000000001E-3</v>
      </c>
      <c r="AP35" s="260">
        <v>5.0000000000000001E-3</v>
      </c>
      <c r="AQ35" s="260">
        <v>5.0000000000000001E-3</v>
      </c>
      <c r="AR35" s="260">
        <v>5.0000000000000001E-3</v>
      </c>
      <c r="AS35" s="89"/>
      <c r="AT35" s="93"/>
      <c r="AU35" s="94"/>
      <c r="AV35" s="95"/>
      <c r="AW35" s="94"/>
      <c r="AX35" s="96"/>
      <c r="AY35" s="94"/>
      <c r="AZ35" s="95"/>
      <c r="BA35" s="96"/>
      <c r="BB35" s="93"/>
      <c r="BC35" s="89"/>
      <c r="BD35" s="89"/>
      <c r="BE35" s="89"/>
      <c r="BF35" s="89"/>
      <c r="BG35" s="89"/>
      <c r="BH35" s="89"/>
      <c r="BI35" s="89"/>
      <c r="BJ35" s="89"/>
    </row>
    <row r="36" spans="1:62" ht="15">
      <c r="A36" s="88"/>
      <c r="B36" s="261"/>
      <c r="C36" s="258" t="s">
        <v>111</v>
      </c>
      <c r="D36" s="272">
        <v>30</v>
      </c>
      <c r="E36" s="117">
        <f>D36</f>
        <v>30</v>
      </c>
      <c r="F36" s="117">
        <f t="shared" ref="F36:V36" si="30">E36</f>
        <v>30</v>
      </c>
      <c r="G36" s="117">
        <f t="shared" si="30"/>
        <v>30</v>
      </c>
      <c r="H36" s="117">
        <f t="shared" si="30"/>
        <v>30</v>
      </c>
      <c r="I36" s="117">
        <f t="shared" si="30"/>
        <v>30</v>
      </c>
      <c r="J36" s="117">
        <f t="shared" si="30"/>
        <v>30</v>
      </c>
      <c r="K36" s="117">
        <f t="shared" si="30"/>
        <v>30</v>
      </c>
      <c r="L36" s="117">
        <f t="shared" si="30"/>
        <v>30</v>
      </c>
      <c r="M36" s="117">
        <f t="shared" si="30"/>
        <v>30</v>
      </c>
      <c r="N36" s="117">
        <f t="shared" si="30"/>
        <v>30</v>
      </c>
      <c r="O36" s="117">
        <f t="shared" si="30"/>
        <v>30</v>
      </c>
      <c r="P36" s="117">
        <f t="shared" si="30"/>
        <v>30</v>
      </c>
      <c r="Q36" s="117">
        <f t="shared" si="30"/>
        <v>30</v>
      </c>
      <c r="R36" s="117">
        <f t="shared" si="30"/>
        <v>30</v>
      </c>
      <c r="S36" s="117">
        <f t="shared" si="30"/>
        <v>30</v>
      </c>
      <c r="T36" s="117">
        <f t="shared" si="30"/>
        <v>30</v>
      </c>
      <c r="U36" s="117">
        <f t="shared" si="30"/>
        <v>30</v>
      </c>
      <c r="V36" s="117">
        <f t="shared" si="30"/>
        <v>30</v>
      </c>
      <c r="W36" s="88"/>
      <c r="X36" s="261"/>
      <c r="Y36" s="258" t="s">
        <v>111</v>
      </c>
      <c r="Z36" s="272">
        <v>80</v>
      </c>
      <c r="AA36" s="117">
        <f>Z36</f>
        <v>80</v>
      </c>
      <c r="AB36" s="117">
        <f t="shared" ref="AB36:AR36" si="31">AA36</f>
        <v>80</v>
      </c>
      <c r="AC36" s="117">
        <f t="shared" si="31"/>
        <v>80</v>
      </c>
      <c r="AD36" s="117">
        <f t="shared" si="31"/>
        <v>80</v>
      </c>
      <c r="AE36" s="117">
        <f t="shared" si="31"/>
        <v>80</v>
      </c>
      <c r="AF36" s="117">
        <f t="shared" si="31"/>
        <v>80</v>
      </c>
      <c r="AG36" s="117">
        <f t="shared" si="31"/>
        <v>80</v>
      </c>
      <c r="AH36" s="117">
        <f t="shared" si="31"/>
        <v>80</v>
      </c>
      <c r="AI36" s="117">
        <f t="shared" si="31"/>
        <v>80</v>
      </c>
      <c r="AJ36" s="117">
        <f t="shared" si="31"/>
        <v>80</v>
      </c>
      <c r="AK36" s="117">
        <f t="shared" si="31"/>
        <v>80</v>
      </c>
      <c r="AL36" s="117">
        <f t="shared" si="31"/>
        <v>80</v>
      </c>
      <c r="AM36" s="117">
        <f t="shared" si="31"/>
        <v>80</v>
      </c>
      <c r="AN36" s="117">
        <f t="shared" si="31"/>
        <v>80</v>
      </c>
      <c r="AO36" s="117">
        <f t="shared" si="31"/>
        <v>80</v>
      </c>
      <c r="AP36" s="117">
        <f t="shared" si="31"/>
        <v>80</v>
      </c>
      <c r="AQ36" s="117">
        <f t="shared" si="31"/>
        <v>80</v>
      </c>
      <c r="AR36" s="117">
        <f t="shared" si="31"/>
        <v>80</v>
      </c>
      <c r="AS36" s="89"/>
      <c r="AT36" s="93"/>
      <c r="AU36" s="94"/>
      <c r="AV36" s="95"/>
      <c r="AW36" s="94"/>
      <c r="AX36" s="96"/>
      <c r="AY36" s="94"/>
      <c r="AZ36" s="97"/>
      <c r="BA36" s="96"/>
      <c r="BB36" s="93"/>
      <c r="BC36" s="89"/>
      <c r="BD36" s="89"/>
      <c r="BE36" s="89"/>
      <c r="BF36" s="89"/>
      <c r="BG36" s="89"/>
      <c r="BH36" s="89"/>
      <c r="BI36" s="89"/>
      <c r="BJ36" s="89"/>
    </row>
    <row r="37" spans="1:62" ht="15" thickBot="1">
      <c r="A37" s="88"/>
      <c r="B37" s="129"/>
      <c r="C37" s="262" t="s">
        <v>194</v>
      </c>
      <c r="D37" s="273">
        <v>71.260000000000005</v>
      </c>
      <c r="E37" s="274">
        <f>D37</f>
        <v>71.260000000000005</v>
      </c>
      <c r="F37" s="274">
        <f t="shared" ref="F37:V37" si="32">E37</f>
        <v>71.260000000000005</v>
      </c>
      <c r="G37" s="274">
        <f t="shared" si="32"/>
        <v>71.260000000000005</v>
      </c>
      <c r="H37" s="274">
        <f t="shared" si="32"/>
        <v>71.260000000000005</v>
      </c>
      <c r="I37" s="274">
        <f t="shared" si="32"/>
        <v>71.260000000000005</v>
      </c>
      <c r="J37" s="274">
        <f t="shared" si="32"/>
        <v>71.260000000000005</v>
      </c>
      <c r="K37" s="274">
        <f t="shared" si="32"/>
        <v>71.260000000000005</v>
      </c>
      <c r="L37" s="274">
        <f t="shared" si="32"/>
        <v>71.260000000000005</v>
      </c>
      <c r="M37" s="274">
        <f t="shared" si="32"/>
        <v>71.260000000000005</v>
      </c>
      <c r="N37" s="274">
        <f t="shared" si="32"/>
        <v>71.260000000000005</v>
      </c>
      <c r="O37" s="274">
        <f t="shared" si="32"/>
        <v>71.260000000000005</v>
      </c>
      <c r="P37" s="274">
        <f t="shared" si="32"/>
        <v>71.260000000000005</v>
      </c>
      <c r="Q37" s="274">
        <f t="shared" si="32"/>
        <v>71.260000000000005</v>
      </c>
      <c r="R37" s="274">
        <f t="shared" si="32"/>
        <v>71.260000000000005</v>
      </c>
      <c r="S37" s="274">
        <f t="shared" si="32"/>
        <v>71.260000000000005</v>
      </c>
      <c r="T37" s="274">
        <f t="shared" si="32"/>
        <v>71.260000000000005</v>
      </c>
      <c r="U37" s="274">
        <f t="shared" si="32"/>
        <v>71.260000000000005</v>
      </c>
      <c r="V37" s="274">
        <f t="shared" si="32"/>
        <v>71.260000000000005</v>
      </c>
      <c r="W37" s="88"/>
      <c r="X37" s="129"/>
      <c r="Y37" s="262" t="s">
        <v>194</v>
      </c>
      <c r="Z37" s="273">
        <v>8.1329999999999991</v>
      </c>
      <c r="AA37" s="274">
        <f>Z37</f>
        <v>8.1329999999999991</v>
      </c>
      <c r="AB37" s="274">
        <f t="shared" ref="AB37:AR37" si="33">AA37</f>
        <v>8.1329999999999991</v>
      </c>
      <c r="AC37" s="274">
        <f t="shared" si="33"/>
        <v>8.1329999999999991</v>
      </c>
      <c r="AD37" s="274">
        <f t="shared" si="33"/>
        <v>8.1329999999999991</v>
      </c>
      <c r="AE37" s="274">
        <f t="shared" si="33"/>
        <v>8.1329999999999991</v>
      </c>
      <c r="AF37" s="274">
        <f t="shared" si="33"/>
        <v>8.1329999999999991</v>
      </c>
      <c r="AG37" s="274">
        <f t="shared" si="33"/>
        <v>8.1329999999999991</v>
      </c>
      <c r="AH37" s="274">
        <f t="shared" si="33"/>
        <v>8.1329999999999991</v>
      </c>
      <c r="AI37" s="274">
        <f t="shared" si="33"/>
        <v>8.1329999999999991</v>
      </c>
      <c r="AJ37" s="274">
        <f t="shared" si="33"/>
        <v>8.1329999999999991</v>
      </c>
      <c r="AK37" s="274">
        <f t="shared" si="33"/>
        <v>8.1329999999999991</v>
      </c>
      <c r="AL37" s="274">
        <f t="shared" si="33"/>
        <v>8.1329999999999991</v>
      </c>
      <c r="AM37" s="274">
        <f t="shared" si="33"/>
        <v>8.1329999999999991</v>
      </c>
      <c r="AN37" s="274">
        <f t="shared" si="33"/>
        <v>8.1329999999999991</v>
      </c>
      <c r="AO37" s="274">
        <f t="shared" si="33"/>
        <v>8.1329999999999991</v>
      </c>
      <c r="AP37" s="274">
        <f t="shared" si="33"/>
        <v>8.1329999999999991</v>
      </c>
      <c r="AQ37" s="274">
        <f t="shared" si="33"/>
        <v>8.1329999999999991</v>
      </c>
      <c r="AR37" s="274">
        <f t="shared" si="33"/>
        <v>8.1329999999999991</v>
      </c>
      <c r="AS37" s="89"/>
      <c r="AT37" s="93"/>
      <c r="AU37" s="94"/>
      <c r="AV37" s="95"/>
      <c r="AW37" s="94"/>
      <c r="AX37" s="96"/>
      <c r="AY37" s="94"/>
      <c r="AZ37" s="97"/>
      <c r="BA37" s="96"/>
      <c r="BB37" s="93"/>
      <c r="BC37" s="89"/>
      <c r="BD37" s="89"/>
      <c r="BE37" s="89"/>
      <c r="BF37" s="89"/>
      <c r="BG37" s="89"/>
      <c r="BH37" s="89"/>
      <c r="BI37" s="89"/>
      <c r="BJ37" s="89"/>
    </row>
    <row r="38" spans="1:62" ht="15" thickBot="1">
      <c r="A38" s="88"/>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9"/>
      <c r="AK38" s="89"/>
      <c r="AL38" s="89"/>
      <c r="AM38" s="89"/>
      <c r="AN38" s="89"/>
      <c r="AO38" s="89"/>
      <c r="AP38" s="89"/>
      <c r="AQ38" s="89"/>
      <c r="AR38" s="89"/>
      <c r="AS38" s="89"/>
      <c r="AT38" s="93"/>
      <c r="AU38" s="94"/>
      <c r="AV38" s="95"/>
      <c r="AW38" s="94"/>
      <c r="AX38" s="96"/>
      <c r="AY38" s="94"/>
      <c r="AZ38" s="97"/>
      <c r="BA38" s="96"/>
      <c r="BB38" s="93"/>
      <c r="BC38" s="89"/>
      <c r="BD38" s="89"/>
      <c r="BE38" s="89"/>
      <c r="BF38" s="89"/>
      <c r="BG38" s="89"/>
      <c r="BH38" s="89"/>
      <c r="BI38" s="89"/>
      <c r="BJ38" s="89"/>
    </row>
    <row r="39" spans="1:62" ht="15">
      <c r="A39" s="88"/>
      <c r="B39" s="254"/>
      <c r="C39" s="554">
        <v>3260</v>
      </c>
      <c r="D39" s="265">
        <v>2014</v>
      </c>
      <c r="E39" s="266">
        <v>2016</v>
      </c>
      <c r="F39" s="266">
        <v>2018</v>
      </c>
      <c r="G39" s="266">
        <v>2020</v>
      </c>
      <c r="H39" s="266">
        <v>2022</v>
      </c>
      <c r="I39" s="266">
        <v>2024</v>
      </c>
      <c r="J39" s="266">
        <v>2026</v>
      </c>
      <c r="K39" s="266">
        <v>2028</v>
      </c>
      <c r="L39" s="266">
        <v>2030</v>
      </c>
      <c r="M39" s="266">
        <v>2032</v>
      </c>
      <c r="N39" s="266">
        <v>2034</v>
      </c>
      <c r="O39" s="266">
        <v>2036</v>
      </c>
      <c r="P39" s="266">
        <v>2038</v>
      </c>
      <c r="Q39" s="266">
        <v>2040</v>
      </c>
      <c r="R39" s="266">
        <v>2042</v>
      </c>
      <c r="S39" s="266">
        <v>2044</v>
      </c>
      <c r="T39" s="266">
        <v>2046</v>
      </c>
      <c r="U39" s="266">
        <v>2048</v>
      </c>
      <c r="V39" s="267">
        <v>2050</v>
      </c>
      <c r="W39" s="88"/>
      <c r="X39" s="254"/>
      <c r="Y39" s="554">
        <v>1890</v>
      </c>
      <c r="Z39" s="265">
        <v>2014</v>
      </c>
      <c r="AA39" s="266">
        <v>2016</v>
      </c>
      <c r="AB39" s="266">
        <v>2018</v>
      </c>
      <c r="AC39" s="266">
        <v>2020</v>
      </c>
      <c r="AD39" s="266">
        <v>2022</v>
      </c>
      <c r="AE39" s="266">
        <v>2024</v>
      </c>
      <c r="AF39" s="266">
        <v>2026</v>
      </c>
      <c r="AG39" s="266">
        <v>2028</v>
      </c>
      <c r="AH39" s="266">
        <v>2030</v>
      </c>
      <c r="AI39" s="266">
        <v>2032</v>
      </c>
      <c r="AJ39" s="266">
        <v>2034</v>
      </c>
      <c r="AK39" s="266">
        <v>2036</v>
      </c>
      <c r="AL39" s="266">
        <v>2038</v>
      </c>
      <c r="AM39" s="266">
        <v>2040</v>
      </c>
      <c r="AN39" s="266">
        <v>2042</v>
      </c>
      <c r="AO39" s="266">
        <v>2044</v>
      </c>
      <c r="AP39" s="266">
        <v>2046</v>
      </c>
      <c r="AQ39" s="266">
        <v>2048</v>
      </c>
      <c r="AR39" s="267">
        <v>2050</v>
      </c>
      <c r="AS39" s="89"/>
      <c r="AT39" s="93"/>
      <c r="AU39" s="94"/>
      <c r="AV39" s="95"/>
      <c r="AW39" s="94"/>
      <c r="AX39" s="96"/>
      <c r="AY39" s="94"/>
      <c r="AZ39" s="97"/>
      <c r="BA39" s="96"/>
      <c r="BB39" s="93"/>
      <c r="BC39" s="89"/>
      <c r="BD39" s="89"/>
      <c r="BE39" s="89"/>
      <c r="BF39" s="89"/>
      <c r="BG39" s="89"/>
      <c r="BH39" s="89"/>
      <c r="BI39" s="89"/>
      <c r="BJ39" s="89"/>
    </row>
    <row r="40" spans="1:62" ht="15">
      <c r="A40" s="88"/>
      <c r="B40" s="255"/>
      <c r="C40" s="256" t="s">
        <v>110</v>
      </c>
      <c r="D40" s="268">
        <v>6414</v>
      </c>
      <c r="E40" s="257">
        <f>MAX(D40*(1-$D$5)^2,$C39)</f>
        <v>6034.9326000000001</v>
      </c>
      <c r="F40" s="257">
        <f t="shared" ref="F40:V40" si="34">MAX(E40*(1-$D$5)^2,$C39)</f>
        <v>5678.26808334</v>
      </c>
      <c r="G40" s="257">
        <f t="shared" si="34"/>
        <v>5342.6824396146058</v>
      </c>
      <c r="H40" s="257">
        <f t="shared" si="34"/>
        <v>5026.9299074333821</v>
      </c>
      <c r="I40" s="257">
        <f t="shared" si="34"/>
        <v>4729.8383499040692</v>
      </c>
      <c r="J40" s="257">
        <f t="shared" si="34"/>
        <v>4450.3049034247388</v>
      </c>
      <c r="K40" s="257">
        <f t="shared" si="34"/>
        <v>4187.291883632337</v>
      </c>
      <c r="L40" s="257">
        <f t="shared" si="34"/>
        <v>3939.8229333096656</v>
      </c>
      <c r="M40" s="257">
        <f t="shared" si="34"/>
        <v>3706.9793979510641</v>
      </c>
      <c r="N40" s="257">
        <f t="shared" si="34"/>
        <v>3487.8969155321561</v>
      </c>
      <c r="O40" s="257">
        <f t="shared" si="34"/>
        <v>3281.7622078242057</v>
      </c>
      <c r="P40" s="257">
        <f t="shared" si="34"/>
        <v>3260</v>
      </c>
      <c r="Q40" s="257">
        <f t="shared" si="34"/>
        <v>3260</v>
      </c>
      <c r="R40" s="257">
        <f t="shared" si="34"/>
        <v>3260</v>
      </c>
      <c r="S40" s="257">
        <f t="shared" si="34"/>
        <v>3260</v>
      </c>
      <c r="T40" s="257">
        <f t="shared" si="34"/>
        <v>3260</v>
      </c>
      <c r="U40" s="257">
        <f t="shared" si="34"/>
        <v>3260</v>
      </c>
      <c r="V40" s="257">
        <f t="shared" si="34"/>
        <v>3260</v>
      </c>
      <c r="W40" s="88"/>
      <c r="X40" s="255"/>
      <c r="Y40" s="256" t="s">
        <v>110</v>
      </c>
      <c r="Z40" s="268">
        <v>2262</v>
      </c>
      <c r="AA40" s="257">
        <f>MAX(Z40*(1-$D$7)^2,$Y39)</f>
        <v>2230.4428379999999</v>
      </c>
      <c r="AB40" s="257">
        <f t="shared" ref="AB40:AR40" si="35">MAX(AA40*(1-$D$7)^2,$Y39)</f>
        <v>2199.3259299670617</v>
      </c>
      <c r="AC40" s="257">
        <f t="shared" si="35"/>
        <v>2168.6431339180913</v>
      </c>
      <c r="AD40" s="257">
        <f t="shared" si="35"/>
        <v>2138.3883935568001</v>
      </c>
      <c r="AE40" s="257">
        <f t="shared" si="35"/>
        <v>2108.555737078289</v>
      </c>
      <c r="AF40" s="257">
        <f t="shared" si="35"/>
        <v>2079.1392759903097</v>
      </c>
      <c r="AG40" s="257">
        <f t="shared" si="35"/>
        <v>2050.1332039509689</v>
      </c>
      <c r="AH40" s="257">
        <f t="shared" si="35"/>
        <v>2021.5317956226488</v>
      </c>
      <c r="AI40" s="257">
        <f t="shared" si="35"/>
        <v>1993.3294055419171</v>
      </c>
      <c r="AJ40" s="257">
        <f t="shared" si="35"/>
        <v>1965.5204670052017</v>
      </c>
      <c r="AK40" s="257">
        <f t="shared" si="35"/>
        <v>1938.0994909700121</v>
      </c>
      <c r="AL40" s="257">
        <f t="shared" si="35"/>
        <v>1911.0610649714893</v>
      </c>
      <c r="AM40" s="257">
        <f t="shared" si="35"/>
        <v>1890</v>
      </c>
      <c r="AN40" s="257">
        <f t="shared" si="35"/>
        <v>1890</v>
      </c>
      <c r="AO40" s="257">
        <f t="shared" si="35"/>
        <v>1890</v>
      </c>
      <c r="AP40" s="257">
        <f t="shared" si="35"/>
        <v>1890</v>
      </c>
      <c r="AQ40" s="257">
        <f t="shared" si="35"/>
        <v>1890</v>
      </c>
      <c r="AR40" s="257">
        <f t="shared" si="35"/>
        <v>1890</v>
      </c>
      <c r="AS40" s="89"/>
      <c r="AT40" s="93"/>
      <c r="AU40" s="94"/>
      <c r="AV40" s="95"/>
      <c r="AW40" s="94"/>
      <c r="AX40" s="96"/>
      <c r="AY40" s="94"/>
      <c r="AZ40" s="95"/>
      <c r="BA40" s="96"/>
      <c r="BB40" s="93"/>
      <c r="BC40" s="89"/>
      <c r="BD40" s="89"/>
      <c r="BE40" s="89"/>
      <c r="BF40" s="89"/>
      <c r="BG40" s="89"/>
      <c r="BH40" s="89"/>
      <c r="BI40" s="89"/>
      <c r="BJ40" s="89"/>
    </row>
    <row r="41" spans="1:62" ht="18">
      <c r="A41" s="88"/>
      <c r="B41" s="209" t="s">
        <v>134</v>
      </c>
      <c r="C41" s="258" t="s">
        <v>112</v>
      </c>
      <c r="D41" s="270">
        <v>0</v>
      </c>
      <c r="E41" s="257">
        <v>0</v>
      </c>
      <c r="F41" s="257">
        <v>0</v>
      </c>
      <c r="G41" s="257">
        <v>0</v>
      </c>
      <c r="H41" s="257">
        <v>0</v>
      </c>
      <c r="I41" s="257">
        <v>0</v>
      </c>
      <c r="J41" s="257">
        <v>0</v>
      </c>
      <c r="K41" s="257">
        <v>0</v>
      </c>
      <c r="L41" s="257">
        <v>0</v>
      </c>
      <c r="M41" s="257">
        <v>0</v>
      </c>
      <c r="N41" s="257">
        <v>0</v>
      </c>
      <c r="O41" s="257">
        <v>0</v>
      </c>
      <c r="P41" s="257">
        <v>0</v>
      </c>
      <c r="Q41" s="257">
        <v>0</v>
      </c>
      <c r="R41" s="257">
        <v>0</v>
      </c>
      <c r="S41" s="257">
        <v>0</v>
      </c>
      <c r="T41" s="257">
        <v>0</v>
      </c>
      <c r="U41" s="257">
        <v>0</v>
      </c>
      <c r="V41" s="257">
        <v>0</v>
      </c>
      <c r="W41" s="88"/>
      <c r="X41" s="209" t="s">
        <v>177</v>
      </c>
      <c r="Y41" s="258" t="s">
        <v>112</v>
      </c>
      <c r="Z41" s="270">
        <v>0</v>
      </c>
      <c r="AA41" s="257">
        <v>0</v>
      </c>
      <c r="AB41" s="257">
        <v>0</v>
      </c>
      <c r="AC41" s="257">
        <v>0</v>
      </c>
      <c r="AD41" s="257">
        <v>0</v>
      </c>
      <c r="AE41" s="257">
        <v>0</v>
      </c>
      <c r="AF41" s="257">
        <v>0</v>
      </c>
      <c r="AG41" s="257">
        <v>0</v>
      </c>
      <c r="AH41" s="257">
        <v>0</v>
      </c>
      <c r="AI41" s="257">
        <v>0</v>
      </c>
      <c r="AJ41" s="257">
        <v>0</v>
      </c>
      <c r="AK41" s="257">
        <v>0</v>
      </c>
      <c r="AL41" s="257">
        <v>0</v>
      </c>
      <c r="AM41" s="257">
        <v>0</v>
      </c>
      <c r="AN41" s="257">
        <v>0</v>
      </c>
      <c r="AO41" s="257">
        <v>0</v>
      </c>
      <c r="AP41" s="257">
        <v>0</v>
      </c>
      <c r="AQ41" s="257">
        <v>0</v>
      </c>
      <c r="AR41" s="257">
        <v>0</v>
      </c>
      <c r="AS41" s="89"/>
      <c r="AT41" s="93"/>
      <c r="AU41" s="94"/>
      <c r="AV41" s="95"/>
      <c r="AW41" s="94"/>
      <c r="AX41" s="96"/>
      <c r="AY41" s="94"/>
      <c r="AZ41" s="95"/>
      <c r="BA41" s="96"/>
      <c r="BB41" s="93"/>
      <c r="BC41" s="89"/>
      <c r="BD41" s="89"/>
      <c r="BE41" s="89"/>
      <c r="BF41" s="89"/>
      <c r="BG41" s="89"/>
      <c r="BH41" s="89"/>
      <c r="BI41" s="89"/>
      <c r="BJ41" s="89"/>
    </row>
    <row r="42" spans="1:62" ht="18">
      <c r="A42" s="88"/>
      <c r="B42" s="259" t="s">
        <v>157</v>
      </c>
      <c r="C42" s="258" t="s">
        <v>162</v>
      </c>
      <c r="D42" s="271">
        <v>5.0000000000000001E-3</v>
      </c>
      <c r="E42" s="260">
        <v>5.0000000000000001E-3</v>
      </c>
      <c r="F42" s="260">
        <v>5.0000000000000001E-3</v>
      </c>
      <c r="G42" s="260">
        <v>5.0000000000000001E-3</v>
      </c>
      <c r="H42" s="260">
        <v>5.0000000000000001E-3</v>
      </c>
      <c r="I42" s="260">
        <v>5.0000000000000001E-3</v>
      </c>
      <c r="J42" s="260">
        <v>5.0000000000000001E-3</v>
      </c>
      <c r="K42" s="260">
        <v>5.0000000000000001E-3</v>
      </c>
      <c r="L42" s="260">
        <v>5.0000000000000001E-3</v>
      </c>
      <c r="M42" s="260">
        <v>5.0000000000000001E-3</v>
      </c>
      <c r="N42" s="260">
        <v>5.0000000000000001E-3</v>
      </c>
      <c r="O42" s="260">
        <v>5.0000000000000001E-3</v>
      </c>
      <c r="P42" s="260">
        <v>5.0000000000000001E-3</v>
      </c>
      <c r="Q42" s="260">
        <v>5.0000000000000001E-3</v>
      </c>
      <c r="R42" s="260">
        <v>5.0000000000000001E-3</v>
      </c>
      <c r="S42" s="260">
        <v>5.0000000000000001E-3</v>
      </c>
      <c r="T42" s="260">
        <v>5.0000000000000001E-3</v>
      </c>
      <c r="U42" s="260">
        <v>5.0000000000000001E-3</v>
      </c>
      <c r="V42" s="260">
        <v>5.0000000000000001E-3</v>
      </c>
      <c r="W42" s="88"/>
      <c r="X42" s="259" t="s">
        <v>157</v>
      </c>
      <c r="Y42" s="258" t="s">
        <v>162</v>
      </c>
      <c r="Z42" s="271">
        <v>5.0000000000000001E-3</v>
      </c>
      <c r="AA42" s="260">
        <v>5.0000000000000001E-3</v>
      </c>
      <c r="AB42" s="260">
        <v>5.0000000000000001E-3</v>
      </c>
      <c r="AC42" s="260">
        <v>5.0000000000000001E-3</v>
      </c>
      <c r="AD42" s="260">
        <v>5.0000000000000001E-3</v>
      </c>
      <c r="AE42" s="260">
        <v>5.0000000000000001E-3</v>
      </c>
      <c r="AF42" s="260">
        <v>5.0000000000000001E-3</v>
      </c>
      <c r="AG42" s="260">
        <v>5.0000000000000001E-3</v>
      </c>
      <c r="AH42" s="260">
        <v>5.0000000000000001E-3</v>
      </c>
      <c r="AI42" s="260">
        <v>5.0000000000000001E-3</v>
      </c>
      <c r="AJ42" s="260">
        <v>5.0000000000000001E-3</v>
      </c>
      <c r="AK42" s="260">
        <v>5.0000000000000001E-3</v>
      </c>
      <c r="AL42" s="260">
        <v>5.0000000000000001E-3</v>
      </c>
      <c r="AM42" s="260">
        <v>5.0000000000000001E-3</v>
      </c>
      <c r="AN42" s="260">
        <v>5.0000000000000001E-3</v>
      </c>
      <c r="AO42" s="260">
        <v>5.0000000000000001E-3</v>
      </c>
      <c r="AP42" s="260">
        <v>5.0000000000000001E-3</v>
      </c>
      <c r="AQ42" s="260">
        <v>5.0000000000000001E-3</v>
      </c>
      <c r="AR42" s="260">
        <v>5.0000000000000001E-3</v>
      </c>
      <c r="AS42" s="89"/>
      <c r="AT42" s="93"/>
      <c r="AU42" s="94"/>
      <c r="AV42" s="95"/>
      <c r="AW42" s="94"/>
      <c r="AX42" s="96"/>
      <c r="AY42" s="94"/>
      <c r="AZ42" s="95"/>
      <c r="BA42" s="96"/>
      <c r="BB42" s="93"/>
      <c r="BC42" s="89"/>
      <c r="BD42" s="89"/>
      <c r="BE42" s="89"/>
      <c r="BF42" s="89"/>
      <c r="BG42" s="89"/>
      <c r="BH42" s="89"/>
      <c r="BI42" s="89"/>
      <c r="BJ42" s="89"/>
    </row>
    <row r="43" spans="1:62" ht="15">
      <c r="A43" s="88"/>
      <c r="B43" s="261"/>
      <c r="C43" s="258" t="s">
        <v>111</v>
      </c>
      <c r="D43" s="272">
        <v>30</v>
      </c>
      <c r="E43" s="117">
        <f>D43</f>
        <v>30</v>
      </c>
      <c r="F43" s="117">
        <f t="shared" ref="F43:V43" si="36">E43</f>
        <v>30</v>
      </c>
      <c r="G43" s="117">
        <f t="shared" si="36"/>
        <v>30</v>
      </c>
      <c r="H43" s="117">
        <f t="shared" si="36"/>
        <v>30</v>
      </c>
      <c r="I43" s="117">
        <f t="shared" si="36"/>
        <v>30</v>
      </c>
      <c r="J43" s="117">
        <f t="shared" si="36"/>
        <v>30</v>
      </c>
      <c r="K43" s="117">
        <f t="shared" si="36"/>
        <v>30</v>
      </c>
      <c r="L43" s="117">
        <f t="shared" si="36"/>
        <v>30</v>
      </c>
      <c r="M43" s="117">
        <f t="shared" si="36"/>
        <v>30</v>
      </c>
      <c r="N43" s="117">
        <f t="shared" si="36"/>
        <v>30</v>
      </c>
      <c r="O43" s="117">
        <f t="shared" si="36"/>
        <v>30</v>
      </c>
      <c r="P43" s="117">
        <f t="shared" si="36"/>
        <v>30</v>
      </c>
      <c r="Q43" s="117">
        <f t="shared" si="36"/>
        <v>30</v>
      </c>
      <c r="R43" s="117">
        <f t="shared" si="36"/>
        <v>30</v>
      </c>
      <c r="S43" s="117">
        <f t="shared" si="36"/>
        <v>30</v>
      </c>
      <c r="T43" s="117">
        <f t="shared" si="36"/>
        <v>30</v>
      </c>
      <c r="U43" s="117">
        <f t="shared" si="36"/>
        <v>30</v>
      </c>
      <c r="V43" s="117">
        <f t="shared" si="36"/>
        <v>30</v>
      </c>
      <c r="W43" s="88"/>
      <c r="X43" s="261"/>
      <c r="Y43" s="258" t="s">
        <v>111</v>
      </c>
      <c r="Z43" s="272">
        <v>80</v>
      </c>
      <c r="AA43" s="117">
        <f>Z43</f>
        <v>80</v>
      </c>
      <c r="AB43" s="117">
        <f t="shared" ref="AB43:AR43" si="37">AA43</f>
        <v>80</v>
      </c>
      <c r="AC43" s="117">
        <f t="shared" si="37"/>
        <v>80</v>
      </c>
      <c r="AD43" s="117">
        <f t="shared" si="37"/>
        <v>80</v>
      </c>
      <c r="AE43" s="117">
        <f t="shared" si="37"/>
        <v>80</v>
      </c>
      <c r="AF43" s="117">
        <f t="shared" si="37"/>
        <v>80</v>
      </c>
      <c r="AG43" s="117">
        <f t="shared" si="37"/>
        <v>80</v>
      </c>
      <c r="AH43" s="117">
        <f t="shared" si="37"/>
        <v>80</v>
      </c>
      <c r="AI43" s="117">
        <f t="shared" si="37"/>
        <v>80</v>
      </c>
      <c r="AJ43" s="117">
        <f t="shared" si="37"/>
        <v>80</v>
      </c>
      <c r="AK43" s="117">
        <f t="shared" si="37"/>
        <v>80</v>
      </c>
      <c r="AL43" s="117">
        <f t="shared" si="37"/>
        <v>80</v>
      </c>
      <c r="AM43" s="117">
        <f t="shared" si="37"/>
        <v>80</v>
      </c>
      <c r="AN43" s="117">
        <f t="shared" si="37"/>
        <v>80</v>
      </c>
      <c r="AO43" s="117">
        <f t="shared" si="37"/>
        <v>80</v>
      </c>
      <c r="AP43" s="117">
        <f t="shared" si="37"/>
        <v>80</v>
      </c>
      <c r="AQ43" s="117">
        <f t="shared" si="37"/>
        <v>80</v>
      </c>
      <c r="AR43" s="117">
        <f t="shared" si="37"/>
        <v>80</v>
      </c>
      <c r="AS43" s="89"/>
      <c r="AT43" s="93"/>
      <c r="AU43" s="94"/>
      <c r="AV43" s="95"/>
      <c r="AW43" s="94"/>
      <c r="AX43" s="96"/>
      <c r="AY43" s="94"/>
      <c r="AZ43" s="95"/>
      <c r="BA43" s="96"/>
      <c r="BB43" s="93"/>
      <c r="BC43" s="89"/>
      <c r="BD43" s="89"/>
      <c r="BE43" s="89"/>
      <c r="BF43" s="89"/>
      <c r="BG43" s="89"/>
      <c r="BH43" s="89"/>
      <c r="BI43" s="89"/>
      <c r="BJ43" s="89"/>
    </row>
    <row r="44" spans="1:62" ht="15" thickBot="1">
      <c r="A44" s="88"/>
      <c r="B44" s="129"/>
      <c r="C44" s="262" t="s">
        <v>194</v>
      </c>
      <c r="D44" s="273">
        <v>13.12</v>
      </c>
      <c r="E44" s="274">
        <f>D44</f>
        <v>13.12</v>
      </c>
      <c r="F44" s="274">
        <f t="shared" ref="F44:V44" si="38">E44</f>
        <v>13.12</v>
      </c>
      <c r="G44" s="274">
        <f t="shared" si="38"/>
        <v>13.12</v>
      </c>
      <c r="H44" s="274">
        <f t="shared" si="38"/>
        <v>13.12</v>
      </c>
      <c r="I44" s="274">
        <f t="shared" si="38"/>
        <v>13.12</v>
      </c>
      <c r="J44" s="274">
        <f t="shared" si="38"/>
        <v>13.12</v>
      </c>
      <c r="K44" s="274">
        <f t="shared" si="38"/>
        <v>13.12</v>
      </c>
      <c r="L44" s="274">
        <f t="shared" si="38"/>
        <v>13.12</v>
      </c>
      <c r="M44" s="274">
        <f t="shared" si="38"/>
        <v>13.12</v>
      </c>
      <c r="N44" s="274">
        <f t="shared" si="38"/>
        <v>13.12</v>
      </c>
      <c r="O44" s="274">
        <f t="shared" si="38"/>
        <v>13.12</v>
      </c>
      <c r="P44" s="274">
        <f t="shared" si="38"/>
        <v>13.12</v>
      </c>
      <c r="Q44" s="274">
        <f t="shared" si="38"/>
        <v>13.12</v>
      </c>
      <c r="R44" s="274">
        <f t="shared" si="38"/>
        <v>13.12</v>
      </c>
      <c r="S44" s="274">
        <f t="shared" si="38"/>
        <v>13.12</v>
      </c>
      <c r="T44" s="274">
        <f t="shared" si="38"/>
        <v>13.12</v>
      </c>
      <c r="U44" s="274">
        <f t="shared" si="38"/>
        <v>13.12</v>
      </c>
      <c r="V44" s="274">
        <f t="shared" si="38"/>
        <v>13.12</v>
      </c>
      <c r="W44" s="88"/>
      <c r="X44" s="129"/>
      <c r="Y44" s="262" t="s">
        <v>194</v>
      </c>
      <c r="Z44" s="273">
        <v>6.3829999999999991</v>
      </c>
      <c r="AA44" s="274">
        <f>Z44</f>
        <v>6.3829999999999991</v>
      </c>
      <c r="AB44" s="274">
        <f t="shared" ref="AB44:AR44" si="39">AA44</f>
        <v>6.3829999999999991</v>
      </c>
      <c r="AC44" s="274">
        <f t="shared" si="39"/>
        <v>6.3829999999999991</v>
      </c>
      <c r="AD44" s="274">
        <f t="shared" si="39"/>
        <v>6.3829999999999991</v>
      </c>
      <c r="AE44" s="274">
        <f t="shared" si="39"/>
        <v>6.3829999999999991</v>
      </c>
      <c r="AF44" s="274">
        <f t="shared" si="39"/>
        <v>6.3829999999999991</v>
      </c>
      <c r="AG44" s="274">
        <f t="shared" si="39"/>
        <v>6.3829999999999991</v>
      </c>
      <c r="AH44" s="274">
        <f t="shared" si="39"/>
        <v>6.3829999999999991</v>
      </c>
      <c r="AI44" s="274">
        <f t="shared" si="39"/>
        <v>6.3829999999999991</v>
      </c>
      <c r="AJ44" s="274">
        <f t="shared" si="39"/>
        <v>6.3829999999999991</v>
      </c>
      <c r="AK44" s="274">
        <f t="shared" si="39"/>
        <v>6.3829999999999991</v>
      </c>
      <c r="AL44" s="274">
        <f t="shared" si="39"/>
        <v>6.3829999999999991</v>
      </c>
      <c r="AM44" s="274">
        <f t="shared" si="39"/>
        <v>6.3829999999999991</v>
      </c>
      <c r="AN44" s="274">
        <f t="shared" si="39"/>
        <v>6.3829999999999991</v>
      </c>
      <c r="AO44" s="274">
        <f t="shared" si="39"/>
        <v>6.3829999999999991</v>
      </c>
      <c r="AP44" s="274">
        <f t="shared" si="39"/>
        <v>6.3829999999999991</v>
      </c>
      <c r="AQ44" s="274">
        <f t="shared" si="39"/>
        <v>6.3829999999999991</v>
      </c>
      <c r="AR44" s="274">
        <f t="shared" si="39"/>
        <v>6.3829999999999991</v>
      </c>
      <c r="AS44" s="89"/>
      <c r="AT44" s="93"/>
      <c r="AU44" s="94"/>
      <c r="AV44" s="95"/>
      <c r="AW44" s="94"/>
      <c r="AX44" s="96"/>
      <c r="AY44" s="94"/>
      <c r="AZ44" s="95"/>
      <c r="BA44" s="96"/>
      <c r="BB44" s="93"/>
      <c r="BC44" s="89"/>
      <c r="BD44" s="89"/>
      <c r="BE44" s="89"/>
      <c r="BF44" s="89"/>
      <c r="BG44" s="89"/>
      <c r="BH44" s="89"/>
      <c r="BI44" s="89"/>
      <c r="BJ44" s="89"/>
    </row>
    <row r="45" spans="1:62" ht="15" thickBot="1">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9"/>
      <c r="AK45" s="89"/>
      <c r="AL45" s="89"/>
      <c r="AM45" s="89"/>
      <c r="AN45" s="89"/>
      <c r="AO45" s="89"/>
      <c r="AP45" s="89"/>
      <c r="AQ45" s="89"/>
      <c r="AR45" s="89"/>
      <c r="AS45" s="89"/>
      <c r="AT45" s="93"/>
      <c r="AU45" s="94"/>
      <c r="AV45" s="95"/>
      <c r="AW45" s="94"/>
      <c r="AX45" s="96"/>
      <c r="AY45" s="94"/>
      <c r="AZ45" s="95"/>
      <c r="BA45" s="96"/>
      <c r="BB45" s="93"/>
      <c r="BC45" s="89"/>
      <c r="BD45" s="89"/>
      <c r="BE45" s="89"/>
      <c r="BF45" s="89"/>
      <c r="BG45" s="89"/>
      <c r="BH45" s="89"/>
      <c r="BI45" s="89"/>
      <c r="BJ45" s="89"/>
    </row>
    <row r="46" spans="1:62" ht="15" customHeight="1">
      <c r="A46" s="88"/>
      <c r="B46" s="254"/>
      <c r="C46" s="554">
        <v>2981</v>
      </c>
      <c r="D46" s="265">
        <v>2014</v>
      </c>
      <c r="E46" s="266">
        <v>2016</v>
      </c>
      <c r="F46" s="266">
        <v>2018</v>
      </c>
      <c r="G46" s="266">
        <v>2020</v>
      </c>
      <c r="H46" s="266">
        <v>2022</v>
      </c>
      <c r="I46" s="266">
        <v>2024</v>
      </c>
      <c r="J46" s="266">
        <v>2026</v>
      </c>
      <c r="K46" s="266">
        <v>2028</v>
      </c>
      <c r="L46" s="266">
        <v>2030</v>
      </c>
      <c r="M46" s="266">
        <v>2032</v>
      </c>
      <c r="N46" s="266">
        <v>2034</v>
      </c>
      <c r="O46" s="266">
        <v>2036</v>
      </c>
      <c r="P46" s="266">
        <v>2038</v>
      </c>
      <c r="Q46" s="266">
        <v>2040</v>
      </c>
      <c r="R46" s="266">
        <v>2042</v>
      </c>
      <c r="S46" s="266">
        <v>2044</v>
      </c>
      <c r="T46" s="266">
        <v>2046</v>
      </c>
      <c r="U46" s="266">
        <v>2048</v>
      </c>
      <c r="V46" s="267">
        <v>2050</v>
      </c>
      <c r="W46" s="88"/>
      <c r="X46" s="558" t="s">
        <v>285</v>
      </c>
      <c r="Y46" s="558"/>
      <c r="Z46" s="558"/>
      <c r="AA46" s="558"/>
      <c r="AB46" s="558"/>
      <c r="AC46" s="558"/>
      <c r="AD46" s="558"/>
      <c r="AE46" s="558"/>
      <c r="AF46" s="558"/>
      <c r="AG46" s="558"/>
      <c r="AH46" s="558"/>
      <c r="AI46" s="558"/>
      <c r="AJ46" s="558"/>
      <c r="AK46" s="558"/>
      <c r="AL46" s="558"/>
      <c r="AM46" s="558"/>
      <c r="AN46" s="558"/>
      <c r="AO46" s="558"/>
      <c r="AP46" s="558"/>
      <c r="AQ46" s="558"/>
      <c r="AR46" s="558"/>
      <c r="AS46" s="89"/>
      <c r="AT46" s="93"/>
      <c r="AU46" s="94"/>
      <c r="AV46" s="95"/>
      <c r="AW46" s="94"/>
      <c r="AX46" s="96"/>
      <c r="AY46" s="94"/>
      <c r="AZ46" s="95"/>
      <c r="BA46" s="96"/>
      <c r="BB46" s="93"/>
      <c r="BC46" s="89"/>
      <c r="BD46" s="89"/>
      <c r="BE46" s="89"/>
      <c r="BF46" s="89"/>
      <c r="BG46" s="89"/>
      <c r="BH46" s="89"/>
      <c r="BI46" s="89"/>
      <c r="BJ46" s="89"/>
    </row>
    <row r="47" spans="1:62" ht="15">
      <c r="A47" s="88"/>
      <c r="B47" s="255"/>
      <c r="C47" s="256" t="s">
        <v>110</v>
      </c>
      <c r="D47" s="268">
        <v>5568</v>
      </c>
      <c r="E47" s="257">
        <f>MAX(D47*(1-$D$6)^2,$C46)</f>
        <v>5424.1729919999998</v>
      </c>
      <c r="F47" s="257">
        <f>MAX(E47*(1-$D$6)^2,$C46)</f>
        <v>5284.0611794436472</v>
      </c>
      <c r="G47" s="257">
        <f t="shared" ref="G47:V47" si="40">MAX(F47*(1-$D$6)^2,$C46)</f>
        <v>5147.5685951174382</v>
      </c>
      <c r="H47" s="257">
        <f t="shared" si="40"/>
        <v>5014.6017507369597</v>
      </c>
      <c r="I47" s="257">
        <f t="shared" si="40"/>
        <v>4885.0695729136733</v>
      </c>
      <c r="J47" s="257">
        <f t="shared" si="40"/>
        <v>4758.8833407757402</v>
      </c>
      <c r="K47" s="257">
        <f t="shared" si="40"/>
        <v>4635.9566252001614</v>
      </c>
      <c r="L47" s="257">
        <f t="shared" si="40"/>
        <v>4516.2052296146157</v>
      </c>
      <c r="M47" s="257">
        <f t="shared" si="40"/>
        <v>4399.5471323284401</v>
      </c>
      <c r="N47" s="257">
        <f t="shared" si="40"/>
        <v>4285.9024303532642</v>
      </c>
      <c r="O47" s="257">
        <f t="shared" si="40"/>
        <v>4175.1932846748086</v>
      </c>
      <c r="P47" s="257">
        <f t="shared" si="40"/>
        <v>4067.3438669383736</v>
      </c>
      <c r="Q47" s="257">
        <f t="shared" si="40"/>
        <v>3962.2803075114884</v>
      </c>
      <c r="R47" s="257">
        <f t="shared" si="40"/>
        <v>3859.9306448881589</v>
      </c>
      <c r="S47" s="257">
        <f t="shared" si="40"/>
        <v>3760.2247764000526</v>
      </c>
      <c r="T47" s="257">
        <f t="shared" si="40"/>
        <v>3663.0944102008625</v>
      </c>
      <c r="U47" s="257">
        <f t="shared" si="40"/>
        <v>3568.473018490964</v>
      </c>
      <c r="V47" s="257">
        <f t="shared" si="40"/>
        <v>3476.2957919503237</v>
      </c>
      <c r="W47" s="88"/>
      <c r="X47" s="558"/>
      <c r="Y47" s="558"/>
      <c r="Z47" s="558"/>
      <c r="AA47" s="558"/>
      <c r="AB47" s="558"/>
      <c r="AC47" s="558"/>
      <c r="AD47" s="558"/>
      <c r="AE47" s="558"/>
      <c r="AF47" s="558"/>
      <c r="AG47" s="558"/>
      <c r="AH47" s="558"/>
      <c r="AI47" s="558"/>
      <c r="AJ47" s="558"/>
      <c r="AK47" s="558"/>
      <c r="AL47" s="558"/>
      <c r="AM47" s="558"/>
      <c r="AN47" s="558"/>
      <c r="AO47" s="558"/>
      <c r="AP47" s="558"/>
      <c r="AQ47" s="558"/>
      <c r="AR47" s="558"/>
      <c r="AS47" s="89"/>
      <c r="AT47" s="93"/>
      <c r="AU47" s="94"/>
      <c r="AV47" s="95"/>
      <c r="AW47" s="94"/>
      <c r="AX47" s="96"/>
      <c r="AY47" s="94"/>
      <c r="AZ47" s="95"/>
      <c r="BA47" s="96"/>
      <c r="BB47" s="93"/>
      <c r="BC47" s="89"/>
      <c r="BD47" s="89"/>
      <c r="BE47" s="89"/>
      <c r="BF47" s="89"/>
      <c r="BG47" s="89"/>
      <c r="BH47" s="89"/>
      <c r="BI47" s="89"/>
      <c r="BJ47" s="89"/>
    </row>
    <row r="48" spans="1:62" ht="18">
      <c r="A48" s="88"/>
      <c r="B48" s="209" t="s">
        <v>135</v>
      </c>
      <c r="C48" s="258" t="s">
        <v>112</v>
      </c>
      <c r="D48" s="270">
        <v>0</v>
      </c>
      <c r="E48" s="257">
        <v>0</v>
      </c>
      <c r="F48" s="257">
        <v>0</v>
      </c>
      <c r="G48" s="257">
        <v>0</v>
      </c>
      <c r="H48" s="257">
        <v>0</v>
      </c>
      <c r="I48" s="257">
        <v>0</v>
      </c>
      <c r="J48" s="257">
        <v>0</v>
      </c>
      <c r="K48" s="257">
        <v>0</v>
      </c>
      <c r="L48" s="257">
        <v>0</v>
      </c>
      <c r="M48" s="257">
        <v>0</v>
      </c>
      <c r="N48" s="257">
        <v>0</v>
      </c>
      <c r="O48" s="257">
        <v>0</v>
      </c>
      <c r="P48" s="257">
        <v>0</v>
      </c>
      <c r="Q48" s="257">
        <v>0</v>
      </c>
      <c r="R48" s="257">
        <v>0</v>
      </c>
      <c r="S48" s="257">
        <v>0</v>
      </c>
      <c r="T48" s="257">
        <v>0</v>
      </c>
      <c r="U48" s="257">
        <v>0</v>
      </c>
      <c r="V48" s="257">
        <v>0</v>
      </c>
      <c r="W48" s="88"/>
      <c r="X48" s="558"/>
      <c r="Y48" s="558"/>
      <c r="Z48" s="558"/>
      <c r="AA48" s="558"/>
      <c r="AB48" s="558"/>
      <c r="AC48" s="558"/>
      <c r="AD48" s="558"/>
      <c r="AE48" s="558"/>
      <c r="AF48" s="558"/>
      <c r="AG48" s="558"/>
      <c r="AH48" s="558"/>
      <c r="AI48" s="558"/>
      <c r="AJ48" s="558"/>
      <c r="AK48" s="558"/>
      <c r="AL48" s="558"/>
      <c r="AM48" s="558"/>
      <c r="AN48" s="558"/>
      <c r="AO48" s="558"/>
      <c r="AP48" s="558"/>
      <c r="AQ48" s="558"/>
      <c r="AR48" s="558"/>
      <c r="AS48" s="89"/>
      <c r="AT48" s="93"/>
      <c r="AU48" s="94"/>
      <c r="AV48" s="95"/>
      <c r="AW48" s="94"/>
      <c r="AX48" s="96"/>
      <c r="AY48" s="94"/>
      <c r="AZ48" s="97"/>
      <c r="BA48" s="96"/>
      <c r="BB48" s="93"/>
      <c r="BC48" s="89"/>
      <c r="BD48" s="89"/>
      <c r="BE48" s="89"/>
      <c r="BF48" s="89"/>
      <c r="BG48" s="89"/>
      <c r="BH48" s="89"/>
      <c r="BI48" s="89"/>
      <c r="BJ48" s="89"/>
    </row>
    <row r="49" spans="1:62" ht="18">
      <c r="A49" s="88"/>
      <c r="B49" s="259" t="s">
        <v>157</v>
      </c>
      <c r="C49" s="258" t="s">
        <v>162</v>
      </c>
      <c r="D49" s="271">
        <v>5.0000000000000001E-3</v>
      </c>
      <c r="E49" s="260">
        <v>5.0000000000000001E-3</v>
      </c>
      <c r="F49" s="260">
        <v>5.0000000000000001E-3</v>
      </c>
      <c r="G49" s="260">
        <v>5.0000000000000001E-3</v>
      </c>
      <c r="H49" s="260">
        <v>5.0000000000000001E-3</v>
      </c>
      <c r="I49" s="260">
        <v>5.0000000000000001E-3</v>
      </c>
      <c r="J49" s="260">
        <v>5.0000000000000001E-3</v>
      </c>
      <c r="K49" s="260">
        <v>5.0000000000000001E-3</v>
      </c>
      <c r="L49" s="260">
        <v>5.0000000000000001E-3</v>
      </c>
      <c r="M49" s="260">
        <v>5.0000000000000001E-3</v>
      </c>
      <c r="N49" s="260">
        <v>5.0000000000000001E-3</v>
      </c>
      <c r="O49" s="260">
        <v>5.0000000000000001E-3</v>
      </c>
      <c r="P49" s="260">
        <v>5.0000000000000001E-3</v>
      </c>
      <c r="Q49" s="260">
        <v>5.0000000000000001E-3</v>
      </c>
      <c r="R49" s="260">
        <v>5.0000000000000001E-3</v>
      </c>
      <c r="S49" s="260">
        <v>5.0000000000000001E-3</v>
      </c>
      <c r="T49" s="260">
        <v>5.0000000000000001E-3</v>
      </c>
      <c r="U49" s="260">
        <v>5.0000000000000001E-3</v>
      </c>
      <c r="V49" s="260">
        <v>5.0000000000000001E-3</v>
      </c>
      <c r="W49" s="88"/>
      <c r="X49" s="558"/>
      <c r="Y49" s="558"/>
      <c r="Z49" s="558"/>
      <c r="AA49" s="558"/>
      <c r="AB49" s="558"/>
      <c r="AC49" s="558"/>
      <c r="AD49" s="558"/>
      <c r="AE49" s="558"/>
      <c r="AF49" s="558"/>
      <c r="AG49" s="558"/>
      <c r="AH49" s="558"/>
      <c r="AI49" s="558"/>
      <c r="AJ49" s="558"/>
      <c r="AK49" s="558"/>
      <c r="AL49" s="558"/>
      <c r="AM49" s="558"/>
      <c r="AN49" s="558"/>
      <c r="AO49" s="558"/>
      <c r="AP49" s="558"/>
      <c r="AQ49" s="558"/>
      <c r="AR49" s="558"/>
      <c r="AS49" s="89"/>
      <c r="AT49" s="93"/>
      <c r="AU49" s="94"/>
      <c r="AV49" s="95"/>
      <c r="AW49" s="94"/>
      <c r="AX49" s="96"/>
      <c r="AY49" s="94"/>
      <c r="AZ49" s="97"/>
      <c r="BA49" s="96"/>
      <c r="BB49" s="93"/>
      <c r="BC49" s="89"/>
      <c r="BD49" s="89"/>
      <c r="BE49" s="89"/>
      <c r="BF49" s="89"/>
      <c r="BG49" s="89"/>
      <c r="BH49" s="89"/>
      <c r="BI49" s="89"/>
      <c r="BJ49" s="89"/>
    </row>
    <row r="50" spans="1:62" ht="15">
      <c r="A50" s="88"/>
      <c r="B50" s="261"/>
      <c r="C50" s="258" t="s">
        <v>111</v>
      </c>
      <c r="D50" s="272">
        <v>40</v>
      </c>
      <c r="E50" s="117">
        <f>D50</f>
        <v>40</v>
      </c>
      <c r="F50" s="117">
        <f t="shared" ref="F50:V50" si="41">E50</f>
        <v>40</v>
      </c>
      <c r="G50" s="117">
        <f t="shared" si="41"/>
        <v>40</v>
      </c>
      <c r="H50" s="117">
        <f t="shared" si="41"/>
        <v>40</v>
      </c>
      <c r="I50" s="117">
        <f t="shared" si="41"/>
        <v>40</v>
      </c>
      <c r="J50" s="117">
        <f t="shared" si="41"/>
        <v>40</v>
      </c>
      <c r="K50" s="117">
        <f t="shared" si="41"/>
        <v>40</v>
      </c>
      <c r="L50" s="117">
        <f t="shared" si="41"/>
        <v>40</v>
      </c>
      <c r="M50" s="117">
        <f t="shared" si="41"/>
        <v>40</v>
      </c>
      <c r="N50" s="117">
        <f t="shared" si="41"/>
        <v>40</v>
      </c>
      <c r="O50" s="117">
        <f t="shared" si="41"/>
        <v>40</v>
      </c>
      <c r="P50" s="117">
        <f t="shared" si="41"/>
        <v>40</v>
      </c>
      <c r="Q50" s="117">
        <f t="shared" si="41"/>
        <v>40</v>
      </c>
      <c r="R50" s="117">
        <f t="shared" si="41"/>
        <v>40</v>
      </c>
      <c r="S50" s="117">
        <f t="shared" si="41"/>
        <v>40</v>
      </c>
      <c r="T50" s="117">
        <f t="shared" si="41"/>
        <v>40</v>
      </c>
      <c r="U50" s="117">
        <f t="shared" si="41"/>
        <v>40</v>
      </c>
      <c r="V50" s="117">
        <f t="shared" si="41"/>
        <v>40</v>
      </c>
      <c r="W50" s="88"/>
      <c r="X50" s="558"/>
      <c r="Y50" s="558"/>
      <c r="Z50" s="558"/>
      <c r="AA50" s="558"/>
      <c r="AB50" s="558"/>
      <c r="AC50" s="558"/>
      <c r="AD50" s="558"/>
      <c r="AE50" s="558"/>
      <c r="AF50" s="558"/>
      <c r="AG50" s="558"/>
      <c r="AH50" s="558"/>
      <c r="AI50" s="558"/>
      <c r="AJ50" s="558"/>
      <c r="AK50" s="558"/>
      <c r="AL50" s="558"/>
      <c r="AM50" s="558"/>
      <c r="AN50" s="558"/>
      <c r="AO50" s="558"/>
      <c r="AP50" s="558"/>
      <c r="AQ50" s="558"/>
      <c r="AR50" s="558"/>
      <c r="AS50" s="89"/>
      <c r="AT50" s="93"/>
      <c r="AU50" s="94"/>
      <c r="AV50" s="95"/>
      <c r="AW50" s="94"/>
      <c r="AX50" s="96"/>
      <c r="AY50" s="94"/>
      <c r="AZ50" s="95"/>
      <c r="BA50" s="96"/>
      <c r="BB50" s="93"/>
      <c r="BC50" s="89"/>
      <c r="BD50" s="89"/>
      <c r="BE50" s="89"/>
      <c r="BF50" s="89"/>
      <c r="BG50" s="89"/>
      <c r="BH50" s="89"/>
      <c r="BI50" s="89"/>
      <c r="BJ50" s="89"/>
    </row>
    <row r="51" spans="1:62" ht="15" thickBot="1">
      <c r="A51" s="88"/>
      <c r="B51" s="129"/>
      <c r="C51" s="262" t="s">
        <v>194</v>
      </c>
      <c r="D51" s="273">
        <v>11.28</v>
      </c>
      <c r="E51" s="274">
        <f>D51</f>
        <v>11.28</v>
      </c>
      <c r="F51" s="274">
        <f t="shared" ref="F51:V51" si="42">E51</f>
        <v>11.28</v>
      </c>
      <c r="G51" s="274">
        <f t="shared" si="42"/>
        <v>11.28</v>
      </c>
      <c r="H51" s="274">
        <f t="shared" si="42"/>
        <v>11.28</v>
      </c>
      <c r="I51" s="274">
        <f t="shared" si="42"/>
        <v>11.28</v>
      </c>
      <c r="J51" s="274">
        <f t="shared" si="42"/>
        <v>11.28</v>
      </c>
      <c r="K51" s="274">
        <f t="shared" si="42"/>
        <v>11.28</v>
      </c>
      <c r="L51" s="274">
        <f t="shared" si="42"/>
        <v>11.28</v>
      </c>
      <c r="M51" s="274">
        <f t="shared" si="42"/>
        <v>11.28</v>
      </c>
      <c r="N51" s="274">
        <f t="shared" si="42"/>
        <v>11.28</v>
      </c>
      <c r="O51" s="274">
        <f t="shared" si="42"/>
        <v>11.28</v>
      </c>
      <c r="P51" s="274">
        <f t="shared" si="42"/>
        <v>11.28</v>
      </c>
      <c r="Q51" s="274">
        <f t="shared" si="42"/>
        <v>11.28</v>
      </c>
      <c r="R51" s="274">
        <f t="shared" si="42"/>
        <v>11.28</v>
      </c>
      <c r="S51" s="274">
        <f t="shared" si="42"/>
        <v>11.28</v>
      </c>
      <c r="T51" s="274">
        <f t="shared" si="42"/>
        <v>11.28</v>
      </c>
      <c r="U51" s="274">
        <f t="shared" si="42"/>
        <v>11.28</v>
      </c>
      <c r="V51" s="274">
        <f t="shared" si="42"/>
        <v>11.28</v>
      </c>
      <c r="W51" s="88"/>
      <c r="X51" s="558"/>
      <c r="Y51" s="558"/>
      <c r="Z51" s="558"/>
      <c r="AA51" s="558"/>
      <c r="AB51" s="558"/>
      <c r="AC51" s="558"/>
      <c r="AD51" s="558"/>
      <c r="AE51" s="558"/>
      <c r="AF51" s="558"/>
      <c r="AG51" s="558"/>
      <c r="AH51" s="558"/>
      <c r="AI51" s="558"/>
      <c r="AJ51" s="558"/>
      <c r="AK51" s="558"/>
      <c r="AL51" s="558"/>
      <c r="AM51" s="558"/>
      <c r="AN51" s="558"/>
      <c r="AO51" s="558"/>
      <c r="AP51" s="558"/>
      <c r="AQ51" s="558"/>
      <c r="AR51" s="558"/>
      <c r="AS51" s="89"/>
      <c r="AT51" s="93"/>
      <c r="AU51" s="94"/>
      <c r="AV51" s="95"/>
      <c r="AW51" s="94"/>
      <c r="AX51" s="96"/>
      <c r="AY51" s="94"/>
      <c r="AZ51" s="95"/>
      <c r="BA51" s="96"/>
      <c r="BB51" s="93"/>
      <c r="BC51" s="89"/>
      <c r="BD51" s="89"/>
      <c r="BE51" s="89"/>
      <c r="BF51" s="89"/>
      <c r="BG51" s="89"/>
      <c r="BH51" s="89"/>
      <c r="BI51" s="89"/>
      <c r="BJ51" s="89"/>
    </row>
    <row r="52" spans="1:62">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9"/>
      <c r="AK52" s="89"/>
      <c r="AL52" s="89"/>
      <c r="AM52" s="89"/>
      <c r="AN52" s="89"/>
      <c r="AO52" s="89"/>
      <c r="AP52" s="89"/>
      <c r="AQ52" s="89"/>
      <c r="AR52" s="89"/>
      <c r="AS52" s="89"/>
      <c r="AT52" s="93"/>
      <c r="AU52" s="94"/>
      <c r="AV52" s="95"/>
      <c r="AW52" s="94"/>
      <c r="AX52" s="96"/>
      <c r="AY52" s="94"/>
      <c r="AZ52" s="95"/>
      <c r="BA52" s="96"/>
      <c r="BB52" s="93"/>
      <c r="BC52" s="89"/>
      <c r="BD52" s="89"/>
      <c r="BE52" s="89"/>
      <c r="BF52" s="89"/>
      <c r="BG52" s="89"/>
      <c r="BH52" s="89"/>
      <c r="BI52" s="89"/>
      <c r="BJ52" s="89"/>
    </row>
    <row r="53" spans="1:62">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9"/>
      <c r="AK53" s="89"/>
      <c r="AL53" s="89"/>
      <c r="AM53" s="89"/>
      <c r="AN53" s="89"/>
      <c r="AO53" s="89"/>
      <c r="AP53" s="89"/>
      <c r="AQ53" s="89"/>
      <c r="AR53" s="89"/>
      <c r="AS53" s="89"/>
      <c r="AT53" s="93"/>
      <c r="AU53" s="94"/>
      <c r="AV53" s="95"/>
      <c r="AW53" s="94"/>
      <c r="AX53" s="96"/>
      <c r="AY53" s="94"/>
      <c r="AZ53" s="95"/>
      <c r="BA53" s="96"/>
      <c r="BB53" s="93"/>
      <c r="BC53" s="89"/>
      <c r="BD53" s="89"/>
      <c r="BE53" s="89"/>
      <c r="BF53" s="89"/>
      <c r="BG53" s="89"/>
      <c r="BH53" s="89"/>
      <c r="BI53" s="89"/>
      <c r="BJ53" s="89"/>
    </row>
    <row r="54" spans="1:62">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9"/>
      <c r="AK54" s="89"/>
      <c r="AL54" s="89"/>
      <c r="AM54" s="89"/>
      <c r="AN54" s="89"/>
      <c r="AO54" s="89"/>
      <c r="AP54" s="89"/>
      <c r="AQ54" s="89"/>
      <c r="AR54" s="89"/>
      <c r="AS54" s="89"/>
      <c r="AT54" s="93"/>
      <c r="AU54" s="94"/>
      <c r="AV54" s="95"/>
      <c r="AW54" s="94"/>
      <c r="AX54" s="96"/>
      <c r="AY54" s="94"/>
      <c r="AZ54" s="95"/>
      <c r="BA54" s="96"/>
      <c r="BB54" s="93"/>
      <c r="BC54" s="89"/>
      <c r="BD54" s="89"/>
      <c r="BE54" s="89"/>
      <c r="BF54" s="89"/>
      <c r="BG54" s="89"/>
      <c r="BH54" s="89"/>
      <c r="BI54" s="89"/>
      <c r="BJ54" s="89"/>
    </row>
    <row r="55" spans="1:62">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9"/>
      <c r="AK55" s="89"/>
      <c r="AL55" s="89"/>
      <c r="AM55" s="89"/>
      <c r="AN55" s="89"/>
      <c r="AO55" s="89"/>
      <c r="AP55" s="89"/>
      <c r="AQ55" s="89"/>
      <c r="AR55" s="89"/>
      <c r="AS55" s="89"/>
      <c r="AT55" s="93"/>
      <c r="AU55" s="94"/>
      <c r="AV55" s="95"/>
      <c r="AW55" s="94"/>
      <c r="AX55" s="96"/>
      <c r="AY55" s="94"/>
      <c r="AZ55" s="95"/>
      <c r="BA55" s="96"/>
      <c r="BB55" s="93"/>
      <c r="BC55" s="89"/>
      <c r="BD55" s="89"/>
      <c r="BE55" s="89"/>
      <c r="BF55" s="89"/>
      <c r="BG55" s="89"/>
      <c r="BH55" s="89"/>
      <c r="BI55" s="89"/>
      <c r="BJ55" s="89"/>
    </row>
    <row r="56" spans="1:62">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9"/>
      <c r="AK56" s="89"/>
      <c r="AL56" s="89"/>
      <c r="AM56" s="89"/>
      <c r="AN56" s="89"/>
      <c r="AO56" s="89"/>
      <c r="AP56" s="89"/>
      <c r="AQ56" s="89"/>
      <c r="AR56" s="89"/>
      <c r="AS56" s="89"/>
      <c r="AT56" s="93"/>
      <c r="AU56" s="94"/>
      <c r="AV56" s="95"/>
      <c r="AW56" s="94"/>
      <c r="AX56" s="96"/>
      <c r="AY56" s="94"/>
      <c r="AZ56" s="95"/>
      <c r="BA56" s="96"/>
      <c r="BB56" s="93"/>
      <c r="BC56" s="89"/>
      <c r="BD56" s="89"/>
      <c r="BE56" s="89"/>
      <c r="BF56" s="89"/>
      <c r="BG56" s="89"/>
      <c r="BH56" s="89"/>
      <c r="BI56" s="89"/>
      <c r="BJ56" s="89"/>
    </row>
    <row r="57" spans="1:62">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9"/>
      <c r="AK57" s="89"/>
      <c r="AL57" s="89"/>
      <c r="AM57" s="89"/>
      <c r="AN57" s="89"/>
      <c r="AO57" s="89"/>
      <c r="AP57" s="89"/>
      <c r="AQ57" s="89"/>
      <c r="AR57" s="89"/>
      <c r="AS57" s="89"/>
      <c r="AT57" s="93"/>
      <c r="AU57" s="94"/>
      <c r="AV57" s="95"/>
      <c r="AW57" s="94"/>
      <c r="AX57" s="96"/>
      <c r="AY57" s="94"/>
      <c r="AZ57" s="95"/>
      <c r="BA57" s="96"/>
      <c r="BB57" s="93"/>
      <c r="BC57" s="89"/>
      <c r="BD57" s="89"/>
      <c r="BE57" s="89"/>
      <c r="BF57" s="89"/>
      <c r="BG57" s="89"/>
      <c r="BH57" s="89"/>
      <c r="BI57" s="89"/>
      <c r="BJ57" s="89"/>
    </row>
    <row r="58" spans="1:62">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9"/>
      <c r="AK58" s="89"/>
      <c r="AL58" s="89"/>
      <c r="AM58" s="89"/>
      <c r="AN58" s="89"/>
      <c r="AO58" s="89"/>
      <c r="AP58" s="89"/>
      <c r="AQ58" s="89"/>
      <c r="AR58" s="89"/>
      <c r="AS58" s="89"/>
      <c r="AT58" s="93"/>
      <c r="AU58" s="94"/>
      <c r="AV58" s="95"/>
      <c r="AW58" s="94"/>
      <c r="AX58" s="96"/>
      <c r="AY58" s="94"/>
      <c r="AZ58" s="95"/>
      <c r="BA58" s="96"/>
      <c r="BB58" s="93"/>
      <c r="BC58" s="89"/>
      <c r="BD58" s="89"/>
      <c r="BE58" s="89"/>
      <c r="BF58" s="89"/>
      <c r="BG58" s="89"/>
      <c r="BH58" s="89"/>
      <c r="BI58" s="89"/>
      <c r="BJ58" s="89"/>
    </row>
    <row r="59" spans="1:62">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9"/>
      <c r="AK59" s="89"/>
      <c r="AL59" s="89"/>
      <c r="AM59" s="89"/>
      <c r="AN59" s="89"/>
      <c r="AO59" s="89"/>
      <c r="AP59" s="89"/>
      <c r="AQ59" s="89"/>
      <c r="AR59" s="89"/>
      <c r="AS59" s="89"/>
      <c r="AT59" s="93"/>
      <c r="AU59" s="94"/>
      <c r="AV59" s="95"/>
      <c r="AW59" s="94"/>
      <c r="AX59" s="96"/>
      <c r="AY59" s="94"/>
      <c r="AZ59" s="95"/>
      <c r="BA59" s="96"/>
      <c r="BB59" s="93"/>
      <c r="BC59" s="89"/>
      <c r="BD59" s="89"/>
      <c r="BE59" s="89"/>
      <c r="BF59" s="89"/>
      <c r="BG59" s="89"/>
      <c r="BH59" s="89"/>
      <c r="BI59" s="89"/>
      <c r="BJ59" s="89"/>
    </row>
    <row r="60" spans="1:62">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9"/>
      <c r="AK60" s="89"/>
      <c r="AL60" s="89"/>
      <c r="AM60" s="89"/>
      <c r="AN60" s="89"/>
      <c r="AO60" s="89"/>
      <c r="AP60" s="89"/>
      <c r="AQ60" s="89"/>
      <c r="AR60" s="89"/>
      <c r="AS60" s="89"/>
      <c r="AT60" s="93"/>
      <c r="AU60" s="94"/>
      <c r="AV60" s="95"/>
      <c r="AW60" s="94"/>
      <c r="AX60" s="96"/>
      <c r="AY60" s="94"/>
      <c r="AZ60" s="95"/>
      <c r="BA60" s="96"/>
      <c r="BB60" s="93"/>
      <c r="BC60" s="89"/>
      <c r="BD60" s="89"/>
      <c r="BE60" s="89"/>
      <c r="BF60" s="89"/>
      <c r="BG60" s="89"/>
      <c r="BH60" s="89"/>
      <c r="BI60" s="89"/>
      <c r="BJ60" s="89"/>
    </row>
    <row r="61" spans="1:62">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9"/>
      <c r="AK61" s="89"/>
      <c r="AL61" s="89"/>
      <c r="AM61" s="89"/>
      <c r="AN61" s="89"/>
      <c r="AO61" s="89"/>
      <c r="AP61" s="89"/>
      <c r="AQ61" s="89"/>
      <c r="AR61" s="89"/>
      <c r="AS61" s="89"/>
      <c r="AT61" s="93"/>
      <c r="AU61" s="94"/>
      <c r="AV61" s="95"/>
      <c r="AW61" s="94"/>
      <c r="AX61" s="96"/>
      <c r="AY61" s="94"/>
      <c r="AZ61" s="95"/>
      <c r="BA61" s="96"/>
      <c r="BB61" s="93"/>
      <c r="BC61" s="89"/>
      <c r="BD61" s="89"/>
      <c r="BE61" s="89"/>
      <c r="BF61" s="89"/>
      <c r="BG61" s="89"/>
      <c r="BH61" s="89"/>
      <c r="BI61" s="89"/>
      <c r="BJ61" s="89"/>
    </row>
    <row r="62" spans="1:62">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9"/>
      <c r="AK62" s="89"/>
      <c r="AL62" s="89"/>
      <c r="AM62" s="89"/>
      <c r="AN62" s="89"/>
      <c r="AO62" s="89"/>
      <c r="AP62" s="89"/>
      <c r="AQ62" s="89"/>
      <c r="AR62" s="89"/>
      <c r="AS62" s="89"/>
      <c r="AT62" s="93"/>
      <c r="AU62" s="94"/>
      <c r="AV62" s="95"/>
      <c r="AW62" s="94"/>
      <c r="AX62" s="96"/>
      <c r="AY62" s="94"/>
      <c r="AZ62" s="95"/>
      <c r="BA62" s="96"/>
      <c r="BB62" s="93"/>
      <c r="BC62" s="89"/>
      <c r="BD62" s="89"/>
      <c r="BE62" s="89"/>
      <c r="BF62" s="89"/>
      <c r="BG62" s="89"/>
      <c r="BH62" s="89"/>
      <c r="BI62" s="89"/>
      <c r="BJ62" s="89"/>
    </row>
    <row r="63" spans="1:62">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9"/>
      <c r="AK63" s="89"/>
      <c r="AL63" s="89"/>
      <c r="AM63" s="89"/>
      <c r="AN63" s="89"/>
      <c r="AO63" s="89"/>
      <c r="AP63" s="89"/>
      <c r="AQ63" s="89"/>
      <c r="AR63" s="89"/>
      <c r="AS63" s="89"/>
      <c r="AT63" s="93"/>
      <c r="AU63" s="94"/>
      <c r="AV63" s="94"/>
      <c r="AW63" s="94"/>
      <c r="AX63" s="94"/>
      <c r="AY63" s="94"/>
      <c r="AZ63" s="95"/>
      <c r="BA63" s="96"/>
      <c r="BB63" s="93"/>
      <c r="BC63" s="89"/>
      <c r="BD63" s="89"/>
      <c r="BE63" s="89"/>
      <c r="BF63" s="89"/>
      <c r="BG63" s="89"/>
      <c r="BH63" s="89"/>
      <c r="BI63" s="89"/>
      <c r="BJ63" s="89"/>
    </row>
    <row r="64" spans="1:62">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9"/>
      <c r="AK64" s="89"/>
      <c r="AL64" s="89"/>
      <c r="AM64" s="89"/>
      <c r="AN64" s="89"/>
      <c r="AO64" s="89"/>
      <c r="AP64" s="89"/>
      <c r="AQ64" s="89"/>
      <c r="AR64" s="89"/>
      <c r="AS64" s="89"/>
      <c r="AT64" s="93"/>
      <c r="AU64" s="94"/>
      <c r="AV64" s="94"/>
      <c r="AW64" s="94"/>
      <c r="AX64" s="94"/>
      <c r="AY64" s="94"/>
      <c r="AZ64" s="95"/>
      <c r="BA64" s="96"/>
      <c r="BB64" s="93"/>
      <c r="BC64" s="89"/>
      <c r="BD64" s="89"/>
      <c r="BE64" s="89"/>
      <c r="BF64" s="89"/>
      <c r="BG64" s="89"/>
      <c r="BH64" s="89"/>
      <c r="BI64" s="89"/>
      <c r="BJ64" s="89"/>
    </row>
    <row r="65" spans="1:6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9"/>
      <c r="AK65" s="89"/>
      <c r="AL65" s="89"/>
      <c r="AM65" s="89"/>
      <c r="AN65" s="89"/>
      <c r="AO65" s="89"/>
      <c r="AP65" s="89"/>
      <c r="AQ65" s="89"/>
      <c r="AR65" s="89"/>
      <c r="AS65" s="89"/>
      <c r="AT65" s="93"/>
      <c r="AU65" s="94"/>
      <c r="AV65" s="94"/>
      <c r="AW65" s="94"/>
      <c r="AX65" s="94"/>
      <c r="AY65" s="94"/>
      <c r="AZ65" s="95"/>
      <c r="BA65" s="96"/>
      <c r="BB65" s="93"/>
      <c r="BC65" s="89"/>
      <c r="BD65" s="89"/>
      <c r="BE65" s="89"/>
      <c r="BF65" s="89"/>
      <c r="BG65" s="89"/>
      <c r="BH65" s="89"/>
      <c r="BI65" s="89"/>
      <c r="BJ65" s="89"/>
    </row>
    <row r="66" spans="1:6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9"/>
      <c r="AK66" s="89"/>
      <c r="AL66" s="89"/>
      <c r="AM66" s="89"/>
      <c r="AN66" s="89"/>
      <c r="AO66" s="89"/>
      <c r="AP66" s="89"/>
      <c r="AQ66" s="89"/>
      <c r="AR66" s="89"/>
      <c r="AS66" s="89"/>
      <c r="AT66" s="93"/>
      <c r="AU66" s="94"/>
      <c r="AV66" s="94"/>
      <c r="AW66" s="94"/>
      <c r="AX66" s="94"/>
      <c r="AY66" s="94"/>
      <c r="AZ66" s="95"/>
      <c r="BA66" s="96"/>
      <c r="BB66" s="93"/>
      <c r="BC66" s="89"/>
      <c r="BD66" s="89"/>
      <c r="BE66" s="89"/>
      <c r="BF66" s="89"/>
      <c r="BG66" s="89"/>
      <c r="BH66" s="89"/>
      <c r="BI66" s="89"/>
      <c r="BJ66" s="89"/>
    </row>
    <row r="67" spans="1:6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9"/>
      <c r="AK67" s="89"/>
      <c r="AL67" s="89"/>
      <c r="AM67" s="89"/>
      <c r="AN67" s="89"/>
      <c r="AO67" s="89"/>
      <c r="AP67" s="89"/>
      <c r="AQ67" s="89"/>
      <c r="AR67" s="89"/>
      <c r="AS67" s="89"/>
      <c r="AT67" s="93"/>
      <c r="AU67" s="94"/>
      <c r="AV67" s="94"/>
      <c r="AW67" s="94"/>
      <c r="AX67" s="94"/>
      <c r="AY67" s="94"/>
      <c r="AZ67" s="95"/>
      <c r="BA67" s="96"/>
      <c r="BB67" s="93"/>
      <c r="BC67" s="89"/>
      <c r="BD67" s="89"/>
      <c r="BE67" s="89"/>
      <c r="BF67" s="89"/>
      <c r="BG67" s="89"/>
      <c r="BH67" s="89"/>
      <c r="BI67" s="89"/>
      <c r="BJ67" s="89"/>
    </row>
    <row r="68" spans="1:6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9"/>
      <c r="AK68" s="89"/>
      <c r="AL68" s="89"/>
      <c r="AM68" s="89"/>
      <c r="AN68" s="89"/>
      <c r="AO68" s="89"/>
      <c r="AP68" s="89"/>
      <c r="AQ68" s="89"/>
      <c r="AR68" s="89"/>
      <c r="AS68" s="89"/>
      <c r="AT68" s="93"/>
      <c r="AU68" s="94"/>
      <c r="AV68" s="94"/>
      <c r="AW68" s="94"/>
      <c r="AX68" s="94"/>
      <c r="AY68" s="94"/>
      <c r="AZ68" s="95"/>
      <c r="BA68" s="96"/>
      <c r="BB68" s="93"/>
      <c r="BC68" s="89"/>
      <c r="BD68" s="89"/>
      <c r="BE68" s="89"/>
      <c r="BF68" s="89"/>
      <c r="BG68" s="89"/>
      <c r="BH68" s="89"/>
      <c r="BI68" s="89"/>
      <c r="BJ68" s="89"/>
    </row>
    <row r="69" spans="1:6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9"/>
      <c r="AK70" s="89"/>
      <c r="AL70" s="89"/>
      <c r="AM70" s="89"/>
      <c r="AN70" s="89"/>
      <c r="AO70" s="89"/>
      <c r="AP70" s="89"/>
      <c r="AQ70" s="89"/>
      <c r="AR70" s="89"/>
      <c r="AS70" s="89"/>
      <c r="AT70" s="89"/>
      <c r="AU70" s="90"/>
      <c r="AV70" s="90"/>
      <c r="AW70" s="90"/>
      <c r="AX70" s="90"/>
      <c r="AY70" s="94"/>
      <c r="AZ70" s="95"/>
      <c r="BA70" s="96"/>
      <c r="BB70" s="93"/>
      <c r="BC70" s="89"/>
      <c r="BD70" s="89"/>
      <c r="BE70" s="89"/>
      <c r="BF70" s="89"/>
      <c r="BG70" s="89"/>
      <c r="BH70" s="89"/>
      <c r="BI70" s="89"/>
      <c r="BJ70" s="89"/>
    </row>
    <row r="71" spans="1:6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9"/>
      <c r="AK71" s="89"/>
      <c r="AL71" s="89"/>
      <c r="AM71" s="89"/>
      <c r="AN71" s="89"/>
      <c r="AO71" s="89"/>
      <c r="AP71" s="89"/>
      <c r="AQ71" s="89"/>
      <c r="AR71" s="89"/>
      <c r="AS71" s="89"/>
      <c r="AT71" s="89"/>
      <c r="AU71" s="90"/>
      <c r="AV71" s="90"/>
      <c r="AW71" s="90"/>
      <c r="AX71" s="90"/>
      <c r="AY71" s="94"/>
      <c r="AZ71" s="95"/>
      <c r="BA71" s="96"/>
      <c r="BB71" s="93"/>
      <c r="BC71" s="89"/>
      <c r="BD71" s="89"/>
      <c r="BE71" s="89"/>
      <c r="BF71" s="89"/>
      <c r="BG71" s="89"/>
      <c r="BH71" s="89"/>
      <c r="BI71" s="89"/>
      <c r="BJ71" s="89"/>
    </row>
    <row r="72" spans="1:6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9"/>
      <c r="AK72" s="89"/>
      <c r="AL72" s="89"/>
      <c r="AM72" s="89"/>
      <c r="AN72" s="89"/>
      <c r="AO72" s="89"/>
      <c r="AP72" s="89"/>
      <c r="AQ72" s="89"/>
      <c r="AR72" s="89"/>
      <c r="AS72" s="89"/>
      <c r="AT72" s="89"/>
      <c r="AU72" s="90"/>
      <c r="AV72" s="90"/>
      <c r="AW72" s="90"/>
      <c r="AX72" s="90"/>
      <c r="AY72" s="94"/>
      <c r="AZ72" s="95"/>
      <c r="BA72" s="96"/>
      <c r="BB72" s="93"/>
      <c r="BC72" s="89"/>
      <c r="BD72" s="89"/>
      <c r="BE72" s="89"/>
      <c r="BF72" s="89"/>
      <c r="BG72" s="89"/>
      <c r="BH72" s="89"/>
      <c r="BI72" s="89"/>
      <c r="BJ72" s="89"/>
    </row>
    <row r="73" spans="1:6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98"/>
      <c r="AD622" s="98"/>
      <c r="AE622" s="98"/>
      <c r="AF622" s="98"/>
      <c r="AG622" s="98"/>
      <c r="AH622" s="98"/>
      <c r="AI622" s="98"/>
    </row>
    <row r="623" spans="1:35">
      <c r="A623" s="9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98"/>
      <c r="AD623" s="98"/>
      <c r="AE623" s="98"/>
      <c r="AF623" s="98"/>
      <c r="AG623" s="98"/>
      <c r="AH623" s="98"/>
      <c r="AI623" s="98"/>
    </row>
    <row r="624" spans="1:35">
      <c r="A624" s="9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98"/>
      <c r="AD624" s="98"/>
      <c r="AE624" s="98"/>
      <c r="AF624" s="98"/>
      <c r="AG624" s="98"/>
      <c r="AH624" s="98"/>
      <c r="AI624" s="98"/>
    </row>
    <row r="625" spans="1:35">
      <c r="A625" s="9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98"/>
      <c r="AD625" s="98"/>
      <c r="AE625" s="98"/>
      <c r="AF625" s="98"/>
      <c r="AG625" s="98"/>
      <c r="AH625" s="98"/>
      <c r="AI625" s="98"/>
    </row>
    <row r="626" spans="1:35">
      <c r="A626" s="98"/>
      <c r="B626" s="98"/>
      <c r="C626" s="88"/>
      <c r="D626" s="88"/>
      <c r="E626" s="88"/>
      <c r="F626" s="88"/>
      <c r="G626" s="88"/>
      <c r="H626" s="88"/>
      <c r="I626" s="88"/>
      <c r="J626" s="88"/>
      <c r="K626" s="88"/>
      <c r="L626" s="88"/>
      <c r="M626" s="88"/>
      <c r="N626" s="88"/>
      <c r="O626" s="88"/>
      <c r="P626" s="88"/>
      <c r="Q626" s="88"/>
      <c r="R626" s="88"/>
      <c r="S626" s="88"/>
      <c r="T626" s="88"/>
      <c r="U626" s="88"/>
      <c r="V626" s="88"/>
      <c r="W626" s="88"/>
      <c r="X626" s="88"/>
      <c r="Y626" s="98"/>
      <c r="Z626" s="98"/>
      <c r="AA626" s="98"/>
      <c r="AB626" s="98"/>
      <c r="AC626" s="98"/>
      <c r="AD626" s="98"/>
      <c r="AE626" s="98"/>
      <c r="AF626" s="98"/>
      <c r="AG626" s="98"/>
      <c r="AH626" s="98"/>
      <c r="AI626" s="98"/>
    </row>
    <row r="627" spans="1:35">
      <c r="A627" s="98"/>
      <c r="B627" s="98"/>
      <c r="C627" s="88"/>
      <c r="D627" s="88"/>
      <c r="E627" s="88"/>
      <c r="F627" s="88"/>
      <c r="G627" s="88"/>
      <c r="H627" s="88"/>
      <c r="I627" s="88"/>
      <c r="J627" s="88"/>
      <c r="K627" s="88"/>
      <c r="L627" s="88"/>
      <c r="M627" s="88"/>
      <c r="N627" s="88"/>
      <c r="O627" s="88"/>
      <c r="P627" s="88"/>
      <c r="Q627" s="88"/>
      <c r="R627" s="88"/>
      <c r="S627" s="88"/>
      <c r="T627" s="88"/>
      <c r="U627" s="88"/>
      <c r="V627" s="88"/>
      <c r="W627" s="88"/>
      <c r="X627" s="8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A794" s="98"/>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c r="AE794" s="98"/>
      <c r="AF794" s="98"/>
      <c r="AG794" s="98"/>
      <c r="AH794" s="98"/>
      <c r="AI794" s="98"/>
    </row>
    <row r="795" spans="1:35">
      <c r="A795" s="98"/>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row>
    <row r="796" spans="1:35">
      <c r="A796" s="98"/>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c r="AE796" s="98"/>
      <c r="AF796" s="98"/>
      <c r="AG796" s="98"/>
      <c r="AH796" s="98"/>
      <c r="AI796" s="98"/>
    </row>
    <row r="797" spans="1:35">
      <c r="A797" s="98"/>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c r="AE797" s="98"/>
      <c r="AF797" s="98"/>
      <c r="AG797" s="98"/>
      <c r="AH797" s="98"/>
      <c r="AI797" s="98"/>
    </row>
    <row r="798" spans="1:35">
      <c r="C798" s="98"/>
      <c r="D798" s="98"/>
      <c r="E798" s="98"/>
      <c r="F798" s="98"/>
      <c r="G798" s="98"/>
      <c r="H798" s="98"/>
      <c r="I798" s="98"/>
      <c r="J798" s="98"/>
      <c r="K798" s="98"/>
      <c r="L798" s="98"/>
      <c r="M798" s="98"/>
      <c r="N798" s="98"/>
      <c r="O798" s="98"/>
      <c r="P798" s="98"/>
      <c r="Q798" s="98"/>
      <c r="R798" s="98"/>
      <c r="S798" s="98"/>
      <c r="T798" s="98"/>
      <c r="U798" s="98"/>
      <c r="V798" s="98"/>
      <c r="W798" s="98"/>
      <c r="X798" s="98"/>
    </row>
    <row r="799" spans="1:35">
      <c r="C799" s="98"/>
      <c r="D799" s="98"/>
      <c r="E799" s="98"/>
      <c r="F799" s="98"/>
      <c r="G799" s="98"/>
      <c r="H799" s="98"/>
      <c r="I799" s="98"/>
      <c r="J799" s="98"/>
      <c r="K799" s="98"/>
      <c r="L799" s="98"/>
      <c r="M799" s="98"/>
      <c r="N799" s="98"/>
      <c r="O799" s="98"/>
      <c r="P799" s="98"/>
      <c r="Q799" s="98"/>
      <c r="R799" s="98"/>
      <c r="S799" s="98"/>
      <c r="T799" s="98"/>
      <c r="U799" s="98"/>
      <c r="V799" s="98"/>
      <c r="W799" s="98"/>
      <c r="X799" s="98"/>
    </row>
  </sheetData>
  <mergeCells count="1">
    <mergeCell ref="X46:AR51"/>
  </mergeCells>
  <phoneticPr fontId="4" type="noConversion"/>
  <dataValidations count="7">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 type="list" allowBlank="1" showInputMessage="1" showErrorMessage="1" sqref="I6">
      <formula1>"No Cost Improvement,Conservative,Reference,Aggressive"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EnterCosts.EnterCosts">
                <anchor moveWithCells="1" sizeWithCells="1">
                  <from>
                    <xdr:col>7</xdr:col>
                    <xdr:colOff>1498600</xdr:colOff>
                    <xdr:row>6</xdr:row>
                    <xdr:rowOff>50800</xdr:rowOff>
                  </from>
                  <to>
                    <xdr:col>9</xdr:col>
                    <xdr:colOff>63500</xdr:colOff>
                    <xdr:row>7</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7" zoomScale="70" zoomScaleNormal="70" zoomScalePageLayoutView="70" workbookViewId="0">
      <selection activeCell="B8" sqref="B8:B18"/>
    </sheetView>
  </sheetViews>
  <sheetFormatPr baseColWidth="10" defaultColWidth="9.1640625" defaultRowHeight="14" x14ac:dyDescent="0"/>
  <cols>
    <col min="1" max="1" width="4.83203125" style="91" customWidth="1"/>
    <col min="2" max="2" width="17.83203125" style="91" customWidth="1"/>
    <col min="3" max="6" width="13.1640625" style="91" customWidth="1"/>
    <col min="7" max="7" width="8.5" style="91" customWidth="1"/>
    <col min="8" max="8" width="7.6640625" style="91" customWidth="1"/>
    <col min="9" max="9" width="7.83203125" style="91" customWidth="1"/>
    <col min="10" max="10" width="14.83203125" style="91" customWidth="1"/>
    <col min="11" max="11" width="7" style="91" customWidth="1"/>
    <col min="12" max="12" width="7.5" style="91" customWidth="1"/>
    <col min="13" max="13" width="6.83203125" style="91" customWidth="1"/>
    <col min="14" max="14" width="6.5" style="91" customWidth="1"/>
    <col min="15" max="15" width="12.6640625" style="91" customWidth="1"/>
    <col min="16" max="18" width="6.5" style="91" customWidth="1"/>
    <col min="19" max="19" width="6.6640625" style="91" customWidth="1"/>
    <col min="20" max="20" width="7" style="91" customWidth="1"/>
    <col min="21" max="21" width="6.5" style="91" customWidth="1"/>
    <col min="22" max="23" width="6.6640625" style="91" customWidth="1"/>
    <col min="24" max="24" width="6.83203125" style="91" customWidth="1"/>
    <col min="25" max="25" width="6.6640625" style="91" customWidth="1"/>
    <col min="26" max="26" width="6.5" style="91" customWidth="1"/>
    <col min="27" max="27" width="18.83203125" style="91" customWidth="1"/>
    <col min="28" max="28" width="70" style="91" customWidth="1"/>
    <col min="29" max="29" width="6.33203125" style="91" customWidth="1"/>
    <col min="30" max="33" width="5.5" style="91" customWidth="1"/>
    <col min="34" max="44" width="9.5" style="91" bestFit="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33" customHeight="1">
      <c r="A2" s="88"/>
      <c r="B2" s="88"/>
      <c r="C2" s="88"/>
      <c r="D2" s="199" t="s">
        <v>156</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89"/>
      <c r="AO2" s="89"/>
      <c r="AP2" s="89"/>
      <c r="AQ2" s="89"/>
      <c r="AR2" s="89"/>
      <c r="AS2" s="89"/>
      <c r="AT2" s="89"/>
      <c r="AU2" s="90"/>
      <c r="AV2" s="90"/>
      <c r="AW2" s="90"/>
      <c r="AX2" s="90"/>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c r="DQ2" s="89"/>
    </row>
    <row r="3" spans="1:121" ht="29.25" customHeight="1">
      <c r="A3" s="88"/>
      <c r="B3" s="188" t="s">
        <v>178</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88"/>
      <c r="AF3" s="88"/>
      <c r="AG3" s="88"/>
      <c r="AH3" s="88"/>
      <c r="AI3" s="88"/>
      <c r="AJ3" s="89"/>
      <c r="AK3" s="89"/>
      <c r="AL3" s="89"/>
      <c r="AM3" s="89"/>
      <c r="AN3" s="89"/>
      <c r="AO3" s="89"/>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4.75" customHeight="1">
      <c r="A4" s="88"/>
      <c r="B4" s="188"/>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88"/>
      <c r="AE4" s="88"/>
      <c r="AF4" s="88"/>
      <c r="AG4" s="88"/>
      <c r="AH4" s="88"/>
      <c r="AI4" s="88"/>
      <c r="AJ4" s="89"/>
      <c r="AK4" s="89"/>
      <c r="AL4" s="89"/>
      <c r="AM4" s="89"/>
      <c r="AN4" s="89"/>
      <c r="AO4" s="89"/>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5.5" customHeight="1">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18.75" customHeight="1" thickBot="1">
      <c r="A6" s="100"/>
      <c r="B6" s="101"/>
      <c r="C6" s="100"/>
      <c r="D6" s="164" t="s">
        <v>138</v>
      </c>
      <c r="E6" s="88"/>
      <c r="F6" s="88"/>
      <c r="G6" s="88"/>
      <c r="H6" s="88"/>
      <c r="I6" s="88"/>
      <c r="J6" s="88"/>
      <c r="K6" s="88"/>
      <c r="L6" s="88"/>
      <c r="M6" s="88"/>
      <c r="N6" s="88"/>
      <c r="O6" s="88"/>
      <c r="P6" s="88"/>
      <c r="Q6" s="88"/>
      <c r="R6" s="88"/>
      <c r="S6" s="88"/>
      <c r="T6" s="88"/>
      <c r="U6" s="88"/>
      <c r="V6" s="88"/>
      <c r="W6" s="88"/>
      <c r="X6" s="164" t="s">
        <v>206</v>
      </c>
      <c r="Y6" s="450"/>
      <c r="Z6" s="450"/>
      <c r="AA6" s="450"/>
      <c r="AB6" s="450"/>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9"/>
      <c r="BD6" s="89"/>
      <c r="BE6" s="89"/>
      <c r="BF6" s="89"/>
      <c r="BG6" s="89"/>
      <c r="BH6" s="89"/>
      <c r="BI6" s="89"/>
    </row>
    <row r="7" spans="1:121" ht="18.75" customHeight="1" thickTop="1" thickBot="1">
      <c r="A7" s="100"/>
      <c r="B7" s="356"/>
      <c r="C7" s="357"/>
      <c r="D7" s="284">
        <v>2014</v>
      </c>
      <c r="E7" s="285">
        <v>2016</v>
      </c>
      <c r="F7" s="285">
        <v>2018</v>
      </c>
      <c r="G7" s="285">
        <v>2020</v>
      </c>
      <c r="H7" s="285">
        <v>2022</v>
      </c>
      <c r="I7" s="285">
        <v>2024</v>
      </c>
      <c r="J7" s="285">
        <v>2026</v>
      </c>
      <c r="K7" s="285">
        <v>2028</v>
      </c>
      <c r="L7" s="285">
        <v>2030</v>
      </c>
      <c r="M7" s="285">
        <v>2032</v>
      </c>
      <c r="N7" s="285">
        <v>2034</v>
      </c>
      <c r="O7" s="285">
        <v>2036</v>
      </c>
      <c r="P7" s="285">
        <v>2038</v>
      </c>
      <c r="Q7" s="285">
        <v>2040</v>
      </c>
      <c r="R7" s="285">
        <v>2042</v>
      </c>
      <c r="S7" s="285">
        <v>2044</v>
      </c>
      <c r="T7" s="285">
        <v>2046</v>
      </c>
      <c r="U7" s="285">
        <v>2048</v>
      </c>
      <c r="V7" s="286">
        <v>2050</v>
      </c>
      <c r="W7" s="88"/>
      <c r="X7" s="335" t="s">
        <v>207</v>
      </c>
      <c r="Y7" s="336" t="s">
        <v>208</v>
      </c>
      <c r="Z7" s="336"/>
      <c r="AA7" s="337"/>
      <c r="AB7" s="337"/>
      <c r="AC7" s="88"/>
      <c r="AD7" s="88"/>
      <c r="AE7" s="88"/>
      <c r="AF7" s="89"/>
      <c r="AG7" s="89"/>
      <c r="AH7" s="89"/>
      <c r="AI7" s="88"/>
      <c r="AJ7" s="88"/>
      <c r="AK7" s="88"/>
      <c r="AL7" s="88"/>
      <c r="AM7" s="88"/>
      <c r="AN7" s="88"/>
      <c r="AO7" s="88"/>
      <c r="AP7" s="88"/>
      <c r="AQ7" s="88"/>
      <c r="AR7" s="88"/>
      <c r="AS7" s="88"/>
      <c r="AT7" s="88"/>
      <c r="AU7" s="88"/>
      <c r="AV7" s="88"/>
      <c r="AW7" s="88"/>
      <c r="AX7" s="88"/>
      <c r="AY7" s="88"/>
      <c r="AZ7" s="88"/>
      <c r="BA7" s="88"/>
      <c r="BB7" s="88"/>
      <c r="BC7" s="89"/>
      <c r="BD7" s="89"/>
      <c r="BE7" s="89"/>
      <c r="BF7" s="89"/>
    </row>
    <row r="8" spans="1:121" ht="19.5" customHeight="1" thickTop="1" thickBot="1">
      <c r="A8" s="100"/>
      <c r="B8" s="275" t="s">
        <v>173</v>
      </c>
      <c r="C8" s="281" t="s">
        <v>139</v>
      </c>
      <c r="D8" s="130">
        <v>1</v>
      </c>
      <c r="E8" s="130">
        <v>4</v>
      </c>
      <c r="F8" s="130">
        <v>4</v>
      </c>
      <c r="G8" s="130">
        <v>6</v>
      </c>
      <c r="H8" s="130">
        <v>6</v>
      </c>
      <c r="I8" s="130">
        <v>6</v>
      </c>
      <c r="J8" s="130">
        <v>6</v>
      </c>
      <c r="K8" s="130">
        <v>6</v>
      </c>
      <c r="L8" s="130">
        <v>6</v>
      </c>
      <c r="M8" s="130">
        <v>6</v>
      </c>
      <c r="N8" s="130">
        <v>6</v>
      </c>
      <c r="O8" s="130">
        <v>6</v>
      </c>
      <c r="P8" s="130">
        <v>6</v>
      </c>
      <c r="Q8" s="130">
        <v>6</v>
      </c>
      <c r="R8" s="130">
        <v>6</v>
      </c>
      <c r="S8" s="130">
        <v>6</v>
      </c>
      <c r="T8" s="130">
        <v>6</v>
      </c>
      <c r="U8" s="130">
        <v>6</v>
      </c>
      <c r="V8" s="276">
        <v>6</v>
      </c>
      <c r="W8" s="88"/>
      <c r="X8" s="338">
        <v>1</v>
      </c>
      <c r="Y8" s="339" t="s">
        <v>302</v>
      </c>
      <c r="Z8" s="340"/>
      <c r="AA8" s="340"/>
      <c r="AB8" s="341"/>
      <c r="AC8" s="88"/>
      <c r="AD8" s="88"/>
      <c r="AE8" s="88"/>
      <c r="AF8" s="89"/>
      <c r="AG8" s="89"/>
      <c r="AH8" s="89"/>
      <c r="AI8" s="88"/>
      <c r="AJ8" s="88"/>
      <c r="AK8" s="88"/>
      <c r="AL8" s="88"/>
      <c r="AM8" s="88"/>
      <c r="AN8" s="88"/>
      <c r="AO8" s="88"/>
      <c r="AP8" s="88"/>
      <c r="AQ8" s="88"/>
      <c r="AR8" s="88"/>
      <c r="AS8" s="88"/>
      <c r="AT8" s="88"/>
      <c r="AU8" s="88"/>
      <c r="AV8" s="88"/>
      <c r="AW8" s="88"/>
      <c r="AX8" s="88"/>
      <c r="AY8" s="88"/>
      <c r="AZ8" s="88"/>
      <c r="BA8" s="88"/>
      <c r="BB8" s="88"/>
      <c r="BC8" s="89"/>
      <c r="BD8" s="89"/>
      <c r="BE8" s="89"/>
      <c r="BF8" s="89"/>
    </row>
    <row r="9" spans="1:121" ht="20.25" customHeight="1" thickTop="1">
      <c r="A9" s="100"/>
      <c r="B9" s="275" t="s">
        <v>114</v>
      </c>
      <c r="C9" s="281" t="s">
        <v>139</v>
      </c>
      <c r="D9" s="130">
        <v>1</v>
      </c>
      <c r="E9" s="130">
        <v>4</v>
      </c>
      <c r="F9" s="130">
        <v>4</v>
      </c>
      <c r="G9" s="130">
        <v>6</v>
      </c>
      <c r="H9" s="130">
        <v>6</v>
      </c>
      <c r="I9" s="130">
        <v>6</v>
      </c>
      <c r="J9" s="130">
        <v>6</v>
      </c>
      <c r="K9" s="130">
        <v>6</v>
      </c>
      <c r="L9" s="130">
        <v>6</v>
      </c>
      <c r="M9" s="130">
        <v>6</v>
      </c>
      <c r="N9" s="130">
        <v>6</v>
      </c>
      <c r="O9" s="130">
        <v>6</v>
      </c>
      <c r="P9" s="130">
        <v>6</v>
      </c>
      <c r="Q9" s="130">
        <v>6</v>
      </c>
      <c r="R9" s="130">
        <v>6</v>
      </c>
      <c r="S9" s="130">
        <v>6</v>
      </c>
      <c r="T9" s="130">
        <v>6</v>
      </c>
      <c r="U9" s="130">
        <v>6</v>
      </c>
      <c r="V9" s="276">
        <v>6</v>
      </c>
      <c r="W9" s="88"/>
      <c r="X9" s="342">
        <v>2</v>
      </c>
      <c r="Y9" s="343" t="s">
        <v>303</v>
      </c>
      <c r="Z9" s="344"/>
      <c r="AA9" s="344"/>
      <c r="AB9" s="345"/>
      <c r="AC9" s="88"/>
      <c r="AD9" s="88"/>
      <c r="AE9" s="88"/>
      <c r="AF9" s="89"/>
      <c r="AG9" s="89"/>
      <c r="AH9" s="89"/>
      <c r="AI9" s="88"/>
      <c r="AJ9" s="88"/>
      <c r="AK9" s="88"/>
      <c r="AL9" s="88"/>
      <c r="AM9" s="88"/>
      <c r="AN9" s="88"/>
      <c r="AO9" s="88"/>
      <c r="AP9" s="88"/>
      <c r="AQ9" s="88"/>
      <c r="AR9" s="88"/>
      <c r="AS9" s="88"/>
      <c r="AT9" s="88"/>
      <c r="AU9" s="88"/>
      <c r="AV9" s="88"/>
      <c r="AW9" s="88"/>
      <c r="AX9" s="88"/>
      <c r="AY9" s="88"/>
      <c r="AZ9" s="88"/>
      <c r="BA9" s="88"/>
      <c r="BB9" s="88"/>
      <c r="BC9" s="89"/>
      <c r="BD9" s="89"/>
      <c r="BE9" s="89"/>
      <c r="BF9" s="89"/>
    </row>
    <row r="10" spans="1:121" ht="15">
      <c r="A10" s="100"/>
      <c r="B10" s="277" t="s">
        <v>133</v>
      </c>
      <c r="C10" s="282" t="s">
        <v>139</v>
      </c>
      <c r="D10" s="130">
        <v>1</v>
      </c>
      <c r="E10" s="130">
        <v>4</v>
      </c>
      <c r="F10" s="130">
        <v>4</v>
      </c>
      <c r="G10" s="130">
        <v>6</v>
      </c>
      <c r="H10" s="130">
        <v>6</v>
      </c>
      <c r="I10" s="130">
        <v>6</v>
      </c>
      <c r="J10" s="130">
        <v>6</v>
      </c>
      <c r="K10" s="130">
        <v>6</v>
      </c>
      <c r="L10" s="130">
        <v>6</v>
      </c>
      <c r="M10" s="130">
        <v>6</v>
      </c>
      <c r="N10" s="130">
        <v>6</v>
      </c>
      <c r="O10" s="130">
        <v>6</v>
      </c>
      <c r="P10" s="130">
        <v>6</v>
      </c>
      <c r="Q10" s="130">
        <v>6</v>
      </c>
      <c r="R10" s="130">
        <v>6</v>
      </c>
      <c r="S10" s="130">
        <v>6</v>
      </c>
      <c r="T10" s="130">
        <v>6</v>
      </c>
      <c r="U10" s="130">
        <v>6</v>
      </c>
      <c r="V10" s="276">
        <v>6</v>
      </c>
      <c r="W10" s="88"/>
      <c r="X10" s="346">
        <v>3</v>
      </c>
      <c r="Y10" s="347" t="s">
        <v>304</v>
      </c>
      <c r="Z10" s="348"/>
      <c r="AA10" s="348"/>
      <c r="AB10" s="349"/>
      <c r="AC10" s="88"/>
      <c r="AD10" s="88"/>
      <c r="AE10" s="88"/>
      <c r="AF10" s="89"/>
      <c r="AG10" s="89"/>
      <c r="AH10" s="89"/>
      <c r="AI10" s="88"/>
      <c r="AJ10" s="88"/>
      <c r="AK10" s="88"/>
      <c r="AL10" s="88"/>
      <c r="AM10" s="88"/>
      <c r="AN10" s="88"/>
      <c r="AO10" s="88"/>
      <c r="AP10" s="88"/>
      <c r="AQ10" s="88"/>
      <c r="AR10" s="88"/>
      <c r="AS10" s="88"/>
      <c r="AT10" s="88"/>
      <c r="AU10" s="88"/>
      <c r="AV10" s="88"/>
      <c r="AW10" s="88"/>
      <c r="AX10" s="88"/>
      <c r="AY10" s="88"/>
      <c r="AZ10" s="88"/>
      <c r="BA10" s="88"/>
      <c r="BB10" s="88"/>
      <c r="BC10" s="89"/>
      <c r="BD10" s="89"/>
      <c r="BE10" s="89"/>
      <c r="BF10" s="89"/>
    </row>
    <row r="11" spans="1:121" ht="15">
      <c r="A11" s="100"/>
      <c r="B11" s="277" t="s">
        <v>132</v>
      </c>
      <c r="C11" s="282" t="s">
        <v>139</v>
      </c>
      <c r="D11" s="130">
        <v>1</v>
      </c>
      <c r="E11" s="130">
        <v>4</v>
      </c>
      <c r="F11" s="130">
        <v>4</v>
      </c>
      <c r="G11" s="130">
        <v>6</v>
      </c>
      <c r="H11" s="130">
        <v>6</v>
      </c>
      <c r="I11" s="130">
        <v>6</v>
      </c>
      <c r="J11" s="130">
        <v>6</v>
      </c>
      <c r="K11" s="130">
        <v>6</v>
      </c>
      <c r="L11" s="130">
        <v>6</v>
      </c>
      <c r="M11" s="130">
        <v>6</v>
      </c>
      <c r="N11" s="130">
        <v>6</v>
      </c>
      <c r="O11" s="130">
        <v>6</v>
      </c>
      <c r="P11" s="130">
        <v>6</v>
      </c>
      <c r="Q11" s="130">
        <v>6</v>
      </c>
      <c r="R11" s="166">
        <v>6</v>
      </c>
      <c r="S11" s="130">
        <v>6</v>
      </c>
      <c r="T11" s="130">
        <v>6</v>
      </c>
      <c r="U11" s="130">
        <v>6</v>
      </c>
      <c r="V11" s="276">
        <v>6</v>
      </c>
      <c r="W11" s="88"/>
      <c r="X11" s="346">
        <v>4</v>
      </c>
      <c r="Y11" s="347" t="s">
        <v>305</v>
      </c>
      <c r="Z11" s="348"/>
      <c r="AA11" s="348"/>
      <c r="AB11" s="349"/>
      <c r="AC11" s="88"/>
      <c r="AD11" s="88"/>
      <c r="AE11" s="88"/>
      <c r="AF11" s="89"/>
      <c r="AG11" s="89"/>
      <c r="AH11" s="89"/>
      <c r="AI11" s="88"/>
      <c r="AJ11" s="88"/>
      <c r="AK11" s="88"/>
      <c r="AL11" s="88"/>
      <c r="AM11" s="88"/>
      <c r="AN11" s="88"/>
      <c r="AO11" s="88"/>
      <c r="AP11" s="88"/>
      <c r="AQ11" s="88"/>
      <c r="AR11" s="88"/>
      <c r="AS11" s="88"/>
      <c r="AT11" s="88"/>
      <c r="AU11" s="88"/>
      <c r="AV11" s="88"/>
      <c r="AW11" s="88"/>
      <c r="AX11" s="88"/>
      <c r="AY11" s="88"/>
      <c r="AZ11" s="88"/>
      <c r="BA11" s="88"/>
      <c r="BB11" s="88"/>
      <c r="BC11" s="89"/>
      <c r="BD11" s="89"/>
      <c r="BE11" s="89"/>
      <c r="BF11" s="89"/>
    </row>
    <row r="12" spans="1:121" ht="15">
      <c r="A12" s="100"/>
      <c r="B12" s="277" t="s">
        <v>134</v>
      </c>
      <c r="C12" s="282" t="s">
        <v>139</v>
      </c>
      <c r="D12" s="130">
        <v>1</v>
      </c>
      <c r="E12" s="130">
        <v>4</v>
      </c>
      <c r="F12" s="130">
        <v>4</v>
      </c>
      <c r="G12" s="130">
        <v>6</v>
      </c>
      <c r="H12" s="130">
        <v>6</v>
      </c>
      <c r="I12" s="130">
        <v>6</v>
      </c>
      <c r="J12" s="130">
        <v>6</v>
      </c>
      <c r="K12" s="130">
        <v>6</v>
      </c>
      <c r="L12" s="130">
        <v>6</v>
      </c>
      <c r="M12" s="130">
        <v>6</v>
      </c>
      <c r="N12" s="130">
        <v>6</v>
      </c>
      <c r="O12" s="130">
        <v>6</v>
      </c>
      <c r="P12" s="130">
        <v>6</v>
      </c>
      <c r="Q12" s="130">
        <v>6</v>
      </c>
      <c r="R12" s="130">
        <v>6</v>
      </c>
      <c r="S12" s="130">
        <v>6</v>
      </c>
      <c r="T12" s="130">
        <v>6</v>
      </c>
      <c r="U12" s="130">
        <v>6</v>
      </c>
      <c r="V12" s="276">
        <v>6</v>
      </c>
      <c r="W12" s="88"/>
      <c r="X12" s="346">
        <v>5</v>
      </c>
      <c r="Y12" s="347" t="s">
        <v>306</v>
      </c>
      <c r="Z12" s="348"/>
      <c r="AA12" s="348"/>
      <c r="AB12" s="349"/>
      <c r="AC12" s="88"/>
      <c r="AD12" s="88"/>
      <c r="AE12" s="88"/>
      <c r="AF12" s="89"/>
      <c r="AG12" s="89"/>
      <c r="AH12" s="89"/>
      <c r="AI12" s="88"/>
      <c r="AJ12" s="88"/>
      <c r="AK12" s="88"/>
      <c r="AL12" s="88"/>
      <c r="AM12" s="88"/>
      <c r="AN12" s="88"/>
      <c r="AO12" s="88"/>
      <c r="AP12" s="88"/>
      <c r="AQ12" s="88"/>
      <c r="AR12" s="88"/>
      <c r="AS12" s="88"/>
      <c r="AT12" s="88"/>
      <c r="AU12" s="88"/>
      <c r="AV12" s="88"/>
      <c r="AW12" s="88"/>
      <c r="AX12" s="88"/>
      <c r="AY12" s="88"/>
      <c r="AZ12" s="88"/>
      <c r="BA12" s="88"/>
      <c r="BB12" s="88"/>
      <c r="BC12" s="89"/>
      <c r="BD12" s="89"/>
      <c r="BE12" s="89"/>
      <c r="BF12" s="89"/>
    </row>
    <row r="13" spans="1:121" ht="15">
      <c r="A13" s="100"/>
      <c r="B13" s="277" t="s">
        <v>135</v>
      </c>
      <c r="C13" s="282" t="s">
        <v>139</v>
      </c>
      <c r="D13" s="130">
        <v>2</v>
      </c>
      <c r="E13" s="130">
        <v>5</v>
      </c>
      <c r="F13" s="130">
        <v>5</v>
      </c>
      <c r="G13" s="130">
        <v>7</v>
      </c>
      <c r="H13" s="130">
        <v>7</v>
      </c>
      <c r="I13" s="130">
        <v>7</v>
      </c>
      <c r="J13" s="130">
        <v>7</v>
      </c>
      <c r="K13" s="130">
        <v>7</v>
      </c>
      <c r="L13" s="130">
        <v>7</v>
      </c>
      <c r="M13" s="130">
        <v>7</v>
      </c>
      <c r="N13" s="130">
        <v>7</v>
      </c>
      <c r="O13" s="130">
        <v>7</v>
      </c>
      <c r="P13" s="130">
        <v>7</v>
      </c>
      <c r="Q13" s="130">
        <v>7</v>
      </c>
      <c r="R13" s="130">
        <v>7</v>
      </c>
      <c r="S13" s="130">
        <v>7</v>
      </c>
      <c r="T13" s="130">
        <v>7</v>
      </c>
      <c r="U13" s="130">
        <v>7</v>
      </c>
      <c r="V13" s="276">
        <v>7</v>
      </c>
      <c r="W13" s="88"/>
      <c r="X13" s="346">
        <v>6</v>
      </c>
      <c r="Y13" s="347" t="s">
        <v>307</v>
      </c>
      <c r="Z13" s="348"/>
      <c r="AA13" s="348"/>
      <c r="AB13" s="349"/>
      <c r="AC13" s="88"/>
      <c r="AD13" s="88"/>
      <c r="AE13" s="88"/>
      <c r="AF13" s="89"/>
      <c r="AG13" s="89"/>
      <c r="AH13" s="89"/>
      <c r="AI13" s="88"/>
      <c r="AJ13" s="88"/>
      <c r="AK13" s="88"/>
      <c r="AL13" s="88"/>
      <c r="AM13" s="88"/>
      <c r="AN13" s="88"/>
      <c r="AO13" s="88"/>
      <c r="AP13" s="88"/>
      <c r="AQ13" s="88"/>
      <c r="AR13" s="88"/>
      <c r="AS13" s="88"/>
      <c r="AT13" s="88"/>
      <c r="AU13" s="88"/>
      <c r="AV13" s="88"/>
      <c r="AW13" s="88"/>
      <c r="AX13" s="88"/>
      <c r="AY13" s="88"/>
      <c r="AZ13" s="88"/>
      <c r="BA13" s="88"/>
      <c r="BB13" s="88"/>
      <c r="BC13" s="89"/>
      <c r="BD13" s="89"/>
      <c r="BE13" s="89"/>
      <c r="BF13" s="89"/>
    </row>
    <row r="14" spans="1:121" ht="15">
      <c r="A14" s="100"/>
      <c r="B14" s="277" t="s">
        <v>174</v>
      </c>
      <c r="C14" s="282" t="s">
        <v>139</v>
      </c>
      <c r="D14" s="130">
        <v>2</v>
      </c>
      <c r="E14" s="130">
        <v>5</v>
      </c>
      <c r="F14" s="130">
        <v>5</v>
      </c>
      <c r="G14" s="130">
        <v>7</v>
      </c>
      <c r="H14" s="130">
        <v>7</v>
      </c>
      <c r="I14" s="130">
        <v>7</v>
      </c>
      <c r="J14" s="130">
        <v>7</v>
      </c>
      <c r="K14" s="130">
        <v>7</v>
      </c>
      <c r="L14" s="130">
        <v>7</v>
      </c>
      <c r="M14" s="130">
        <v>7</v>
      </c>
      <c r="N14" s="130">
        <v>7</v>
      </c>
      <c r="O14" s="130">
        <v>7</v>
      </c>
      <c r="P14" s="130">
        <v>7</v>
      </c>
      <c r="Q14" s="130">
        <v>7</v>
      </c>
      <c r="R14" s="130">
        <v>7</v>
      </c>
      <c r="S14" s="130">
        <v>7</v>
      </c>
      <c r="T14" s="130">
        <v>7</v>
      </c>
      <c r="U14" s="130">
        <v>7</v>
      </c>
      <c r="V14" s="276">
        <v>7</v>
      </c>
      <c r="W14" s="88"/>
      <c r="X14" s="346">
        <v>7</v>
      </c>
      <c r="Y14" s="347" t="s">
        <v>308</v>
      </c>
      <c r="Z14" s="348"/>
      <c r="AA14" s="348"/>
      <c r="AB14" s="349"/>
      <c r="AC14" s="88"/>
      <c r="AD14" s="88"/>
      <c r="AE14" s="88"/>
      <c r="AF14" s="89"/>
      <c r="AG14" s="89"/>
      <c r="AH14" s="89"/>
      <c r="AI14" s="88"/>
      <c r="AJ14" s="88"/>
      <c r="AK14" s="88"/>
      <c r="AL14" s="88"/>
      <c r="AM14" s="88"/>
      <c r="AN14" s="88"/>
      <c r="AO14" s="88"/>
      <c r="AP14" s="88"/>
      <c r="AQ14" s="88"/>
      <c r="AR14" s="88"/>
      <c r="AS14" s="88"/>
      <c r="AT14" s="88"/>
      <c r="AU14" s="88"/>
      <c r="AV14" s="88"/>
      <c r="AW14" s="88"/>
      <c r="AX14" s="88"/>
      <c r="AY14" s="88"/>
      <c r="AZ14" s="88"/>
      <c r="BA14" s="88"/>
      <c r="BB14" s="88"/>
      <c r="BC14" s="89"/>
      <c r="BD14" s="89"/>
      <c r="BE14" s="89"/>
      <c r="BF14" s="89"/>
    </row>
    <row r="15" spans="1:121" ht="16" thickBot="1">
      <c r="A15" s="100"/>
      <c r="B15" s="277" t="s">
        <v>136</v>
      </c>
      <c r="C15" s="282" t="s">
        <v>139</v>
      </c>
      <c r="D15" s="130">
        <v>2</v>
      </c>
      <c r="E15" s="130">
        <v>5</v>
      </c>
      <c r="F15" s="130">
        <v>5</v>
      </c>
      <c r="G15" s="130">
        <v>7</v>
      </c>
      <c r="H15" s="130">
        <v>7</v>
      </c>
      <c r="I15" s="130">
        <v>7</v>
      </c>
      <c r="J15" s="130">
        <v>7</v>
      </c>
      <c r="K15" s="130">
        <v>7</v>
      </c>
      <c r="L15" s="130">
        <v>7</v>
      </c>
      <c r="M15" s="130">
        <v>7</v>
      </c>
      <c r="N15" s="130">
        <v>7</v>
      </c>
      <c r="O15" s="130">
        <v>7</v>
      </c>
      <c r="P15" s="130">
        <v>7</v>
      </c>
      <c r="Q15" s="130">
        <v>7</v>
      </c>
      <c r="R15" s="130">
        <v>7</v>
      </c>
      <c r="S15" s="130">
        <v>7</v>
      </c>
      <c r="T15" s="130">
        <v>7</v>
      </c>
      <c r="U15" s="130">
        <v>7</v>
      </c>
      <c r="V15" s="276">
        <v>7</v>
      </c>
      <c r="W15" s="88"/>
      <c r="X15" s="350">
        <v>8</v>
      </c>
      <c r="Y15" s="351" t="s">
        <v>309</v>
      </c>
      <c r="Z15" s="352"/>
      <c r="AA15" s="352"/>
      <c r="AB15" s="353"/>
      <c r="AC15" s="88"/>
      <c r="AD15" s="88"/>
      <c r="AE15" s="88"/>
      <c r="AF15" s="89"/>
      <c r="AG15" s="89"/>
      <c r="AH15" s="89"/>
      <c r="AI15" s="88"/>
      <c r="AJ15" s="88"/>
      <c r="AK15" s="88"/>
      <c r="AL15" s="88"/>
      <c r="AM15" s="88"/>
      <c r="AN15" s="88"/>
      <c r="AO15" s="88"/>
      <c r="AP15" s="88"/>
      <c r="AQ15" s="88"/>
      <c r="AR15" s="88"/>
      <c r="AS15" s="88"/>
      <c r="AT15" s="88"/>
      <c r="AU15" s="88"/>
      <c r="AV15" s="88"/>
      <c r="AW15" s="88"/>
      <c r="AX15" s="88"/>
      <c r="AY15" s="88"/>
      <c r="AZ15" s="88"/>
      <c r="BA15" s="88"/>
      <c r="BB15" s="88"/>
      <c r="BC15" s="89"/>
      <c r="BD15" s="89"/>
      <c r="BE15" s="89"/>
      <c r="BF15" s="89"/>
    </row>
    <row r="16" spans="1:121" ht="21" customHeight="1" thickTop="1">
      <c r="A16" s="100"/>
      <c r="B16" s="277" t="s">
        <v>175</v>
      </c>
      <c r="C16" s="282" t="s">
        <v>139</v>
      </c>
      <c r="D16" s="130">
        <v>3</v>
      </c>
      <c r="E16" s="130">
        <v>5</v>
      </c>
      <c r="F16" s="130">
        <v>5</v>
      </c>
      <c r="G16" s="130">
        <v>7</v>
      </c>
      <c r="H16" s="130">
        <v>7</v>
      </c>
      <c r="I16" s="130">
        <v>7</v>
      </c>
      <c r="J16" s="130">
        <v>7</v>
      </c>
      <c r="K16" s="130">
        <v>7</v>
      </c>
      <c r="L16" s="130">
        <v>7</v>
      </c>
      <c r="M16" s="130">
        <v>7</v>
      </c>
      <c r="N16" s="130">
        <v>7</v>
      </c>
      <c r="O16" s="130">
        <v>7</v>
      </c>
      <c r="P16" s="130">
        <v>7</v>
      </c>
      <c r="Q16" s="130">
        <v>7</v>
      </c>
      <c r="R16" s="130">
        <v>7</v>
      </c>
      <c r="S16" s="130">
        <v>7</v>
      </c>
      <c r="T16" s="130">
        <v>7</v>
      </c>
      <c r="U16" s="130">
        <v>7</v>
      </c>
      <c r="V16" s="276">
        <v>7</v>
      </c>
      <c r="W16" s="88"/>
      <c r="X16" s="88"/>
      <c r="Y16" s="88"/>
      <c r="Z16" s="88"/>
      <c r="AA16" s="88"/>
      <c r="AB16" s="88"/>
      <c r="AC16" s="88"/>
      <c r="AD16" s="88"/>
      <c r="AE16" s="88"/>
      <c r="AF16" s="89"/>
      <c r="AG16" s="89"/>
      <c r="AH16" s="89"/>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65" ht="17">
      <c r="A17" s="100"/>
      <c r="B17" s="277" t="s">
        <v>176</v>
      </c>
      <c r="C17" s="282" t="s">
        <v>139</v>
      </c>
      <c r="D17" s="130">
        <v>3</v>
      </c>
      <c r="E17" s="130">
        <v>5</v>
      </c>
      <c r="F17" s="130">
        <v>5</v>
      </c>
      <c r="G17" s="130">
        <v>7</v>
      </c>
      <c r="H17" s="130">
        <v>7</v>
      </c>
      <c r="I17" s="130">
        <v>7</v>
      </c>
      <c r="J17" s="130">
        <v>7</v>
      </c>
      <c r="K17" s="130">
        <v>7</v>
      </c>
      <c r="L17" s="130">
        <v>7</v>
      </c>
      <c r="M17" s="130">
        <v>7</v>
      </c>
      <c r="N17" s="130">
        <v>7</v>
      </c>
      <c r="O17" s="130">
        <v>7</v>
      </c>
      <c r="P17" s="130">
        <v>7</v>
      </c>
      <c r="Q17" s="130">
        <v>7</v>
      </c>
      <c r="R17" s="130">
        <v>7</v>
      </c>
      <c r="S17" s="130">
        <v>7</v>
      </c>
      <c r="T17" s="130">
        <v>7</v>
      </c>
      <c r="U17" s="130">
        <v>7</v>
      </c>
      <c r="V17" s="276">
        <v>7</v>
      </c>
      <c r="W17" s="88"/>
      <c r="X17" s="397" t="s">
        <v>286</v>
      </c>
      <c r="Y17" s="398"/>
      <c r="Z17" s="398"/>
      <c r="AA17" s="398"/>
      <c r="AB17" s="399" t="s">
        <v>292</v>
      </c>
      <c r="AC17" s="201"/>
      <c r="AD17" s="201"/>
      <c r="AE17" s="88"/>
      <c r="AF17" s="89"/>
      <c r="AG17" s="89"/>
      <c r="AH17" s="89"/>
      <c r="AI17" s="88"/>
      <c r="AJ17" s="88"/>
      <c r="AK17" s="88"/>
      <c r="AL17" s="88"/>
      <c r="AM17" s="88"/>
      <c r="AN17" s="88"/>
      <c r="AO17" s="88"/>
      <c r="AP17" s="88"/>
      <c r="AQ17" s="88"/>
      <c r="AR17" s="88"/>
      <c r="AS17" s="88"/>
      <c r="AT17" s="88"/>
      <c r="AU17" s="88"/>
      <c r="AV17" s="88"/>
      <c r="AW17" s="88"/>
      <c r="AX17" s="88"/>
      <c r="AY17" s="88"/>
      <c r="AZ17" s="88"/>
      <c r="BA17" s="88"/>
      <c r="BB17" s="88"/>
      <c r="BC17" s="89"/>
      <c r="BD17" s="89"/>
      <c r="BE17" s="89"/>
      <c r="BF17" s="89"/>
    </row>
    <row r="18" spans="1:65" ht="16" thickBot="1">
      <c r="A18" s="88"/>
      <c r="B18" s="278" t="s">
        <v>177</v>
      </c>
      <c r="C18" s="283" t="s">
        <v>139</v>
      </c>
      <c r="D18" s="279">
        <v>3</v>
      </c>
      <c r="E18" s="279">
        <v>5</v>
      </c>
      <c r="F18" s="279">
        <v>5</v>
      </c>
      <c r="G18" s="279">
        <v>7</v>
      </c>
      <c r="H18" s="279">
        <v>7</v>
      </c>
      <c r="I18" s="279">
        <v>7</v>
      </c>
      <c r="J18" s="279">
        <v>7</v>
      </c>
      <c r="K18" s="279">
        <v>7</v>
      </c>
      <c r="L18" s="279">
        <v>7</v>
      </c>
      <c r="M18" s="279">
        <v>7</v>
      </c>
      <c r="N18" s="279">
        <v>7</v>
      </c>
      <c r="O18" s="279">
        <v>7</v>
      </c>
      <c r="P18" s="279">
        <v>7</v>
      </c>
      <c r="Q18" s="279">
        <v>7</v>
      </c>
      <c r="R18" s="279">
        <v>7</v>
      </c>
      <c r="S18" s="279">
        <v>7</v>
      </c>
      <c r="T18" s="279">
        <v>7</v>
      </c>
      <c r="U18" s="279">
        <v>7</v>
      </c>
      <c r="V18" s="280">
        <v>7</v>
      </c>
      <c r="W18" s="88"/>
      <c r="X18" s="88"/>
      <c r="Y18" s="88"/>
      <c r="Z18" s="88"/>
      <c r="AA18" s="88"/>
      <c r="AB18" s="88"/>
      <c r="AC18" s="88"/>
      <c r="AD18" s="88"/>
      <c r="AE18" s="88"/>
      <c r="AF18" s="88"/>
      <c r="AG18" s="88"/>
      <c r="AH18" s="89"/>
      <c r="AI18" s="88"/>
      <c r="AJ18" s="88"/>
      <c r="AK18" s="88"/>
      <c r="AL18" s="88"/>
      <c r="AM18" s="88"/>
      <c r="AN18" s="88"/>
      <c r="AO18" s="88"/>
      <c r="AP18" s="88"/>
      <c r="AQ18" s="88"/>
      <c r="AR18" s="88"/>
      <c r="AS18" s="88"/>
      <c r="AT18" s="88"/>
      <c r="AU18" s="88"/>
      <c r="AV18" s="88"/>
      <c r="AW18" s="88"/>
      <c r="AX18" s="88"/>
      <c r="AY18" s="88"/>
      <c r="AZ18" s="88"/>
      <c r="BA18" s="88"/>
      <c r="BB18" s="88"/>
      <c r="BC18" s="89"/>
      <c r="BD18" s="89"/>
      <c r="BE18" s="89"/>
      <c r="BF18" s="89"/>
      <c r="BG18" s="89"/>
      <c r="BH18" s="89"/>
    </row>
    <row r="19" spans="1:65">
      <c r="A19" s="88"/>
      <c r="B19" s="378"/>
      <c r="C19" s="378"/>
      <c r="D19" s="378"/>
      <c r="E19" s="378"/>
      <c r="F19" s="378"/>
      <c r="G19" s="378"/>
      <c r="H19" s="378"/>
      <c r="I19" s="378"/>
      <c r="J19" s="378"/>
      <c r="K19" s="378"/>
      <c r="L19" s="378"/>
      <c r="M19" s="378"/>
      <c r="N19" s="378"/>
      <c r="O19" s="378"/>
      <c r="P19" s="378"/>
      <c r="Q19" s="378"/>
      <c r="R19" s="378"/>
      <c r="S19" s="378"/>
      <c r="T19" s="378"/>
      <c r="U19" s="378"/>
      <c r="V19" s="378"/>
      <c r="W19" s="103"/>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9"/>
      <c r="BD19" s="89"/>
      <c r="BE19" s="89"/>
      <c r="BF19" s="89"/>
      <c r="BG19" s="89"/>
      <c r="BH19" s="89"/>
      <c r="BI19" s="89"/>
      <c r="BJ19" s="89"/>
    </row>
    <row r="20" spans="1:65" s="186" customFormat="1" ht="21" customHeight="1">
      <c r="A20" s="181"/>
      <c r="B20" s="88"/>
      <c r="C20" s="102"/>
      <c r="D20" s="103"/>
      <c r="E20" s="103"/>
      <c r="F20" s="103"/>
      <c r="G20" s="103"/>
      <c r="H20" s="103"/>
      <c r="I20" s="103"/>
      <c r="J20" s="103"/>
      <c r="K20" s="103"/>
      <c r="L20" s="103"/>
      <c r="M20" s="103"/>
      <c r="N20" s="103"/>
      <c r="O20" s="103"/>
      <c r="P20" s="103"/>
      <c r="Q20" s="103"/>
      <c r="R20" s="103"/>
      <c r="S20" s="103"/>
      <c r="T20" s="103"/>
      <c r="U20" s="103"/>
      <c r="V20" s="103"/>
      <c r="W20" s="183"/>
      <c r="X20" s="183"/>
      <c r="Y20" s="183"/>
      <c r="Z20" s="181"/>
      <c r="AA20" s="181"/>
      <c r="AB20" s="181"/>
      <c r="AC20" s="181"/>
      <c r="AD20" s="181"/>
      <c r="AE20" s="181"/>
      <c r="AF20" s="181"/>
      <c r="AG20" s="181"/>
      <c r="AH20" s="181"/>
      <c r="AI20" s="88"/>
      <c r="AJ20" s="88"/>
      <c r="AK20" s="88"/>
      <c r="AL20" s="88"/>
      <c r="AM20" s="88"/>
      <c r="AN20" s="88"/>
      <c r="AO20" s="88"/>
      <c r="AP20" s="88"/>
      <c r="AQ20" s="88"/>
      <c r="AR20" s="88"/>
      <c r="AS20" s="88"/>
      <c r="AT20" s="88"/>
      <c r="AU20" s="88"/>
      <c r="AV20" s="88"/>
      <c r="AW20" s="88"/>
      <c r="AX20" s="88"/>
      <c r="AY20" s="88"/>
      <c r="AZ20" s="88"/>
      <c r="BA20" s="88"/>
      <c r="BB20" s="88"/>
      <c r="BC20" s="185"/>
      <c r="BD20" s="184"/>
      <c r="BE20" s="184"/>
      <c r="BF20" s="184"/>
      <c r="BG20" s="184"/>
      <c r="BH20" s="184"/>
      <c r="BI20" s="184"/>
      <c r="BJ20" s="184"/>
      <c r="BK20" s="184"/>
    </row>
    <row r="21" spans="1:65" ht="27.75" customHeight="1">
      <c r="A21" s="88"/>
      <c r="B21" s="164" t="s">
        <v>163</v>
      </c>
      <c r="C21" s="182"/>
      <c r="D21" s="183"/>
      <c r="E21" s="183"/>
      <c r="F21" s="183"/>
      <c r="G21" s="183"/>
      <c r="H21" s="183"/>
      <c r="I21" s="183"/>
      <c r="J21" s="183"/>
      <c r="K21" s="183"/>
      <c r="L21" s="183"/>
      <c r="M21" s="183"/>
      <c r="N21" s="183"/>
      <c r="O21" s="183"/>
      <c r="P21" s="183"/>
      <c r="Q21" s="183"/>
      <c r="R21" s="183"/>
      <c r="S21" s="183"/>
      <c r="T21" s="183"/>
      <c r="U21" s="183"/>
      <c r="V21" s="183"/>
      <c r="W21" s="88"/>
      <c r="X21" s="88"/>
      <c r="Y21" s="88"/>
      <c r="Z21" s="88"/>
      <c r="AA21" s="88"/>
      <c r="AB21" s="88"/>
      <c r="AC21" s="88"/>
      <c r="AD21" s="88"/>
      <c r="AE21" s="88"/>
      <c r="AF21" s="88"/>
      <c r="AG21" s="88"/>
      <c r="AH21" s="88"/>
      <c r="AI21" s="88"/>
      <c r="AJ21" s="88"/>
      <c r="AK21" s="88"/>
      <c r="AL21" s="88"/>
      <c r="AM21" s="88"/>
      <c r="AN21" s="88"/>
      <c r="AO21" s="88"/>
      <c r="AP21" s="88"/>
      <c r="AQ21" s="88"/>
      <c r="AR21" s="88"/>
      <c r="AS21" s="88"/>
      <c r="AT21" s="88"/>
      <c r="AU21" s="88"/>
      <c r="AV21" s="88"/>
      <c r="AW21" s="88"/>
      <c r="AX21" s="88"/>
      <c r="AY21" s="88"/>
      <c r="AZ21" s="88"/>
      <c r="BA21" s="88"/>
      <c r="BB21" s="88"/>
      <c r="BC21" s="95"/>
      <c r="BD21" s="96"/>
      <c r="BE21" s="93"/>
      <c r="BF21" s="89"/>
      <c r="BG21" s="89"/>
      <c r="BH21" s="89"/>
      <c r="BI21" s="89"/>
      <c r="BJ21" s="89"/>
      <c r="BK21" s="89"/>
      <c r="BL21" s="89"/>
      <c r="BM21" s="89"/>
    </row>
    <row r="22" spans="1:65" ht="24" customHeight="1" thickBot="1">
      <c r="A22" s="163"/>
      <c r="B22" s="355" t="s">
        <v>271</v>
      </c>
      <c r="C22" s="202"/>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96"/>
      <c r="BD22" s="93"/>
      <c r="BE22" s="89"/>
      <c r="BF22" s="89"/>
      <c r="BG22" s="89"/>
      <c r="BH22" s="89"/>
      <c r="BI22" s="89"/>
      <c r="BJ22" s="89"/>
      <c r="BK22" s="89"/>
      <c r="BL22" s="89"/>
    </row>
    <row r="23" spans="1:65" ht="33" customHeight="1" thickTop="1" thickBot="1">
      <c r="A23" s="163"/>
      <c r="B23" s="187"/>
      <c r="C23" s="296"/>
      <c r="D23" s="297" t="s">
        <v>164</v>
      </c>
      <c r="E23" s="298"/>
      <c r="F23" s="298"/>
      <c r="G23" s="298"/>
      <c r="H23" s="298"/>
      <c r="I23" s="298"/>
      <c r="J23" s="299"/>
      <c r="K23" s="451"/>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88"/>
      <c r="AO23" s="88"/>
      <c r="AP23" s="88"/>
      <c r="AQ23" s="88"/>
      <c r="AR23" s="88"/>
      <c r="AS23" s="88"/>
      <c r="AT23" s="88"/>
      <c r="AU23" s="88"/>
      <c r="AV23" s="88"/>
      <c r="AW23" s="88"/>
      <c r="AX23" s="88"/>
      <c r="AY23" s="88"/>
      <c r="AZ23" s="88"/>
      <c r="BA23" s="88"/>
      <c r="BB23" s="88"/>
      <c r="BC23" s="96"/>
      <c r="BD23" s="93"/>
      <c r="BE23" s="89"/>
      <c r="BF23" s="89"/>
      <c r="BG23" s="89"/>
      <c r="BH23" s="89"/>
      <c r="BI23" s="89"/>
      <c r="BJ23" s="89"/>
      <c r="BK23" s="89"/>
      <c r="BL23" s="89"/>
    </row>
    <row r="24" spans="1:65" ht="61" thickBot="1">
      <c r="A24" s="163"/>
      <c r="B24" s="300" t="s">
        <v>137</v>
      </c>
      <c r="C24" s="301">
        <v>1</v>
      </c>
      <c r="D24" s="302">
        <v>2</v>
      </c>
      <c r="E24" s="302">
        <v>3</v>
      </c>
      <c r="F24" s="302">
        <v>4</v>
      </c>
      <c r="G24" s="302">
        <v>5</v>
      </c>
      <c r="H24" s="302">
        <v>6</v>
      </c>
      <c r="I24" s="302">
        <v>7</v>
      </c>
      <c r="J24" s="303">
        <v>8</v>
      </c>
      <c r="K24" s="205" t="s">
        <v>137</v>
      </c>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88"/>
      <c r="AO24" s="88"/>
      <c r="AP24" s="88"/>
      <c r="AQ24" s="88"/>
      <c r="AR24" s="88"/>
      <c r="AS24" s="88"/>
      <c r="AT24" s="88"/>
      <c r="AU24" s="88"/>
      <c r="AV24" s="88"/>
      <c r="AW24" s="88"/>
      <c r="AX24" s="88"/>
      <c r="AY24" s="88"/>
      <c r="AZ24" s="88"/>
      <c r="BA24" s="88"/>
      <c r="BB24" s="88"/>
      <c r="BC24" s="96"/>
      <c r="BD24" s="93"/>
      <c r="BE24" s="89"/>
      <c r="BF24" s="89"/>
      <c r="BG24" s="89"/>
      <c r="BH24" s="89"/>
      <c r="BI24" s="89"/>
      <c r="BJ24" s="89"/>
      <c r="BK24" s="89"/>
      <c r="BL24" s="89"/>
    </row>
    <row r="25" spans="1:65" ht="15" thickTop="1">
      <c r="A25" s="163"/>
      <c r="B25" s="304">
        <v>1</v>
      </c>
      <c r="C25" s="203">
        <v>0</v>
      </c>
      <c r="D25" s="204">
        <v>0</v>
      </c>
      <c r="E25" s="204">
        <v>0</v>
      </c>
      <c r="F25" s="204">
        <v>0</v>
      </c>
      <c r="G25" s="204">
        <v>0</v>
      </c>
      <c r="H25" s="204">
        <v>0</v>
      </c>
      <c r="I25" s="204">
        <v>0</v>
      </c>
      <c r="J25" s="305">
        <v>0</v>
      </c>
      <c r="K25" s="206">
        <v>1</v>
      </c>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96"/>
      <c r="BD25" s="93"/>
      <c r="BE25" s="89"/>
      <c r="BF25" s="89"/>
      <c r="BG25" s="89"/>
      <c r="BH25" s="89"/>
      <c r="BI25" s="89"/>
      <c r="BJ25" s="89"/>
      <c r="BK25" s="89"/>
      <c r="BL25" s="89"/>
    </row>
    <row r="26" spans="1:65">
      <c r="A26" s="163"/>
      <c r="B26" s="304">
        <v>2</v>
      </c>
      <c r="C26" s="203">
        <v>0</v>
      </c>
      <c r="D26" s="204">
        <v>0</v>
      </c>
      <c r="E26" s="204">
        <v>0</v>
      </c>
      <c r="F26" s="204">
        <v>0</v>
      </c>
      <c r="G26" s="204">
        <v>0</v>
      </c>
      <c r="H26" s="204">
        <v>0</v>
      </c>
      <c r="I26" s="204">
        <v>0</v>
      </c>
      <c r="J26" s="305">
        <v>0</v>
      </c>
      <c r="K26" s="206">
        <v>2</v>
      </c>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96"/>
      <c r="BD26" s="93"/>
      <c r="BE26" s="89"/>
      <c r="BF26" s="89"/>
      <c r="BG26" s="89"/>
      <c r="BH26" s="89"/>
      <c r="BI26" s="89"/>
      <c r="BJ26" s="89"/>
      <c r="BK26" s="89"/>
      <c r="BL26" s="89"/>
    </row>
    <row r="27" spans="1:65">
      <c r="A27" s="163"/>
      <c r="B27" s="304">
        <v>3</v>
      </c>
      <c r="C27" s="203">
        <v>1.4723336E-2</v>
      </c>
      <c r="D27" s="204">
        <v>2.5476018999999999E-2</v>
      </c>
      <c r="E27" s="204">
        <v>2.1531825000000001E-2</v>
      </c>
      <c r="F27" s="204">
        <v>3.1197994E-2</v>
      </c>
      <c r="G27" s="204">
        <v>2.149875E-2</v>
      </c>
      <c r="H27" s="204">
        <v>3.3075E-2</v>
      </c>
      <c r="I27" s="204">
        <v>2.9866725E-2</v>
      </c>
      <c r="J27" s="305">
        <v>3.7837799999999998E-2</v>
      </c>
      <c r="K27" s="206">
        <v>3</v>
      </c>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9"/>
      <c r="AM27" s="89"/>
      <c r="AN27" s="89"/>
      <c r="AO27" s="89"/>
      <c r="AP27" s="89"/>
      <c r="AQ27" s="89"/>
      <c r="AR27" s="89"/>
      <c r="AS27" s="89"/>
      <c r="AT27" s="89"/>
      <c r="AU27" s="89"/>
      <c r="AV27" s="93"/>
      <c r="AW27" s="94"/>
      <c r="AX27" s="95"/>
      <c r="AY27" s="94"/>
      <c r="AZ27" s="96"/>
      <c r="BA27" s="94"/>
      <c r="BB27" s="95"/>
      <c r="BC27" s="96"/>
      <c r="BD27" s="93"/>
      <c r="BE27" s="89"/>
      <c r="BF27" s="89"/>
      <c r="BG27" s="89"/>
      <c r="BH27" s="89"/>
      <c r="BI27" s="89"/>
      <c r="BJ27" s="89"/>
      <c r="BK27" s="89"/>
      <c r="BL27" s="89"/>
    </row>
    <row r="28" spans="1:65">
      <c r="A28" s="163"/>
      <c r="B28" s="304">
        <v>4</v>
      </c>
      <c r="C28" s="203">
        <v>3.4899760000000002E-2</v>
      </c>
      <c r="D28" s="204">
        <v>6.03876E-2</v>
      </c>
      <c r="E28" s="204">
        <v>5.1038399999999998E-2</v>
      </c>
      <c r="F28" s="204">
        <v>7.3950799999999997E-2</v>
      </c>
      <c r="G28" s="204">
        <v>5.0959999999999998E-2</v>
      </c>
      <c r="H28" s="204">
        <v>7.8399999999999997E-2</v>
      </c>
      <c r="I28" s="204">
        <v>7.0795200000000003E-2</v>
      </c>
      <c r="J28" s="305">
        <v>8.9689599999999994E-2</v>
      </c>
      <c r="K28" s="206">
        <v>4</v>
      </c>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9"/>
      <c r="AM28" s="89"/>
      <c r="AN28" s="89"/>
      <c r="AO28" s="89"/>
      <c r="AP28" s="89"/>
      <c r="AQ28" s="89"/>
      <c r="AR28" s="89"/>
      <c r="AS28" s="89"/>
      <c r="AT28" s="89"/>
      <c r="AU28" s="89"/>
      <c r="AV28" s="93"/>
      <c r="AW28" s="94"/>
      <c r="AX28" s="95"/>
      <c r="AY28" s="94"/>
      <c r="AZ28" s="96"/>
      <c r="BA28" s="94"/>
      <c r="BB28" s="95"/>
      <c r="BC28" s="96"/>
      <c r="BD28" s="93"/>
      <c r="BE28" s="89"/>
      <c r="BF28" s="89"/>
      <c r="BG28" s="89"/>
      <c r="BH28" s="89"/>
      <c r="BI28" s="89"/>
      <c r="BJ28" s="89"/>
      <c r="BK28" s="89"/>
      <c r="BL28" s="89"/>
    </row>
    <row r="29" spans="1:65">
      <c r="A29" s="163"/>
      <c r="B29" s="304">
        <v>5</v>
      </c>
      <c r="C29" s="203">
        <v>6.8163593999999994E-2</v>
      </c>
      <c r="D29" s="204">
        <v>0.11794453100000001</v>
      </c>
      <c r="E29" s="204">
        <v>9.9684375000000006E-2</v>
      </c>
      <c r="F29" s="204">
        <v>0.14443515600000001</v>
      </c>
      <c r="G29" s="204">
        <v>9.9531250000000002E-2</v>
      </c>
      <c r="H29" s="204">
        <v>0.15312500000000001</v>
      </c>
      <c r="I29" s="204">
        <v>0.13827187499999999</v>
      </c>
      <c r="J29" s="305">
        <v>0.175175</v>
      </c>
      <c r="K29" s="206">
        <v>5</v>
      </c>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9"/>
      <c r="AM29" s="89"/>
      <c r="AN29" s="89"/>
      <c r="AO29" s="89"/>
      <c r="AP29" s="89"/>
      <c r="AQ29" s="89"/>
      <c r="AR29" s="89"/>
      <c r="AS29" s="89"/>
      <c r="AT29" s="89"/>
      <c r="AU29" s="89"/>
      <c r="AV29" s="93"/>
      <c r="AW29" s="94"/>
      <c r="AX29" s="95"/>
      <c r="AY29" s="94"/>
      <c r="AZ29" s="96"/>
      <c r="BA29" s="94"/>
      <c r="BB29" s="95"/>
      <c r="BC29" s="96"/>
      <c r="BD29" s="93"/>
      <c r="BE29" s="89"/>
      <c r="BF29" s="89"/>
      <c r="BG29" s="89"/>
      <c r="BH29" s="89"/>
      <c r="BI29" s="89"/>
      <c r="BJ29" s="89"/>
      <c r="BK29" s="89"/>
      <c r="BL29" s="89"/>
    </row>
    <row r="30" spans="1:65">
      <c r="A30" s="163"/>
      <c r="B30" s="304">
        <v>6</v>
      </c>
      <c r="C30" s="203">
        <v>0.11778669</v>
      </c>
      <c r="D30" s="204">
        <v>0.20380814999999999</v>
      </c>
      <c r="E30" s="204">
        <v>0.17225460000000001</v>
      </c>
      <c r="F30" s="204">
        <v>0.24958395</v>
      </c>
      <c r="G30" s="204">
        <v>0.17199</v>
      </c>
      <c r="H30" s="204">
        <v>0.2646</v>
      </c>
      <c r="I30" s="204">
        <v>0.2389338</v>
      </c>
      <c r="J30" s="305">
        <v>0.30270239999999998</v>
      </c>
      <c r="K30" s="206">
        <v>6</v>
      </c>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9"/>
      <c r="AM30" s="89"/>
      <c r="AN30" s="89"/>
      <c r="AO30" s="89"/>
      <c r="AP30" s="89"/>
      <c r="AQ30" s="89"/>
      <c r="AR30" s="89"/>
      <c r="AS30" s="89"/>
      <c r="AT30" s="89"/>
      <c r="AU30" s="89"/>
      <c r="AV30" s="93"/>
      <c r="AW30" s="94"/>
      <c r="AX30" s="97"/>
      <c r="AY30" s="94"/>
      <c r="AZ30" s="96"/>
      <c r="BA30" s="94"/>
      <c r="BB30" s="95"/>
      <c r="BC30" s="96"/>
      <c r="BD30" s="93"/>
      <c r="BE30" s="89"/>
      <c r="BF30" s="89"/>
      <c r="BG30" s="89"/>
      <c r="BH30" s="89"/>
      <c r="BI30" s="89"/>
      <c r="BJ30" s="89"/>
      <c r="BK30" s="89"/>
      <c r="BL30" s="89"/>
    </row>
    <row r="31" spans="1:65">
      <c r="A31" s="163"/>
      <c r="B31" s="304">
        <v>7</v>
      </c>
      <c r="C31" s="203">
        <v>0.18704090100000001</v>
      </c>
      <c r="D31" s="204">
        <v>0.32363979399999998</v>
      </c>
      <c r="E31" s="204">
        <v>0.27353392500000001</v>
      </c>
      <c r="F31" s="204">
        <v>0.39633006900000001</v>
      </c>
      <c r="G31" s="204">
        <v>0.27311374999999999</v>
      </c>
      <c r="H31" s="204">
        <v>0.42017500000000002</v>
      </c>
      <c r="I31" s="204">
        <v>0.37941802499999999</v>
      </c>
      <c r="J31" s="305">
        <v>0.4806802</v>
      </c>
      <c r="K31" s="206">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9"/>
      <c r="AM31" s="89"/>
      <c r="AN31" s="89"/>
      <c r="AO31" s="89"/>
      <c r="AP31" s="89"/>
      <c r="AQ31" s="89"/>
      <c r="AR31" s="89"/>
      <c r="AS31" s="89"/>
      <c r="AT31" s="89"/>
      <c r="AU31" s="89"/>
      <c r="AV31" s="93"/>
      <c r="AW31" s="94"/>
      <c r="AX31" s="97"/>
      <c r="AY31" s="94"/>
      <c r="AZ31" s="96"/>
      <c r="BA31" s="94"/>
      <c r="BB31" s="95"/>
      <c r="BC31" s="96"/>
      <c r="BD31" s="93"/>
      <c r="BE31" s="89"/>
      <c r="BF31" s="89"/>
      <c r="BG31" s="89"/>
      <c r="BH31" s="89"/>
      <c r="BI31" s="89"/>
      <c r="BJ31" s="89"/>
      <c r="BK31" s="89"/>
      <c r="BL31" s="89"/>
    </row>
    <row r="32" spans="1:65">
      <c r="A32" s="163"/>
      <c r="B32" s="304">
        <v>8</v>
      </c>
      <c r="C32" s="203">
        <v>0.27919808000000002</v>
      </c>
      <c r="D32" s="204">
        <v>0.4831008</v>
      </c>
      <c r="E32" s="204">
        <v>0.40830719999999998</v>
      </c>
      <c r="F32" s="204">
        <v>0.59160639999999998</v>
      </c>
      <c r="G32" s="204">
        <v>0.40767999999999999</v>
      </c>
      <c r="H32" s="204">
        <v>0.62719999999999998</v>
      </c>
      <c r="I32" s="204">
        <v>0.56636160000000002</v>
      </c>
      <c r="J32" s="305">
        <v>0.71751679999999995</v>
      </c>
      <c r="K32" s="206">
        <v>8</v>
      </c>
      <c r="L32" s="88"/>
      <c r="M32" s="88"/>
      <c r="N32" s="88"/>
      <c r="O32" s="88"/>
      <c r="P32" s="88"/>
      <c r="Q32" s="88"/>
      <c r="R32" s="88"/>
      <c r="S32" s="88"/>
      <c r="T32" s="88"/>
      <c r="U32" s="88"/>
      <c r="V32" s="88"/>
      <c r="W32" s="88"/>
      <c r="X32" s="88"/>
      <c r="Y32" s="88"/>
      <c r="Z32" s="88"/>
      <c r="AA32" s="88"/>
      <c r="AB32" s="88"/>
      <c r="AC32" s="88"/>
      <c r="AD32" s="88"/>
      <c r="AE32" s="88"/>
      <c r="AF32" s="88"/>
      <c r="AG32" s="88"/>
      <c r="AH32" s="88"/>
      <c r="AI32" s="88"/>
      <c r="AJ32" s="88"/>
      <c r="AK32" s="88"/>
      <c r="AL32" s="89"/>
      <c r="AM32" s="89"/>
      <c r="AN32" s="89"/>
      <c r="AO32" s="89"/>
      <c r="AP32" s="89"/>
      <c r="AQ32" s="89"/>
      <c r="AR32" s="89"/>
      <c r="AS32" s="89"/>
      <c r="AT32" s="89"/>
      <c r="AU32" s="89"/>
      <c r="AV32" s="93"/>
      <c r="AW32" s="94"/>
      <c r="AX32" s="95"/>
      <c r="AY32" s="94"/>
      <c r="AZ32" s="96"/>
      <c r="BA32" s="94"/>
      <c r="BB32" s="95"/>
      <c r="BC32" s="96"/>
      <c r="BD32" s="93"/>
      <c r="BE32" s="89"/>
      <c r="BF32" s="89"/>
      <c r="BG32" s="89"/>
      <c r="BH32" s="89"/>
      <c r="BI32" s="89"/>
      <c r="BJ32" s="89"/>
      <c r="BK32" s="89"/>
      <c r="BL32" s="89"/>
    </row>
    <row r="33" spans="1:66">
      <c r="A33" s="163"/>
      <c r="B33" s="304">
        <v>9</v>
      </c>
      <c r="C33" s="203">
        <v>0.39753007899999998</v>
      </c>
      <c r="D33" s="204">
        <v>0.68785250600000003</v>
      </c>
      <c r="E33" s="204">
        <v>0.58135927499999995</v>
      </c>
      <c r="F33" s="204">
        <v>0.84234583100000004</v>
      </c>
      <c r="G33" s="204">
        <v>0.58046624999999996</v>
      </c>
      <c r="H33" s="204">
        <v>0.89302499999999996</v>
      </c>
      <c r="I33" s="204">
        <v>0.80640157499999998</v>
      </c>
      <c r="J33" s="305">
        <v>1</v>
      </c>
      <c r="K33" s="206">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9"/>
      <c r="AM33" s="89"/>
      <c r="AN33" s="89"/>
      <c r="AO33" s="89"/>
      <c r="AP33" s="89"/>
      <c r="AQ33" s="89"/>
      <c r="AR33" s="89"/>
      <c r="AS33" s="89"/>
      <c r="AT33" s="89"/>
      <c r="AU33" s="89"/>
      <c r="AV33" s="93"/>
      <c r="AW33" s="94"/>
      <c r="AX33" s="95"/>
      <c r="AY33" s="94"/>
      <c r="AZ33" s="96"/>
      <c r="BA33" s="94"/>
      <c r="BB33" s="97"/>
      <c r="BC33" s="96"/>
      <c r="BD33" s="93"/>
      <c r="BE33" s="89"/>
      <c r="BF33" s="89"/>
      <c r="BG33" s="89"/>
      <c r="BH33" s="89"/>
      <c r="BI33" s="89"/>
      <c r="BJ33" s="89"/>
      <c r="BK33" s="89"/>
      <c r="BL33" s="89"/>
    </row>
    <row r="34" spans="1:66">
      <c r="A34" s="163"/>
      <c r="B34" s="304">
        <v>10</v>
      </c>
      <c r="C34" s="203">
        <v>0.54530875000000001</v>
      </c>
      <c r="D34" s="204">
        <v>0.94355624999999999</v>
      </c>
      <c r="E34" s="204">
        <v>0.79747500000000004</v>
      </c>
      <c r="F34" s="204">
        <v>1</v>
      </c>
      <c r="G34" s="204">
        <v>0.79625000000000001</v>
      </c>
      <c r="H34" s="204">
        <v>1</v>
      </c>
      <c r="I34" s="204">
        <v>1</v>
      </c>
      <c r="J34" s="305">
        <v>1</v>
      </c>
      <c r="K34" s="206">
        <v>10</v>
      </c>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9"/>
      <c r="AM34" s="89"/>
      <c r="AN34" s="89"/>
      <c r="AO34" s="89"/>
      <c r="AP34" s="89"/>
      <c r="AQ34" s="89"/>
      <c r="AR34" s="89"/>
      <c r="AS34" s="89"/>
      <c r="AT34" s="89"/>
      <c r="AU34" s="89"/>
      <c r="AV34" s="93"/>
      <c r="AW34" s="94"/>
      <c r="AX34" s="95"/>
      <c r="AY34" s="94"/>
      <c r="AZ34" s="96"/>
      <c r="BA34" s="94"/>
      <c r="BB34" s="97"/>
      <c r="BC34" s="96"/>
      <c r="BD34" s="93"/>
      <c r="BE34" s="89"/>
      <c r="BF34" s="89"/>
      <c r="BG34" s="89"/>
      <c r="BH34" s="89"/>
      <c r="BI34" s="89"/>
      <c r="BJ34" s="89"/>
      <c r="BK34" s="89"/>
      <c r="BL34" s="89"/>
    </row>
    <row r="35" spans="1:66">
      <c r="A35" s="163"/>
      <c r="B35" s="304">
        <v>11</v>
      </c>
      <c r="C35" s="203">
        <v>0.72580594600000004</v>
      </c>
      <c r="D35" s="204">
        <v>1</v>
      </c>
      <c r="E35" s="204">
        <v>1</v>
      </c>
      <c r="F35" s="204">
        <v>1</v>
      </c>
      <c r="G35" s="204">
        <v>1</v>
      </c>
      <c r="H35" s="204">
        <v>1</v>
      </c>
      <c r="I35" s="204">
        <v>1</v>
      </c>
      <c r="J35" s="305">
        <v>1</v>
      </c>
      <c r="K35" s="206">
        <v>11</v>
      </c>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89"/>
      <c r="AM35" s="89"/>
      <c r="AN35" s="89"/>
      <c r="AO35" s="89"/>
      <c r="AP35" s="89"/>
      <c r="AQ35" s="89"/>
      <c r="AR35" s="89"/>
      <c r="AS35" s="89"/>
      <c r="AT35" s="89"/>
      <c r="AU35" s="89"/>
      <c r="AV35" s="93"/>
      <c r="AW35" s="94"/>
      <c r="AX35" s="95"/>
      <c r="AY35" s="94"/>
      <c r="AZ35" s="96"/>
      <c r="BA35" s="94"/>
      <c r="BB35" s="97"/>
      <c r="BC35" s="96"/>
      <c r="BD35" s="93"/>
      <c r="BE35" s="89"/>
      <c r="BF35" s="89"/>
      <c r="BG35" s="89"/>
      <c r="BH35" s="89"/>
      <c r="BI35" s="89"/>
      <c r="BJ35" s="89"/>
      <c r="BK35" s="89"/>
      <c r="BL35" s="89"/>
    </row>
    <row r="36" spans="1:66">
      <c r="A36" s="163"/>
      <c r="B36" s="304">
        <v>12</v>
      </c>
      <c r="C36" s="203">
        <v>0.94229352</v>
      </c>
      <c r="D36" s="204">
        <v>1</v>
      </c>
      <c r="E36" s="204">
        <v>1</v>
      </c>
      <c r="F36" s="204">
        <v>1</v>
      </c>
      <c r="G36" s="204">
        <v>1</v>
      </c>
      <c r="H36" s="204">
        <v>1</v>
      </c>
      <c r="I36" s="204">
        <v>1</v>
      </c>
      <c r="J36" s="305">
        <v>1</v>
      </c>
      <c r="K36" s="206">
        <v>12</v>
      </c>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9"/>
      <c r="AM36" s="89"/>
      <c r="AN36" s="89"/>
      <c r="AO36" s="89"/>
      <c r="AP36" s="89"/>
      <c r="AQ36" s="89"/>
      <c r="AR36" s="89"/>
      <c r="AS36" s="89"/>
      <c r="AT36" s="89"/>
      <c r="AU36" s="89"/>
      <c r="AV36" s="93"/>
      <c r="AW36" s="94"/>
      <c r="AX36" s="95"/>
      <c r="AY36" s="94"/>
      <c r="AZ36" s="96"/>
      <c r="BA36" s="94"/>
      <c r="BB36" s="97"/>
      <c r="BC36" s="96"/>
      <c r="BD36" s="93"/>
      <c r="BE36" s="89"/>
      <c r="BF36" s="89"/>
      <c r="BG36" s="89"/>
      <c r="BH36" s="89"/>
      <c r="BI36" s="89"/>
      <c r="BJ36" s="89"/>
      <c r="BK36" s="89"/>
      <c r="BL36" s="89"/>
    </row>
    <row r="37" spans="1:66">
      <c r="A37" s="163"/>
      <c r="B37" s="304">
        <v>13</v>
      </c>
      <c r="C37" s="203">
        <v>1</v>
      </c>
      <c r="D37" s="204">
        <v>1</v>
      </c>
      <c r="E37" s="204">
        <v>1</v>
      </c>
      <c r="F37" s="204">
        <v>1</v>
      </c>
      <c r="G37" s="204">
        <v>1</v>
      </c>
      <c r="H37" s="204">
        <v>1</v>
      </c>
      <c r="I37" s="204">
        <v>1</v>
      </c>
      <c r="J37" s="305">
        <v>1</v>
      </c>
      <c r="K37" s="206">
        <v>13</v>
      </c>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9"/>
      <c r="AM37" s="89"/>
      <c r="AN37" s="89"/>
      <c r="AO37" s="89"/>
      <c r="AP37" s="89"/>
      <c r="AQ37" s="89"/>
      <c r="AR37" s="89"/>
      <c r="AS37" s="89"/>
      <c r="AT37" s="89"/>
      <c r="AU37" s="89"/>
      <c r="AV37" s="93"/>
      <c r="AW37" s="94"/>
      <c r="AX37" s="95"/>
      <c r="AY37" s="94"/>
      <c r="AZ37" s="96"/>
      <c r="BA37" s="94"/>
      <c r="BB37" s="95"/>
      <c r="BC37" s="96"/>
      <c r="BD37" s="93"/>
      <c r="BE37" s="89"/>
      <c r="BF37" s="89"/>
      <c r="BG37" s="89"/>
      <c r="BH37" s="89"/>
      <c r="BI37" s="89"/>
      <c r="BJ37" s="89"/>
      <c r="BK37" s="89"/>
      <c r="BL37" s="89"/>
    </row>
    <row r="38" spans="1:66">
      <c r="A38" s="163"/>
      <c r="B38" s="304">
        <v>14</v>
      </c>
      <c r="C38" s="203">
        <v>1</v>
      </c>
      <c r="D38" s="204">
        <v>1</v>
      </c>
      <c r="E38" s="204">
        <v>1</v>
      </c>
      <c r="F38" s="204">
        <v>1</v>
      </c>
      <c r="G38" s="204">
        <v>1</v>
      </c>
      <c r="H38" s="204">
        <v>1</v>
      </c>
      <c r="I38" s="204">
        <v>1</v>
      </c>
      <c r="J38" s="305">
        <v>1</v>
      </c>
      <c r="K38" s="206">
        <v>14</v>
      </c>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9"/>
      <c r="AM38" s="89"/>
      <c r="AN38" s="89"/>
      <c r="AO38" s="89"/>
      <c r="AP38" s="89"/>
      <c r="AQ38" s="89"/>
      <c r="AR38" s="89"/>
      <c r="AS38" s="89"/>
      <c r="AT38" s="89"/>
      <c r="AU38" s="89"/>
      <c r="AV38" s="93"/>
      <c r="AW38" s="94"/>
      <c r="AX38" s="95"/>
      <c r="AY38" s="94"/>
      <c r="AZ38" s="96"/>
      <c r="BA38" s="94"/>
      <c r="BB38" s="95"/>
      <c r="BC38" s="96"/>
      <c r="BD38" s="93"/>
      <c r="BE38" s="89"/>
      <c r="BF38" s="89"/>
      <c r="BG38" s="89"/>
      <c r="BH38" s="89"/>
      <c r="BI38" s="89"/>
      <c r="BJ38" s="89"/>
      <c r="BK38" s="89"/>
      <c r="BL38" s="89"/>
    </row>
    <row r="39" spans="1:66">
      <c r="A39" s="163"/>
      <c r="B39" s="304">
        <v>15</v>
      </c>
      <c r="C39" s="203">
        <v>1</v>
      </c>
      <c r="D39" s="204">
        <v>1</v>
      </c>
      <c r="E39" s="204">
        <v>1</v>
      </c>
      <c r="F39" s="204">
        <v>1</v>
      </c>
      <c r="G39" s="204">
        <v>1</v>
      </c>
      <c r="H39" s="204">
        <v>1</v>
      </c>
      <c r="I39" s="204">
        <v>1</v>
      </c>
      <c r="J39" s="305">
        <v>1</v>
      </c>
      <c r="K39" s="206">
        <v>15</v>
      </c>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9"/>
      <c r="AM39" s="89"/>
      <c r="AN39" s="89"/>
      <c r="AO39" s="89"/>
      <c r="AP39" s="89"/>
      <c r="AQ39" s="89"/>
      <c r="AR39" s="89"/>
      <c r="AS39" s="89"/>
      <c r="AT39" s="89"/>
      <c r="AU39" s="89"/>
      <c r="AV39" s="93"/>
      <c r="AW39" s="94"/>
      <c r="AX39" s="95"/>
      <c r="AY39" s="94"/>
      <c r="AZ39" s="96"/>
      <c r="BA39" s="94"/>
      <c r="BB39" s="95"/>
      <c r="BC39" s="96"/>
      <c r="BD39" s="93"/>
      <c r="BE39" s="89"/>
      <c r="BF39" s="89"/>
      <c r="BG39" s="89"/>
      <c r="BH39" s="89"/>
      <c r="BI39" s="89"/>
      <c r="BJ39" s="89"/>
      <c r="BK39" s="89"/>
      <c r="BL39" s="89"/>
    </row>
    <row r="40" spans="1:66">
      <c r="A40" s="163"/>
      <c r="B40" s="304">
        <v>16</v>
      </c>
      <c r="C40" s="203">
        <v>1</v>
      </c>
      <c r="D40" s="204">
        <v>1</v>
      </c>
      <c r="E40" s="204">
        <v>1</v>
      </c>
      <c r="F40" s="204">
        <v>1</v>
      </c>
      <c r="G40" s="204">
        <v>1</v>
      </c>
      <c r="H40" s="204">
        <v>1</v>
      </c>
      <c r="I40" s="204">
        <v>1</v>
      </c>
      <c r="J40" s="305">
        <v>1</v>
      </c>
      <c r="K40" s="206">
        <v>16</v>
      </c>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9"/>
      <c r="AM40" s="89"/>
      <c r="AN40" s="89"/>
      <c r="AO40" s="89"/>
      <c r="AP40" s="89"/>
      <c r="AQ40" s="89"/>
      <c r="AR40" s="89"/>
      <c r="AS40" s="89"/>
      <c r="AT40" s="89"/>
      <c r="AU40" s="89"/>
      <c r="AV40" s="93"/>
      <c r="AW40" s="94"/>
      <c r="AX40" s="95"/>
      <c r="AY40" s="94"/>
      <c r="AZ40" s="96"/>
      <c r="BA40" s="94"/>
      <c r="BB40" s="95"/>
      <c r="BC40" s="96"/>
      <c r="BD40" s="93"/>
      <c r="BE40" s="89"/>
      <c r="BF40" s="89"/>
      <c r="BG40" s="89"/>
      <c r="BH40" s="89"/>
      <c r="BI40" s="89"/>
      <c r="BJ40" s="89"/>
      <c r="BK40" s="89"/>
      <c r="BL40" s="89"/>
    </row>
    <row r="41" spans="1:66">
      <c r="A41" s="163"/>
      <c r="B41" s="304">
        <v>17</v>
      </c>
      <c r="C41" s="203">
        <v>1</v>
      </c>
      <c r="D41" s="204">
        <v>1</v>
      </c>
      <c r="E41" s="204">
        <v>1</v>
      </c>
      <c r="F41" s="204">
        <v>1</v>
      </c>
      <c r="G41" s="204">
        <v>1</v>
      </c>
      <c r="H41" s="204">
        <v>1</v>
      </c>
      <c r="I41" s="204">
        <v>1</v>
      </c>
      <c r="J41" s="305">
        <v>1</v>
      </c>
      <c r="K41" s="206">
        <v>17</v>
      </c>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9"/>
      <c r="AM41" s="89"/>
      <c r="AN41" s="89"/>
      <c r="AO41" s="89"/>
      <c r="AP41" s="89"/>
      <c r="AQ41" s="89"/>
      <c r="AR41" s="89"/>
      <c r="AS41" s="89"/>
      <c r="AT41" s="89"/>
      <c r="AU41" s="89"/>
      <c r="AV41" s="93"/>
      <c r="AW41" s="94"/>
      <c r="AX41" s="95"/>
      <c r="AY41" s="94"/>
      <c r="AZ41" s="96"/>
      <c r="BA41" s="94"/>
      <c r="BB41" s="95"/>
      <c r="BC41" s="96"/>
      <c r="BD41" s="93"/>
      <c r="BE41" s="89"/>
      <c r="BF41" s="89"/>
      <c r="BG41" s="89"/>
      <c r="BH41" s="89"/>
      <c r="BI41" s="89"/>
      <c r="BJ41" s="89"/>
      <c r="BK41" s="89"/>
      <c r="BL41" s="89"/>
    </row>
    <row r="42" spans="1:66" ht="15" thickBot="1">
      <c r="A42" s="163"/>
      <c r="B42" s="306">
        <v>18</v>
      </c>
      <c r="C42" s="307">
        <v>1</v>
      </c>
      <c r="D42" s="308">
        <v>1</v>
      </c>
      <c r="E42" s="308">
        <v>1</v>
      </c>
      <c r="F42" s="308">
        <v>1</v>
      </c>
      <c r="G42" s="308">
        <v>1</v>
      </c>
      <c r="H42" s="308">
        <v>1</v>
      </c>
      <c r="I42" s="308">
        <v>1</v>
      </c>
      <c r="J42" s="309">
        <v>1</v>
      </c>
      <c r="K42" s="354">
        <v>18</v>
      </c>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9"/>
      <c r="AM42" s="89"/>
      <c r="AN42" s="89"/>
      <c r="AO42" s="89"/>
      <c r="AP42" s="89"/>
      <c r="AQ42" s="89"/>
      <c r="AR42" s="89"/>
      <c r="AS42" s="89"/>
      <c r="AT42" s="89"/>
      <c r="AU42" s="89"/>
      <c r="AV42" s="93"/>
      <c r="AW42" s="94"/>
      <c r="AX42" s="95"/>
      <c r="AY42" s="94"/>
      <c r="AZ42" s="96"/>
      <c r="BA42" s="94"/>
      <c r="BB42" s="95"/>
      <c r="BC42" s="96"/>
      <c r="BD42" s="93"/>
      <c r="BE42" s="89"/>
      <c r="BF42" s="89"/>
      <c r="BG42" s="89"/>
      <c r="BH42" s="89"/>
      <c r="BI42" s="89"/>
      <c r="BJ42" s="89"/>
      <c r="BK42" s="89"/>
      <c r="BL42" s="89"/>
    </row>
    <row r="43" spans="1:66">
      <c r="A43" s="163"/>
      <c r="B43" s="163"/>
      <c r="C43" s="163"/>
      <c r="D43" s="163"/>
      <c r="E43" s="163"/>
      <c r="F43" s="163"/>
      <c r="G43" s="163"/>
      <c r="H43" s="163"/>
      <c r="I43" s="163"/>
      <c r="J43" s="163"/>
      <c r="K43" s="163"/>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89"/>
      <c r="AM43" s="89"/>
      <c r="AN43" s="89"/>
      <c r="AO43" s="89"/>
      <c r="AP43" s="89"/>
      <c r="AQ43" s="89"/>
      <c r="AR43" s="89"/>
      <c r="AS43" s="89"/>
      <c r="AT43" s="89"/>
      <c r="AU43" s="89"/>
      <c r="AV43" s="93"/>
      <c r="AW43" s="94"/>
      <c r="AX43" s="95"/>
      <c r="AY43" s="94"/>
      <c r="AZ43" s="96"/>
      <c r="BA43" s="94"/>
      <c r="BB43" s="95"/>
      <c r="BC43" s="96"/>
      <c r="BD43" s="93"/>
      <c r="BE43" s="89"/>
      <c r="BF43" s="89"/>
      <c r="BG43" s="89"/>
      <c r="BH43" s="89"/>
      <c r="BI43" s="89"/>
      <c r="BJ43" s="89"/>
      <c r="BK43" s="89"/>
      <c r="BL43" s="89"/>
    </row>
    <row r="44" spans="1:66">
      <c r="A44" s="163"/>
      <c r="B44" s="163"/>
      <c r="C44" s="163"/>
      <c r="D44" s="163"/>
      <c r="E44" s="163"/>
      <c r="F44" s="163"/>
      <c r="G44" s="163"/>
      <c r="H44" s="163"/>
      <c r="I44" s="163"/>
      <c r="J44" s="163"/>
      <c r="K44" s="163"/>
      <c r="L44" s="88"/>
      <c r="M44" s="88"/>
      <c r="N44" s="88"/>
      <c r="O44" s="88"/>
      <c r="P44" s="88"/>
      <c r="Q44" s="88"/>
      <c r="R44" s="88"/>
      <c r="S44" s="88"/>
      <c r="T44" s="88"/>
      <c r="U44" s="88"/>
      <c r="V44" s="88"/>
      <c r="W44" s="88"/>
      <c r="X44" s="88"/>
      <c r="Y44" s="88"/>
      <c r="Z44" s="545"/>
      <c r="AA44" s="545"/>
      <c r="AB44" s="545"/>
      <c r="AC44" s="545"/>
      <c r="AD44" s="545"/>
      <c r="AE44" s="545"/>
      <c r="AF44" s="545"/>
      <c r="AG44" s="545"/>
      <c r="AH44" s="545"/>
      <c r="AI44" s="545"/>
      <c r="AJ44" s="88"/>
      <c r="AK44" s="88"/>
      <c r="AL44" s="88"/>
      <c r="AM44" s="88"/>
      <c r="AN44" s="89"/>
      <c r="AO44" s="89"/>
      <c r="AP44" s="89"/>
      <c r="AQ44" s="89"/>
      <c r="AR44" s="89"/>
      <c r="AS44" s="89"/>
      <c r="AT44" s="89"/>
      <c r="AU44" s="89"/>
      <c r="AV44" s="89"/>
      <c r="AW44" s="89"/>
      <c r="AX44" s="93"/>
      <c r="AY44" s="94"/>
      <c r="AZ44" s="95"/>
      <c r="BA44" s="94"/>
      <c r="BB44" s="96"/>
      <c r="BC44" s="94"/>
      <c r="BD44" s="95"/>
      <c r="BE44" s="96"/>
      <c r="BF44" s="93"/>
      <c r="BG44" s="89"/>
      <c r="BH44" s="89"/>
      <c r="BI44" s="89"/>
      <c r="BJ44" s="89"/>
      <c r="BK44" s="89"/>
      <c r="BL44" s="89"/>
      <c r="BM44" s="89"/>
      <c r="BN44" s="89"/>
    </row>
    <row r="45" spans="1:66" ht="19" thickBot="1">
      <c r="A45" s="163"/>
      <c r="B45" s="88"/>
      <c r="C45" s="89"/>
      <c r="D45" s="164" t="s">
        <v>284</v>
      </c>
      <c r="E45" s="201"/>
      <c r="F45" s="201"/>
      <c r="G45" s="201"/>
      <c r="H45" s="201"/>
      <c r="I45" s="201"/>
      <c r="J45" s="201"/>
      <c r="K45" s="201"/>
      <c r="L45" s="201"/>
      <c r="M45" s="201"/>
      <c r="N45" s="201"/>
      <c r="O45" s="201"/>
      <c r="P45" s="201"/>
      <c r="Q45" s="201"/>
      <c r="R45" s="201"/>
      <c r="S45" s="201"/>
      <c r="T45" s="201"/>
      <c r="U45" s="201"/>
      <c r="V45" s="201"/>
      <c r="W45" s="88"/>
      <c r="X45" s="88"/>
      <c r="Y45" s="88"/>
      <c r="Z45" s="546"/>
      <c r="AA45" s="546"/>
      <c r="AB45" s="546"/>
      <c r="AC45" s="546"/>
      <c r="AD45" s="546"/>
      <c r="AE45" s="546"/>
      <c r="AF45" s="546"/>
      <c r="AG45" s="546"/>
      <c r="AH45" s="546"/>
      <c r="AI45" s="545"/>
      <c r="AJ45" s="88"/>
      <c r="AK45" s="88"/>
      <c r="AL45" s="89"/>
      <c r="AM45" s="89"/>
      <c r="AN45" s="89"/>
      <c r="AO45" s="89"/>
      <c r="AP45" s="89"/>
      <c r="AQ45" s="89"/>
      <c r="AR45" s="89"/>
      <c r="AS45" s="89"/>
      <c r="AT45" s="89"/>
      <c r="AU45" s="89"/>
      <c r="AV45" s="93"/>
      <c r="AW45" s="94"/>
      <c r="AX45" s="95"/>
      <c r="AY45" s="94"/>
      <c r="AZ45" s="96"/>
      <c r="BA45" s="94"/>
      <c r="BB45" s="97"/>
      <c r="BC45" s="96"/>
      <c r="BD45" s="93"/>
      <c r="BE45" s="89"/>
      <c r="BF45" s="89"/>
      <c r="BG45" s="89"/>
      <c r="BH45" s="89"/>
      <c r="BI45" s="89"/>
      <c r="BJ45" s="89"/>
      <c r="BK45" s="89"/>
      <c r="BL45" s="89"/>
    </row>
    <row r="46" spans="1:66" ht="15" thickBot="1">
      <c r="A46" s="163"/>
      <c r="B46" s="88"/>
      <c r="C46" s="384"/>
      <c r="D46" s="393">
        <v>2014</v>
      </c>
      <c r="E46" s="394">
        <v>2016</v>
      </c>
      <c r="F46" s="394">
        <v>2018</v>
      </c>
      <c r="G46" s="394">
        <v>2020</v>
      </c>
      <c r="H46" s="394">
        <v>2022</v>
      </c>
      <c r="I46" s="394">
        <v>2024</v>
      </c>
      <c r="J46" s="394">
        <v>2026</v>
      </c>
      <c r="K46" s="394">
        <v>2028</v>
      </c>
      <c r="L46" s="394">
        <v>2030</v>
      </c>
      <c r="M46" s="394">
        <v>2032</v>
      </c>
      <c r="N46" s="394">
        <v>2034</v>
      </c>
      <c r="O46" s="394">
        <v>2036</v>
      </c>
      <c r="P46" s="394">
        <v>2038</v>
      </c>
      <c r="Q46" s="394">
        <v>2040</v>
      </c>
      <c r="R46" s="394">
        <v>2042</v>
      </c>
      <c r="S46" s="394">
        <v>2044</v>
      </c>
      <c r="T46" s="394">
        <v>2046</v>
      </c>
      <c r="U46" s="394">
        <v>2048</v>
      </c>
      <c r="V46" s="395">
        <v>2050</v>
      </c>
      <c r="W46" s="88"/>
      <c r="X46" s="88"/>
      <c r="Y46" s="88"/>
      <c r="Z46" s="546"/>
      <c r="AA46" s="546"/>
      <c r="AB46" s="546"/>
      <c r="AC46" s="546"/>
      <c r="AD46" s="546"/>
      <c r="AE46" s="546"/>
      <c r="AF46" s="546"/>
      <c r="AG46" s="546"/>
      <c r="AH46" s="546"/>
      <c r="AI46" s="545"/>
      <c r="AJ46" s="88"/>
      <c r="AK46" s="88"/>
      <c r="AL46" s="88"/>
      <c r="AM46" s="89"/>
      <c r="AN46" s="89"/>
      <c r="AO46" s="89"/>
      <c r="AP46" s="89"/>
      <c r="AQ46" s="89"/>
      <c r="AR46" s="89"/>
      <c r="AS46" s="89"/>
      <c r="AT46" s="89"/>
      <c r="AU46" s="89"/>
      <c r="AV46" s="89"/>
      <c r="AW46" s="93"/>
      <c r="AX46" s="94"/>
      <c r="AY46" s="95"/>
      <c r="AZ46" s="94"/>
      <c r="BA46" s="96"/>
      <c r="BB46" s="94"/>
      <c r="BC46" s="97"/>
      <c r="BD46" s="96"/>
      <c r="BE46" s="93"/>
      <c r="BF46" s="89"/>
      <c r="BG46" s="89"/>
      <c r="BH46" s="89"/>
      <c r="BI46" s="89"/>
      <c r="BJ46" s="89"/>
      <c r="BK46" s="89"/>
      <c r="BL46" s="89"/>
      <c r="BM46" s="89"/>
    </row>
    <row r="47" spans="1:66" ht="17" thickTop="1" thickBot="1">
      <c r="A47" s="163"/>
      <c r="B47" s="88"/>
      <c r="C47" s="385" t="s">
        <v>173</v>
      </c>
      <c r="D47" s="386">
        <v>0.85</v>
      </c>
      <c r="E47" s="386">
        <v>0.85</v>
      </c>
      <c r="F47" s="386">
        <v>0.85</v>
      </c>
      <c r="G47" s="386">
        <v>0.85</v>
      </c>
      <c r="H47" s="386">
        <v>0.85</v>
      </c>
      <c r="I47" s="386">
        <v>0.85</v>
      </c>
      <c r="J47" s="386">
        <v>0.85</v>
      </c>
      <c r="K47" s="386">
        <v>0.85</v>
      </c>
      <c r="L47" s="386">
        <v>0.85</v>
      </c>
      <c r="M47" s="386">
        <v>0.85</v>
      </c>
      <c r="N47" s="386">
        <v>0.85</v>
      </c>
      <c r="O47" s="386">
        <v>0.85</v>
      </c>
      <c r="P47" s="386">
        <v>0.85</v>
      </c>
      <c r="Q47" s="386">
        <v>0.85</v>
      </c>
      <c r="R47" s="386">
        <v>0.85</v>
      </c>
      <c r="S47" s="386">
        <v>0.85</v>
      </c>
      <c r="T47" s="386">
        <v>0.85</v>
      </c>
      <c r="U47" s="386">
        <v>0.85</v>
      </c>
      <c r="V47" s="387">
        <v>0.85</v>
      </c>
      <c r="W47" s="88"/>
      <c r="X47" s="88"/>
      <c r="Y47" s="88"/>
      <c r="Z47" s="546"/>
      <c r="AA47" s="546"/>
      <c r="AB47" s="546"/>
      <c r="AC47" s="546"/>
      <c r="AD47" s="546"/>
      <c r="AE47" s="546"/>
      <c r="AF47" s="546"/>
      <c r="AG47" s="546"/>
      <c r="AH47" s="546"/>
      <c r="AI47" s="545"/>
      <c r="AJ47" s="89"/>
      <c r="AK47" s="89"/>
      <c r="AL47" s="89"/>
      <c r="AM47" s="89"/>
      <c r="AN47" s="89"/>
      <c r="AO47" s="89"/>
      <c r="AP47" s="89"/>
      <c r="AQ47" s="89"/>
      <c r="AR47" s="89"/>
      <c r="AS47" s="89"/>
      <c r="AT47" s="93"/>
      <c r="AU47" s="94"/>
      <c r="AV47" s="95"/>
      <c r="AW47" s="94"/>
      <c r="AX47" s="96"/>
      <c r="AY47" s="94"/>
      <c r="AZ47" s="95"/>
      <c r="BA47" s="96"/>
      <c r="BB47" s="93"/>
      <c r="BC47" s="89"/>
      <c r="BD47" s="89"/>
      <c r="BE47" s="89"/>
      <c r="BF47" s="89"/>
      <c r="BG47" s="89"/>
      <c r="BH47" s="89"/>
      <c r="BI47" s="89"/>
      <c r="BJ47" s="89"/>
    </row>
    <row r="48" spans="1:66" ht="16" thickTop="1">
      <c r="A48" s="163"/>
      <c r="B48" s="88"/>
      <c r="C48" s="385" t="s">
        <v>114</v>
      </c>
      <c r="D48" s="386">
        <v>0.85</v>
      </c>
      <c r="E48" s="386">
        <v>0.85</v>
      </c>
      <c r="F48" s="386">
        <v>0.85</v>
      </c>
      <c r="G48" s="386">
        <v>0.85</v>
      </c>
      <c r="H48" s="386">
        <v>0.85</v>
      </c>
      <c r="I48" s="386">
        <v>0.85</v>
      </c>
      <c r="J48" s="386">
        <v>0.85</v>
      </c>
      <c r="K48" s="386">
        <v>0.85</v>
      </c>
      <c r="L48" s="386">
        <v>0.85</v>
      </c>
      <c r="M48" s="386">
        <v>0.85</v>
      </c>
      <c r="N48" s="386">
        <v>0.85</v>
      </c>
      <c r="O48" s="386">
        <v>0.85</v>
      </c>
      <c r="P48" s="386">
        <v>0.85</v>
      </c>
      <c r="Q48" s="386">
        <v>0.85</v>
      </c>
      <c r="R48" s="386">
        <v>0.85</v>
      </c>
      <c r="S48" s="386">
        <v>0.85</v>
      </c>
      <c r="T48" s="386">
        <v>0.85</v>
      </c>
      <c r="U48" s="386">
        <v>0.85</v>
      </c>
      <c r="V48" s="387">
        <v>0.85</v>
      </c>
      <c r="W48" s="88"/>
      <c r="X48" s="88"/>
      <c r="Y48" s="88"/>
      <c r="Z48" s="546"/>
      <c r="AA48" s="546"/>
      <c r="AB48" s="546"/>
      <c r="AC48" s="546"/>
      <c r="AD48" s="546"/>
      <c r="AE48" s="546"/>
      <c r="AF48" s="546"/>
      <c r="AG48" s="546"/>
      <c r="AH48" s="546"/>
      <c r="AI48" s="547"/>
      <c r="AJ48" s="89"/>
      <c r="AK48" s="89"/>
      <c r="AL48" s="89"/>
      <c r="AM48" s="89"/>
      <c r="AN48" s="89"/>
      <c r="AO48" s="89"/>
      <c r="AP48" s="89"/>
      <c r="AQ48" s="89"/>
      <c r="AR48" s="89"/>
      <c r="AS48" s="93"/>
      <c r="AT48" s="94"/>
      <c r="AU48" s="95"/>
      <c r="AV48" s="94"/>
      <c r="AW48" s="96"/>
      <c r="AX48" s="94"/>
      <c r="AY48" s="95"/>
      <c r="AZ48" s="96"/>
      <c r="BA48" s="93"/>
      <c r="BB48" s="89"/>
      <c r="BC48" s="89"/>
      <c r="BD48" s="89"/>
      <c r="BE48" s="89"/>
      <c r="BF48" s="89"/>
      <c r="BG48" s="89"/>
      <c r="BH48" s="89"/>
      <c r="BI48" s="89"/>
    </row>
    <row r="49" spans="1:61" ht="15">
      <c r="A49" s="88"/>
      <c r="B49" s="88"/>
      <c r="C49" s="388" t="s">
        <v>133</v>
      </c>
      <c r="D49" s="386">
        <v>0.85</v>
      </c>
      <c r="E49" s="386">
        <v>0.85</v>
      </c>
      <c r="F49" s="386">
        <v>0.85</v>
      </c>
      <c r="G49" s="386">
        <v>0.85</v>
      </c>
      <c r="H49" s="386">
        <v>0.85</v>
      </c>
      <c r="I49" s="386">
        <v>0.85</v>
      </c>
      <c r="J49" s="386">
        <v>0.85</v>
      </c>
      <c r="K49" s="386">
        <v>0.85</v>
      </c>
      <c r="L49" s="386">
        <v>0.85</v>
      </c>
      <c r="M49" s="386">
        <v>0.85</v>
      </c>
      <c r="N49" s="386">
        <v>0.85</v>
      </c>
      <c r="O49" s="386">
        <v>0.85</v>
      </c>
      <c r="P49" s="386">
        <v>0.85</v>
      </c>
      <c r="Q49" s="386">
        <v>0.85</v>
      </c>
      <c r="R49" s="386">
        <v>0.85</v>
      </c>
      <c r="S49" s="386">
        <v>0.85</v>
      </c>
      <c r="T49" s="386">
        <v>0.85</v>
      </c>
      <c r="U49" s="386">
        <v>0.85</v>
      </c>
      <c r="V49" s="387">
        <v>0.85</v>
      </c>
      <c r="W49" s="88"/>
      <c r="X49" s="88"/>
      <c r="Y49" s="88"/>
      <c r="Z49" s="546"/>
      <c r="AA49" s="546"/>
      <c r="AB49" s="546"/>
      <c r="AC49" s="546"/>
      <c r="AD49" s="546"/>
      <c r="AE49" s="546"/>
      <c r="AF49" s="546"/>
      <c r="AG49" s="546"/>
      <c r="AH49" s="546"/>
      <c r="AI49" s="547"/>
      <c r="AJ49" s="89"/>
      <c r="AK49" s="89"/>
      <c r="AL49" s="89"/>
      <c r="AM49" s="89"/>
      <c r="AN49" s="89"/>
      <c r="AO49" s="89"/>
      <c r="AP49" s="89"/>
      <c r="AQ49" s="89"/>
      <c r="AR49" s="89"/>
      <c r="AS49" s="93"/>
      <c r="AT49" s="94"/>
      <c r="AU49" s="95"/>
      <c r="AV49" s="94"/>
      <c r="AW49" s="96"/>
      <c r="AX49" s="94"/>
      <c r="AY49" s="95"/>
      <c r="AZ49" s="96"/>
      <c r="BA49" s="93"/>
      <c r="BB49" s="89"/>
      <c r="BC49" s="89"/>
      <c r="BD49" s="89"/>
      <c r="BE49" s="89"/>
      <c r="BF49" s="89"/>
      <c r="BG49" s="89"/>
      <c r="BH49" s="89"/>
      <c r="BI49" s="89"/>
    </row>
    <row r="50" spans="1:61" ht="15">
      <c r="A50" s="88"/>
      <c r="B50" s="88"/>
      <c r="C50" s="388" t="s">
        <v>132</v>
      </c>
      <c r="D50" s="386">
        <v>0.85</v>
      </c>
      <c r="E50" s="386">
        <v>0.85</v>
      </c>
      <c r="F50" s="386">
        <v>0.85</v>
      </c>
      <c r="G50" s="386">
        <v>0.85</v>
      </c>
      <c r="H50" s="386">
        <v>0.85</v>
      </c>
      <c r="I50" s="386">
        <v>0.85</v>
      </c>
      <c r="J50" s="386">
        <v>0.85</v>
      </c>
      <c r="K50" s="386">
        <v>0.85</v>
      </c>
      <c r="L50" s="386">
        <v>0.85</v>
      </c>
      <c r="M50" s="386">
        <v>0.85</v>
      </c>
      <c r="N50" s="386">
        <v>0.85</v>
      </c>
      <c r="O50" s="386">
        <v>0.85</v>
      </c>
      <c r="P50" s="386">
        <v>0.85</v>
      </c>
      <c r="Q50" s="386">
        <v>0.85</v>
      </c>
      <c r="R50" s="389">
        <v>0.85</v>
      </c>
      <c r="S50" s="386">
        <v>0.85</v>
      </c>
      <c r="T50" s="386">
        <v>0.85</v>
      </c>
      <c r="U50" s="386">
        <v>0.85</v>
      </c>
      <c r="V50" s="387">
        <v>0.85</v>
      </c>
      <c r="W50" s="88"/>
      <c r="X50" s="88"/>
      <c r="Y50" s="88"/>
      <c r="Z50" s="546"/>
      <c r="AA50" s="546"/>
      <c r="AB50" s="546"/>
      <c r="AC50" s="546"/>
      <c r="AD50" s="546"/>
      <c r="AE50" s="546"/>
      <c r="AF50" s="546"/>
      <c r="AG50" s="546"/>
      <c r="AH50" s="546"/>
      <c r="AI50" s="547"/>
      <c r="AJ50" s="89"/>
      <c r="AK50" s="89"/>
      <c r="AL50" s="89"/>
      <c r="AM50" s="89"/>
      <c r="AN50" s="89"/>
      <c r="AO50" s="89"/>
      <c r="AP50" s="89"/>
      <c r="AQ50" s="89"/>
      <c r="AR50" s="89"/>
      <c r="AS50" s="93"/>
      <c r="AT50" s="94"/>
      <c r="AU50" s="95"/>
      <c r="AV50" s="94"/>
      <c r="AW50" s="96"/>
      <c r="AX50" s="94"/>
      <c r="AY50" s="95"/>
      <c r="AZ50" s="96"/>
      <c r="BA50" s="93"/>
      <c r="BB50" s="89"/>
      <c r="BC50" s="89"/>
      <c r="BD50" s="89"/>
      <c r="BE50" s="89"/>
      <c r="BF50" s="89"/>
      <c r="BG50" s="89"/>
      <c r="BH50" s="89"/>
      <c r="BI50" s="89"/>
    </row>
    <row r="51" spans="1:61" ht="15">
      <c r="A51" s="88"/>
      <c r="B51" s="88"/>
      <c r="C51" s="388" t="s">
        <v>134</v>
      </c>
      <c r="D51" s="386">
        <v>0.85</v>
      </c>
      <c r="E51" s="386">
        <v>0.85</v>
      </c>
      <c r="F51" s="386">
        <v>0.85</v>
      </c>
      <c r="G51" s="386">
        <v>0.85</v>
      </c>
      <c r="H51" s="386">
        <v>0.85</v>
      </c>
      <c r="I51" s="386">
        <v>0.85</v>
      </c>
      <c r="J51" s="386">
        <v>0.85</v>
      </c>
      <c r="K51" s="386">
        <v>0.85</v>
      </c>
      <c r="L51" s="386">
        <v>0.85</v>
      </c>
      <c r="M51" s="386">
        <v>0.85</v>
      </c>
      <c r="N51" s="386">
        <v>0.85</v>
      </c>
      <c r="O51" s="386">
        <v>0.85</v>
      </c>
      <c r="P51" s="386">
        <v>0.85</v>
      </c>
      <c r="Q51" s="386">
        <v>0.85</v>
      </c>
      <c r="R51" s="386">
        <v>0.85</v>
      </c>
      <c r="S51" s="386">
        <v>0.85</v>
      </c>
      <c r="T51" s="386">
        <v>0.85</v>
      </c>
      <c r="U51" s="386">
        <v>0.85</v>
      </c>
      <c r="V51" s="387">
        <v>0.85</v>
      </c>
      <c r="W51" s="88"/>
      <c r="X51" s="88"/>
      <c r="Y51" s="88"/>
      <c r="Z51" s="546"/>
      <c r="AA51" s="546"/>
      <c r="AB51" s="546"/>
      <c r="AC51" s="546"/>
      <c r="AD51" s="546"/>
      <c r="AE51" s="546"/>
      <c r="AF51" s="546"/>
      <c r="AG51" s="546"/>
      <c r="AH51" s="546"/>
      <c r="AI51" s="547"/>
      <c r="AJ51" s="89"/>
      <c r="AK51" s="89"/>
      <c r="AL51" s="89"/>
      <c r="AM51" s="89"/>
      <c r="AN51" s="89"/>
      <c r="AO51" s="89"/>
      <c r="AP51" s="89"/>
      <c r="AQ51" s="89"/>
      <c r="AR51" s="89"/>
      <c r="AS51" s="93"/>
      <c r="AT51" s="94"/>
      <c r="AU51" s="95"/>
      <c r="AV51" s="94"/>
      <c r="AW51" s="96"/>
      <c r="AX51" s="94"/>
      <c r="AY51" s="95"/>
      <c r="AZ51" s="96"/>
      <c r="BA51" s="93"/>
      <c r="BB51" s="89"/>
      <c r="BC51" s="89"/>
      <c r="BD51" s="89"/>
      <c r="BE51" s="89"/>
      <c r="BF51" s="89"/>
      <c r="BG51" s="89"/>
      <c r="BH51" s="89"/>
      <c r="BI51" s="89"/>
    </row>
    <row r="52" spans="1:61" ht="15">
      <c r="A52" s="88"/>
      <c r="B52" s="88"/>
      <c r="C52" s="388" t="s">
        <v>135</v>
      </c>
      <c r="D52" s="386">
        <v>0.85</v>
      </c>
      <c r="E52" s="386">
        <v>0.85</v>
      </c>
      <c r="F52" s="386">
        <v>0.85</v>
      </c>
      <c r="G52" s="386">
        <v>0.85</v>
      </c>
      <c r="H52" s="386">
        <v>0.85</v>
      </c>
      <c r="I52" s="386">
        <v>0.85</v>
      </c>
      <c r="J52" s="386">
        <v>0.85</v>
      </c>
      <c r="K52" s="386">
        <v>0.85</v>
      </c>
      <c r="L52" s="386">
        <v>0.85</v>
      </c>
      <c r="M52" s="386">
        <v>0.85</v>
      </c>
      <c r="N52" s="386">
        <v>0.85</v>
      </c>
      <c r="O52" s="386">
        <v>0.85</v>
      </c>
      <c r="P52" s="386">
        <v>0.85</v>
      </c>
      <c r="Q52" s="386">
        <v>0.85</v>
      </c>
      <c r="R52" s="386">
        <v>0.85</v>
      </c>
      <c r="S52" s="386">
        <v>0.85</v>
      </c>
      <c r="T52" s="386">
        <v>0.85</v>
      </c>
      <c r="U52" s="386">
        <v>0.85</v>
      </c>
      <c r="V52" s="387">
        <v>0.85</v>
      </c>
      <c r="W52" s="88"/>
      <c r="X52" s="88"/>
      <c r="Y52" s="88"/>
      <c r="Z52" s="546"/>
      <c r="AA52" s="546"/>
      <c r="AB52" s="546"/>
      <c r="AC52" s="546"/>
      <c r="AD52" s="546"/>
      <c r="AE52" s="546"/>
      <c r="AF52" s="546"/>
      <c r="AG52" s="546"/>
      <c r="AH52" s="546"/>
      <c r="AI52" s="547"/>
      <c r="AJ52" s="89"/>
      <c r="AK52" s="89"/>
      <c r="AL52" s="89"/>
      <c r="AM52" s="89"/>
      <c r="AN52" s="89"/>
      <c r="AO52" s="89"/>
      <c r="AP52" s="89"/>
      <c r="AQ52" s="89"/>
      <c r="AR52" s="89"/>
      <c r="AS52" s="93"/>
      <c r="AT52" s="94"/>
      <c r="AU52" s="95"/>
      <c r="AV52" s="94"/>
      <c r="AW52" s="96"/>
      <c r="AX52" s="94"/>
      <c r="AY52" s="95"/>
      <c r="AZ52" s="96"/>
      <c r="BA52" s="93"/>
      <c r="BB52" s="89"/>
      <c r="BC52" s="89"/>
      <c r="BD52" s="89"/>
      <c r="BE52" s="89"/>
      <c r="BF52" s="89"/>
      <c r="BG52" s="89"/>
      <c r="BH52" s="89"/>
      <c r="BI52" s="89"/>
    </row>
    <row r="53" spans="1:61" ht="15">
      <c r="A53" s="88"/>
      <c r="B53" s="88"/>
      <c r="C53" s="388" t="s">
        <v>174</v>
      </c>
      <c r="D53" s="386">
        <v>0.85</v>
      </c>
      <c r="E53" s="386">
        <v>0.85</v>
      </c>
      <c r="F53" s="386">
        <v>0.85</v>
      </c>
      <c r="G53" s="386">
        <v>0.85</v>
      </c>
      <c r="H53" s="386">
        <v>0.85</v>
      </c>
      <c r="I53" s="386">
        <v>0.85</v>
      </c>
      <c r="J53" s="386">
        <v>0.85</v>
      </c>
      <c r="K53" s="386">
        <v>0.85</v>
      </c>
      <c r="L53" s="386">
        <v>0.85</v>
      </c>
      <c r="M53" s="386">
        <v>0.85</v>
      </c>
      <c r="N53" s="386">
        <v>0.85</v>
      </c>
      <c r="O53" s="386">
        <v>0.85</v>
      </c>
      <c r="P53" s="386">
        <v>0.85</v>
      </c>
      <c r="Q53" s="386">
        <v>0.85</v>
      </c>
      <c r="R53" s="386">
        <v>0.85</v>
      </c>
      <c r="S53" s="386">
        <v>0.85</v>
      </c>
      <c r="T53" s="386">
        <v>0.85</v>
      </c>
      <c r="U53" s="386">
        <v>0.85</v>
      </c>
      <c r="V53" s="387">
        <v>0.85</v>
      </c>
      <c r="W53" s="88"/>
      <c r="X53" s="88"/>
      <c r="Y53" s="88"/>
      <c r="Z53" s="546"/>
      <c r="AA53" s="546"/>
      <c r="AB53" s="546"/>
      <c r="AC53" s="546"/>
      <c r="AD53" s="546"/>
      <c r="AE53" s="546"/>
      <c r="AF53" s="546"/>
      <c r="AG53" s="546"/>
      <c r="AH53" s="546"/>
      <c r="AI53" s="547"/>
      <c r="AJ53" s="89"/>
      <c r="AK53" s="89"/>
      <c r="AL53" s="89"/>
      <c r="AM53" s="89"/>
      <c r="AN53" s="89"/>
      <c r="AO53" s="89"/>
      <c r="AP53" s="89"/>
      <c r="AQ53" s="89"/>
      <c r="AR53" s="89"/>
      <c r="AS53" s="93"/>
      <c r="AT53" s="94"/>
      <c r="AU53" s="95"/>
      <c r="AV53" s="94"/>
      <c r="AW53" s="96"/>
      <c r="AX53" s="94"/>
      <c r="AY53" s="95"/>
      <c r="AZ53" s="96"/>
      <c r="BA53" s="93"/>
      <c r="BB53" s="89"/>
      <c r="BC53" s="89"/>
      <c r="BD53" s="89"/>
      <c r="BE53" s="89"/>
      <c r="BF53" s="89"/>
      <c r="BG53" s="89"/>
      <c r="BH53" s="89"/>
      <c r="BI53" s="89"/>
    </row>
    <row r="54" spans="1:61" ht="15">
      <c r="A54" s="88"/>
      <c r="B54" s="88"/>
      <c r="C54" s="388" t="s">
        <v>136</v>
      </c>
      <c r="D54" s="386">
        <v>0.85</v>
      </c>
      <c r="E54" s="386">
        <v>0.85</v>
      </c>
      <c r="F54" s="386">
        <v>0.85</v>
      </c>
      <c r="G54" s="386">
        <v>0.85</v>
      </c>
      <c r="H54" s="386">
        <v>0.85</v>
      </c>
      <c r="I54" s="386">
        <v>0.85</v>
      </c>
      <c r="J54" s="386">
        <v>0.85</v>
      </c>
      <c r="K54" s="386">
        <v>0.85</v>
      </c>
      <c r="L54" s="386">
        <v>0.85</v>
      </c>
      <c r="M54" s="386">
        <v>0.85</v>
      </c>
      <c r="N54" s="386">
        <v>0.85</v>
      </c>
      <c r="O54" s="386">
        <v>0.85</v>
      </c>
      <c r="P54" s="386">
        <v>0.85</v>
      </c>
      <c r="Q54" s="386">
        <v>0.85</v>
      </c>
      <c r="R54" s="386">
        <v>0.85</v>
      </c>
      <c r="S54" s="386">
        <v>0.85</v>
      </c>
      <c r="T54" s="386">
        <v>0.85</v>
      </c>
      <c r="U54" s="386">
        <v>0.85</v>
      </c>
      <c r="V54" s="387">
        <v>0.85</v>
      </c>
      <c r="W54" s="88"/>
      <c r="X54" s="88"/>
      <c r="Y54" s="88"/>
      <c r="Z54" s="545"/>
      <c r="AA54" s="545"/>
      <c r="AB54" s="545"/>
      <c r="AC54" s="545"/>
      <c r="AD54" s="545"/>
      <c r="AE54" s="545"/>
      <c r="AF54" s="545"/>
      <c r="AG54" s="545"/>
      <c r="AH54" s="545"/>
      <c r="AI54" s="547"/>
      <c r="AJ54" s="89"/>
      <c r="AK54" s="89"/>
      <c r="AL54" s="89"/>
      <c r="AM54" s="89"/>
      <c r="AN54" s="89"/>
      <c r="AO54" s="89"/>
      <c r="AP54" s="89"/>
      <c r="AQ54" s="89"/>
      <c r="AR54" s="89"/>
      <c r="AS54" s="93"/>
      <c r="AT54" s="94"/>
      <c r="AU54" s="95"/>
      <c r="AV54" s="94"/>
      <c r="AW54" s="96"/>
      <c r="AX54" s="94"/>
      <c r="AY54" s="95"/>
      <c r="AZ54" s="96"/>
      <c r="BA54" s="93"/>
      <c r="BB54" s="89"/>
      <c r="BC54" s="89"/>
      <c r="BD54" s="89"/>
      <c r="BE54" s="89"/>
      <c r="BF54" s="89"/>
      <c r="BG54" s="89"/>
      <c r="BH54" s="89"/>
      <c r="BI54" s="89"/>
    </row>
    <row r="55" spans="1:61" ht="15">
      <c r="A55" s="88"/>
      <c r="B55" s="88"/>
      <c r="C55" s="388" t="s">
        <v>175</v>
      </c>
      <c r="D55" s="386">
        <v>0.85</v>
      </c>
      <c r="E55" s="386">
        <v>0.85</v>
      </c>
      <c r="F55" s="386">
        <v>0.85</v>
      </c>
      <c r="G55" s="386">
        <v>0.85</v>
      </c>
      <c r="H55" s="386">
        <v>0.85</v>
      </c>
      <c r="I55" s="386">
        <v>0.85</v>
      </c>
      <c r="J55" s="386">
        <v>0.85</v>
      </c>
      <c r="K55" s="386">
        <v>0.85</v>
      </c>
      <c r="L55" s="386">
        <v>0.85</v>
      </c>
      <c r="M55" s="386">
        <v>0.85</v>
      </c>
      <c r="N55" s="386">
        <v>0.85</v>
      </c>
      <c r="O55" s="386">
        <v>0.85</v>
      </c>
      <c r="P55" s="386">
        <v>0.85</v>
      </c>
      <c r="Q55" s="386">
        <v>0.85</v>
      </c>
      <c r="R55" s="386">
        <v>0.85</v>
      </c>
      <c r="S55" s="386">
        <v>0.85</v>
      </c>
      <c r="T55" s="386">
        <v>0.85</v>
      </c>
      <c r="U55" s="386">
        <v>0.85</v>
      </c>
      <c r="V55" s="387">
        <v>0.85</v>
      </c>
      <c r="W55" s="88"/>
      <c r="X55" s="88"/>
      <c r="Y55" s="88"/>
      <c r="Z55" s="545"/>
      <c r="AA55" s="545"/>
      <c r="AB55" s="545"/>
      <c r="AC55" s="545"/>
      <c r="AD55" s="545"/>
      <c r="AE55" s="545"/>
      <c r="AF55" s="545"/>
      <c r="AG55" s="545"/>
      <c r="AH55" s="545"/>
      <c r="AI55" s="547"/>
      <c r="AJ55" s="89"/>
      <c r="AK55" s="89"/>
      <c r="AL55" s="89"/>
      <c r="AM55" s="89"/>
      <c r="AN55" s="89"/>
      <c r="AO55" s="89"/>
      <c r="AP55" s="89"/>
      <c r="AQ55" s="89"/>
      <c r="AR55" s="89"/>
      <c r="AS55" s="93"/>
      <c r="AT55" s="94"/>
      <c r="AU55" s="95"/>
      <c r="AV55" s="94"/>
      <c r="AW55" s="96"/>
      <c r="AX55" s="94"/>
      <c r="AY55" s="95"/>
      <c r="AZ55" s="96"/>
      <c r="BA55" s="93"/>
      <c r="BB55" s="89"/>
      <c r="BC55" s="89"/>
      <c r="BD55" s="89"/>
      <c r="BE55" s="89"/>
      <c r="BF55" s="89"/>
      <c r="BG55" s="89"/>
      <c r="BH55" s="89"/>
      <c r="BI55" s="89"/>
    </row>
    <row r="56" spans="1:61" ht="15">
      <c r="A56" s="88"/>
      <c r="B56" s="88"/>
      <c r="C56" s="388" t="s">
        <v>176</v>
      </c>
      <c r="D56" s="386">
        <v>0.85</v>
      </c>
      <c r="E56" s="386">
        <v>0.85</v>
      </c>
      <c r="F56" s="386">
        <v>0.85</v>
      </c>
      <c r="G56" s="386">
        <v>0.85</v>
      </c>
      <c r="H56" s="386">
        <v>0.85</v>
      </c>
      <c r="I56" s="386">
        <v>0.85</v>
      </c>
      <c r="J56" s="386">
        <v>0.85</v>
      </c>
      <c r="K56" s="386">
        <v>0.85</v>
      </c>
      <c r="L56" s="386">
        <v>0.85</v>
      </c>
      <c r="M56" s="386">
        <v>0.85</v>
      </c>
      <c r="N56" s="386">
        <v>0.85</v>
      </c>
      <c r="O56" s="386">
        <v>0.85</v>
      </c>
      <c r="P56" s="386">
        <v>0.85</v>
      </c>
      <c r="Q56" s="386">
        <v>0.85</v>
      </c>
      <c r="R56" s="386">
        <v>0.85</v>
      </c>
      <c r="S56" s="386">
        <v>0.85</v>
      </c>
      <c r="T56" s="386">
        <v>0.85</v>
      </c>
      <c r="U56" s="386">
        <v>0.85</v>
      </c>
      <c r="V56" s="387">
        <v>0.85</v>
      </c>
      <c r="W56" s="88"/>
      <c r="X56" s="88"/>
      <c r="Y56" s="88"/>
      <c r="Z56" s="545"/>
      <c r="AA56" s="545"/>
      <c r="AB56" s="545"/>
      <c r="AC56" s="545"/>
      <c r="AD56" s="545"/>
      <c r="AE56" s="545"/>
      <c r="AF56" s="545"/>
      <c r="AG56" s="545"/>
      <c r="AH56" s="545"/>
      <c r="AI56" s="547"/>
      <c r="AJ56" s="89"/>
      <c r="AK56" s="89"/>
      <c r="AL56" s="89"/>
      <c r="AM56" s="89"/>
      <c r="AN56" s="89"/>
      <c r="AO56" s="89"/>
      <c r="AP56" s="89"/>
      <c r="AQ56" s="89"/>
      <c r="AR56" s="89"/>
      <c r="AS56" s="93"/>
      <c r="AT56" s="94"/>
      <c r="AU56" s="95"/>
      <c r="AV56" s="94"/>
      <c r="AW56" s="96"/>
      <c r="AX56" s="94"/>
      <c r="AY56" s="95"/>
      <c r="AZ56" s="96"/>
      <c r="BA56" s="93"/>
      <c r="BB56" s="89"/>
      <c r="BC56" s="89"/>
      <c r="BD56" s="89"/>
      <c r="BE56" s="89"/>
      <c r="BF56" s="89"/>
      <c r="BG56" s="89"/>
      <c r="BH56" s="89"/>
      <c r="BI56" s="89"/>
    </row>
    <row r="57" spans="1:61" ht="16" thickBot="1">
      <c r="A57" s="88"/>
      <c r="B57" s="88"/>
      <c r="C57" s="390" t="s">
        <v>177</v>
      </c>
      <c r="D57" s="391">
        <v>0.85</v>
      </c>
      <c r="E57" s="391">
        <v>0.85</v>
      </c>
      <c r="F57" s="391">
        <v>0.85</v>
      </c>
      <c r="G57" s="391">
        <v>0.85</v>
      </c>
      <c r="H57" s="391">
        <v>0.85</v>
      </c>
      <c r="I57" s="391">
        <v>0.85</v>
      </c>
      <c r="J57" s="391">
        <v>0.85</v>
      </c>
      <c r="K57" s="391">
        <v>0.85</v>
      </c>
      <c r="L57" s="391">
        <v>0.85</v>
      </c>
      <c r="M57" s="391">
        <v>0.85</v>
      </c>
      <c r="N57" s="391">
        <v>0.85</v>
      </c>
      <c r="O57" s="391">
        <v>0.85</v>
      </c>
      <c r="P57" s="391">
        <v>0.85</v>
      </c>
      <c r="Q57" s="391">
        <v>0.85</v>
      </c>
      <c r="R57" s="391">
        <v>0.85</v>
      </c>
      <c r="S57" s="391">
        <v>0.85</v>
      </c>
      <c r="T57" s="391">
        <v>0.85</v>
      </c>
      <c r="U57" s="391">
        <v>0.85</v>
      </c>
      <c r="V57" s="392">
        <v>0.85</v>
      </c>
      <c r="W57" s="88"/>
      <c r="X57" s="88"/>
      <c r="Y57" s="88"/>
      <c r="Z57" s="545"/>
      <c r="AA57" s="545"/>
      <c r="AB57" s="545"/>
      <c r="AC57" s="545"/>
      <c r="AD57" s="545"/>
      <c r="AE57" s="545"/>
      <c r="AF57" s="545"/>
      <c r="AG57" s="545"/>
      <c r="AH57" s="545"/>
      <c r="AI57" s="547"/>
      <c r="AJ57" s="89"/>
      <c r="AK57" s="89"/>
      <c r="AL57" s="89"/>
      <c r="AM57" s="89"/>
      <c r="AN57" s="89"/>
      <c r="AO57" s="89"/>
      <c r="AP57" s="89"/>
      <c r="AQ57" s="89"/>
      <c r="AR57" s="89"/>
      <c r="AS57" s="93"/>
      <c r="AT57" s="94"/>
      <c r="AU57" s="95"/>
      <c r="AV57" s="94"/>
      <c r="AW57" s="96"/>
      <c r="AX57" s="94"/>
      <c r="AY57" s="95"/>
      <c r="AZ57" s="96"/>
      <c r="BA57" s="93"/>
      <c r="BB57" s="89"/>
      <c r="BC57" s="89"/>
      <c r="BD57" s="89"/>
      <c r="BE57" s="89"/>
      <c r="BF57" s="89"/>
      <c r="BG57" s="89"/>
      <c r="BH57" s="89"/>
      <c r="BI57" s="89"/>
    </row>
    <row r="58" spans="1:61">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545"/>
      <c r="AA58" s="545"/>
      <c r="AB58" s="545"/>
      <c r="AC58" s="545"/>
      <c r="AD58" s="545"/>
      <c r="AE58" s="545"/>
      <c r="AF58" s="545"/>
      <c r="AG58" s="545"/>
      <c r="AH58" s="545"/>
      <c r="AI58" s="547"/>
      <c r="AJ58" s="89"/>
      <c r="AK58" s="89"/>
      <c r="AL58" s="89"/>
      <c r="AM58" s="89"/>
      <c r="AN58" s="89"/>
      <c r="AO58" s="89"/>
      <c r="AP58" s="89"/>
      <c r="AQ58" s="89"/>
      <c r="AR58" s="89"/>
      <c r="AS58" s="93"/>
      <c r="AT58" s="94"/>
      <c r="AU58" s="95"/>
      <c r="AV58" s="94"/>
      <c r="AW58" s="96"/>
      <c r="AX58" s="94"/>
      <c r="AY58" s="95"/>
      <c r="AZ58" s="96"/>
      <c r="BA58" s="93"/>
      <c r="BB58" s="89"/>
      <c r="BC58" s="89"/>
      <c r="BD58" s="89"/>
      <c r="BE58" s="89"/>
      <c r="BF58" s="89"/>
      <c r="BG58" s="89"/>
      <c r="BH58" s="89"/>
      <c r="BI58" s="89"/>
    </row>
    <row r="59" spans="1:61">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545"/>
      <c r="AA59" s="545"/>
      <c r="AB59" s="545"/>
      <c r="AC59" s="545"/>
      <c r="AD59" s="545"/>
      <c r="AE59" s="545"/>
      <c r="AF59" s="545"/>
      <c r="AG59" s="545"/>
      <c r="AH59" s="545"/>
      <c r="AI59" s="547"/>
      <c r="AJ59" s="89"/>
      <c r="AK59" s="89"/>
      <c r="AL59" s="89"/>
      <c r="AM59" s="89"/>
      <c r="AN59" s="89"/>
      <c r="AO59" s="89"/>
      <c r="AP59" s="89"/>
      <c r="AQ59" s="89"/>
      <c r="AR59" s="89"/>
      <c r="AS59" s="93"/>
      <c r="AT59" s="94"/>
      <c r="AU59" s="94"/>
      <c r="AV59" s="94"/>
      <c r="AW59" s="94"/>
      <c r="AX59" s="94"/>
      <c r="AY59" s="95"/>
      <c r="AZ59" s="96"/>
      <c r="BA59" s="93"/>
      <c r="BB59" s="89"/>
      <c r="BC59" s="89"/>
      <c r="BD59" s="89"/>
      <c r="BE59" s="89"/>
      <c r="BF59" s="89"/>
      <c r="BG59" s="89"/>
      <c r="BH59" s="89"/>
      <c r="BI59" s="89"/>
    </row>
    <row r="60" spans="1:61" ht="18">
      <c r="A60" s="88"/>
      <c r="B60" s="164" t="s">
        <v>352</v>
      </c>
      <c r="C60" s="88"/>
      <c r="D60" s="88"/>
      <c r="E60" s="202"/>
      <c r="F60" s="202"/>
      <c r="G60" s="88"/>
      <c r="H60" s="88"/>
      <c r="I60" s="88"/>
      <c r="J60" s="88"/>
      <c r="K60" s="88"/>
      <c r="L60" s="88"/>
      <c r="M60" s="88"/>
      <c r="N60" s="88"/>
      <c r="O60" s="88"/>
      <c r="P60" s="88"/>
      <c r="Q60" s="88"/>
      <c r="R60" s="88"/>
      <c r="S60" s="88"/>
      <c r="T60" s="88"/>
      <c r="U60" s="88"/>
      <c r="V60" s="88"/>
      <c r="W60" s="88"/>
      <c r="X60" s="88"/>
      <c r="Y60" s="88"/>
      <c r="Z60" s="545"/>
      <c r="AA60" s="545"/>
      <c r="AB60" s="545"/>
      <c r="AC60" s="545"/>
      <c r="AD60" s="545"/>
      <c r="AE60" s="545"/>
      <c r="AF60" s="545"/>
      <c r="AG60" s="545"/>
      <c r="AH60" s="545"/>
      <c r="AI60" s="547"/>
      <c r="AJ60" s="89"/>
      <c r="AK60" s="89"/>
      <c r="AL60" s="89"/>
      <c r="AM60" s="89"/>
      <c r="AN60" s="89"/>
      <c r="AO60" s="89"/>
      <c r="AP60" s="89"/>
      <c r="AQ60" s="89"/>
      <c r="AR60" s="89"/>
      <c r="AS60" s="93"/>
      <c r="AT60" s="94"/>
      <c r="AU60" s="94"/>
      <c r="AV60" s="94"/>
      <c r="AW60" s="94"/>
      <c r="AX60" s="94"/>
      <c r="AY60" s="95"/>
      <c r="AZ60" s="96"/>
      <c r="BA60" s="93"/>
      <c r="BB60" s="89"/>
      <c r="BC60" s="89"/>
      <c r="BD60" s="89"/>
      <c r="BE60" s="89"/>
      <c r="BF60" s="89"/>
      <c r="BG60" s="89"/>
      <c r="BH60" s="89"/>
      <c r="BI60" s="89"/>
    </row>
    <row r="61" spans="1:61" ht="15" thickBot="1">
      <c r="A61" s="530"/>
      <c r="B61" s="202"/>
      <c r="C61" s="202"/>
      <c r="D61" s="202"/>
      <c r="E61" s="202"/>
      <c r="F61" s="202"/>
      <c r="G61" s="530"/>
      <c r="H61" s="530"/>
      <c r="I61" s="530"/>
      <c r="J61" s="530"/>
      <c r="K61" s="530"/>
      <c r="L61" s="88"/>
      <c r="M61" s="88"/>
      <c r="N61" s="88"/>
      <c r="O61" s="88"/>
      <c r="P61" s="88"/>
      <c r="Q61" s="88"/>
      <c r="R61" s="88"/>
      <c r="S61" s="88"/>
      <c r="T61" s="88"/>
      <c r="U61" s="88"/>
      <c r="V61" s="88"/>
      <c r="W61" s="88"/>
      <c r="X61" s="88"/>
      <c r="Y61" s="88"/>
      <c r="Z61" s="88"/>
      <c r="AA61" s="88"/>
      <c r="AB61" s="88"/>
      <c r="AC61" s="88"/>
      <c r="AD61" s="88"/>
      <c r="AE61" s="88"/>
      <c r="AF61" s="88"/>
      <c r="AG61" s="88"/>
      <c r="AH61" s="88"/>
      <c r="AI61" s="89"/>
      <c r="AJ61" s="89"/>
      <c r="AK61" s="89"/>
      <c r="AL61" s="89"/>
      <c r="AM61" s="89"/>
      <c r="AN61" s="89"/>
      <c r="AO61" s="89"/>
      <c r="AP61" s="89"/>
      <c r="AQ61" s="89"/>
      <c r="AR61" s="89"/>
      <c r="AS61" s="93"/>
      <c r="AT61" s="94"/>
      <c r="AU61" s="94"/>
      <c r="AV61" s="94"/>
      <c r="AW61" s="94"/>
      <c r="AX61" s="94"/>
      <c r="AY61" s="95"/>
      <c r="AZ61" s="96"/>
      <c r="BA61" s="93"/>
      <c r="BB61" s="89"/>
      <c r="BC61" s="89"/>
      <c r="BD61" s="89"/>
      <c r="BE61" s="89"/>
      <c r="BF61" s="89"/>
      <c r="BG61" s="89"/>
      <c r="BH61" s="89"/>
      <c r="BI61" s="89"/>
    </row>
    <row r="62" spans="1:61" ht="14" customHeight="1">
      <c r="A62" s="88"/>
      <c r="B62" s="202"/>
      <c r="C62" s="559" t="s">
        <v>354</v>
      </c>
      <c r="D62" s="560"/>
      <c r="E62" s="560" t="s">
        <v>355</v>
      </c>
      <c r="F62" s="561"/>
      <c r="G62" s="530"/>
      <c r="H62" s="562" t="s">
        <v>353</v>
      </c>
      <c r="I62" s="562"/>
      <c r="J62" s="562"/>
      <c r="K62" s="562"/>
      <c r="L62" s="562"/>
      <c r="M62" s="562"/>
      <c r="N62" s="88"/>
      <c r="O62" s="88"/>
      <c r="P62" s="88"/>
      <c r="Q62" s="88"/>
      <c r="R62" s="88"/>
      <c r="S62" s="88"/>
      <c r="T62" s="88"/>
      <c r="U62" s="88"/>
      <c r="V62" s="88"/>
      <c r="W62" s="88"/>
      <c r="X62" s="88"/>
      <c r="Y62" s="88"/>
      <c r="Z62" s="88"/>
      <c r="AA62" s="88"/>
      <c r="AB62" s="88"/>
      <c r="AC62" s="88"/>
      <c r="AD62" s="88"/>
      <c r="AE62" s="88"/>
      <c r="AF62" s="88"/>
      <c r="AG62" s="88"/>
      <c r="AH62" s="88"/>
      <c r="AI62" s="89"/>
      <c r="AJ62" s="89"/>
      <c r="AK62" s="89"/>
      <c r="AL62" s="89"/>
      <c r="AM62" s="89"/>
      <c r="AN62" s="89"/>
      <c r="AO62" s="89"/>
      <c r="AP62" s="89"/>
      <c r="AQ62" s="89"/>
      <c r="AR62" s="89"/>
      <c r="AS62" s="93"/>
      <c r="AT62" s="94"/>
      <c r="AU62" s="94"/>
      <c r="AV62" s="94"/>
      <c r="AW62" s="94"/>
      <c r="AX62" s="94"/>
      <c r="AY62" s="95"/>
      <c r="AZ62" s="96"/>
      <c r="BA62" s="93"/>
      <c r="BB62" s="89"/>
      <c r="BC62" s="89"/>
      <c r="BD62" s="89"/>
      <c r="BE62" s="89"/>
      <c r="BF62" s="89"/>
      <c r="BG62" s="89"/>
      <c r="BH62" s="89"/>
      <c r="BI62" s="89"/>
    </row>
    <row r="63" spans="1:61" ht="15" customHeight="1" thickBot="1">
      <c r="A63" s="88"/>
      <c r="B63" s="88"/>
      <c r="C63" s="542" t="s">
        <v>356</v>
      </c>
      <c r="D63" s="543" t="s">
        <v>357</v>
      </c>
      <c r="E63" s="542" t="s">
        <v>356</v>
      </c>
      <c r="F63" s="544" t="s">
        <v>357</v>
      </c>
      <c r="G63" s="202"/>
      <c r="H63" s="562"/>
      <c r="I63" s="562"/>
      <c r="J63" s="562"/>
      <c r="K63" s="562"/>
      <c r="L63" s="562"/>
      <c r="M63" s="562"/>
      <c r="N63" s="552"/>
      <c r="O63" s="552"/>
      <c r="P63" s="552"/>
      <c r="Q63" s="552"/>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c r="BG63" s="89"/>
      <c r="BH63" s="89"/>
      <c r="BI63" s="89"/>
    </row>
    <row r="64" spans="1:61" ht="15">
      <c r="A64" s="88"/>
      <c r="B64" s="537" t="s">
        <v>125</v>
      </c>
      <c r="C64" s="539">
        <v>0.85</v>
      </c>
      <c r="D64" s="540">
        <v>1.1499999999999999</v>
      </c>
      <c r="E64" s="540">
        <v>0.5</v>
      </c>
      <c r="F64" s="541">
        <v>1</v>
      </c>
      <c r="G64" s="202"/>
      <c r="H64" s="562"/>
      <c r="I64" s="562"/>
      <c r="J64" s="562"/>
      <c r="K64" s="562"/>
      <c r="L64" s="562"/>
      <c r="M64" s="562"/>
      <c r="N64" s="552"/>
      <c r="O64" s="552"/>
      <c r="P64" s="552"/>
      <c r="Q64" s="552"/>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c r="BG64" s="89"/>
      <c r="BH64" s="89"/>
      <c r="BI64" s="89"/>
    </row>
    <row r="65" spans="1:62" ht="15">
      <c r="A65" s="88"/>
      <c r="B65" s="427" t="s">
        <v>126</v>
      </c>
      <c r="C65" s="531">
        <v>0.25</v>
      </c>
      <c r="D65" s="532">
        <v>1.1499999999999999</v>
      </c>
      <c r="E65" s="532">
        <v>0.1</v>
      </c>
      <c r="F65" s="533">
        <v>1</v>
      </c>
      <c r="G65" s="202"/>
      <c r="H65" s="562"/>
      <c r="I65" s="562"/>
      <c r="J65" s="562"/>
      <c r="K65" s="562"/>
      <c r="L65" s="562"/>
      <c r="M65" s="562"/>
      <c r="N65" s="552"/>
      <c r="O65" s="552"/>
      <c r="P65" s="552"/>
      <c r="Q65" s="552"/>
      <c r="R65" s="88"/>
      <c r="S65" s="88"/>
      <c r="T65" s="88"/>
      <c r="U65" s="88"/>
      <c r="V65" s="88"/>
      <c r="W65" s="88"/>
      <c r="X65" s="88"/>
      <c r="Y65" s="88"/>
      <c r="Z65" s="88"/>
      <c r="AA65" s="88"/>
      <c r="AB65" s="88"/>
      <c r="AC65" s="88"/>
      <c r="AD65" s="88"/>
      <c r="AE65" s="88"/>
      <c r="AF65" s="88"/>
      <c r="AG65" s="88"/>
      <c r="AH65" s="88"/>
      <c r="AI65" s="89"/>
      <c r="AJ65" s="89"/>
      <c r="AK65" s="89"/>
      <c r="AL65" s="89"/>
      <c r="AM65" s="89"/>
      <c r="AN65" s="89"/>
      <c r="AO65" s="89"/>
      <c r="AP65" s="89"/>
      <c r="AQ65" s="89"/>
      <c r="AR65" s="89"/>
      <c r="AS65" s="93"/>
      <c r="AT65" s="94"/>
      <c r="AU65" s="94"/>
      <c r="AV65" s="94"/>
      <c r="AW65" s="94"/>
      <c r="AX65" s="94"/>
      <c r="AY65" s="95"/>
      <c r="AZ65" s="96"/>
      <c r="BA65" s="93"/>
      <c r="BB65" s="89"/>
      <c r="BC65" s="89"/>
      <c r="BD65" s="89"/>
      <c r="BE65" s="89"/>
      <c r="BF65" s="89"/>
      <c r="BG65" s="89"/>
      <c r="BH65" s="89"/>
      <c r="BI65" s="89"/>
    </row>
    <row r="66" spans="1:62" ht="16" thickBot="1">
      <c r="A66" s="88"/>
      <c r="B66" s="538" t="s">
        <v>127</v>
      </c>
      <c r="C66" s="534">
        <v>0.25</v>
      </c>
      <c r="D66" s="535">
        <v>1.1499999999999999</v>
      </c>
      <c r="E66" s="535">
        <v>0.1</v>
      </c>
      <c r="F66" s="536">
        <v>1</v>
      </c>
      <c r="G66" s="202"/>
      <c r="H66" s="562"/>
      <c r="I66" s="562"/>
      <c r="J66" s="562"/>
      <c r="K66" s="562"/>
      <c r="L66" s="562"/>
      <c r="M66" s="562"/>
      <c r="N66" s="552"/>
      <c r="O66" s="552"/>
      <c r="P66" s="552"/>
      <c r="Q66" s="552"/>
      <c r="R66" s="88"/>
      <c r="S66" s="88"/>
      <c r="T66" s="88"/>
      <c r="U66" s="88"/>
      <c r="V66" s="88"/>
      <c r="W66" s="88"/>
      <c r="X66" s="88"/>
      <c r="Y66" s="88"/>
      <c r="Z66" s="88"/>
      <c r="AA66" s="88"/>
      <c r="AB66" s="88"/>
      <c r="AC66" s="88"/>
      <c r="AD66" s="88"/>
      <c r="AE66" s="88"/>
      <c r="AF66" s="88"/>
      <c r="AG66" s="88"/>
      <c r="AH66" s="88"/>
      <c r="AI66" s="89"/>
      <c r="AJ66" s="89"/>
      <c r="AK66" s="89"/>
      <c r="AL66" s="89"/>
      <c r="AM66" s="89"/>
      <c r="AN66" s="89"/>
      <c r="AO66" s="89"/>
      <c r="AP66" s="89"/>
      <c r="AQ66" s="89"/>
      <c r="AR66" s="89"/>
      <c r="AS66" s="89"/>
      <c r="AT66" s="90"/>
      <c r="AU66" s="90"/>
      <c r="AV66" s="90"/>
      <c r="AW66" s="90"/>
      <c r="AX66" s="94"/>
      <c r="AY66" s="95"/>
      <c r="AZ66" s="96"/>
      <c r="BA66" s="93"/>
      <c r="BB66" s="89"/>
      <c r="BC66" s="89"/>
      <c r="BD66" s="89"/>
      <c r="BE66" s="89"/>
      <c r="BF66" s="89"/>
      <c r="BG66" s="89"/>
      <c r="BH66" s="89"/>
      <c r="BI66" s="89"/>
    </row>
    <row r="67" spans="1:62">
      <c r="A67" s="378"/>
      <c r="B67" s="378"/>
      <c r="C67" s="378"/>
      <c r="D67" s="378"/>
      <c r="E67" s="378"/>
      <c r="F67" s="202"/>
      <c r="G67" s="202"/>
      <c r="H67" s="562"/>
      <c r="I67" s="562"/>
      <c r="J67" s="562"/>
      <c r="K67" s="562"/>
      <c r="L67" s="562"/>
      <c r="M67" s="562"/>
      <c r="N67" s="552"/>
      <c r="O67" s="552"/>
      <c r="P67" s="552"/>
      <c r="Q67" s="552"/>
      <c r="R67" s="88"/>
      <c r="S67" s="88"/>
      <c r="T67" s="88"/>
      <c r="U67" s="88"/>
      <c r="V67" s="88"/>
      <c r="W67" s="88"/>
      <c r="X67" s="88"/>
      <c r="Y67" s="88"/>
      <c r="Z67" s="88"/>
      <c r="AA67" s="88"/>
      <c r="AB67" s="88"/>
      <c r="AC67" s="88"/>
      <c r="AD67" s="88"/>
      <c r="AE67" s="88"/>
      <c r="AF67" s="88"/>
      <c r="AG67" s="88"/>
      <c r="AH67" s="88"/>
      <c r="AI67" s="89"/>
      <c r="AJ67" s="89"/>
      <c r="AK67" s="89"/>
      <c r="AL67" s="89"/>
      <c r="AM67" s="89"/>
      <c r="AN67" s="89"/>
      <c r="AO67" s="89"/>
      <c r="AP67" s="89"/>
      <c r="AQ67" s="89"/>
      <c r="AR67" s="89"/>
      <c r="AS67" s="89"/>
      <c r="AT67" s="90"/>
      <c r="AU67" s="90"/>
      <c r="AV67" s="90"/>
      <c r="AW67" s="90"/>
      <c r="AX67" s="94"/>
      <c r="AY67" s="95"/>
      <c r="AZ67" s="96"/>
      <c r="BA67" s="93"/>
      <c r="BB67" s="89"/>
      <c r="BC67" s="89"/>
      <c r="BD67" s="89"/>
      <c r="BE67" s="89"/>
      <c r="BF67" s="89"/>
      <c r="BG67" s="89"/>
      <c r="BH67" s="89"/>
      <c r="BI67" s="89"/>
    </row>
    <row r="68" spans="1:62">
      <c r="A68" s="378"/>
      <c r="B68" s="378"/>
      <c r="C68" s="378"/>
      <c r="D68" s="378"/>
      <c r="E68" s="378"/>
      <c r="F68" s="202"/>
      <c r="G68" s="202"/>
      <c r="H68" s="562"/>
      <c r="I68" s="562"/>
      <c r="J68" s="562"/>
      <c r="K68" s="562"/>
      <c r="L68" s="562"/>
      <c r="M68" s="562"/>
      <c r="N68" s="552"/>
      <c r="O68" s="552"/>
      <c r="P68" s="552"/>
      <c r="Q68" s="552"/>
      <c r="R68" s="88"/>
      <c r="S68" s="88"/>
      <c r="T68" s="88"/>
      <c r="U68" s="88"/>
      <c r="V68" s="88"/>
      <c r="W68" s="88"/>
      <c r="X68" s="88"/>
      <c r="Y68" s="88"/>
      <c r="Z68" s="88"/>
      <c r="AA68" s="88"/>
      <c r="AB68" s="88"/>
      <c r="AC68" s="88"/>
      <c r="AD68" s="88"/>
      <c r="AE68" s="88"/>
      <c r="AF68" s="88"/>
      <c r="AG68" s="88"/>
      <c r="AH68" s="88"/>
      <c r="AI68" s="89"/>
      <c r="AJ68" s="89"/>
      <c r="AK68" s="89"/>
      <c r="AL68" s="89"/>
      <c r="AM68" s="89"/>
      <c r="AN68" s="89"/>
      <c r="AO68" s="89"/>
      <c r="AP68" s="89"/>
      <c r="AQ68" s="89"/>
      <c r="AR68" s="89"/>
      <c r="AS68" s="89"/>
      <c r="AT68" s="90"/>
      <c r="AU68" s="90"/>
      <c r="AV68" s="90"/>
      <c r="AW68" s="90"/>
      <c r="AX68" s="94"/>
      <c r="AY68" s="95"/>
      <c r="AZ68" s="96"/>
      <c r="BA68" s="93"/>
      <c r="BB68" s="89"/>
      <c r="BC68" s="89"/>
      <c r="BD68" s="89"/>
      <c r="BE68" s="89"/>
      <c r="BF68" s="89"/>
      <c r="BG68" s="89"/>
      <c r="BH68" s="89"/>
      <c r="BI68" s="89"/>
    </row>
    <row r="69" spans="1:62">
      <c r="A69" s="548"/>
      <c r="B69" s="548"/>
      <c r="C69" s="548"/>
      <c r="D69" s="548"/>
      <c r="E69" s="548"/>
      <c r="F69" s="549"/>
      <c r="G69" s="550"/>
      <c r="H69" s="551"/>
      <c r="I69" s="551"/>
      <c r="J69" s="551"/>
      <c r="K69" s="551"/>
      <c r="L69" s="552"/>
      <c r="M69" s="552"/>
      <c r="N69" s="552"/>
      <c r="O69" s="552"/>
      <c r="P69" s="552"/>
      <c r="Q69" s="552"/>
      <c r="R69" s="88"/>
      <c r="S69" s="88"/>
      <c r="T69" s="88"/>
      <c r="U69" s="88"/>
      <c r="V69" s="88"/>
      <c r="W69" s="88"/>
      <c r="X69" s="88"/>
      <c r="Y69" s="88"/>
      <c r="Z69" s="88"/>
      <c r="AA69" s="88"/>
      <c r="AB69" s="88"/>
      <c r="AC69" s="88"/>
      <c r="AD69" s="88"/>
      <c r="AE69" s="88"/>
      <c r="AF69" s="88"/>
      <c r="AG69" s="88"/>
      <c r="AH69" s="88"/>
      <c r="AI69" s="89"/>
      <c r="AJ69" s="89"/>
      <c r="AK69" s="89"/>
      <c r="AL69" s="89"/>
      <c r="AM69" s="89"/>
      <c r="AN69" s="89"/>
      <c r="AO69" s="89"/>
      <c r="AP69" s="89"/>
      <c r="AQ69" s="89"/>
      <c r="AR69" s="89"/>
      <c r="AS69" s="89"/>
      <c r="AT69" s="90"/>
      <c r="AU69" s="90"/>
      <c r="AV69" s="90"/>
      <c r="AW69" s="90"/>
      <c r="AX69" s="94"/>
      <c r="AY69" s="95"/>
      <c r="AZ69" s="96"/>
      <c r="BA69" s="93"/>
      <c r="BB69" s="89"/>
      <c r="BC69" s="89"/>
      <c r="BD69" s="89"/>
      <c r="BE69" s="89"/>
      <c r="BF69" s="89"/>
      <c r="BG69" s="89"/>
      <c r="BH69" s="89"/>
      <c r="BI69" s="89"/>
    </row>
    <row r="70" spans="1:62">
      <c r="A70" s="548"/>
      <c r="B70" s="548"/>
      <c r="C70" s="548"/>
      <c r="D70" s="548"/>
      <c r="E70" s="548"/>
      <c r="F70" s="549"/>
      <c r="G70" s="550"/>
      <c r="H70" s="551"/>
      <c r="I70" s="551"/>
      <c r="J70" s="551"/>
      <c r="K70" s="551"/>
      <c r="L70" s="552"/>
      <c r="M70" s="552"/>
      <c r="N70" s="552"/>
      <c r="O70" s="552"/>
      <c r="P70" s="552"/>
      <c r="Q70" s="552"/>
      <c r="R70" s="88"/>
      <c r="S70" s="88"/>
      <c r="T70" s="88"/>
      <c r="U70" s="88"/>
      <c r="V70" s="88"/>
      <c r="W70" s="88"/>
      <c r="X70" s="88"/>
      <c r="Y70" s="88"/>
      <c r="Z70" s="88"/>
      <c r="AA70" s="88"/>
      <c r="AB70" s="88"/>
      <c r="AC70" s="88"/>
      <c r="AD70" s="88"/>
      <c r="AE70" s="88"/>
      <c r="AF70" s="88"/>
      <c r="AG70" s="88"/>
      <c r="AH70" s="88"/>
      <c r="AI70" s="89"/>
      <c r="AJ70" s="89"/>
      <c r="AK70" s="89"/>
      <c r="AL70" s="89"/>
      <c r="AM70" s="89"/>
      <c r="AN70" s="89"/>
      <c r="AO70" s="89"/>
      <c r="AP70" s="89"/>
      <c r="AQ70" s="89"/>
      <c r="AR70" s="89"/>
      <c r="AS70" s="89"/>
      <c r="AT70" s="90"/>
      <c r="AU70" s="90"/>
      <c r="AV70" s="90"/>
      <c r="AW70" s="90"/>
      <c r="AX70" s="94"/>
      <c r="AY70" s="95"/>
      <c r="AZ70" s="96"/>
      <c r="BA70" s="93"/>
      <c r="BB70" s="89"/>
      <c r="BC70" s="89"/>
      <c r="BD70" s="89"/>
      <c r="BE70" s="89"/>
      <c r="BF70" s="89"/>
      <c r="BG70" s="89"/>
      <c r="BH70" s="89"/>
      <c r="BI70" s="89"/>
    </row>
    <row r="71" spans="1:62">
      <c r="A71" s="550"/>
      <c r="B71" s="550"/>
      <c r="C71" s="550"/>
      <c r="D71" s="550"/>
      <c r="E71" s="550"/>
      <c r="F71" s="550"/>
      <c r="G71" s="550"/>
      <c r="H71" s="551"/>
      <c r="I71" s="551"/>
      <c r="J71" s="551"/>
      <c r="K71" s="551"/>
      <c r="L71" s="552"/>
      <c r="M71" s="552"/>
      <c r="N71" s="552"/>
      <c r="O71" s="552"/>
      <c r="P71" s="552"/>
      <c r="Q71" s="552"/>
      <c r="R71" s="88"/>
      <c r="S71" s="88"/>
      <c r="T71" s="88"/>
      <c r="U71" s="88"/>
      <c r="V71" s="88"/>
      <c r="W71" s="88"/>
      <c r="X71" s="88"/>
      <c r="Y71" s="88"/>
      <c r="Z71" s="88"/>
      <c r="AA71" s="88"/>
      <c r="AB71" s="88"/>
      <c r="AC71" s="88"/>
      <c r="AD71" s="88"/>
      <c r="AE71" s="88"/>
      <c r="AF71" s="88"/>
      <c r="AG71" s="88"/>
      <c r="AH71" s="88"/>
      <c r="AI71" s="89"/>
      <c r="AJ71" s="89"/>
      <c r="AK71" s="89"/>
      <c r="AL71" s="89"/>
      <c r="AM71" s="89"/>
      <c r="AN71" s="89"/>
      <c r="AO71" s="89"/>
      <c r="AP71" s="89"/>
      <c r="AQ71" s="89"/>
      <c r="AR71" s="89"/>
      <c r="AS71" s="89"/>
      <c r="AT71" s="90"/>
      <c r="AU71" s="90"/>
      <c r="AV71" s="90"/>
      <c r="AW71" s="90"/>
      <c r="AX71" s="94"/>
      <c r="AY71" s="95"/>
      <c r="AZ71" s="96"/>
      <c r="BA71" s="93"/>
      <c r="BB71" s="89"/>
      <c r="BC71" s="89"/>
      <c r="BD71" s="89"/>
      <c r="BE71" s="89"/>
      <c r="BF71" s="89"/>
      <c r="BG71" s="89"/>
      <c r="BH71" s="89"/>
      <c r="BI71" s="89"/>
    </row>
    <row r="72" spans="1:62">
      <c r="A72" s="550"/>
      <c r="B72" s="550"/>
      <c r="C72" s="550"/>
      <c r="D72" s="550"/>
      <c r="E72" s="550"/>
      <c r="F72" s="550"/>
      <c r="G72" s="549"/>
      <c r="H72" s="530"/>
      <c r="I72" s="530"/>
      <c r="J72" s="530"/>
      <c r="K72" s="530"/>
      <c r="L72" s="88"/>
      <c r="M72" s="88"/>
      <c r="N72" s="88"/>
      <c r="O72" s="88"/>
      <c r="P72" s="88"/>
      <c r="Q72" s="88"/>
      <c r="R72" s="88"/>
      <c r="S72" s="88"/>
      <c r="T72" s="88"/>
      <c r="U72" s="88"/>
      <c r="V72" s="88"/>
      <c r="W72" s="88"/>
      <c r="X72" s="88"/>
      <c r="Y72" s="88"/>
      <c r="Z72" s="88"/>
      <c r="AA72" s="88"/>
      <c r="AB72" s="88"/>
      <c r="AC72" s="88"/>
      <c r="AD72" s="88"/>
      <c r="AE72" s="88"/>
      <c r="AF72" s="88"/>
      <c r="AG72" s="88"/>
      <c r="AH72" s="88"/>
      <c r="AI72" s="89"/>
      <c r="AJ72" s="89"/>
      <c r="AK72" s="89"/>
      <c r="AL72" s="89"/>
      <c r="AM72" s="89"/>
      <c r="AN72" s="89"/>
      <c r="AO72" s="89"/>
      <c r="AP72" s="89"/>
      <c r="AQ72" s="89"/>
      <c r="AR72" s="89"/>
      <c r="AS72" s="89"/>
      <c r="AT72" s="90"/>
      <c r="AU72" s="90"/>
      <c r="AV72" s="90"/>
      <c r="AW72" s="90"/>
      <c r="AX72" s="94"/>
      <c r="AY72" s="95"/>
      <c r="AZ72" s="96"/>
      <c r="BA72" s="93"/>
      <c r="BB72" s="89"/>
      <c r="BC72" s="89"/>
      <c r="BD72" s="89"/>
      <c r="BE72" s="89"/>
      <c r="BF72" s="89"/>
      <c r="BG72" s="89"/>
      <c r="BH72" s="89"/>
      <c r="BI72" s="89"/>
    </row>
    <row r="73" spans="1:62">
      <c r="A73" s="550"/>
      <c r="B73" s="550"/>
      <c r="C73" s="550"/>
      <c r="D73" s="550"/>
      <c r="E73" s="550"/>
      <c r="F73" s="550"/>
      <c r="G73" s="549"/>
      <c r="H73" s="530"/>
      <c r="I73" s="530"/>
      <c r="J73" s="530"/>
      <c r="K73" s="530"/>
      <c r="L73" s="88"/>
      <c r="M73" s="88"/>
      <c r="N73" s="88"/>
      <c r="O73" s="88"/>
      <c r="P73" s="88"/>
      <c r="Q73" s="88"/>
      <c r="R73" s="88"/>
      <c r="S73" s="88"/>
      <c r="T73" s="88"/>
      <c r="U73" s="88"/>
      <c r="V73" s="88"/>
      <c r="W73" s="88"/>
      <c r="X73" s="88"/>
      <c r="Y73" s="88"/>
      <c r="Z73" s="88"/>
      <c r="AA73" s="88"/>
      <c r="AB73" s="88"/>
      <c r="AC73" s="88"/>
      <c r="AD73" s="88"/>
      <c r="AE73" s="88"/>
      <c r="AF73" s="88"/>
      <c r="AG73" s="88"/>
      <c r="AH73" s="88"/>
      <c r="AI73" s="89"/>
      <c r="AJ73" s="89"/>
      <c r="AK73" s="89"/>
      <c r="AL73" s="89"/>
      <c r="AM73" s="89"/>
      <c r="AN73" s="89"/>
      <c r="AO73" s="89"/>
      <c r="AP73" s="89"/>
      <c r="AQ73" s="89"/>
      <c r="AR73" s="89"/>
      <c r="AS73" s="89"/>
      <c r="AT73" s="90"/>
      <c r="AU73" s="90"/>
      <c r="AV73" s="90"/>
      <c r="AW73" s="90"/>
      <c r="AX73" s="94"/>
      <c r="AY73" s="95"/>
      <c r="AZ73" s="96"/>
      <c r="BA73" s="93"/>
      <c r="BB73" s="89"/>
      <c r="BC73" s="89"/>
      <c r="BD73" s="89"/>
      <c r="BE73" s="89"/>
      <c r="BF73" s="89"/>
      <c r="BG73" s="89"/>
      <c r="BH73" s="89"/>
      <c r="BI73" s="89"/>
    </row>
    <row r="74" spans="1:62">
      <c r="A74" s="549"/>
      <c r="B74" s="549"/>
      <c r="C74" s="549"/>
      <c r="D74" s="549"/>
      <c r="E74" s="549"/>
      <c r="F74" s="549"/>
      <c r="G74" s="549"/>
      <c r="H74" s="530"/>
      <c r="I74" s="530"/>
      <c r="J74" s="530"/>
      <c r="K74" s="530"/>
      <c r="L74" s="88"/>
      <c r="M74" s="88"/>
      <c r="N74" s="88"/>
      <c r="O74" s="88"/>
      <c r="P74" s="88"/>
      <c r="Q74" s="88"/>
      <c r="R74" s="88"/>
      <c r="S74" s="88"/>
      <c r="T74" s="88"/>
      <c r="U74" s="88"/>
      <c r="V74" s="88"/>
      <c r="W74" s="88"/>
      <c r="X74" s="88"/>
      <c r="Y74" s="88"/>
      <c r="Z74" s="88"/>
      <c r="AA74" s="88"/>
      <c r="AB74" s="88"/>
      <c r="AC74" s="88"/>
      <c r="AD74" s="88"/>
      <c r="AE74" s="88"/>
      <c r="AF74" s="88"/>
      <c r="AG74" s="88"/>
      <c r="AH74" s="88"/>
      <c r="AI74" s="89"/>
      <c r="AJ74" s="89"/>
      <c r="AK74" s="89"/>
      <c r="AL74" s="89"/>
      <c r="AM74" s="89"/>
      <c r="AN74" s="89"/>
      <c r="AO74" s="89"/>
      <c r="AP74" s="89"/>
      <c r="AQ74" s="89"/>
      <c r="AR74" s="89"/>
      <c r="AS74" s="89"/>
      <c r="AT74" s="90"/>
      <c r="AU74" s="90"/>
      <c r="AV74" s="90"/>
      <c r="AW74" s="90"/>
      <c r="AX74" s="93"/>
      <c r="AY74" s="93"/>
      <c r="AZ74" s="93"/>
      <c r="BA74" s="93"/>
      <c r="BB74" s="89"/>
      <c r="BC74" s="89"/>
      <c r="BD74" s="89"/>
      <c r="BE74" s="89"/>
      <c r="BF74" s="89"/>
      <c r="BG74" s="89"/>
      <c r="BH74" s="89"/>
      <c r="BI74" s="89"/>
    </row>
    <row r="75" spans="1:62">
      <c r="A75" s="549"/>
      <c r="B75" s="549"/>
      <c r="C75" s="549"/>
      <c r="D75" s="549"/>
      <c r="E75" s="549"/>
      <c r="F75" s="549"/>
      <c r="G75" s="549"/>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9"/>
      <c r="AJ75" s="89"/>
      <c r="AK75" s="89"/>
      <c r="AL75" s="89"/>
      <c r="AM75" s="89"/>
      <c r="AN75" s="89"/>
      <c r="AO75" s="89"/>
      <c r="AP75" s="89"/>
      <c r="AQ75" s="89"/>
      <c r="AR75" s="89"/>
      <c r="AS75" s="89"/>
      <c r="AT75" s="90"/>
      <c r="AU75" s="90"/>
      <c r="AV75" s="90"/>
      <c r="AW75" s="90"/>
      <c r="AX75" s="93"/>
      <c r="AY75" s="93"/>
      <c r="AZ75" s="93"/>
      <c r="BA75" s="93"/>
      <c r="BB75" s="89"/>
      <c r="BC75" s="89"/>
      <c r="BD75" s="89"/>
      <c r="BE75" s="89"/>
      <c r="BF75" s="89"/>
      <c r="BG75" s="89"/>
      <c r="BH75" s="89"/>
      <c r="BI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9"/>
      <c r="AJ76" s="89"/>
      <c r="AK76" s="89"/>
      <c r="AL76" s="89"/>
      <c r="AM76" s="89"/>
      <c r="AN76" s="89"/>
      <c r="AO76" s="89"/>
      <c r="AP76" s="89"/>
      <c r="AQ76" s="89"/>
      <c r="AR76" s="89"/>
      <c r="AS76" s="89"/>
      <c r="AT76" s="90"/>
      <c r="AU76" s="90"/>
      <c r="AV76" s="90"/>
      <c r="AW76" s="90"/>
      <c r="AX76" s="93"/>
      <c r="AY76" s="93"/>
      <c r="AZ76" s="93"/>
      <c r="BA76" s="93"/>
      <c r="BB76" s="89"/>
      <c r="BC76" s="89"/>
      <c r="BD76" s="89"/>
      <c r="BE76" s="89"/>
      <c r="BF76" s="89"/>
      <c r="BG76" s="89"/>
      <c r="BH76" s="89"/>
      <c r="BI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9"/>
      <c r="AJ77" s="89"/>
      <c r="AK77" s="89"/>
      <c r="AL77" s="89"/>
      <c r="AM77" s="89"/>
      <c r="AN77" s="89"/>
      <c r="AO77" s="89"/>
      <c r="AP77" s="89"/>
      <c r="AQ77" s="89"/>
      <c r="AR77" s="89"/>
      <c r="AS77" s="89"/>
      <c r="AT77" s="90"/>
      <c r="AU77" s="90"/>
      <c r="AV77" s="90"/>
      <c r="AW77" s="90"/>
      <c r="AX77" s="93"/>
      <c r="AY77" s="93"/>
      <c r="AZ77" s="93"/>
      <c r="BA77" s="93"/>
      <c r="BB77" s="89"/>
      <c r="BC77" s="89"/>
      <c r="BD77" s="89"/>
      <c r="BE77" s="89"/>
      <c r="BF77" s="89"/>
      <c r="BG77" s="89"/>
      <c r="BH77" s="89"/>
      <c r="BI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c r="C796" s="98"/>
      <c r="D796" s="98"/>
      <c r="E796" s="98"/>
      <c r="F796" s="98"/>
      <c r="G796" s="98"/>
      <c r="H796" s="98"/>
      <c r="I796" s="98"/>
      <c r="J796" s="98"/>
      <c r="K796" s="98"/>
      <c r="L796" s="98"/>
      <c r="M796" s="98"/>
      <c r="N796" s="98"/>
      <c r="O796" s="98"/>
      <c r="P796" s="98"/>
      <c r="Q796" s="98"/>
      <c r="R796" s="98"/>
      <c r="S796" s="98"/>
      <c r="T796" s="98"/>
      <c r="U796" s="98"/>
      <c r="V796" s="98"/>
    </row>
  </sheetData>
  <mergeCells count="3">
    <mergeCell ref="C62:D62"/>
    <mergeCell ref="E62:F62"/>
    <mergeCell ref="H62:M68"/>
  </mergeCells>
  <dataValidations count="4">
    <dataValidation type="list" allowBlank="1" showInputMessage="1" showErrorMessage="1" sqref="D8:V18 AI9:BA19">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Q42"/>
  <sheetViews>
    <sheetView tabSelected="1" workbookViewId="0">
      <selection activeCell="E18" sqref="E18:G23"/>
    </sheetView>
  </sheetViews>
  <sheetFormatPr baseColWidth="10" defaultRowHeight="12" x14ac:dyDescent="0"/>
  <cols>
    <col min="1" max="1" width="10.83203125" style="378"/>
    <col min="2" max="2" width="23.83203125" style="378" customWidth="1"/>
    <col min="3" max="3" width="30.83203125" style="378" bestFit="1" customWidth="1"/>
    <col min="4" max="4" width="20.1640625" style="378" bestFit="1" customWidth="1"/>
    <col min="5" max="5" width="10.83203125" style="378"/>
    <col min="6" max="6" width="25.33203125" style="378" customWidth="1"/>
    <col min="7" max="7" width="80.5" style="378" customWidth="1"/>
    <col min="8" max="8" width="23.1640625" style="378" customWidth="1"/>
    <col min="9" max="9" width="36.5" style="378" customWidth="1"/>
    <col min="10" max="14" width="10.83203125" style="378"/>
    <col min="15" max="15" width="22.5" style="378" customWidth="1"/>
    <col min="16" max="16" width="21.6640625" style="378" bestFit="1" customWidth="1"/>
    <col min="17" max="17" width="23.83203125" style="378" bestFit="1" customWidth="1"/>
    <col min="18" max="16384" width="10.83203125" style="378"/>
  </cols>
  <sheetData>
    <row r="3" spans="1:7" ht="26">
      <c r="B3" s="199" t="s">
        <v>377</v>
      </c>
    </row>
    <row r="7" spans="1:7" ht="19" thickBot="1">
      <c r="B7" s="164" t="s">
        <v>360</v>
      </c>
    </row>
    <row r="8" spans="1:7" ht="14" thickTop="1" thickBot="1">
      <c r="B8" s="591" t="s">
        <v>362</v>
      </c>
      <c r="C8" s="590" t="s">
        <v>363</v>
      </c>
      <c r="E8" s="612" t="s">
        <v>375</v>
      </c>
      <c r="F8" s="612"/>
      <c r="G8" s="612"/>
    </row>
    <row r="9" spans="1:7" ht="16" thickTop="1">
      <c r="B9" s="595" t="s">
        <v>364</v>
      </c>
      <c r="C9" s="613">
        <v>0.5</v>
      </c>
      <c r="E9" s="612"/>
      <c r="F9" s="612"/>
      <c r="G9" s="612"/>
    </row>
    <row r="10" spans="1:7" ht="15">
      <c r="B10" s="595" t="s">
        <v>365</v>
      </c>
      <c r="C10" s="592">
        <v>1</v>
      </c>
      <c r="E10" s="612"/>
      <c r="F10" s="612"/>
      <c r="G10" s="612"/>
    </row>
    <row r="11" spans="1:7" ht="15">
      <c r="B11" s="595" t="s">
        <v>366</v>
      </c>
      <c r="C11" s="592">
        <v>1.5</v>
      </c>
      <c r="E11" s="612"/>
      <c r="F11" s="612"/>
      <c r="G11" s="612"/>
    </row>
    <row r="12" spans="1:7" ht="15">
      <c r="B12" s="595" t="s">
        <v>367</v>
      </c>
      <c r="C12" s="593">
        <v>2</v>
      </c>
      <c r="E12" s="612"/>
      <c r="F12" s="612"/>
      <c r="G12" s="612"/>
    </row>
    <row r="13" spans="1:7" ht="16" thickBot="1">
      <c r="B13" s="596" t="s">
        <v>368</v>
      </c>
      <c r="C13" s="594">
        <v>3</v>
      </c>
      <c r="E13" s="612"/>
      <c r="F13" s="612"/>
      <c r="G13" s="612"/>
    </row>
    <row r="14" spans="1:7">
      <c r="A14"/>
      <c r="E14" s="612"/>
      <c r="F14" s="612"/>
      <c r="G14" s="612"/>
    </row>
    <row r="17" spans="2:17" ht="19" thickBot="1">
      <c r="B17" s="164" t="s">
        <v>369</v>
      </c>
    </row>
    <row r="18" spans="2:17" ht="14" thickTop="1" thickBot="1">
      <c r="B18" s="591" t="s">
        <v>362</v>
      </c>
      <c r="C18" s="590" t="s">
        <v>370</v>
      </c>
      <c r="E18" s="611" t="s">
        <v>374</v>
      </c>
      <c r="F18" s="611"/>
      <c r="G18" s="611"/>
    </row>
    <row r="19" spans="2:17" ht="16" thickTop="1">
      <c r="B19" s="595" t="s">
        <v>364</v>
      </c>
      <c r="C19" s="614">
        <v>0.96</v>
      </c>
      <c r="E19" s="611"/>
      <c r="F19" s="611"/>
      <c r="G19" s="611"/>
    </row>
    <row r="20" spans="2:17" ht="15">
      <c r="B20" s="595" t="s">
        <v>365</v>
      </c>
      <c r="C20" s="597">
        <v>0.91</v>
      </c>
      <c r="E20" s="611"/>
      <c r="F20" s="611"/>
      <c r="G20" s="611"/>
    </row>
    <row r="21" spans="2:17" ht="15">
      <c r="B21" s="595" t="s">
        <v>366</v>
      </c>
      <c r="C21" s="597">
        <v>0.84</v>
      </c>
      <c r="E21" s="611"/>
      <c r="F21" s="611"/>
      <c r="G21" s="611"/>
    </row>
    <row r="22" spans="2:17" ht="15">
      <c r="B22" s="595" t="s">
        <v>367</v>
      </c>
      <c r="C22" s="598">
        <v>0.75</v>
      </c>
      <c r="E22" s="611"/>
      <c r="F22" s="611"/>
      <c r="G22" s="611"/>
    </row>
    <row r="23" spans="2:17" ht="16" thickBot="1">
      <c r="B23" s="596" t="s">
        <v>368</v>
      </c>
      <c r="C23" s="599">
        <v>0.26</v>
      </c>
      <c r="E23" s="611"/>
      <c r="F23" s="611"/>
      <c r="G23" s="611"/>
    </row>
    <row r="24" spans="2:17">
      <c r="Q24" s="610"/>
    </row>
    <row r="25" spans="2:17">
      <c r="Q25" s="610"/>
    </row>
    <row r="26" spans="2:17">
      <c r="Q26" s="610"/>
    </row>
    <row r="27" spans="2:17" ht="19" thickBot="1">
      <c r="B27" s="164" t="s">
        <v>361</v>
      </c>
      <c r="Q27" s="610"/>
    </row>
    <row r="28" spans="2:17" ht="14" thickTop="1" thickBot="1">
      <c r="B28" s="591" t="s">
        <v>371</v>
      </c>
      <c r="C28" s="591" t="s">
        <v>372</v>
      </c>
      <c r="D28" s="590" t="s">
        <v>373</v>
      </c>
      <c r="F28" s="612" t="s">
        <v>376</v>
      </c>
      <c r="G28" s="612"/>
      <c r="Q28" s="610"/>
    </row>
    <row r="29" spans="2:17" ht="16" thickTop="1">
      <c r="B29" s="600" t="s">
        <v>173</v>
      </c>
      <c r="C29" s="603">
        <v>2.2000000000000002</v>
      </c>
      <c r="D29" s="606">
        <v>17.399999999999999</v>
      </c>
      <c r="F29" s="612"/>
      <c r="G29" s="612"/>
      <c r="Q29" s="610"/>
    </row>
    <row r="30" spans="2:17" ht="15">
      <c r="B30" s="601" t="s">
        <v>114</v>
      </c>
      <c r="C30" s="604">
        <v>3.1</v>
      </c>
      <c r="D30" s="607">
        <v>18.399999999999999</v>
      </c>
      <c r="F30" s="612"/>
      <c r="G30" s="612"/>
      <c r="Q30" s="610"/>
    </row>
    <row r="31" spans="2:17" ht="15">
      <c r="B31" s="601" t="s">
        <v>133</v>
      </c>
      <c r="C31" s="604">
        <v>4.4000000000000004</v>
      </c>
      <c r="D31" s="607">
        <v>19.8</v>
      </c>
      <c r="F31" s="612"/>
      <c r="G31" s="612"/>
      <c r="Q31" s="610"/>
    </row>
    <row r="32" spans="2:17" ht="15">
      <c r="B32" s="601" t="s">
        <v>132</v>
      </c>
      <c r="C32" s="604">
        <v>6.2</v>
      </c>
      <c r="D32" s="608">
        <v>21.8</v>
      </c>
      <c r="F32" s="612"/>
      <c r="G32" s="612"/>
      <c r="Q32" s="610"/>
    </row>
    <row r="33" spans="2:17" ht="15">
      <c r="B33" s="601" t="s">
        <v>134</v>
      </c>
      <c r="C33" s="604">
        <v>9.8000000000000007</v>
      </c>
      <c r="D33" s="608">
        <v>25.7</v>
      </c>
      <c r="F33" s="612"/>
      <c r="G33" s="612"/>
      <c r="Q33" s="610"/>
    </row>
    <row r="34" spans="2:17" ht="15">
      <c r="B34" s="601" t="s">
        <v>135</v>
      </c>
      <c r="C34" s="604">
        <v>13.8</v>
      </c>
      <c r="D34" s="607">
        <v>30.2</v>
      </c>
      <c r="F34" s="612"/>
      <c r="G34" s="612"/>
      <c r="Q34" s="610"/>
    </row>
    <row r="35" spans="2:17" ht="15">
      <c r="B35" s="601" t="s">
        <v>174</v>
      </c>
      <c r="C35" s="604">
        <v>21.9</v>
      </c>
      <c r="D35" s="607">
        <v>39</v>
      </c>
      <c r="F35" s="612"/>
      <c r="G35" s="612"/>
      <c r="Q35" s="610"/>
    </row>
    <row r="36" spans="2:17" ht="15">
      <c r="B36" s="601" t="s">
        <v>136</v>
      </c>
      <c r="C36" s="604">
        <v>30.9</v>
      </c>
      <c r="D36" s="607">
        <v>49</v>
      </c>
      <c r="F36" s="612"/>
      <c r="G36" s="612"/>
      <c r="Q36" s="610"/>
    </row>
    <row r="37" spans="2:17" ht="15">
      <c r="B37" s="601" t="s">
        <v>175</v>
      </c>
      <c r="C37" s="604">
        <v>37.799999999999997</v>
      </c>
      <c r="D37" s="608">
        <v>56.6</v>
      </c>
      <c r="F37" s="612"/>
      <c r="G37" s="612"/>
      <c r="Q37" s="610"/>
    </row>
    <row r="38" spans="2:17" ht="15">
      <c r="B38" s="601" t="s">
        <v>176</v>
      </c>
      <c r="C38" s="604">
        <v>43.7</v>
      </c>
      <c r="D38" s="608">
        <v>63.1</v>
      </c>
      <c r="F38" s="612"/>
      <c r="G38" s="612"/>
      <c r="Q38" s="610"/>
    </row>
    <row r="39" spans="2:17" ht="16" thickBot="1">
      <c r="B39" s="602" t="s">
        <v>177</v>
      </c>
      <c r="C39" s="605">
        <v>53.5</v>
      </c>
      <c r="D39" s="609">
        <v>73.900000000000006</v>
      </c>
      <c r="F39" s="612"/>
      <c r="G39" s="612"/>
      <c r="Q39" s="610"/>
    </row>
    <row r="40" spans="2:17">
      <c r="Q40" s="610"/>
    </row>
    <row r="41" spans="2:17">
      <c r="Q41" s="610"/>
    </row>
    <row r="42" spans="2:17">
      <c r="Q42" s="610"/>
    </row>
  </sheetData>
  <mergeCells count="3">
    <mergeCell ref="E8:G14"/>
    <mergeCell ref="E18:G23"/>
    <mergeCell ref="F28:G39"/>
  </mergeCells>
  <dataValidations count="2">
    <dataValidation type="decimal" operator="greaterThan" showInputMessage="1" showErrorMessage="1" sqref="C9:C13 D29:D38">
      <formula1>0</formula1>
    </dataValidation>
    <dataValidation type="decimal" showInputMessage="1" showErrorMessage="1" sqref="C19:C23">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4" zoomScale="85" zoomScaleNormal="85" zoomScalePageLayoutView="85" workbookViewId="0">
      <selection activeCell="H29" sqref="H29"/>
    </sheetView>
  </sheetViews>
  <sheetFormatPr baseColWidth="10" defaultColWidth="9.1640625" defaultRowHeight="14" x14ac:dyDescent="0"/>
  <cols>
    <col min="1" max="2" width="4.5" style="1" customWidth="1"/>
    <col min="3" max="3" width="21.33203125" style="1" customWidth="1"/>
    <col min="4" max="4" width="21"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150</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35"/>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27"/>
      <c r="D6" s="213" t="s">
        <v>107</v>
      </c>
      <c r="E6" s="214">
        <v>2.5000000000000001E-2</v>
      </c>
      <c r="F6" s="131"/>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71"/>
      <c r="G7" s="171"/>
      <c r="H7" s="171"/>
      <c r="I7" s="171"/>
      <c r="J7" s="171"/>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71"/>
      <c r="H8" s="172"/>
      <c r="I8" s="171"/>
      <c r="J8" s="171"/>
      <c r="K8" s="173"/>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572" t="s">
        <v>53</v>
      </c>
      <c r="D9" s="573"/>
      <c r="E9" s="380" t="s">
        <v>168</v>
      </c>
      <c r="F9" s="228" t="s">
        <v>169</v>
      </c>
      <c r="G9" s="158"/>
      <c r="H9" s="332"/>
      <c r="I9" s="332"/>
      <c r="J9" s="563" t="s">
        <v>148</v>
      </c>
      <c r="K9" s="564"/>
      <c r="L9" s="565"/>
      <c r="M9" s="197" t="s">
        <v>272</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24" t="s">
        <v>143</v>
      </c>
      <c r="D10" s="224"/>
      <c r="E10" s="381">
        <v>15</v>
      </c>
      <c r="F10" s="229">
        <v>20</v>
      </c>
      <c r="G10" s="158"/>
      <c r="H10" s="159"/>
      <c r="I10" s="159"/>
      <c r="J10" s="215" t="s">
        <v>2</v>
      </c>
      <c r="K10" s="215" t="s">
        <v>155</v>
      </c>
      <c r="L10" s="215" t="s">
        <v>68</v>
      </c>
      <c r="M10" s="198" t="s">
        <v>273</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24" t="s">
        <v>144</v>
      </c>
      <c r="D11" s="224"/>
      <c r="E11" s="382">
        <v>0.06</v>
      </c>
      <c r="F11" s="231">
        <v>0.12</v>
      </c>
      <c r="G11" s="158"/>
      <c r="H11" s="174"/>
      <c r="I11" s="174"/>
      <c r="J11" s="216">
        <v>1</v>
      </c>
      <c r="K11" s="217">
        <v>0.2</v>
      </c>
      <c r="L11" s="21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24" t="s">
        <v>145</v>
      </c>
      <c r="D12" s="224"/>
      <c r="E12" s="382">
        <v>0.2</v>
      </c>
      <c r="F12" s="231">
        <v>0</v>
      </c>
      <c r="G12" s="158"/>
      <c r="H12" s="174"/>
      <c r="I12" s="174"/>
      <c r="J12" s="219">
        <v>2</v>
      </c>
      <c r="K12" s="196">
        <v>0.32</v>
      </c>
      <c r="L12" s="22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24" t="s">
        <v>146</v>
      </c>
      <c r="D13" s="224"/>
      <c r="E13" s="382">
        <v>0.1</v>
      </c>
      <c r="F13" s="231">
        <v>0.1</v>
      </c>
      <c r="G13" s="158"/>
      <c r="H13" s="174"/>
      <c r="I13" s="174"/>
      <c r="J13" s="219">
        <v>3</v>
      </c>
      <c r="K13" s="196">
        <v>0.192</v>
      </c>
      <c r="L13" s="22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24" t="s">
        <v>55</v>
      </c>
      <c r="D14" s="225"/>
      <c r="E14" s="383">
        <v>0.33</v>
      </c>
      <c r="F14" s="232">
        <v>0.33</v>
      </c>
      <c r="G14" s="158"/>
      <c r="H14" s="174"/>
      <c r="I14" s="174"/>
      <c r="J14" s="219">
        <v>4</v>
      </c>
      <c r="K14" s="196">
        <v>0.1152</v>
      </c>
      <c r="L14" s="22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4"/>
      <c r="G15" s="171"/>
      <c r="H15" s="174"/>
      <c r="I15" s="174"/>
      <c r="J15" s="219">
        <v>5</v>
      </c>
      <c r="K15" s="196">
        <v>0.1152</v>
      </c>
      <c r="L15" s="22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58"/>
      <c r="C16" s="158"/>
      <c r="D16" s="158"/>
      <c r="E16" s="158"/>
      <c r="F16" s="158"/>
      <c r="G16" s="79"/>
      <c r="H16" s="79"/>
      <c r="I16" s="19"/>
      <c r="J16" s="219">
        <v>6</v>
      </c>
      <c r="K16" s="196">
        <v>5.7599999999999998E-2</v>
      </c>
      <c r="L16" s="220">
        <v>0.05</v>
      </c>
      <c r="M16" s="170"/>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68"/>
      <c r="C17" s="574" t="s">
        <v>54</v>
      </c>
      <c r="D17" s="575"/>
      <c r="E17" s="233" t="s">
        <v>168</v>
      </c>
      <c r="F17" s="234" t="s">
        <v>169</v>
      </c>
      <c r="G17" s="128"/>
      <c r="H17" s="128"/>
      <c r="I17" s="78"/>
      <c r="J17" s="219">
        <v>7</v>
      </c>
      <c r="K17" s="200">
        <v>0</v>
      </c>
      <c r="L17" s="220">
        <v>0.05</v>
      </c>
      <c r="M17" s="170"/>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58"/>
      <c r="C18" s="226" t="s">
        <v>147</v>
      </c>
      <c r="D18" s="226"/>
      <c r="E18" s="235">
        <v>15</v>
      </c>
      <c r="F18" s="236">
        <v>20</v>
      </c>
      <c r="G18" s="21"/>
      <c r="H18" s="21"/>
      <c r="I18" s="78"/>
      <c r="J18" s="219">
        <v>8</v>
      </c>
      <c r="K18" s="200">
        <v>0</v>
      </c>
      <c r="L18" s="220">
        <v>0.05</v>
      </c>
      <c r="M18" s="170"/>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58"/>
      <c r="C19" s="226" t="s">
        <v>144</v>
      </c>
      <c r="D19" s="226"/>
      <c r="E19" s="230">
        <v>0.06</v>
      </c>
      <c r="F19" s="231">
        <v>0.12</v>
      </c>
      <c r="G19" s="115"/>
      <c r="H19" s="115"/>
      <c r="I19" s="78"/>
      <c r="J19" s="219">
        <v>9</v>
      </c>
      <c r="K19" s="200">
        <v>0</v>
      </c>
      <c r="L19" s="22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58"/>
      <c r="C20" s="226" t="s">
        <v>145</v>
      </c>
      <c r="D20" s="227"/>
      <c r="E20" s="230">
        <v>1</v>
      </c>
      <c r="F20" s="231">
        <v>0</v>
      </c>
      <c r="G20" s="21"/>
      <c r="H20" s="21"/>
      <c r="I20" s="78"/>
      <c r="J20" s="219">
        <v>10</v>
      </c>
      <c r="K20" s="200">
        <v>0</v>
      </c>
      <c r="L20" s="22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58"/>
      <c r="C21" s="226" t="s">
        <v>146</v>
      </c>
      <c r="D21" s="227"/>
      <c r="E21" s="230">
        <v>0.12</v>
      </c>
      <c r="F21" s="231">
        <v>0.1</v>
      </c>
      <c r="G21" s="21"/>
      <c r="H21" s="21"/>
      <c r="I21" s="192"/>
      <c r="J21" s="219">
        <v>11</v>
      </c>
      <c r="K21" s="200">
        <v>0</v>
      </c>
      <c r="L21" s="22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58"/>
      <c r="C22" s="226" t="s">
        <v>55</v>
      </c>
      <c r="D22" s="227"/>
      <c r="E22" s="230">
        <v>0.35</v>
      </c>
      <c r="F22" s="231">
        <v>0.35</v>
      </c>
      <c r="G22" s="21"/>
      <c r="H22" s="21"/>
      <c r="I22" s="78"/>
      <c r="J22" s="219">
        <v>12</v>
      </c>
      <c r="K22" s="200">
        <v>0</v>
      </c>
      <c r="L22" s="22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58"/>
      <c r="C23" s="226" t="s">
        <v>100</v>
      </c>
      <c r="D23" s="227"/>
      <c r="E23" s="237">
        <v>25</v>
      </c>
      <c r="F23" s="238">
        <v>25</v>
      </c>
      <c r="G23" s="179"/>
      <c r="H23" s="179"/>
      <c r="I23" s="193"/>
      <c r="J23" s="219">
        <v>13</v>
      </c>
      <c r="K23" s="200">
        <v>0</v>
      </c>
      <c r="L23" s="22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58"/>
      <c r="C24" s="158"/>
      <c r="D24" s="158"/>
      <c r="E24" s="158"/>
      <c r="F24" s="158"/>
      <c r="G24" s="158"/>
      <c r="H24" s="158"/>
      <c r="I24" s="194"/>
      <c r="J24" s="219">
        <v>14</v>
      </c>
      <c r="K24" s="200">
        <v>0</v>
      </c>
      <c r="L24" s="22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58"/>
      <c r="C25" s="158"/>
      <c r="D25" s="158"/>
      <c r="E25" s="158"/>
      <c r="F25" s="158"/>
      <c r="G25" s="158"/>
      <c r="H25" s="158"/>
      <c r="I25" s="176"/>
      <c r="J25" s="219">
        <v>15</v>
      </c>
      <c r="K25" s="200">
        <v>0</v>
      </c>
      <c r="L25" s="22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67"/>
      <c r="C26" s="576" t="s">
        <v>149</v>
      </c>
      <c r="D26" s="577"/>
      <c r="E26" s="239" t="s">
        <v>168</v>
      </c>
      <c r="F26" s="240" t="s">
        <v>169</v>
      </c>
      <c r="G26" s="169"/>
      <c r="H26" s="169"/>
      <c r="I26" s="171"/>
      <c r="J26" s="219">
        <v>16</v>
      </c>
      <c r="K26" s="200">
        <v>0</v>
      </c>
      <c r="L26" s="22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26" t="s">
        <v>147</v>
      </c>
      <c r="D27" s="226"/>
      <c r="E27" s="235">
        <v>15</v>
      </c>
      <c r="F27" s="236">
        <v>20</v>
      </c>
      <c r="G27" s="21"/>
      <c r="H27" s="21"/>
      <c r="I27" s="177"/>
      <c r="J27" s="219">
        <v>17</v>
      </c>
      <c r="K27" s="200">
        <v>0</v>
      </c>
      <c r="L27" s="22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26" t="s">
        <v>144</v>
      </c>
      <c r="D28" s="226"/>
      <c r="E28" s="230">
        <v>0.06</v>
      </c>
      <c r="F28" s="231">
        <v>0.12</v>
      </c>
      <c r="G28" s="171"/>
      <c r="H28" s="171"/>
      <c r="I28" s="177"/>
      <c r="J28" s="219">
        <v>18</v>
      </c>
      <c r="K28" s="200">
        <v>0</v>
      </c>
      <c r="L28" s="22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26" t="s">
        <v>145</v>
      </c>
      <c r="D29" s="227"/>
      <c r="E29" s="230">
        <v>1</v>
      </c>
      <c r="F29" s="231">
        <v>0</v>
      </c>
      <c r="G29" s="171"/>
      <c r="H29" s="171"/>
      <c r="I29" s="177"/>
      <c r="J29" s="219">
        <v>19</v>
      </c>
      <c r="K29" s="200">
        <v>0</v>
      </c>
      <c r="L29" s="22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26" t="s">
        <v>146</v>
      </c>
      <c r="D30" s="227"/>
      <c r="E30" s="230">
        <v>0.12</v>
      </c>
      <c r="F30" s="231">
        <v>0.1</v>
      </c>
      <c r="G30" s="178"/>
      <c r="H30" s="178"/>
      <c r="I30" s="177"/>
      <c r="J30" s="221">
        <v>20</v>
      </c>
      <c r="K30" s="222">
        <v>0</v>
      </c>
      <c r="L30" s="22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26" t="s">
        <v>55</v>
      </c>
      <c r="D31" s="227"/>
      <c r="E31" s="230">
        <v>0.35</v>
      </c>
      <c r="F31" s="231">
        <v>0</v>
      </c>
      <c r="G31" s="175"/>
      <c r="H31" s="175"/>
      <c r="I31" s="177"/>
      <c r="J31" s="21"/>
      <c r="K31" s="195">
        <v>0.99999999999999989</v>
      </c>
      <c r="L31" s="195">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26" t="s">
        <v>100</v>
      </c>
      <c r="D32" s="227"/>
      <c r="E32" s="237">
        <v>25</v>
      </c>
      <c r="F32" s="238">
        <v>25</v>
      </c>
      <c r="G32" s="175"/>
      <c r="H32" s="177"/>
      <c r="I32" s="177"/>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75"/>
      <c r="E33" s="175"/>
      <c r="F33" s="175"/>
      <c r="G33" s="175"/>
      <c r="H33" s="177"/>
      <c r="I33" s="177"/>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64" t="s">
        <v>205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22"/>
      <c r="D35" s="566" t="s">
        <v>125</v>
      </c>
      <c r="E35" s="567"/>
      <c r="F35" s="568" t="s">
        <v>126</v>
      </c>
      <c r="G35" s="569"/>
      <c r="H35" s="570" t="s">
        <v>127</v>
      </c>
      <c r="I35" s="571"/>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23" t="s">
        <v>2</v>
      </c>
      <c r="D36" s="324" t="s">
        <v>192</v>
      </c>
      <c r="E36" s="324" t="s">
        <v>193</v>
      </c>
      <c r="F36" s="324" t="s">
        <v>192</v>
      </c>
      <c r="G36" s="324" t="s">
        <v>193</v>
      </c>
      <c r="H36" s="324" t="s">
        <v>192</v>
      </c>
      <c r="I36" s="325" t="s">
        <v>193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26">
        <v>0</v>
      </c>
      <c r="D37" s="327">
        <v>0.9</v>
      </c>
      <c r="E37" s="327">
        <v>0.9</v>
      </c>
      <c r="F37" s="327">
        <v>0.9</v>
      </c>
      <c r="G37" s="327">
        <v>0.9</v>
      </c>
      <c r="H37" s="327">
        <v>0.9</v>
      </c>
      <c r="I37" s="327">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26">
        <v>1</v>
      </c>
      <c r="D38" s="327">
        <v>0.62</v>
      </c>
      <c r="E38" s="327">
        <v>0.62</v>
      </c>
      <c r="F38" s="327">
        <v>0.62</v>
      </c>
      <c r="G38" s="327">
        <v>0.62</v>
      </c>
      <c r="H38" s="327">
        <v>0.62</v>
      </c>
      <c r="I38" s="328">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26">
        <v>2</v>
      </c>
      <c r="D39" s="327">
        <v>0.3</v>
      </c>
      <c r="E39" s="327">
        <v>0.3</v>
      </c>
      <c r="F39" s="327">
        <v>0.3</v>
      </c>
      <c r="G39" s="327">
        <v>0.3</v>
      </c>
      <c r="H39" s="327">
        <v>0.3</v>
      </c>
      <c r="I39" s="328">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26">
        <v>3</v>
      </c>
      <c r="D40" s="327">
        <v>0.18</v>
      </c>
      <c r="E40" s="327">
        <v>0.18</v>
      </c>
      <c r="F40" s="327">
        <v>0.18</v>
      </c>
      <c r="G40" s="327">
        <v>0.18</v>
      </c>
      <c r="H40" s="327">
        <v>0.18</v>
      </c>
      <c r="I40" s="328">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26">
        <v>4</v>
      </c>
      <c r="D41" s="327">
        <v>0.13999999999999999</v>
      </c>
      <c r="E41" s="327">
        <v>0.13999999999999999</v>
      </c>
      <c r="F41" s="327">
        <v>0.13999999999999999</v>
      </c>
      <c r="G41" s="327">
        <v>0.13999999999999999</v>
      </c>
      <c r="H41" s="327">
        <v>0.13999999999999999</v>
      </c>
      <c r="I41" s="328">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26">
        <v>5</v>
      </c>
      <c r="D42" s="327">
        <v>0.1</v>
      </c>
      <c r="E42" s="327">
        <v>0.1</v>
      </c>
      <c r="F42" s="327">
        <v>0.1</v>
      </c>
      <c r="G42" s="327">
        <v>0.1</v>
      </c>
      <c r="H42" s="327">
        <v>0.1</v>
      </c>
      <c r="I42" s="328">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26">
        <v>6</v>
      </c>
      <c r="D43" s="327">
        <v>0.08</v>
      </c>
      <c r="E43" s="327">
        <v>0.08</v>
      </c>
      <c r="F43" s="327">
        <v>0.08</v>
      </c>
      <c r="G43" s="327">
        <v>0.08</v>
      </c>
      <c r="H43" s="327">
        <v>0.08</v>
      </c>
      <c r="I43" s="328">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26">
        <v>7</v>
      </c>
      <c r="D44" s="327">
        <v>6.5000000000000002E-2</v>
      </c>
      <c r="E44" s="327">
        <v>6.5000000000000002E-2</v>
      </c>
      <c r="F44" s="327">
        <v>6.5000000000000002E-2</v>
      </c>
      <c r="G44" s="327">
        <v>6.5000000000000002E-2</v>
      </c>
      <c r="H44" s="327">
        <v>6.5000000000000002E-2</v>
      </c>
      <c r="I44" s="328">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26">
        <v>8</v>
      </c>
      <c r="D45" s="327">
        <v>0.05</v>
      </c>
      <c r="E45" s="327">
        <v>0.05</v>
      </c>
      <c r="F45" s="327">
        <v>0.05</v>
      </c>
      <c r="G45" s="327">
        <v>0.05</v>
      </c>
      <c r="H45" s="327">
        <v>0.05</v>
      </c>
      <c r="I45" s="328">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26">
        <v>9</v>
      </c>
      <c r="D46" s="327">
        <v>0.05</v>
      </c>
      <c r="E46" s="327">
        <v>0.05</v>
      </c>
      <c r="F46" s="327">
        <v>0.05</v>
      </c>
      <c r="G46" s="327">
        <v>0.05</v>
      </c>
      <c r="H46" s="327">
        <v>0.05</v>
      </c>
      <c r="I46" s="328">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26">
        <v>10</v>
      </c>
      <c r="D47" s="327">
        <v>0.04</v>
      </c>
      <c r="E47" s="327">
        <v>0.04</v>
      </c>
      <c r="F47" s="327">
        <v>0.04</v>
      </c>
      <c r="G47" s="327">
        <v>0.04</v>
      </c>
      <c r="H47" s="327">
        <v>0.04</v>
      </c>
      <c r="I47" s="328">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26">
        <v>11</v>
      </c>
      <c r="D48" s="327">
        <v>3.7999999999999999E-2</v>
      </c>
      <c r="E48" s="327">
        <v>3.7999999999999999E-2</v>
      </c>
      <c r="F48" s="327">
        <v>3.7999999999999999E-2</v>
      </c>
      <c r="G48" s="327">
        <v>3.7999999999999999E-2</v>
      </c>
      <c r="H48" s="327">
        <v>3.7999999999999999E-2</v>
      </c>
      <c r="I48" s="328">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26">
        <v>12</v>
      </c>
      <c r="D49" s="327">
        <v>3.5999999999999997E-2</v>
      </c>
      <c r="E49" s="327">
        <v>3.5999999999999997E-2</v>
      </c>
      <c r="F49" s="327">
        <v>3.5999999999999997E-2</v>
      </c>
      <c r="G49" s="327">
        <v>3.5999999999999997E-2</v>
      </c>
      <c r="H49" s="327">
        <v>3.5999999999999997E-2</v>
      </c>
      <c r="I49" s="328">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26">
        <v>13</v>
      </c>
      <c r="D50" s="327">
        <v>3.3999999999999996E-2</v>
      </c>
      <c r="E50" s="327">
        <v>3.3999999999999996E-2</v>
      </c>
      <c r="F50" s="327">
        <v>3.3999999999999996E-2</v>
      </c>
      <c r="G50" s="327">
        <v>3.3999999999999996E-2</v>
      </c>
      <c r="H50" s="327">
        <v>3.3999999999999996E-2</v>
      </c>
      <c r="I50" s="328">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26">
        <v>14</v>
      </c>
      <c r="D51" s="327">
        <v>3.2000000000000001E-2</v>
      </c>
      <c r="E51" s="327">
        <v>3.2000000000000001E-2</v>
      </c>
      <c r="F51" s="327">
        <v>3.2000000000000001E-2</v>
      </c>
      <c r="G51" s="327">
        <v>3.2000000000000001E-2</v>
      </c>
      <c r="H51" s="327">
        <v>3.2000000000000001E-2</v>
      </c>
      <c r="I51" s="328">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26">
        <v>15</v>
      </c>
      <c r="D52" s="327">
        <v>0.03</v>
      </c>
      <c r="E52" s="327">
        <v>0.03</v>
      </c>
      <c r="F52" s="327">
        <v>0.03</v>
      </c>
      <c r="G52" s="327">
        <v>0.03</v>
      </c>
      <c r="H52" s="327">
        <v>0.03</v>
      </c>
      <c r="I52" s="328">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26">
        <v>16</v>
      </c>
      <c r="D53" s="327">
        <v>2.7999999999999997E-2</v>
      </c>
      <c r="E53" s="327">
        <v>2.7999999999999997E-2</v>
      </c>
      <c r="F53" s="327">
        <v>2.7999999999999997E-2</v>
      </c>
      <c r="G53" s="327">
        <v>2.7999999999999997E-2</v>
      </c>
      <c r="H53" s="327">
        <v>2.7999999999999997E-2</v>
      </c>
      <c r="I53" s="328">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26">
        <v>17</v>
      </c>
      <c r="D54" s="327">
        <v>2.6000000000000002E-2</v>
      </c>
      <c r="E54" s="327">
        <v>2.6000000000000002E-2</v>
      </c>
      <c r="F54" s="327">
        <v>2.6000000000000002E-2</v>
      </c>
      <c r="G54" s="327">
        <v>2.6000000000000002E-2</v>
      </c>
      <c r="H54" s="327">
        <v>2.6000000000000002E-2</v>
      </c>
      <c r="I54" s="328">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26">
        <v>18</v>
      </c>
      <c r="D55" s="327">
        <v>2.4E-2</v>
      </c>
      <c r="E55" s="327">
        <v>2.4E-2</v>
      </c>
      <c r="F55" s="327">
        <v>2.4E-2</v>
      </c>
      <c r="G55" s="327">
        <v>2.4E-2</v>
      </c>
      <c r="H55" s="327">
        <v>2.4E-2</v>
      </c>
      <c r="I55" s="328">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26">
        <v>19</v>
      </c>
      <c r="D56" s="327">
        <v>2.2000000000000002E-2</v>
      </c>
      <c r="E56" s="327">
        <v>2.2000000000000002E-2</v>
      </c>
      <c r="F56" s="327">
        <v>2.2000000000000002E-2</v>
      </c>
      <c r="G56" s="327">
        <v>2.2000000000000002E-2</v>
      </c>
      <c r="H56" s="327">
        <v>2.2000000000000002E-2</v>
      </c>
      <c r="I56" s="328">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26">
        <v>20</v>
      </c>
      <c r="D57" s="327">
        <v>0.02</v>
      </c>
      <c r="E57" s="327">
        <v>0.02</v>
      </c>
      <c r="F57" s="327">
        <v>0.02</v>
      </c>
      <c r="G57" s="327">
        <v>0.02</v>
      </c>
      <c r="H57" s="327">
        <v>0.02</v>
      </c>
      <c r="I57" s="328">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26">
        <v>21</v>
      </c>
      <c r="D58" s="327">
        <v>1.7999999999999999E-2</v>
      </c>
      <c r="E58" s="327">
        <v>1.7999999999999999E-2</v>
      </c>
      <c r="F58" s="327">
        <v>1.7999999999999999E-2</v>
      </c>
      <c r="G58" s="327">
        <v>1.7999999999999999E-2</v>
      </c>
      <c r="H58" s="327">
        <v>1.7999999999999999E-2</v>
      </c>
      <c r="I58" s="328">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26">
        <v>22</v>
      </c>
      <c r="D59" s="327">
        <v>1.6E-2</v>
      </c>
      <c r="E59" s="327">
        <v>1.6E-2</v>
      </c>
      <c r="F59" s="327">
        <v>1.6E-2</v>
      </c>
      <c r="G59" s="327">
        <v>1.6E-2</v>
      </c>
      <c r="H59" s="327">
        <v>1.6E-2</v>
      </c>
      <c r="I59" s="328">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26">
        <v>23</v>
      </c>
      <c r="D60" s="327">
        <v>1.3999999999999999E-2</v>
      </c>
      <c r="E60" s="327">
        <v>1.3999999999999999E-2</v>
      </c>
      <c r="F60" s="327">
        <v>1.3999999999999999E-2</v>
      </c>
      <c r="G60" s="327">
        <v>1.3999999999999999E-2</v>
      </c>
      <c r="H60" s="327">
        <v>1.3999999999999999E-2</v>
      </c>
      <c r="I60" s="328">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26">
        <v>24</v>
      </c>
      <c r="D61" s="327">
        <v>1.2E-2</v>
      </c>
      <c r="E61" s="327">
        <v>1.2E-2</v>
      </c>
      <c r="F61" s="327">
        <v>1.2E-2</v>
      </c>
      <c r="G61" s="327">
        <v>1.2E-2</v>
      </c>
      <c r="H61" s="327">
        <v>1.2E-2</v>
      </c>
      <c r="I61" s="328">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26">
        <v>25</v>
      </c>
      <c r="D62" s="327">
        <v>0.01</v>
      </c>
      <c r="E62" s="327">
        <v>0.01</v>
      </c>
      <c r="F62" s="327">
        <v>0.01</v>
      </c>
      <c r="G62" s="327">
        <v>0.01</v>
      </c>
      <c r="H62" s="327">
        <v>0.01</v>
      </c>
      <c r="I62" s="328">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26">
        <v>26</v>
      </c>
      <c r="D63" s="327">
        <v>8.0000000000000002E-3</v>
      </c>
      <c r="E63" s="327">
        <v>8.0000000000000002E-3</v>
      </c>
      <c r="F63" s="327">
        <v>8.0000000000000002E-3</v>
      </c>
      <c r="G63" s="327">
        <v>8.0000000000000002E-3</v>
      </c>
      <c r="H63" s="327">
        <v>8.0000000000000002E-3</v>
      </c>
      <c r="I63" s="328">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26">
        <v>27</v>
      </c>
      <c r="D64" s="327">
        <v>6.0000000000000001E-3</v>
      </c>
      <c r="E64" s="327">
        <v>6.0000000000000001E-3</v>
      </c>
      <c r="F64" s="327">
        <v>6.0000000000000001E-3</v>
      </c>
      <c r="G64" s="327">
        <v>6.0000000000000001E-3</v>
      </c>
      <c r="H64" s="327">
        <v>6.0000000000000001E-3</v>
      </c>
      <c r="I64" s="328">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26">
        <v>28</v>
      </c>
      <c r="D65" s="327">
        <v>4.0000000000000001E-3</v>
      </c>
      <c r="E65" s="327">
        <v>4.0000000000000001E-3</v>
      </c>
      <c r="F65" s="327">
        <v>4.0000000000000001E-3</v>
      </c>
      <c r="G65" s="327">
        <v>4.0000000000000001E-3</v>
      </c>
      <c r="H65" s="327">
        <v>4.0000000000000001E-3</v>
      </c>
      <c r="I65" s="328">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26">
        <v>29</v>
      </c>
      <c r="D66" s="327">
        <v>2E-3</v>
      </c>
      <c r="E66" s="327">
        <v>2E-3</v>
      </c>
      <c r="F66" s="327">
        <v>2E-3</v>
      </c>
      <c r="G66" s="327">
        <v>2E-3</v>
      </c>
      <c r="H66" s="327">
        <v>2E-3</v>
      </c>
      <c r="I66" s="328">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29">
        <v>30</v>
      </c>
      <c r="D67" s="330">
        <v>0</v>
      </c>
      <c r="E67" s="330">
        <v>0</v>
      </c>
      <c r="F67" s="330">
        <v>0</v>
      </c>
      <c r="G67" s="330">
        <v>0</v>
      </c>
      <c r="H67" s="330">
        <v>0</v>
      </c>
      <c r="I67" s="331">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zoomScale="55" zoomScaleNormal="55" zoomScalePageLayoutView="55" workbookViewId="0">
      <selection activeCell="G89" sqref="G89"/>
    </sheetView>
  </sheetViews>
  <sheetFormatPr baseColWidth="10" defaultColWidth="9.1640625" defaultRowHeight="14" x14ac:dyDescent="0"/>
  <cols>
    <col min="1" max="1" width="4" style="1" customWidth="1"/>
    <col min="2" max="2" width="43.83203125" style="1" customWidth="1"/>
    <col min="3" max="3" width="6.5" style="1" customWidth="1"/>
    <col min="4" max="6" width="10" style="1" customWidth="1"/>
    <col min="7" max="7" width="16" style="1" customWidth="1"/>
    <col min="8" max="8" width="6.33203125" style="1" customWidth="1"/>
    <col min="9" max="9" width="6.1640625" style="1" customWidth="1"/>
    <col min="10" max="10" width="18.1640625" style="1" customWidth="1"/>
    <col min="11" max="11" width="10.1640625" style="1" customWidth="1"/>
    <col min="12" max="12" width="11.1640625" style="1" customWidth="1"/>
    <col min="13"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154</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35"/>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65" t="s">
        <v>167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89">
        <v>2014</v>
      </c>
      <c r="D7" s="290">
        <v>2016</v>
      </c>
      <c r="E7" s="290">
        <v>2018</v>
      </c>
      <c r="F7" s="290">
        <v>2020</v>
      </c>
      <c r="G7" s="290">
        <v>2022</v>
      </c>
      <c r="H7" s="290">
        <v>2024</v>
      </c>
      <c r="I7" s="290">
        <v>2026</v>
      </c>
      <c r="J7" s="290">
        <v>2028</v>
      </c>
      <c r="K7" s="290">
        <v>2030</v>
      </c>
      <c r="L7" s="290">
        <v>2032</v>
      </c>
      <c r="M7" s="290">
        <v>2034</v>
      </c>
      <c r="N7" s="290">
        <v>2036</v>
      </c>
      <c r="O7" s="290">
        <v>2038</v>
      </c>
      <c r="P7" s="290">
        <v>2040</v>
      </c>
      <c r="Q7" s="290">
        <v>2042</v>
      </c>
      <c r="R7" s="290">
        <v>2044</v>
      </c>
      <c r="S7" s="290">
        <v>2046</v>
      </c>
      <c r="T7" s="290">
        <v>2048</v>
      </c>
      <c r="U7" s="291">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80" t="s">
        <v>140</v>
      </c>
      <c r="C8" s="292">
        <v>4.47</v>
      </c>
      <c r="D8" s="208">
        <v>4.47</v>
      </c>
      <c r="E8" s="208">
        <v>5.0599999999999996</v>
      </c>
      <c r="F8" s="208">
        <v>5.07</v>
      </c>
      <c r="G8" s="208">
        <v>5.29</v>
      </c>
      <c r="H8" s="208">
        <v>5.62</v>
      </c>
      <c r="I8" s="208">
        <v>5.81</v>
      </c>
      <c r="J8" s="208">
        <v>6.03</v>
      </c>
      <c r="K8" s="208">
        <v>6.49</v>
      </c>
      <c r="L8" s="208">
        <v>6.73</v>
      </c>
      <c r="M8" s="208">
        <v>7.09</v>
      </c>
      <c r="N8" s="208">
        <v>7.57</v>
      </c>
      <c r="O8" s="208">
        <v>7.68</v>
      </c>
      <c r="P8" s="208">
        <v>8.16</v>
      </c>
      <c r="Q8" s="208">
        <v>8.16</v>
      </c>
      <c r="R8" s="208">
        <v>8.16</v>
      </c>
      <c r="S8" s="208">
        <v>8.16</v>
      </c>
      <c r="T8" s="208">
        <v>8.16</v>
      </c>
      <c r="U8" s="293">
        <v>8.16</v>
      </c>
      <c r="V8" s="158" t="s">
        <v>166</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07" t="s">
        <v>165</v>
      </c>
      <c r="C9" s="292">
        <v>2.33</v>
      </c>
      <c r="D9" s="208">
        <v>2.42</v>
      </c>
      <c r="E9" s="208">
        <v>2.5499999999999998</v>
      </c>
      <c r="F9" s="208">
        <v>2.61</v>
      </c>
      <c r="G9" s="208">
        <v>2.68</v>
      </c>
      <c r="H9" s="208">
        <v>2.74</v>
      </c>
      <c r="I9" s="208">
        <v>2.81</v>
      </c>
      <c r="J9" s="208">
        <v>2.86</v>
      </c>
      <c r="K9" s="208">
        <v>2.93</v>
      </c>
      <c r="L9" s="208">
        <v>2.97</v>
      </c>
      <c r="M9" s="208">
        <v>3.02</v>
      </c>
      <c r="N9" s="208">
        <v>3.08</v>
      </c>
      <c r="O9" s="208">
        <v>3.12</v>
      </c>
      <c r="P9" s="208">
        <v>3.19</v>
      </c>
      <c r="Q9" s="208">
        <v>3.19</v>
      </c>
      <c r="R9" s="208">
        <v>3.19</v>
      </c>
      <c r="S9" s="208">
        <v>3.19</v>
      </c>
      <c r="T9" s="208">
        <v>3.19</v>
      </c>
      <c r="U9" s="293">
        <v>3.19</v>
      </c>
      <c r="V9" s="131" t="s">
        <v>141</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80" t="s">
        <v>57</v>
      </c>
      <c r="C10" s="294">
        <v>0</v>
      </c>
      <c r="D10" s="288">
        <v>0</v>
      </c>
      <c r="E10" s="288">
        <v>0</v>
      </c>
      <c r="F10" s="288">
        <v>0</v>
      </c>
      <c r="G10" s="288">
        <v>20</v>
      </c>
      <c r="H10" s="288">
        <v>20</v>
      </c>
      <c r="I10" s="288">
        <v>20</v>
      </c>
      <c r="J10" s="288">
        <v>20</v>
      </c>
      <c r="K10" s="288">
        <v>30</v>
      </c>
      <c r="L10" s="288">
        <v>30</v>
      </c>
      <c r="M10" s="288">
        <v>30</v>
      </c>
      <c r="N10" s="288">
        <v>30</v>
      </c>
      <c r="O10" s="288">
        <v>40</v>
      </c>
      <c r="P10" s="288">
        <v>40</v>
      </c>
      <c r="Q10" s="288">
        <v>40</v>
      </c>
      <c r="R10" s="288">
        <v>40</v>
      </c>
      <c r="S10" s="288">
        <v>50</v>
      </c>
      <c r="T10" s="288">
        <v>50</v>
      </c>
      <c r="U10" s="295">
        <v>50</v>
      </c>
      <c r="V10" s="131" t="s">
        <v>142</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80" t="s">
        <v>184</v>
      </c>
      <c r="C11" s="400">
        <v>1</v>
      </c>
      <c r="D11" s="401">
        <v>1.0249999999999999</v>
      </c>
      <c r="E11" s="401">
        <v>1.0506249999999999</v>
      </c>
      <c r="F11" s="401">
        <v>1.0768906249999999</v>
      </c>
      <c r="G11" s="401">
        <v>1.1038128906249998</v>
      </c>
      <c r="H11" s="401">
        <v>1.1314082128906247</v>
      </c>
      <c r="I11" s="401">
        <v>1.1596934182128902</v>
      </c>
      <c r="J11" s="401">
        <v>1.1886857536682123</v>
      </c>
      <c r="K11" s="401">
        <v>1.2184028975099175</v>
      </c>
      <c r="L11" s="401">
        <v>1.2488629699476652</v>
      </c>
      <c r="M11" s="401">
        <v>1.2800845441963566</v>
      </c>
      <c r="N11" s="401">
        <v>1.3120866578012655</v>
      </c>
      <c r="O11" s="401">
        <v>1.3448888242462971</v>
      </c>
      <c r="P11" s="401">
        <v>1.3785110448524545</v>
      </c>
      <c r="Q11" s="401">
        <v>1.4129738209737657</v>
      </c>
      <c r="R11" s="401">
        <v>1.4482981664981096</v>
      </c>
      <c r="S11" s="401">
        <v>1.4845056206605622</v>
      </c>
      <c r="T11" s="401">
        <v>1.5216182611770761</v>
      </c>
      <c r="U11" s="402">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80" t="s">
        <v>185</v>
      </c>
      <c r="C12" s="400">
        <v>1</v>
      </c>
      <c r="D12" s="401">
        <v>1.0249999999999999</v>
      </c>
      <c r="E12" s="401">
        <v>1.0506249999999999</v>
      </c>
      <c r="F12" s="401">
        <v>1.0768906249999999</v>
      </c>
      <c r="G12" s="401">
        <v>1.1038128906249998</v>
      </c>
      <c r="H12" s="401">
        <v>1.1314082128906247</v>
      </c>
      <c r="I12" s="401">
        <v>1.1596934182128902</v>
      </c>
      <c r="J12" s="401">
        <v>1.1886857536682123</v>
      </c>
      <c r="K12" s="401">
        <v>1.2184028975099175</v>
      </c>
      <c r="L12" s="401">
        <v>1.2488629699476652</v>
      </c>
      <c r="M12" s="401">
        <v>1.2800845441963566</v>
      </c>
      <c r="N12" s="401">
        <v>1.3120866578012655</v>
      </c>
      <c r="O12" s="401">
        <v>1.3448888242462971</v>
      </c>
      <c r="P12" s="401">
        <v>1.3785110448524545</v>
      </c>
      <c r="Q12" s="401">
        <v>1.4129738209737657</v>
      </c>
      <c r="R12" s="401">
        <v>1.4482981664981096</v>
      </c>
      <c r="S12" s="401">
        <v>1.4845056206605622</v>
      </c>
      <c r="T12" s="401">
        <v>1.5216182611770761</v>
      </c>
      <c r="U12" s="402">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80" t="s">
        <v>186</v>
      </c>
      <c r="C13" s="403">
        <v>1</v>
      </c>
      <c r="D13" s="401">
        <v>1.0249999999999999</v>
      </c>
      <c r="E13" s="401">
        <v>1.0506249999999999</v>
      </c>
      <c r="F13" s="401">
        <v>1.0768906249999999</v>
      </c>
      <c r="G13" s="401">
        <v>1.1038128906249998</v>
      </c>
      <c r="H13" s="401">
        <v>1.1314082128906247</v>
      </c>
      <c r="I13" s="401">
        <v>1.1596934182128902</v>
      </c>
      <c r="J13" s="401">
        <v>1.1886857536682123</v>
      </c>
      <c r="K13" s="401">
        <v>1.2184028975099175</v>
      </c>
      <c r="L13" s="401">
        <v>1.2488629699476652</v>
      </c>
      <c r="M13" s="401">
        <v>1.2800845441963566</v>
      </c>
      <c r="N13" s="401">
        <v>1.3120866578012655</v>
      </c>
      <c r="O13" s="401">
        <v>1.3448888242462971</v>
      </c>
      <c r="P13" s="401">
        <v>1.3785110448524545</v>
      </c>
      <c r="Q13" s="401">
        <v>1.4129738209737657</v>
      </c>
      <c r="R13" s="401">
        <v>1.4482981664981096</v>
      </c>
      <c r="S13" s="401">
        <v>1.4845056206605622</v>
      </c>
      <c r="T13" s="401">
        <v>1.5216182611770761</v>
      </c>
      <c r="U13" s="402">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11" t="s">
        <v>290</v>
      </c>
      <c r="C14" s="404">
        <v>1.0249999999999999</v>
      </c>
      <c r="D14" s="405">
        <v>1.0249999999999999</v>
      </c>
      <c r="E14" s="405">
        <v>1.0249999999999999</v>
      </c>
      <c r="F14" s="405">
        <v>1.0249999999999999</v>
      </c>
      <c r="G14" s="405">
        <v>1.0249999999999999</v>
      </c>
      <c r="H14" s="405">
        <v>1.0249999999999999</v>
      </c>
      <c r="I14" s="405">
        <v>1.0249999999999999</v>
      </c>
      <c r="J14" s="405">
        <v>1.0249999999999999</v>
      </c>
      <c r="K14" s="405">
        <v>1.0249999999999999</v>
      </c>
      <c r="L14" s="405">
        <v>1.0249999999999999</v>
      </c>
      <c r="M14" s="405">
        <v>1.0249999999999999</v>
      </c>
      <c r="N14" s="405">
        <v>1.0249999999999999</v>
      </c>
      <c r="O14" s="405">
        <v>1.0249999999999999</v>
      </c>
      <c r="P14" s="405">
        <v>1.0249999999999999</v>
      </c>
      <c r="Q14" s="405">
        <v>1.0249999999999999</v>
      </c>
      <c r="R14" s="405">
        <v>1.0249999999999999</v>
      </c>
      <c r="S14" s="405">
        <v>1.0249999999999999</v>
      </c>
      <c r="T14" s="405">
        <v>1.0249999999999999</v>
      </c>
      <c r="U14" s="405">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19"/>
      <c r="C15" s="120"/>
      <c r="D15" s="121"/>
      <c r="E15" s="120"/>
      <c r="F15" s="85"/>
      <c r="G15" s="122"/>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19"/>
      <c r="C16" s="120"/>
      <c r="D16" s="121"/>
      <c r="E16" s="120"/>
      <c r="F16" s="85"/>
      <c r="G16" s="123"/>
      <c r="H16" s="85"/>
      <c r="I16" s="81"/>
      <c r="J16" s="81"/>
      <c r="K16" s="35"/>
      <c r="L16" s="35"/>
      <c r="M16" s="35"/>
      <c r="N16" s="35"/>
      <c r="O16" s="35"/>
      <c r="P16" s="35"/>
      <c r="Q16" s="35"/>
      <c r="R16" s="35"/>
      <c r="S16" s="35"/>
      <c r="T16" s="35"/>
      <c r="U16" s="35"/>
      <c r="V16" s="35"/>
      <c r="W16" s="35"/>
      <c r="X16" s="358"/>
      <c r="Y16" s="360" t="s">
        <v>260</v>
      </c>
      <c r="Z16" s="360" t="s">
        <v>261</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19"/>
      <c r="C17" s="120"/>
      <c r="D17" s="121"/>
      <c r="E17" s="120"/>
      <c r="F17" s="85"/>
      <c r="G17" s="85"/>
      <c r="H17" s="85"/>
      <c r="I17" s="81"/>
      <c r="J17" s="81"/>
      <c r="K17" s="35"/>
      <c r="L17" s="35"/>
      <c r="M17" s="35"/>
      <c r="N17" s="35"/>
      <c r="O17" s="35"/>
      <c r="P17" s="35"/>
      <c r="Q17" s="35"/>
      <c r="R17" s="35"/>
      <c r="S17" s="35"/>
      <c r="T17" s="35"/>
      <c r="U17" s="35"/>
      <c r="V17" s="35"/>
      <c r="W17" s="35"/>
      <c r="X17" s="180" t="s">
        <v>210</v>
      </c>
      <c r="Y17" s="359">
        <v>2.744201934324435E-4</v>
      </c>
      <c r="Z17" s="359">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19"/>
      <c r="C18" s="120"/>
      <c r="D18" s="121"/>
      <c r="E18" s="120"/>
      <c r="F18" s="85"/>
      <c r="G18" s="85"/>
      <c r="H18" s="85"/>
      <c r="I18" s="81"/>
      <c r="J18" s="81"/>
      <c r="K18" s="35"/>
      <c r="L18" s="35"/>
      <c r="M18" s="35"/>
      <c r="N18" s="35"/>
      <c r="O18" s="35"/>
      <c r="P18" s="35"/>
      <c r="Q18" s="35"/>
      <c r="R18" s="35"/>
      <c r="S18" s="35"/>
      <c r="T18" s="35"/>
      <c r="U18" s="35"/>
      <c r="V18" s="35"/>
      <c r="W18" s="35"/>
      <c r="X18" s="180" t="s">
        <v>213</v>
      </c>
      <c r="Y18" s="359">
        <v>2.8579410620991442E-4</v>
      </c>
      <c r="Z18" s="359">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19"/>
      <c r="C19" s="120"/>
      <c r="D19" s="121"/>
      <c r="E19" s="120"/>
      <c r="F19" s="85"/>
      <c r="G19" s="85"/>
      <c r="H19" s="85"/>
      <c r="I19" s="81"/>
      <c r="J19" s="81"/>
      <c r="K19" s="35"/>
      <c r="L19" s="35"/>
      <c r="M19" s="35"/>
      <c r="N19" s="35"/>
      <c r="O19" s="35"/>
      <c r="P19" s="35"/>
      <c r="Q19" s="35"/>
      <c r="R19" s="35"/>
      <c r="S19" s="35"/>
      <c r="T19" s="35"/>
      <c r="U19" s="35"/>
      <c r="V19" s="35"/>
      <c r="W19" s="35"/>
      <c r="X19" s="180" t="s">
        <v>212</v>
      </c>
      <c r="Y19" s="359">
        <v>4.7716993008320446E-4</v>
      </c>
      <c r="Z19" s="359">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19"/>
      <c r="C20" s="120"/>
      <c r="D20" s="121"/>
      <c r="E20" s="120"/>
      <c r="F20" s="85"/>
      <c r="G20" s="85"/>
      <c r="H20" s="85"/>
      <c r="I20" s="81"/>
      <c r="J20" s="81"/>
      <c r="K20" s="35"/>
      <c r="L20" s="35"/>
      <c r="M20" s="35"/>
      <c r="N20" s="35"/>
      <c r="O20" s="35"/>
      <c r="P20" s="35"/>
      <c r="Q20" s="35"/>
      <c r="R20" s="35"/>
      <c r="S20" s="35"/>
      <c r="T20" s="35"/>
      <c r="U20" s="35"/>
      <c r="V20" s="35"/>
      <c r="W20" s="35"/>
      <c r="X20" s="180" t="s">
        <v>214</v>
      </c>
      <c r="Y20" s="359">
        <v>2.0499097618064069E-4</v>
      </c>
      <c r="Z20" s="359">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19"/>
      <c r="C21" s="120"/>
      <c r="D21" s="121"/>
      <c r="E21" s="120"/>
      <c r="F21" s="85"/>
      <c r="G21" s="85"/>
      <c r="H21" s="85"/>
      <c r="I21" s="81"/>
      <c r="J21" s="81"/>
      <c r="K21" s="35"/>
      <c r="L21" s="35"/>
      <c r="M21" s="35"/>
      <c r="N21" s="35"/>
      <c r="O21" s="35"/>
      <c r="P21" s="35"/>
      <c r="Q21" s="35"/>
      <c r="R21" s="35"/>
      <c r="S21" s="35"/>
      <c r="T21" s="35"/>
      <c r="U21" s="35"/>
      <c r="V21" s="35"/>
      <c r="W21" s="35"/>
      <c r="X21" s="180" t="s">
        <v>215</v>
      </c>
      <c r="Y21" s="359">
        <v>7.3634398159432295E-4</v>
      </c>
      <c r="Z21" s="359">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19"/>
      <c r="C22" s="120"/>
      <c r="D22" s="121"/>
      <c r="E22" s="120"/>
      <c r="F22" s="85"/>
      <c r="G22" s="85"/>
      <c r="H22" s="85"/>
      <c r="I22" s="81"/>
      <c r="J22" s="81"/>
      <c r="K22" s="35"/>
      <c r="L22" s="35"/>
      <c r="M22" s="35"/>
      <c r="N22" s="35"/>
      <c r="O22" s="35"/>
      <c r="P22" s="35"/>
      <c r="Q22" s="35"/>
      <c r="R22" s="35"/>
      <c r="S22" s="35"/>
      <c r="T22" s="35"/>
      <c r="U22" s="35"/>
      <c r="V22" s="35"/>
      <c r="W22" s="35"/>
      <c r="X22" s="180" t="s">
        <v>216</v>
      </c>
      <c r="Y22" s="359">
        <v>1.5933500996702843E-4</v>
      </c>
      <c r="Z22" s="359">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19"/>
      <c r="C23" s="120"/>
      <c r="D23" s="121"/>
      <c r="E23" s="120"/>
      <c r="F23" s="85"/>
      <c r="G23" s="85"/>
      <c r="H23" s="85"/>
      <c r="I23" s="81"/>
      <c r="J23" s="81"/>
      <c r="K23" s="35"/>
      <c r="L23" s="35"/>
      <c r="M23" s="35"/>
      <c r="N23" s="35"/>
      <c r="O23" s="35"/>
      <c r="P23" s="35"/>
      <c r="Q23" s="35"/>
      <c r="R23" s="35"/>
      <c r="S23" s="35"/>
      <c r="T23" s="35"/>
      <c r="U23" s="35"/>
      <c r="V23" s="35"/>
      <c r="W23" s="35"/>
      <c r="X23" s="180" t="s">
        <v>11</v>
      </c>
      <c r="Y23" s="359">
        <v>5.0685048336163163E-4</v>
      </c>
      <c r="Z23" s="359">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19"/>
      <c r="C24" s="120"/>
      <c r="D24" s="121"/>
      <c r="E24" s="120"/>
      <c r="F24" s="105"/>
      <c r="G24" s="105"/>
      <c r="H24" s="85"/>
      <c r="I24" s="81"/>
      <c r="J24" s="81"/>
      <c r="K24" s="35"/>
      <c r="L24" s="35"/>
      <c r="M24" s="35"/>
      <c r="N24" s="35"/>
      <c r="O24" s="35"/>
      <c r="P24" s="35"/>
      <c r="Q24" s="35"/>
      <c r="R24" s="35"/>
      <c r="S24" s="35"/>
      <c r="T24" s="35"/>
      <c r="U24" s="35"/>
      <c r="V24" s="35"/>
      <c r="W24" s="35"/>
      <c r="X24" s="180" t="s">
        <v>217</v>
      </c>
      <c r="Y24" s="359">
        <v>8.3442486284763834E-4</v>
      </c>
      <c r="Z24" s="359">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19"/>
      <c r="C25" s="120"/>
      <c r="D25" s="121"/>
      <c r="E25" s="120"/>
      <c r="F25" s="86"/>
      <c r="G25" s="86"/>
      <c r="H25" s="85"/>
      <c r="I25" s="81"/>
      <c r="J25" s="81"/>
      <c r="K25" s="35"/>
      <c r="L25" s="35"/>
      <c r="M25" s="35"/>
      <c r="N25" s="35"/>
      <c r="O25" s="35"/>
      <c r="P25" s="35"/>
      <c r="Q25" s="35"/>
      <c r="R25" s="35"/>
      <c r="S25" s="35"/>
      <c r="T25" s="35"/>
      <c r="U25" s="35"/>
      <c r="V25" s="35"/>
      <c r="W25" s="35"/>
      <c r="X25" s="180" t="s">
        <v>218</v>
      </c>
      <c r="Y25" s="359">
        <v>4.5283915436484851E-4</v>
      </c>
      <c r="Z25" s="359">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19"/>
      <c r="C26" s="120"/>
      <c r="D26" s="121"/>
      <c r="E26" s="120"/>
      <c r="F26" s="85"/>
      <c r="G26" s="85"/>
      <c r="H26" s="85"/>
      <c r="I26" s="81"/>
      <c r="J26" s="81"/>
      <c r="K26" s="35"/>
      <c r="L26" s="35"/>
      <c r="M26" s="35"/>
      <c r="N26" s="35"/>
      <c r="O26" s="35"/>
      <c r="P26" s="35"/>
      <c r="Q26" s="35"/>
      <c r="R26" s="35"/>
      <c r="S26" s="35"/>
      <c r="T26" s="35"/>
      <c r="U26" s="35"/>
      <c r="V26" s="35"/>
      <c r="W26" s="35"/>
      <c r="X26" s="180" t="s">
        <v>219</v>
      </c>
      <c r="Y26" s="359">
        <v>3.486895207898603E-4</v>
      </c>
      <c r="Z26" s="359">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19"/>
      <c r="C27" s="120"/>
      <c r="D27" s="121"/>
      <c r="E27" s="120"/>
      <c r="F27" s="85"/>
      <c r="G27" s="85"/>
      <c r="H27" s="85"/>
      <c r="I27" s="81"/>
      <c r="J27" s="81"/>
      <c r="K27" s="35"/>
      <c r="L27" s="35"/>
      <c r="M27" s="35"/>
      <c r="N27" s="35"/>
      <c r="O27" s="35"/>
      <c r="P27" s="35"/>
      <c r="Q27" s="35"/>
      <c r="R27" s="35"/>
      <c r="S27" s="35"/>
      <c r="T27" s="35"/>
      <c r="U27" s="35"/>
      <c r="V27" s="35"/>
      <c r="W27" s="35"/>
      <c r="X27" s="180" t="s">
        <v>224</v>
      </c>
      <c r="Y27" s="359">
        <v>6.1012381532656111E-4</v>
      </c>
      <c r="Z27" s="359">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19"/>
      <c r="C28" s="120"/>
      <c r="D28" s="121"/>
      <c r="E28" s="120"/>
      <c r="F28" s="85"/>
      <c r="G28" s="85"/>
      <c r="H28" s="85"/>
      <c r="I28" s="81"/>
      <c r="J28" s="81"/>
      <c r="K28" s="35"/>
      <c r="L28" s="35"/>
      <c r="M28" s="35"/>
      <c r="N28" s="35"/>
      <c r="O28" s="35"/>
      <c r="P28" s="35"/>
      <c r="Q28" s="35"/>
      <c r="R28" s="35"/>
      <c r="S28" s="35"/>
      <c r="T28" s="35"/>
      <c r="U28" s="35"/>
      <c r="V28" s="35"/>
      <c r="W28" s="35"/>
      <c r="X28" s="180" t="s">
        <v>221</v>
      </c>
      <c r="Y28" s="359">
        <v>3.9139311155092061E-5</v>
      </c>
      <c r="Z28" s="359">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19"/>
      <c r="C29" s="120"/>
      <c r="D29" s="121"/>
      <c r="E29" s="120"/>
      <c r="F29" s="85"/>
      <c r="G29" s="85"/>
      <c r="H29" s="85"/>
      <c r="I29" s="81"/>
      <c r="J29" s="81"/>
      <c r="K29" s="35"/>
      <c r="L29" s="35"/>
      <c r="M29" s="35"/>
      <c r="N29" s="35"/>
      <c r="O29" s="35"/>
      <c r="P29" s="35"/>
      <c r="Q29" s="35"/>
      <c r="R29" s="35"/>
      <c r="S29" s="35"/>
      <c r="T29" s="35"/>
      <c r="U29" s="35"/>
      <c r="V29" s="35"/>
      <c r="W29" s="35"/>
      <c r="X29" s="180" t="s">
        <v>222</v>
      </c>
      <c r="Y29" s="359">
        <v>3.2453938138303045E-4</v>
      </c>
      <c r="Z29" s="359">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19"/>
      <c r="C30" s="120"/>
      <c r="D30" s="121"/>
      <c r="E30" s="120"/>
      <c r="F30" s="85"/>
      <c r="G30" s="85"/>
      <c r="H30" s="85"/>
      <c r="I30" s="81"/>
      <c r="J30" s="81"/>
      <c r="K30" s="35"/>
      <c r="L30" s="35"/>
      <c r="M30" s="35"/>
      <c r="N30" s="35"/>
      <c r="O30" s="35"/>
      <c r="P30" s="35"/>
      <c r="Q30" s="35"/>
      <c r="R30" s="35"/>
      <c r="S30" s="35"/>
      <c r="T30" s="35"/>
      <c r="U30" s="35"/>
      <c r="V30" s="35"/>
      <c r="W30" s="35"/>
      <c r="X30" s="180" t="s">
        <v>223</v>
      </c>
      <c r="Y30" s="359">
        <v>7.9415196034054991E-4</v>
      </c>
      <c r="Z30" s="359">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7" thickBot="1">
      <c r="A31" s="21"/>
      <c r="B31" s="119"/>
      <c r="C31" s="31" t="s">
        <v>299</v>
      </c>
      <c r="D31" s="131"/>
      <c r="E31" s="131"/>
      <c r="F31" s="131"/>
      <c r="G31" s="428"/>
      <c r="H31" s="428"/>
      <c r="I31" s="429"/>
      <c r="J31" s="429"/>
      <c r="K31" s="358"/>
      <c r="L31" s="358"/>
      <c r="M31" s="358"/>
      <c r="N31" s="430"/>
      <c r="O31" s="158" t="s">
        <v>300</v>
      </c>
      <c r="P31" s="358"/>
      <c r="Q31" s="358"/>
      <c r="R31" s="358"/>
      <c r="S31" s="358"/>
      <c r="T31" s="358"/>
      <c r="U31" s="358"/>
      <c r="V31" s="358"/>
      <c r="W31" s="28"/>
      <c r="X31" s="180" t="s">
        <v>225</v>
      </c>
      <c r="Y31" s="359">
        <v>3.2602707909398565E-4</v>
      </c>
      <c r="Z31" s="359">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119"/>
      <c r="C32" s="578" t="s">
        <v>301</v>
      </c>
      <c r="D32" s="578"/>
      <c r="E32" s="578"/>
      <c r="F32" s="579"/>
      <c r="G32" s="252">
        <v>2020</v>
      </c>
      <c r="H32" s="428"/>
      <c r="I32" s="429"/>
      <c r="J32" s="429"/>
      <c r="K32" s="358"/>
      <c r="L32" s="358"/>
      <c r="M32" s="358"/>
      <c r="N32" s="358"/>
      <c r="O32" s="358"/>
      <c r="P32" s="358"/>
      <c r="Q32" s="358"/>
      <c r="R32" s="358"/>
      <c r="S32" s="358"/>
      <c r="T32" s="358"/>
      <c r="U32" s="358"/>
      <c r="V32" s="358"/>
      <c r="W32" s="80"/>
      <c r="X32" s="180" t="s">
        <v>226</v>
      </c>
      <c r="Y32" s="359">
        <v>8.465955465067626E-4</v>
      </c>
      <c r="Z32" s="359">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119"/>
      <c r="C33" s="431"/>
      <c r="D33" s="432"/>
      <c r="E33" s="431"/>
      <c r="F33" s="86"/>
      <c r="G33" s="86"/>
      <c r="H33" s="86"/>
      <c r="I33" s="82"/>
      <c r="J33" s="82"/>
      <c r="K33" s="28"/>
      <c r="L33" s="28"/>
      <c r="M33" s="28"/>
      <c r="N33" s="28"/>
      <c r="O33" s="28"/>
      <c r="P33" s="28"/>
      <c r="Q33" s="28"/>
      <c r="R33" s="28"/>
      <c r="S33" s="28"/>
      <c r="T33" s="28"/>
      <c r="U33" s="28"/>
      <c r="V33" s="28"/>
      <c r="W33" s="37"/>
      <c r="X33" s="180" t="s">
        <v>227</v>
      </c>
      <c r="Y33" s="359">
        <v>3.0858219124592655E-4</v>
      </c>
      <c r="Z33" s="359">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19"/>
      <c r="C34" s="433"/>
      <c r="D34" s="290">
        <v>2014</v>
      </c>
      <c r="E34" s="290">
        <v>2016</v>
      </c>
      <c r="F34" s="290">
        <v>2018</v>
      </c>
      <c r="G34" s="290">
        <v>2020</v>
      </c>
      <c r="H34" s="290">
        <v>2022</v>
      </c>
      <c r="I34" s="290">
        <v>2024</v>
      </c>
      <c r="J34" s="290">
        <v>2026</v>
      </c>
      <c r="K34" s="290">
        <v>2028</v>
      </c>
      <c r="L34" s="290">
        <v>2030</v>
      </c>
      <c r="M34" s="290">
        <v>2032</v>
      </c>
      <c r="N34" s="290">
        <v>2034</v>
      </c>
      <c r="O34" s="290">
        <v>2036</v>
      </c>
      <c r="P34" s="290">
        <v>2038</v>
      </c>
      <c r="Q34" s="290">
        <v>2040</v>
      </c>
      <c r="R34" s="290">
        <v>2042</v>
      </c>
      <c r="S34" s="290">
        <v>2044</v>
      </c>
      <c r="T34" s="290">
        <v>2046</v>
      </c>
      <c r="U34" s="290">
        <v>2048</v>
      </c>
      <c r="V34" s="291">
        <v>2050</v>
      </c>
      <c r="W34" s="37"/>
      <c r="X34" s="180" t="s">
        <v>230</v>
      </c>
      <c r="Y34" s="359">
        <v>2.7443623595127412E-4</v>
      </c>
      <c r="Z34" s="359">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19"/>
      <c r="C35" s="434" t="s">
        <v>210</v>
      </c>
      <c r="D35" s="435" t="b">
        <v>0</v>
      </c>
      <c r="E35" s="436" t="b">
        <v>0</v>
      </c>
      <c r="F35" s="435" t="b">
        <v>0</v>
      </c>
      <c r="G35" s="437" t="b">
        <v>1</v>
      </c>
      <c r="H35" s="437" t="b">
        <v>1</v>
      </c>
      <c r="I35" s="437" t="b">
        <v>1</v>
      </c>
      <c r="J35" s="437" t="b">
        <v>1</v>
      </c>
      <c r="K35" s="437" t="b">
        <v>1</v>
      </c>
      <c r="L35" s="438" t="b">
        <v>1</v>
      </c>
      <c r="M35" s="438" t="b">
        <v>1</v>
      </c>
      <c r="N35" s="438" t="b">
        <v>1</v>
      </c>
      <c r="O35" s="438" t="b">
        <v>1</v>
      </c>
      <c r="P35" s="438" t="b">
        <v>1</v>
      </c>
      <c r="Q35" s="438" t="b">
        <v>1</v>
      </c>
      <c r="R35" s="438" t="b">
        <v>1</v>
      </c>
      <c r="S35" s="438" t="b">
        <v>1</v>
      </c>
      <c r="T35" s="438" t="b">
        <v>1</v>
      </c>
      <c r="U35" s="438" t="b">
        <v>1</v>
      </c>
      <c r="V35" s="439" t="b">
        <v>1</v>
      </c>
      <c r="W35" s="37"/>
      <c r="X35" s="180" t="s">
        <v>229</v>
      </c>
      <c r="Y35" s="359">
        <v>5.3598020242062749E-4</v>
      </c>
      <c r="Z35" s="359">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19"/>
      <c r="C36" s="434" t="s">
        <v>212</v>
      </c>
      <c r="D36" s="435" t="b">
        <v>0</v>
      </c>
      <c r="E36" s="436" t="b">
        <v>0</v>
      </c>
      <c r="F36" s="435" t="b">
        <v>0</v>
      </c>
      <c r="G36" s="437" t="b">
        <v>1</v>
      </c>
      <c r="H36" s="437" t="b">
        <v>1</v>
      </c>
      <c r="I36" s="437" t="b">
        <v>1</v>
      </c>
      <c r="J36" s="437" t="b">
        <v>1</v>
      </c>
      <c r="K36" s="437" t="b">
        <v>1</v>
      </c>
      <c r="L36" s="438" t="b">
        <v>1</v>
      </c>
      <c r="M36" s="438" t="b">
        <v>1</v>
      </c>
      <c r="N36" s="438" t="b">
        <v>1</v>
      </c>
      <c r="O36" s="438" t="b">
        <v>1</v>
      </c>
      <c r="P36" s="438" t="b">
        <v>1</v>
      </c>
      <c r="Q36" s="438" t="b">
        <v>1</v>
      </c>
      <c r="R36" s="438" t="b">
        <v>1</v>
      </c>
      <c r="S36" s="438" t="b">
        <v>1</v>
      </c>
      <c r="T36" s="438" t="b">
        <v>1</v>
      </c>
      <c r="U36" s="438" t="b">
        <v>1</v>
      </c>
      <c r="V36" s="439" t="b">
        <v>1</v>
      </c>
      <c r="W36" s="37"/>
      <c r="X36" s="180" t="s">
        <v>228</v>
      </c>
      <c r="Y36" s="359">
        <v>2.0322708687071074E-4</v>
      </c>
      <c r="Z36" s="359">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19"/>
      <c r="C37" s="440" t="s">
        <v>213</v>
      </c>
      <c r="D37" s="435" t="b">
        <v>1</v>
      </c>
      <c r="E37" s="436" t="b">
        <v>1</v>
      </c>
      <c r="F37" s="435" t="b">
        <v>1</v>
      </c>
      <c r="G37" s="437" t="b">
        <v>1</v>
      </c>
      <c r="H37" s="437" t="b">
        <v>1</v>
      </c>
      <c r="I37" s="437" t="b">
        <v>1</v>
      </c>
      <c r="J37" s="437" t="b">
        <v>1</v>
      </c>
      <c r="K37" s="437" t="b">
        <v>1</v>
      </c>
      <c r="L37" s="438" t="b">
        <v>1</v>
      </c>
      <c r="M37" s="438" t="b">
        <v>1</v>
      </c>
      <c r="N37" s="441" t="b">
        <v>1</v>
      </c>
      <c r="O37" s="438" t="b">
        <v>1</v>
      </c>
      <c r="P37" s="438" t="b">
        <v>1</v>
      </c>
      <c r="Q37" s="438" t="b">
        <v>1</v>
      </c>
      <c r="R37" s="438" t="b">
        <v>1</v>
      </c>
      <c r="S37" s="438" t="b">
        <v>1</v>
      </c>
      <c r="T37" s="438" t="b">
        <v>1</v>
      </c>
      <c r="U37" s="438" t="b">
        <v>1</v>
      </c>
      <c r="V37" s="439" t="b">
        <v>1</v>
      </c>
      <c r="W37" s="37"/>
      <c r="X37" s="180" t="s">
        <v>231</v>
      </c>
      <c r="Y37" s="359">
        <v>5.0054878730029545E-4</v>
      </c>
      <c r="Z37" s="359">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19"/>
      <c r="C38" s="440" t="s">
        <v>214</v>
      </c>
      <c r="D38" s="435" t="b">
        <v>1</v>
      </c>
      <c r="E38" s="436" t="b">
        <v>1</v>
      </c>
      <c r="F38" s="435" t="b">
        <v>1</v>
      </c>
      <c r="G38" s="437" t="b">
        <v>1</v>
      </c>
      <c r="H38" s="437" t="b">
        <v>1</v>
      </c>
      <c r="I38" s="437" t="b">
        <v>1</v>
      </c>
      <c r="J38" s="437" t="b">
        <v>1</v>
      </c>
      <c r="K38" s="437" t="b">
        <v>1</v>
      </c>
      <c r="L38" s="438" t="b">
        <v>1</v>
      </c>
      <c r="M38" s="438" t="b">
        <v>1</v>
      </c>
      <c r="N38" s="438" t="b">
        <v>1</v>
      </c>
      <c r="O38" s="438" t="b">
        <v>1</v>
      </c>
      <c r="P38" s="438" t="b">
        <v>1</v>
      </c>
      <c r="Q38" s="438" t="b">
        <v>1</v>
      </c>
      <c r="R38" s="438" t="b">
        <v>1</v>
      </c>
      <c r="S38" s="438" t="b">
        <v>1</v>
      </c>
      <c r="T38" s="438" t="b">
        <v>1</v>
      </c>
      <c r="U38" s="438" t="b">
        <v>1</v>
      </c>
      <c r="V38" s="439" t="b">
        <v>1</v>
      </c>
      <c r="W38" s="37"/>
      <c r="X38" s="180" t="s">
        <v>232</v>
      </c>
      <c r="Y38" s="359">
        <v>5.4427544121789305E-4</v>
      </c>
      <c r="Z38" s="359">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19"/>
      <c r="C39" s="440" t="s">
        <v>215</v>
      </c>
      <c r="D39" s="435" t="b">
        <v>1</v>
      </c>
      <c r="E39" s="436" t="b">
        <v>1</v>
      </c>
      <c r="F39" s="435" t="b">
        <v>1</v>
      </c>
      <c r="G39" s="437" t="b">
        <v>1</v>
      </c>
      <c r="H39" s="437" t="b">
        <v>1</v>
      </c>
      <c r="I39" s="437" t="b">
        <v>1</v>
      </c>
      <c r="J39" s="437" t="b">
        <v>1</v>
      </c>
      <c r="K39" s="437" t="b">
        <v>1</v>
      </c>
      <c r="L39" s="438" t="b">
        <v>1</v>
      </c>
      <c r="M39" s="438" t="b">
        <v>1</v>
      </c>
      <c r="N39" s="438" t="b">
        <v>1</v>
      </c>
      <c r="O39" s="438" t="b">
        <v>1</v>
      </c>
      <c r="P39" s="438" t="b">
        <v>1</v>
      </c>
      <c r="Q39" s="438" t="b">
        <v>1</v>
      </c>
      <c r="R39" s="438" t="b">
        <v>1</v>
      </c>
      <c r="S39" s="438" t="b">
        <v>1</v>
      </c>
      <c r="T39" s="438" t="b">
        <v>1</v>
      </c>
      <c r="U39" s="438" t="b">
        <v>1</v>
      </c>
      <c r="V39" s="439" t="b">
        <v>1</v>
      </c>
      <c r="W39" s="37"/>
      <c r="X39" s="180" t="s">
        <v>234</v>
      </c>
      <c r="Y39" s="359">
        <v>6.8060201713878701E-4</v>
      </c>
      <c r="Z39" s="359">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19"/>
      <c r="C40" s="440" t="s">
        <v>216</v>
      </c>
      <c r="D40" s="435" t="b">
        <v>1</v>
      </c>
      <c r="E40" s="436" t="b">
        <v>1</v>
      </c>
      <c r="F40" s="435" t="b">
        <v>1</v>
      </c>
      <c r="G40" s="437" t="b">
        <v>1</v>
      </c>
      <c r="H40" s="437" t="b">
        <v>1</v>
      </c>
      <c r="I40" s="437" t="b">
        <v>1</v>
      </c>
      <c r="J40" s="437" t="b">
        <v>1</v>
      </c>
      <c r="K40" s="437" t="b">
        <v>1</v>
      </c>
      <c r="L40" s="438" t="b">
        <v>1</v>
      </c>
      <c r="M40" s="438" t="b">
        <v>1</v>
      </c>
      <c r="N40" s="438" t="b">
        <v>1</v>
      </c>
      <c r="O40" s="438" t="b">
        <v>1</v>
      </c>
      <c r="P40" s="438" t="b">
        <v>1</v>
      </c>
      <c r="Q40" s="438" t="b">
        <v>1</v>
      </c>
      <c r="R40" s="438" t="b">
        <v>1</v>
      </c>
      <c r="S40" s="438" t="b">
        <v>1</v>
      </c>
      <c r="T40" s="438" t="b">
        <v>1</v>
      </c>
      <c r="U40" s="438" t="b">
        <v>1</v>
      </c>
      <c r="V40" s="439" t="b">
        <v>1</v>
      </c>
      <c r="W40" s="37"/>
      <c r="X40" s="180" t="s">
        <v>233</v>
      </c>
      <c r="Y40" s="359">
        <v>3.457177533004125E-4</v>
      </c>
      <c r="Z40" s="359">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19"/>
      <c r="C41" s="440" t="s">
        <v>217</v>
      </c>
      <c r="D41" s="435" t="b">
        <v>1</v>
      </c>
      <c r="E41" s="436" t="b">
        <v>1</v>
      </c>
      <c r="F41" s="435" t="b">
        <v>1</v>
      </c>
      <c r="G41" s="437" t="b">
        <v>1</v>
      </c>
      <c r="H41" s="437" t="b">
        <v>1</v>
      </c>
      <c r="I41" s="437" t="b">
        <v>1</v>
      </c>
      <c r="J41" s="437" t="b">
        <v>1</v>
      </c>
      <c r="K41" s="437" t="b">
        <v>1</v>
      </c>
      <c r="L41" s="438" t="b">
        <v>1</v>
      </c>
      <c r="M41" s="438" t="b">
        <v>1</v>
      </c>
      <c r="N41" s="438" t="b">
        <v>1</v>
      </c>
      <c r="O41" s="438" t="b">
        <v>1</v>
      </c>
      <c r="P41" s="438" t="b">
        <v>1</v>
      </c>
      <c r="Q41" s="438" t="b">
        <v>1</v>
      </c>
      <c r="R41" s="438" t="b">
        <v>1</v>
      </c>
      <c r="S41" s="438" t="b">
        <v>1</v>
      </c>
      <c r="T41" s="438" t="b">
        <v>1</v>
      </c>
      <c r="U41" s="438" t="b">
        <v>1</v>
      </c>
      <c r="V41" s="439" t="b">
        <v>1</v>
      </c>
      <c r="W41" s="35"/>
      <c r="X41" s="180" t="s">
        <v>235</v>
      </c>
      <c r="Y41" s="359">
        <v>2.7139739187690266E-4</v>
      </c>
      <c r="Z41" s="359">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19"/>
      <c r="C42" s="440" t="s">
        <v>11</v>
      </c>
      <c r="D42" s="435" t="b">
        <v>1</v>
      </c>
      <c r="E42" s="436" t="b">
        <v>1</v>
      </c>
      <c r="F42" s="435" t="b">
        <v>1</v>
      </c>
      <c r="G42" s="437" t="b">
        <v>1</v>
      </c>
      <c r="H42" s="437" t="b">
        <v>1</v>
      </c>
      <c r="I42" s="437" t="b">
        <v>1</v>
      </c>
      <c r="J42" s="437" t="b">
        <v>1</v>
      </c>
      <c r="K42" s="437" t="b">
        <v>1</v>
      </c>
      <c r="L42" s="438" t="b">
        <v>1</v>
      </c>
      <c r="M42" s="438" t="b">
        <v>1</v>
      </c>
      <c r="N42" s="438" t="b">
        <v>1</v>
      </c>
      <c r="O42" s="438" t="b">
        <v>1</v>
      </c>
      <c r="P42" s="438" t="b">
        <v>1</v>
      </c>
      <c r="Q42" s="438" t="b">
        <v>1</v>
      </c>
      <c r="R42" s="438" t="b">
        <v>1</v>
      </c>
      <c r="S42" s="438" t="b">
        <v>1</v>
      </c>
      <c r="T42" s="438" t="b">
        <v>1</v>
      </c>
      <c r="U42" s="438" t="b">
        <v>1</v>
      </c>
      <c r="V42" s="439" t="b">
        <v>1</v>
      </c>
      <c r="W42" s="35"/>
      <c r="X42" s="180" t="s">
        <v>242</v>
      </c>
      <c r="Y42" s="359">
        <v>4.6005555553392324E-4</v>
      </c>
      <c r="Z42" s="359">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19"/>
      <c r="C43" s="434" t="s">
        <v>218</v>
      </c>
      <c r="D43" s="435" t="b">
        <v>0</v>
      </c>
      <c r="E43" s="436" t="b">
        <v>0</v>
      </c>
      <c r="F43" s="435" t="b">
        <v>0</v>
      </c>
      <c r="G43" s="442" t="b">
        <v>1</v>
      </c>
      <c r="H43" s="442" t="b">
        <v>1</v>
      </c>
      <c r="I43" s="442" t="b">
        <v>1</v>
      </c>
      <c r="J43" s="442" t="b">
        <v>1</v>
      </c>
      <c r="K43" s="442" t="b">
        <v>1</v>
      </c>
      <c r="L43" s="443" t="b">
        <v>1</v>
      </c>
      <c r="M43" s="443" t="b">
        <v>1</v>
      </c>
      <c r="N43" s="443" t="b">
        <v>1</v>
      </c>
      <c r="O43" s="443" t="b">
        <v>1</v>
      </c>
      <c r="P43" s="443" t="b">
        <v>1</v>
      </c>
      <c r="Q43" s="443" t="b">
        <v>1</v>
      </c>
      <c r="R43" s="443" t="b">
        <v>1</v>
      </c>
      <c r="S43" s="443" t="b">
        <v>1</v>
      </c>
      <c r="T43" s="443" t="b">
        <v>1</v>
      </c>
      <c r="U43" s="443" t="b">
        <v>1</v>
      </c>
      <c r="V43" s="444" t="b">
        <v>1</v>
      </c>
      <c r="W43" s="35"/>
      <c r="X43" s="180" t="s">
        <v>243</v>
      </c>
      <c r="Y43" s="359">
        <v>7.7706033252806421E-4</v>
      </c>
      <c r="Z43" s="359">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19"/>
      <c r="C44" s="434" t="s">
        <v>219</v>
      </c>
      <c r="D44" s="435" t="b">
        <v>0</v>
      </c>
      <c r="E44" s="436" t="b">
        <v>0</v>
      </c>
      <c r="F44" s="435" t="b">
        <v>0</v>
      </c>
      <c r="G44" s="442" t="b">
        <v>1</v>
      </c>
      <c r="H44" s="442" t="b">
        <v>1</v>
      </c>
      <c r="I44" s="442" t="b">
        <v>1</v>
      </c>
      <c r="J44" s="442" t="b">
        <v>1</v>
      </c>
      <c r="K44" s="442" t="b">
        <v>1</v>
      </c>
      <c r="L44" s="443" t="b">
        <v>1</v>
      </c>
      <c r="M44" s="443" t="b">
        <v>1</v>
      </c>
      <c r="N44" s="443" t="b">
        <v>1</v>
      </c>
      <c r="O44" s="443" t="b">
        <v>1</v>
      </c>
      <c r="P44" s="443" t="b">
        <v>1</v>
      </c>
      <c r="Q44" s="443" t="b">
        <v>1</v>
      </c>
      <c r="R44" s="443" t="b">
        <v>1</v>
      </c>
      <c r="S44" s="443" t="b">
        <v>1</v>
      </c>
      <c r="T44" s="443" t="b">
        <v>1</v>
      </c>
      <c r="U44" s="443" t="b">
        <v>1</v>
      </c>
      <c r="V44" s="444" t="b">
        <v>1</v>
      </c>
      <c r="W44" s="35"/>
      <c r="X44" s="180" t="s">
        <v>236</v>
      </c>
      <c r="Y44" s="359">
        <v>6.5903358116509451E-4</v>
      </c>
      <c r="Z44" s="359">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19"/>
      <c r="C45" s="434" t="s">
        <v>221</v>
      </c>
      <c r="D45" s="435" t="b">
        <v>0</v>
      </c>
      <c r="E45" s="436" t="b">
        <v>0</v>
      </c>
      <c r="F45" s="435" t="b">
        <v>0</v>
      </c>
      <c r="G45" s="442" t="b">
        <v>1</v>
      </c>
      <c r="H45" s="442" t="b">
        <v>1</v>
      </c>
      <c r="I45" s="442" t="b">
        <v>1</v>
      </c>
      <c r="J45" s="442" t="b">
        <v>1</v>
      </c>
      <c r="K45" s="442" t="b">
        <v>1</v>
      </c>
      <c r="L45" s="443" t="b">
        <v>1</v>
      </c>
      <c r="M45" s="443" t="b">
        <v>1</v>
      </c>
      <c r="N45" s="443" t="b">
        <v>1</v>
      </c>
      <c r="O45" s="443" t="b">
        <v>1</v>
      </c>
      <c r="P45" s="443" t="b">
        <v>1</v>
      </c>
      <c r="Q45" s="443" t="b">
        <v>1</v>
      </c>
      <c r="R45" s="443" t="b">
        <v>1</v>
      </c>
      <c r="S45" s="443" t="b">
        <v>1</v>
      </c>
      <c r="T45" s="443" t="b">
        <v>1</v>
      </c>
      <c r="U45" s="443" t="b">
        <v>1</v>
      </c>
      <c r="V45" s="444" t="b">
        <v>1</v>
      </c>
      <c r="W45" s="35"/>
      <c r="X45" s="180" t="s">
        <v>238</v>
      </c>
      <c r="Y45" s="359">
        <v>1.3708824581532242E-4</v>
      </c>
      <c r="Z45" s="359">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19"/>
      <c r="C46" s="434" t="s">
        <v>222</v>
      </c>
      <c r="D46" s="435" t="b">
        <v>0</v>
      </c>
      <c r="E46" s="436" t="b">
        <v>0</v>
      </c>
      <c r="F46" s="435" t="b">
        <v>0</v>
      </c>
      <c r="G46" s="443" t="b">
        <v>1</v>
      </c>
      <c r="H46" s="443" t="b">
        <v>1</v>
      </c>
      <c r="I46" s="443" t="b">
        <v>1</v>
      </c>
      <c r="J46" s="443" t="b">
        <v>1</v>
      </c>
      <c r="K46" s="443" t="b">
        <v>1</v>
      </c>
      <c r="L46" s="443" t="b">
        <v>1</v>
      </c>
      <c r="M46" s="443" t="b">
        <v>1</v>
      </c>
      <c r="N46" s="443" t="b">
        <v>1</v>
      </c>
      <c r="O46" s="443" t="b">
        <v>1</v>
      </c>
      <c r="P46" s="443" t="b">
        <v>1</v>
      </c>
      <c r="Q46" s="443" t="b">
        <v>1</v>
      </c>
      <c r="R46" s="443" t="b">
        <v>1</v>
      </c>
      <c r="S46" s="443" t="b">
        <v>1</v>
      </c>
      <c r="T46" s="443" t="b">
        <v>1</v>
      </c>
      <c r="U46" s="443" t="b">
        <v>1</v>
      </c>
      <c r="V46" s="444" t="b">
        <v>1</v>
      </c>
      <c r="W46" s="35"/>
      <c r="X46" s="180" t="s">
        <v>239</v>
      </c>
      <c r="Y46" s="359">
        <v>2.4826092420676649E-4</v>
      </c>
      <c r="Z46" s="359">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19"/>
      <c r="C47" s="440" t="s">
        <v>223</v>
      </c>
      <c r="D47" s="435" t="b">
        <v>1</v>
      </c>
      <c r="E47" s="436" t="b">
        <v>1</v>
      </c>
      <c r="F47" s="435" t="b">
        <v>1</v>
      </c>
      <c r="G47" s="443" t="b">
        <v>1</v>
      </c>
      <c r="H47" s="443" t="b">
        <v>1</v>
      </c>
      <c r="I47" s="443" t="b">
        <v>1</v>
      </c>
      <c r="J47" s="443" t="b">
        <v>1</v>
      </c>
      <c r="K47" s="443" t="b">
        <v>1</v>
      </c>
      <c r="L47" s="443" t="b">
        <v>1</v>
      </c>
      <c r="M47" s="443" t="b">
        <v>1</v>
      </c>
      <c r="N47" s="443" t="b">
        <v>1</v>
      </c>
      <c r="O47" s="443" t="b">
        <v>1</v>
      </c>
      <c r="P47" s="443" t="b">
        <v>1</v>
      </c>
      <c r="Q47" s="443" t="b">
        <v>1</v>
      </c>
      <c r="R47" s="443" t="b">
        <v>1</v>
      </c>
      <c r="S47" s="443" t="b">
        <v>1</v>
      </c>
      <c r="T47" s="443" t="b">
        <v>1</v>
      </c>
      <c r="U47" s="443" t="b">
        <v>1</v>
      </c>
      <c r="V47" s="444" t="b">
        <v>1</v>
      </c>
      <c r="W47" s="35"/>
      <c r="X47" s="180" t="s">
        <v>240</v>
      </c>
      <c r="Y47" s="359">
        <v>6.5123632733018436E-4</v>
      </c>
      <c r="Z47" s="359">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19"/>
      <c r="C48" s="434" t="s">
        <v>224</v>
      </c>
      <c r="D48" s="435" t="b">
        <v>0</v>
      </c>
      <c r="E48" s="436" t="b">
        <v>0</v>
      </c>
      <c r="F48" s="435" t="b">
        <v>0</v>
      </c>
      <c r="G48" s="443" t="b">
        <v>1</v>
      </c>
      <c r="H48" s="443" t="b">
        <v>1</v>
      </c>
      <c r="I48" s="443" t="b">
        <v>1</v>
      </c>
      <c r="J48" s="443" t="b">
        <v>1</v>
      </c>
      <c r="K48" s="443" t="b">
        <v>1</v>
      </c>
      <c r="L48" s="443" t="b">
        <v>1</v>
      </c>
      <c r="M48" s="443" t="b">
        <v>1</v>
      </c>
      <c r="N48" s="443" t="b">
        <v>1</v>
      </c>
      <c r="O48" s="443" t="b">
        <v>1</v>
      </c>
      <c r="P48" s="443" t="b">
        <v>1</v>
      </c>
      <c r="Q48" s="443" t="b">
        <v>1</v>
      </c>
      <c r="R48" s="443" t="b">
        <v>1</v>
      </c>
      <c r="S48" s="443" t="b">
        <v>1</v>
      </c>
      <c r="T48" s="443" t="b">
        <v>1</v>
      </c>
      <c r="U48" s="443" t="b">
        <v>1</v>
      </c>
      <c r="V48" s="444" t="b">
        <v>1</v>
      </c>
      <c r="W48" s="35"/>
      <c r="X48" s="180" t="s">
        <v>237</v>
      </c>
      <c r="Y48" s="359">
        <v>4.4027318096914698E-4</v>
      </c>
      <c r="Z48" s="359">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19"/>
      <c r="C49" s="434" t="s">
        <v>225</v>
      </c>
      <c r="D49" s="435" t="b">
        <v>0</v>
      </c>
      <c r="E49" s="436" t="b">
        <v>0</v>
      </c>
      <c r="F49" s="435" t="b">
        <v>0</v>
      </c>
      <c r="G49" s="443" t="b">
        <v>1</v>
      </c>
      <c r="H49" s="443" t="b">
        <v>1</v>
      </c>
      <c r="I49" s="443" t="b">
        <v>1</v>
      </c>
      <c r="J49" s="443" t="b">
        <v>1</v>
      </c>
      <c r="K49" s="443" t="b">
        <v>1</v>
      </c>
      <c r="L49" s="443" t="b">
        <v>1</v>
      </c>
      <c r="M49" s="443" t="b">
        <v>1</v>
      </c>
      <c r="N49" s="443" t="b">
        <v>1</v>
      </c>
      <c r="O49" s="443" t="b">
        <v>1</v>
      </c>
      <c r="P49" s="443" t="b">
        <v>1</v>
      </c>
      <c r="Q49" s="443" t="b">
        <v>1</v>
      </c>
      <c r="R49" s="443" t="b">
        <v>1</v>
      </c>
      <c r="S49" s="443" t="b">
        <v>1</v>
      </c>
      <c r="T49" s="443" t="b">
        <v>1</v>
      </c>
      <c r="U49" s="443" t="b">
        <v>1</v>
      </c>
      <c r="V49" s="444" t="b">
        <v>1</v>
      </c>
      <c r="W49" s="35"/>
      <c r="X49" s="180" t="s">
        <v>241</v>
      </c>
      <c r="Y49" s="359">
        <v>1.931816909789435E-4</v>
      </c>
      <c r="Z49" s="359">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19"/>
      <c r="C50" s="434" t="s">
        <v>226</v>
      </c>
      <c r="D50" s="435" t="b">
        <v>0</v>
      </c>
      <c r="E50" s="436" t="b">
        <v>0</v>
      </c>
      <c r="F50" s="435" t="b">
        <v>0</v>
      </c>
      <c r="G50" s="443" t="b">
        <v>1</v>
      </c>
      <c r="H50" s="443" t="b">
        <v>1</v>
      </c>
      <c r="I50" s="443" t="b">
        <v>1</v>
      </c>
      <c r="J50" s="443" t="b">
        <v>1</v>
      </c>
      <c r="K50" s="443" t="b">
        <v>1</v>
      </c>
      <c r="L50" s="443" t="b">
        <v>1</v>
      </c>
      <c r="M50" s="443" t="b">
        <v>1</v>
      </c>
      <c r="N50" s="443" t="b">
        <v>1</v>
      </c>
      <c r="O50" s="443" t="b">
        <v>1</v>
      </c>
      <c r="P50" s="443" t="b">
        <v>1</v>
      </c>
      <c r="Q50" s="443" t="b">
        <v>1</v>
      </c>
      <c r="R50" s="443" t="b">
        <v>1</v>
      </c>
      <c r="S50" s="443" t="b">
        <v>1</v>
      </c>
      <c r="T50" s="443" t="b">
        <v>1</v>
      </c>
      <c r="U50" s="443" t="b">
        <v>1</v>
      </c>
      <c r="V50" s="444" t="b">
        <v>1</v>
      </c>
      <c r="W50" s="35"/>
      <c r="X50" s="180" t="s">
        <v>244</v>
      </c>
      <c r="Y50" s="359">
        <v>7.0176185178426537E-4</v>
      </c>
      <c r="Z50" s="359">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19"/>
      <c r="C51" s="434" t="s">
        <v>227</v>
      </c>
      <c r="D51" s="435" t="b">
        <v>0</v>
      </c>
      <c r="E51" s="436" t="b">
        <v>0</v>
      </c>
      <c r="F51" s="435" t="b">
        <v>0</v>
      </c>
      <c r="G51" s="443" t="b">
        <v>1</v>
      </c>
      <c r="H51" s="443" t="b">
        <v>1</v>
      </c>
      <c r="I51" s="443" t="b">
        <v>1</v>
      </c>
      <c r="J51" s="443" t="b">
        <v>1</v>
      </c>
      <c r="K51" s="443" t="b">
        <v>1</v>
      </c>
      <c r="L51" s="443" t="b">
        <v>1</v>
      </c>
      <c r="M51" s="443" t="b">
        <v>1</v>
      </c>
      <c r="N51" s="443" t="b">
        <v>1</v>
      </c>
      <c r="O51" s="443" t="b">
        <v>1</v>
      </c>
      <c r="P51" s="443" t="b">
        <v>1</v>
      </c>
      <c r="Q51" s="443" t="b">
        <v>1</v>
      </c>
      <c r="R51" s="443" t="b">
        <v>1</v>
      </c>
      <c r="S51" s="443" t="b">
        <v>1</v>
      </c>
      <c r="T51" s="443" t="b">
        <v>1</v>
      </c>
      <c r="U51" s="443" t="b">
        <v>1</v>
      </c>
      <c r="V51" s="444" t="b">
        <v>1</v>
      </c>
      <c r="W51" s="35"/>
      <c r="X51" s="180" t="s">
        <v>245</v>
      </c>
      <c r="Y51" s="359">
        <v>3.7480116346849359E-4</v>
      </c>
      <c r="Z51" s="359">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19"/>
      <c r="C52" s="440" t="s">
        <v>228</v>
      </c>
      <c r="D52" s="435" t="b">
        <v>1</v>
      </c>
      <c r="E52" s="436" t="b">
        <v>1</v>
      </c>
      <c r="F52" s="435" t="b">
        <v>1</v>
      </c>
      <c r="G52" s="443" t="b">
        <v>1</v>
      </c>
      <c r="H52" s="443" t="b">
        <v>1</v>
      </c>
      <c r="I52" s="443" t="b">
        <v>1</v>
      </c>
      <c r="J52" s="443" t="b">
        <v>1</v>
      </c>
      <c r="K52" s="443" t="b">
        <v>1</v>
      </c>
      <c r="L52" s="443" t="b">
        <v>1</v>
      </c>
      <c r="M52" s="443" t="b">
        <v>1</v>
      </c>
      <c r="N52" s="443" t="b">
        <v>1</v>
      </c>
      <c r="O52" s="443" t="b">
        <v>1</v>
      </c>
      <c r="P52" s="443" t="b">
        <v>1</v>
      </c>
      <c r="Q52" s="443" t="b">
        <v>1</v>
      </c>
      <c r="R52" s="443" t="b">
        <v>1</v>
      </c>
      <c r="S52" s="443" t="b">
        <v>1</v>
      </c>
      <c r="T52" s="443" t="b">
        <v>1</v>
      </c>
      <c r="U52" s="443" t="b">
        <v>1</v>
      </c>
      <c r="V52" s="444" t="b">
        <v>1</v>
      </c>
      <c r="W52" s="35"/>
      <c r="X52" s="180" t="s">
        <v>246</v>
      </c>
      <c r="Y52" s="359">
        <v>1.2706954449993432E-4</v>
      </c>
      <c r="Z52" s="359">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19"/>
      <c r="C53" s="440" t="s">
        <v>229</v>
      </c>
      <c r="D53" s="435" t="b">
        <v>1</v>
      </c>
      <c r="E53" s="436" t="b">
        <v>1</v>
      </c>
      <c r="F53" s="435" t="b">
        <v>1</v>
      </c>
      <c r="G53" s="443" t="b">
        <v>1</v>
      </c>
      <c r="H53" s="443" t="b">
        <v>1</v>
      </c>
      <c r="I53" s="443" t="b">
        <v>1</v>
      </c>
      <c r="J53" s="443" t="b">
        <v>1</v>
      </c>
      <c r="K53" s="443" t="b">
        <v>1</v>
      </c>
      <c r="L53" s="443" t="b">
        <v>1</v>
      </c>
      <c r="M53" s="443" t="b">
        <v>1</v>
      </c>
      <c r="N53" s="443" t="b">
        <v>1</v>
      </c>
      <c r="O53" s="443" t="b">
        <v>1</v>
      </c>
      <c r="P53" s="443" t="b">
        <v>1</v>
      </c>
      <c r="Q53" s="443" t="b">
        <v>1</v>
      </c>
      <c r="R53" s="443" t="b">
        <v>1</v>
      </c>
      <c r="S53" s="443" t="b">
        <v>1</v>
      </c>
      <c r="T53" s="443" t="b">
        <v>1</v>
      </c>
      <c r="U53" s="443" t="b">
        <v>1</v>
      </c>
      <c r="V53" s="444" t="b">
        <v>1</v>
      </c>
      <c r="W53" s="35"/>
      <c r="X53" s="180" t="s">
        <v>247</v>
      </c>
      <c r="Y53" s="359">
        <v>4.3552522745260029E-4</v>
      </c>
      <c r="Z53" s="359">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19"/>
      <c r="C54" s="434" t="s">
        <v>230</v>
      </c>
      <c r="D54" s="435" t="b">
        <v>0</v>
      </c>
      <c r="E54" s="436" t="b">
        <v>0</v>
      </c>
      <c r="F54" s="435" t="b">
        <v>0</v>
      </c>
      <c r="G54" s="443" t="b">
        <v>1</v>
      </c>
      <c r="H54" s="443" t="b">
        <v>1</v>
      </c>
      <c r="I54" s="443" t="b">
        <v>1</v>
      </c>
      <c r="J54" s="443" t="b">
        <v>1</v>
      </c>
      <c r="K54" s="443" t="b">
        <v>1</v>
      </c>
      <c r="L54" s="443" t="b">
        <v>1</v>
      </c>
      <c r="M54" s="443" t="b">
        <v>1</v>
      </c>
      <c r="N54" s="443" t="b">
        <v>1</v>
      </c>
      <c r="O54" s="443" t="b">
        <v>1</v>
      </c>
      <c r="P54" s="443" t="b">
        <v>1</v>
      </c>
      <c r="Q54" s="443" t="b">
        <v>1</v>
      </c>
      <c r="R54" s="443" t="b">
        <v>1</v>
      </c>
      <c r="S54" s="443" t="b">
        <v>1</v>
      </c>
      <c r="T54" s="443" t="b">
        <v>1</v>
      </c>
      <c r="U54" s="443" t="b">
        <v>1</v>
      </c>
      <c r="V54" s="444" t="b">
        <v>1</v>
      </c>
      <c r="W54" s="35"/>
      <c r="X54" s="180" t="s">
        <v>248</v>
      </c>
      <c r="Y54" s="359">
        <v>3.7217229024403897E-4</v>
      </c>
      <c r="Z54" s="359">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19"/>
      <c r="C55" s="440" t="s">
        <v>231</v>
      </c>
      <c r="D55" s="435" t="b">
        <v>1</v>
      </c>
      <c r="E55" s="436" t="b">
        <v>1</v>
      </c>
      <c r="F55" s="435" t="b">
        <v>1</v>
      </c>
      <c r="G55" s="443" t="b">
        <v>1</v>
      </c>
      <c r="H55" s="443" t="b">
        <v>1</v>
      </c>
      <c r="I55" s="443" t="b">
        <v>1</v>
      </c>
      <c r="J55" s="443" t="b">
        <v>1</v>
      </c>
      <c r="K55" s="443" t="b">
        <v>1</v>
      </c>
      <c r="L55" s="443" t="b">
        <v>1</v>
      </c>
      <c r="M55" s="443" t="b">
        <v>1</v>
      </c>
      <c r="N55" s="443" t="b">
        <v>1</v>
      </c>
      <c r="O55" s="443" t="b">
        <v>1</v>
      </c>
      <c r="P55" s="443" t="b">
        <v>1</v>
      </c>
      <c r="Q55" s="443" t="b">
        <v>1</v>
      </c>
      <c r="R55" s="443" t="b">
        <v>1</v>
      </c>
      <c r="S55" s="443" t="b">
        <v>1</v>
      </c>
      <c r="T55" s="443" t="b">
        <v>1</v>
      </c>
      <c r="U55" s="443" t="b">
        <v>1</v>
      </c>
      <c r="V55" s="444" t="b">
        <v>1</v>
      </c>
      <c r="W55" s="35"/>
      <c r="X55" s="180" t="s">
        <v>249</v>
      </c>
      <c r="Y55" s="359">
        <v>2.3421760822486782E-4</v>
      </c>
      <c r="Z55" s="359">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19"/>
      <c r="C56" s="434" t="s">
        <v>232</v>
      </c>
      <c r="D56" s="435" t="b">
        <v>0</v>
      </c>
      <c r="E56" s="436" t="b">
        <v>0</v>
      </c>
      <c r="F56" s="435" t="b">
        <v>0</v>
      </c>
      <c r="G56" s="443" t="b">
        <v>1</v>
      </c>
      <c r="H56" s="443" t="b">
        <v>1</v>
      </c>
      <c r="I56" s="443" t="b">
        <v>1</v>
      </c>
      <c r="J56" s="443" t="b">
        <v>1</v>
      </c>
      <c r="K56" s="443" t="b">
        <v>1</v>
      </c>
      <c r="L56" s="443" t="b">
        <v>1</v>
      </c>
      <c r="M56" s="443" t="b">
        <v>1</v>
      </c>
      <c r="N56" s="443" t="b">
        <v>1</v>
      </c>
      <c r="O56" s="443" t="b">
        <v>1</v>
      </c>
      <c r="P56" s="443" t="b">
        <v>1</v>
      </c>
      <c r="Q56" s="443" t="b">
        <v>1</v>
      </c>
      <c r="R56" s="443" t="b">
        <v>1</v>
      </c>
      <c r="S56" s="443" t="b">
        <v>1</v>
      </c>
      <c r="T56" s="443" t="b">
        <v>1</v>
      </c>
      <c r="U56" s="443" t="b">
        <v>1</v>
      </c>
      <c r="V56" s="444" t="b">
        <v>1</v>
      </c>
      <c r="W56" s="35"/>
      <c r="X56" s="180" t="s">
        <v>250</v>
      </c>
      <c r="Y56" s="359">
        <v>3.9218138779391148E-4</v>
      </c>
      <c r="Z56" s="359">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19"/>
      <c r="C57" s="434" t="s">
        <v>233</v>
      </c>
      <c r="D57" s="435" t="b">
        <v>0</v>
      </c>
      <c r="E57" s="436" t="b">
        <v>0</v>
      </c>
      <c r="F57" s="435" t="b">
        <v>0</v>
      </c>
      <c r="G57" s="443" t="b">
        <v>1</v>
      </c>
      <c r="H57" s="443" t="b">
        <v>1</v>
      </c>
      <c r="I57" s="443" t="b">
        <v>1</v>
      </c>
      <c r="J57" s="443" t="b">
        <v>1</v>
      </c>
      <c r="K57" s="443" t="b">
        <v>1</v>
      </c>
      <c r="L57" s="443" t="b">
        <v>1</v>
      </c>
      <c r="M57" s="443" t="b">
        <v>1</v>
      </c>
      <c r="N57" s="443" t="b">
        <v>1</v>
      </c>
      <c r="O57" s="443" t="b">
        <v>1</v>
      </c>
      <c r="P57" s="443" t="b">
        <v>1</v>
      </c>
      <c r="Q57" s="443" t="b">
        <v>1</v>
      </c>
      <c r="R57" s="443" t="b">
        <v>1</v>
      </c>
      <c r="S57" s="443" t="b">
        <v>1</v>
      </c>
      <c r="T57" s="443" t="b">
        <v>1</v>
      </c>
      <c r="U57" s="443" t="b">
        <v>1</v>
      </c>
      <c r="V57" s="444" t="b">
        <v>1</v>
      </c>
      <c r="W57" s="35"/>
      <c r="X57" s="180" t="s">
        <v>251</v>
      </c>
      <c r="Y57" s="359">
        <v>2.51710742463223E-4</v>
      </c>
      <c r="Z57" s="359">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19"/>
      <c r="C58" s="434" t="s">
        <v>234</v>
      </c>
      <c r="D58" s="435" t="b">
        <v>0</v>
      </c>
      <c r="E58" s="436" t="b">
        <v>0</v>
      </c>
      <c r="F58" s="435" t="b">
        <v>0</v>
      </c>
      <c r="G58" s="443" t="b">
        <v>1</v>
      </c>
      <c r="H58" s="443" t="b">
        <v>1</v>
      </c>
      <c r="I58" s="443" t="b">
        <v>1</v>
      </c>
      <c r="J58" s="443" t="b">
        <v>1</v>
      </c>
      <c r="K58" s="443" t="b">
        <v>1</v>
      </c>
      <c r="L58" s="443" t="b">
        <v>1</v>
      </c>
      <c r="M58" s="443" t="b">
        <v>1</v>
      </c>
      <c r="N58" s="443" t="b">
        <v>1</v>
      </c>
      <c r="O58" s="443" t="b">
        <v>1</v>
      </c>
      <c r="P58" s="443" t="b">
        <v>1</v>
      </c>
      <c r="Q58" s="443" t="b">
        <v>1</v>
      </c>
      <c r="R58" s="443" t="b">
        <v>1</v>
      </c>
      <c r="S58" s="443" t="b">
        <v>1</v>
      </c>
      <c r="T58" s="443" t="b">
        <v>1</v>
      </c>
      <c r="U58" s="443" t="b">
        <v>1</v>
      </c>
      <c r="V58" s="444" t="b">
        <v>1</v>
      </c>
      <c r="W58" s="35"/>
      <c r="X58" s="180" t="s">
        <v>252</v>
      </c>
      <c r="Y58" s="359">
        <v>4.9438144200333368E-4</v>
      </c>
      <c r="Z58" s="359">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19"/>
      <c r="C59" s="434" t="s">
        <v>235</v>
      </c>
      <c r="D59" s="435" t="b">
        <v>0</v>
      </c>
      <c r="E59" s="436" t="b">
        <v>0</v>
      </c>
      <c r="F59" s="435" t="b">
        <v>0</v>
      </c>
      <c r="G59" s="443" t="b">
        <v>1</v>
      </c>
      <c r="H59" s="443" t="b">
        <v>1</v>
      </c>
      <c r="I59" s="443" t="b">
        <v>1</v>
      </c>
      <c r="J59" s="443" t="b">
        <v>1</v>
      </c>
      <c r="K59" s="443" t="b">
        <v>1</v>
      </c>
      <c r="L59" s="443" t="b">
        <v>1</v>
      </c>
      <c r="M59" s="443" t="b">
        <v>1</v>
      </c>
      <c r="N59" s="443" t="b">
        <v>1</v>
      </c>
      <c r="O59" s="443" t="b">
        <v>1</v>
      </c>
      <c r="P59" s="443" t="b">
        <v>1</v>
      </c>
      <c r="Q59" s="443" t="b">
        <v>1</v>
      </c>
      <c r="R59" s="443" t="b">
        <v>1</v>
      </c>
      <c r="S59" s="443" t="b">
        <v>1</v>
      </c>
      <c r="T59" s="443" t="b">
        <v>1</v>
      </c>
      <c r="U59" s="443" t="b">
        <v>1</v>
      </c>
      <c r="V59" s="444" t="b">
        <v>1</v>
      </c>
      <c r="W59" s="35"/>
      <c r="X59" s="180" t="s">
        <v>253</v>
      </c>
      <c r="Y59" s="359">
        <v>7.6676322767228755E-4</v>
      </c>
      <c r="Z59" s="359">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19"/>
      <c r="C60" s="434" t="s">
        <v>236</v>
      </c>
      <c r="D60" s="435" t="b">
        <v>0</v>
      </c>
      <c r="E60" s="436" t="b">
        <v>0</v>
      </c>
      <c r="F60" s="435" t="b">
        <v>0</v>
      </c>
      <c r="G60" s="443" t="b">
        <v>1</v>
      </c>
      <c r="H60" s="443" t="b">
        <v>1</v>
      </c>
      <c r="I60" s="443" t="b">
        <v>1</v>
      </c>
      <c r="J60" s="443" t="b">
        <v>1</v>
      </c>
      <c r="K60" s="443" t="b">
        <v>1</v>
      </c>
      <c r="L60" s="443" t="b">
        <v>1</v>
      </c>
      <c r="M60" s="443" t="b">
        <v>1</v>
      </c>
      <c r="N60" s="443" t="b">
        <v>1</v>
      </c>
      <c r="O60" s="443" t="b">
        <v>1</v>
      </c>
      <c r="P60" s="443" t="b">
        <v>1</v>
      </c>
      <c r="Q60" s="443" t="b">
        <v>1</v>
      </c>
      <c r="R60" s="443" t="b">
        <v>1</v>
      </c>
      <c r="S60" s="443" t="b">
        <v>1</v>
      </c>
      <c r="T60" s="443" t="b">
        <v>1</v>
      </c>
      <c r="U60" s="443" t="b">
        <v>1</v>
      </c>
      <c r="V60" s="444" t="b">
        <v>1</v>
      </c>
      <c r="W60" s="35"/>
      <c r="X60" s="180" t="s">
        <v>255</v>
      </c>
      <c r="Y60" s="359">
        <v>3.3864707385370345E-4</v>
      </c>
      <c r="Z60" s="359">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19"/>
      <c r="C61" s="434" t="s">
        <v>237</v>
      </c>
      <c r="D61" s="435" t="b">
        <v>0</v>
      </c>
      <c r="E61" s="436" t="b">
        <v>0</v>
      </c>
      <c r="F61" s="435" t="b">
        <v>0</v>
      </c>
      <c r="G61" s="443" t="b">
        <v>1</v>
      </c>
      <c r="H61" s="443" t="b">
        <v>1</v>
      </c>
      <c r="I61" s="443" t="b">
        <v>1</v>
      </c>
      <c r="J61" s="443" t="b">
        <v>1</v>
      </c>
      <c r="K61" s="443" t="b">
        <v>1</v>
      </c>
      <c r="L61" s="443" t="b">
        <v>1</v>
      </c>
      <c r="M61" s="443" t="b">
        <v>1</v>
      </c>
      <c r="N61" s="443" t="b">
        <v>1</v>
      </c>
      <c r="O61" s="443" t="b">
        <v>1</v>
      </c>
      <c r="P61" s="443" t="b">
        <v>1</v>
      </c>
      <c r="Q61" s="443" t="b">
        <v>1</v>
      </c>
      <c r="R61" s="443" t="b">
        <v>1</v>
      </c>
      <c r="S61" s="443" t="b">
        <v>1</v>
      </c>
      <c r="T61" s="443" t="b">
        <v>1</v>
      </c>
      <c r="U61" s="443" t="b">
        <v>1</v>
      </c>
      <c r="V61" s="444" t="b">
        <v>1</v>
      </c>
      <c r="W61" s="35"/>
      <c r="X61" s="180" t="s">
        <v>254</v>
      </c>
      <c r="Y61" s="359">
        <v>0</v>
      </c>
      <c r="Z61" s="359">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19"/>
      <c r="C62" s="434" t="s">
        <v>238</v>
      </c>
      <c r="D62" s="435" t="b">
        <v>0</v>
      </c>
      <c r="E62" s="436" t="b">
        <v>0</v>
      </c>
      <c r="F62" s="435" t="b">
        <v>0</v>
      </c>
      <c r="G62" s="443" t="b">
        <v>1</v>
      </c>
      <c r="H62" s="443" t="b">
        <v>1</v>
      </c>
      <c r="I62" s="443" t="b">
        <v>1</v>
      </c>
      <c r="J62" s="443" t="b">
        <v>1</v>
      </c>
      <c r="K62" s="443" t="b">
        <v>1</v>
      </c>
      <c r="L62" s="443" t="b">
        <v>1</v>
      </c>
      <c r="M62" s="443" t="b">
        <v>1</v>
      </c>
      <c r="N62" s="443" t="b">
        <v>1</v>
      </c>
      <c r="O62" s="443" t="b">
        <v>1</v>
      </c>
      <c r="P62" s="443" t="b">
        <v>1</v>
      </c>
      <c r="Q62" s="443" t="b">
        <v>1</v>
      </c>
      <c r="R62" s="443" t="b">
        <v>1</v>
      </c>
      <c r="S62" s="443" t="b">
        <v>1</v>
      </c>
      <c r="T62" s="443" t="b">
        <v>1</v>
      </c>
      <c r="U62" s="443" t="b">
        <v>1</v>
      </c>
      <c r="V62" s="444" t="b">
        <v>1</v>
      </c>
      <c r="W62" s="35"/>
      <c r="X62" s="180" t="s">
        <v>256</v>
      </c>
      <c r="Y62" s="359">
        <v>2.2923348213669437E-5</v>
      </c>
      <c r="Z62" s="359">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19"/>
      <c r="C63" s="440" t="s">
        <v>239</v>
      </c>
      <c r="D63" s="435" t="b">
        <v>1</v>
      </c>
      <c r="E63" s="436" t="b">
        <v>1</v>
      </c>
      <c r="F63" s="435" t="b">
        <v>1</v>
      </c>
      <c r="G63" s="443" t="b">
        <v>1</v>
      </c>
      <c r="H63" s="443" t="b">
        <v>1</v>
      </c>
      <c r="I63" s="443" t="b">
        <v>1</v>
      </c>
      <c r="J63" s="443" t="b">
        <v>1</v>
      </c>
      <c r="K63" s="443" t="b">
        <v>1</v>
      </c>
      <c r="L63" s="443" t="b">
        <v>1</v>
      </c>
      <c r="M63" s="443" t="b">
        <v>1</v>
      </c>
      <c r="N63" s="443" t="b">
        <v>1</v>
      </c>
      <c r="O63" s="443" t="b">
        <v>1</v>
      </c>
      <c r="P63" s="443" t="b">
        <v>1</v>
      </c>
      <c r="Q63" s="443" t="b">
        <v>1</v>
      </c>
      <c r="R63" s="443" t="b">
        <v>1</v>
      </c>
      <c r="S63" s="443" t="b">
        <v>1</v>
      </c>
      <c r="T63" s="443" t="b">
        <v>1</v>
      </c>
      <c r="U63" s="443" t="b">
        <v>1</v>
      </c>
      <c r="V63" s="444" t="b">
        <v>1</v>
      </c>
      <c r="W63" s="35"/>
      <c r="X63" s="180" t="s">
        <v>258</v>
      </c>
      <c r="Y63" s="359">
        <v>5.8465338475716154E-4</v>
      </c>
      <c r="Z63" s="359">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19"/>
      <c r="C64" s="440" t="s">
        <v>240</v>
      </c>
      <c r="D64" s="435" t="b">
        <v>1</v>
      </c>
      <c r="E64" s="436" t="b">
        <v>1</v>
      </c>
      <c r="F64" s="435" t="b">
        <v>1</v>
      </c>
      <c r="G64" s="443" t="b">
        <v>1</v>
      </c>
      <c r="H64" s="443" t="b">
        <v>1</v>
      </c>
      <c r="I64" s="443" t="b">
        <v>1</v>
      </c>
      <c r="J64" s="443" t="b">
        <v>1</v>
      </c>
      <c r="K64" s="443" t="b">
        <v>1</v>
      </c>
      <c r="L64" s="443" t="b">
        <v>1</v>
      </c>
      <c r="M64" s="443" t="b">
        <v>1</v>
      </c>
      <c r="N64" s="443" t="b">
        <v>1</v>
      </c>
      <c r="O64" s="443" t="b">
        <v>1</v>
      </c>
      <c r="P64" s="443" t="b">
        <v>1</v>
      </c>
      <c r="Q64" s="443" t="b">
        <v>1</v>
      </c>
      <c r="R64" s="443" t="b">
        <v>1</v>
      </c>
      <c r="S64" s="443" t="b">
        <v>1</v>
      </c>
      <c r="T64" s="443" t="b">
        <v>1</v>
      </c>
      <c r="U64" s="443" t="b">
        <v>1</v>
      </c>
      <c r="V64" s="444" t="b">
        <v>1</v>
      </c>
      <c r="W64" s="35"/>
      <c r="X64" s="180" t="s">
        <v>257</v>
      </c>
      <c r="Y64" s="359">
        <v>8.3039048317398809E-4</v>
      </c>
      <c r="Z64" s="359">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19"/>
      <c r="C65" s="440" t="s">
        <v>241</v>
      </c>
      <c r="D65" s="435" t="b">
        <v>1</v>
      </c>
      <c r="E65" s="436" t="b">
        <v>1</v>
      </c>
      <c r="F65" s="435" t="b">
        <v>1</v>
      </c>
      <c r="G65" s="443" t="b">
        <v>1</v>
      </c>
      <c r="H65" s="443" t="b">
        <v>1</v>
      </c>
      <c r="I65" s="443" t="b">
        <v>1</v>
      </c>
      <c r="J65" s="443" t="b">
        <v>1</v>
      </c>
      <c r="K65" s="443" t="b">
        <v>1</v>
      </c>
      <c r="L65" s="443" t="b">
        <v>1</v>
      </c>
      <c r="M65" s="443" t="b">
        <v>1</v>
      </c>
      <c r="N65" s="443" t="b">
        <v>1</v>
      </c>
      <c r="O65" s="443" t="b">
        <v>1</v>
      </c>
      <c r="P65" s="443" t="b">
        <v>1</v>
      </c>
      <c r="Q65" s="443" t="b">
        <v>1</v>
      </c>
      <c r="R65" s="443" t="b">
        <v>1</v>
      </c>
      <c r="S65" s="443" t="b">
        <v>1</v>
      </c>
      <c r="T65" s="443" t="b">
        <v>1</v>
      </c>
      <c r="U65" s="443" t="b">
        <v>1</v>
      </c>
      <c r="V65" s="444" t="b">
        <v>1</v>
      </c>
      <c r="W65" s="35"/>
      <c r="X65" s="180" t="s">
        <v>259</v>
      </c>
      <c r="Y65" s="359">
        <v>7.5840059121394163E-4</v>
      </c>
      <c r="Z65" s="359">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19"/>
      <c r="C66" s="440" t="s">
        <v>242</v>
      </c>
      <c r="D66" s="435" t="b">
        <v>1</v>
      </c>
      <c r="E66" s="436" t="b">
        <v>1</v>
      </c>
      <c r="F66" s="435" t="b">
        <v>1</v>
      </c>
      <c r="G66" s="443" t="b">
        <v>1</v>
      </c>
      <c r="H66" s="443" t="b">
        <v>1</v>
      </c>
      <c r="I66" s="443" t="b">
        <v>1</v>
      </c>
      <c r="J66" s="443" t="b">
        <v>1</v>
      </c>
      <c r="K66" s="443" t="b">
        <v>1</v>
      </c>
      <c r="L66" s="443" t="b">
        <v>1</v>
      </c>
      <c r="M66" s="443" t="b">
        <v>1</v>
      </c>
      <c r="N66" s="443" t="b">
        <v>1</v>
      </c>
      <c r="O66" s="443" t="b">
        <v>1</v>
      </c>
      <c r="P66" s="443" t="b">
        <v>1</v>
      </c>
      <c r="Q66" s="443" t="b">
        <v>1</v>
      </c>
      <c r="R66" s="443" t="b">
        <v>1</v>
      </c>
      <c r="S66" s="443" t="b">
        <v>1</v>
      </c>
      <c r="T66" s="443" t="b">
        <v>1</v>
      </c>
      <c r="U66" s="443" t="b">
        <v>1</v>
      </c>
      <c r="V66" s="444"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19"/>
      <c r="C67" s="440" t="s">
        <v>243</v>
      </c>
      <c r="D67" s="435" t="b">
        <v>1</v>
      </c>
      <c r="E67" s="436" t="b">
        <v>1</v>
      </c>
      <c r="F67" s="435" t="b">
        <v>1</v>
      </c>
      <c r="G67" s="443" t="b">
        <v>1</v>
      </c>
      <c r="H67" s="443" t="b">
        <v>1</v>
      </c>
      <c r="I67" s="443" t="b">
        <v>1</v>
      </c>
      <c r="J67" s="443" t="b">
        <v>1</v>
      </c>
      <c r="K67" s="443" t="b">
        <v>1</v>
      </c>
      <c r="L67" s="443" t="b">
        <v>1</v>
      </c>
      <c r="M67" s="443" t="b">
        <v>1</v>
      </c>
      <c r="N67" s="443" t="b">
        <v>1</v>
      </c>
      <c r="O67" s="443" t="b">
        <v>1</v>
      </c>
      <c r="P67" s="443" t="b">
        <v>1</v>
      </c>
      <c r="Q67" s="443" t="b">
        <v>1</v>
      </c>
      <c r="R67" s="443" t="b">
        <v>1</v>
      </c>
      <c r="S67" s="443" t="b">
        <v>1</v>
      </c>
      <c r="T67" s="443" t="b">
        <v>1</v>
      </c>
      <c r="U67" s="443" t="b">
        <v>1</v>
      </c>
      <c r="V67" s="444"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124"/>
      <c r="C68" s="440" t="s">
        <v>244</v>
      </c>
      <c r="D68" s="435" t="b">
        <v>1</v>
      </c>
      <c r="E68" s="436" t="b">
        <v>1</v>
      </c>
      <c r="F68" s="435" t="b">
        <v>1</v>
      </c>
      <c r="G68" s="443" t="b">
        <v>1</v>
      </c>
      <c r="H68" s="443" t="b">
        <v>1</v>
      </c>
      <c r="I68" s="443" t="b">
        <v>1</v>
      </c>
      <c r="J68" s="443" t="b">
        <v>1</v>
      </c>
      <c r="K68" s="443" t="b">
        <v>1</v>
      </c>
      <c r="L68" s="443" t="b">
        <v>1</v>
      </c>
      <c r="M68" s="443" t="b">
        <v>1</v>
      </c>
      <c r="N68" s="443" t="b">
        <v>1</v>
      </c>
      <c r="O68" s="443" t="b">
        <v>1</v>
      </c>
      <c r="P68" s="443" t="b">
        <v>1</v>
      </c>
      <c r="Q68" s="443" t="b">
        <v>1</v>
      </c>
      <c r="R68" s="443" t="b">
        <v>1</v>
      </c>
      <c r="S68" s="443" t="b">
        <v>1</v>
      </c>
      <c r="T68" s="443" t="b">
        <v>1</v>
      </c>
      <c r="U68" s="443" t="b">
        <v>1</v>
      </c>
      <c r="V68" s="444"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7"/>
      <c r="C69" s="434" t="s">
        <v>245</v>
      </c>
      <c r="D69" s="435" t="b">
        <v>0</v>
      </c>
      <c r="E69" s="436" t="b">
        <v>0</v>
      </c>
      <c r="F69" s="435" t="b">
        <v>0</v>
      </c>
      <c r="G69" s="443" t="b">
        <v>1</v>
      </c>
      <c r="H69" s="443" t="b">
        <v>1</v>
      </c>
      <c r="I69" s="443" t="b">
        <v>1</v>
      </c>
      <c r="J69" s="443" t="b">
        <v>1</v>
      </c>
      <c r="K69" s="443" t="b">
        <v>1</v>
      </c>
      <c r="L69" s="443" t="b">
        <v>1</v>
      </c>
      <c r="M69" s="443" t="b">
        <v>1</v>
      </c>
      <c r="N69" s="443" t="b">
        <v>1</v>
      </c>
      <c r="O69" s="443" t="b">
        <v>1</v>
      </c>
      <c r="P69" s="443" t="b">
        <v>1</v>
      </c>
      <c r="Q69" s="443" t="b">
        <v>1</v>
      </c>
      <c r="R69" s="443" t="b">
        <v>1</v>
      </c>
      <c r="S69" s="443" t="b">
        <v>1</v>
      </c>
      <c r="T69" s="443" t="b">
        <v>1</v>
      </c>
      <c r="U69" s="443" t="b">
        <v>1</v>
      </c>
      <c r="V69" s="444"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7"/>
      <c r="C70" s="440" t="s">
        <v>246</v>
      </c>
      <c r="D70" s="445" t="b">
        <v>1</v>
      </c>
      <c r="E70" s="443" t="b">
        <v>1</v>
      </c>
      <c r="F70" s="446" t="b">
        <v>1</v>
      </c>
      <c r="G70" s="443" t="b">
        <v>1</v>
      </c>
      <c r="H70" s="443" t="b">
        <v>1</v>
      </c>
      <c r="I70" s="443" t="b">
        <v>1</v>
      </c>
      <c r="J70" s="443" t="b">
        <v>1</v>
      </c>
      <c r="K70" s="443" t="b">
        <v>1</v>
      </c>
      <c r="L70" s="443" t="b">
        <v>1</v>
      </c>
      <c r="M70" s="443" t="b">
        <v>1</v>
      </c>
      <c r="N70" s="443" t="b">
        <v>1</v>
      </c>
      <c r="O70" s="443" t="b">
        <v>1</v>
      </c>
      <c r="P70" s="443" t="b">
        <v>1</v>
      </c>
      <c r="Q70" s="443" t="b">
        <v>1</v>
      </c>
      <c r="R70" s="443" t="b">
        <v>1</v>
      </c>
      <c r="S70" s="443" t="b">
        <v>1</v>
      </c>
      <c r="T70" s="443" t="b">
        <v>1</v>
      </c>
      <c r="U70" s="443" t="b">
        <v>1</v>
      </c>
      <c r="V70" s="444"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7"/>
      <c r="C71" s="440" t="s">
        <v>247</v>
      </c>
      <c r="D71" s="443" t="b">
        <v>1</v>
      </c>
      <c r="E71" s="443" t="b">
        <v>1</v>
      </c>
      <c r="F71" s="443" t="b">
        <v>1</v>
      </c>
      <c r="G71" s="443" t="b">
        <v>1</v>
      </c>
      <c r="H71" s="443" t="b">
        <v>1</v>
      </c>
      <c r="I71" s="443" t="b">
        <v>1</v>
      </c>
      <c r="J71" s="443" t="b">
        <v>1</v>
      </c>
      <c r="K71" s="443" t="b">
        <v>1</v>
      </c>
      <c r="L71" s="443" t="b">
        <v>1</v>
      </c>
      <c r="M71" s="443" t="b">
        <v>1</v>
      </c>
      <c r="N71" s="443" t="b">
        <v>1</v>
      </c>
      <c r="O71" s="443" t="b">
        <v>1</v>
      </c>
      <c r="P71" s="443" t="b">
        <v>1</v>
      </c>
      <c r="Q71" s="443" t="b">
        <v>1</v>
      </c>
      <c r="R71" s="443" t="b">
        <v>1</v>
      </c>
      <c r="S71" s="443" t="b">
        <v>1</v>
      </c>
      <c r="T71" s="443" t="b">
        <v>1</v>
      </c>
      <c r="U71" s="443" t="b">
        <v>1</v>
      </c>
      <c r="V71" s="444"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7"/>
      <c r="C72" s="440" t="s">
        <v>248</v>
      </c>
      <c r="D72" s="443" t="b">
        <v>1</v>
      </c>
      <c r="E72" s="443" t="b">
        <v>1</v>
      </c>
      <c r="F72" s="443" t="b">
        <v>1</v>
      </c>
      <c r="G72" s="443" t="b">
        <v>1</v>
      </c>
      <c r="H72" s="443" t="b">
        <v>1</v>
      </c>
      <c r="I72" s="443" t="b">
        <v>1</v>
      </c>
      <c r="J72" s="443" t="b">
        <v>1</v>
      </c>
      <c r="K72" s="443" t="b">
        <v>1</v>
      </c>
      <c r="L72" s="443" t="b">
        <v>1</v>
      </c>
      <c r="M72" s="443" t="b">
        <v>1</v>
      </c>
      <c r="N72" s="443" t="b">
        <v>1</v>
      </c>
      <c r="O72" s="443" t="b">
        <v>1</v>
      </c>
      <c r="P72" s="443" t="b">
        <v>1</v>
      </c>
      <c r="Q72" s="443" t="b">
        <v>1</v>
      </c>
      <c r="R72" s="443" t="b">
        <v>1</v>
      </c>
      <c r="S72" s="443" t="b">
        <v>1</v>
      </c>
      <c r="T72" s="443" t="b">
        <v>1</v>
      </c>
      <c r="U72" s="443" t="b">
        <v>1</v>
      </c>
      <c r="V72" s="444"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7"/>
      <c r="C73" s="434" t="s">
        <v>249</v>
      </c>
      <c r="D73" s="443" t="b">
        <v>0</v>
      </c>
      <c r="E73" s="443" t="b">
        <v>0</v>
      </c>
      <c r="F73" s="443" t="b">
        <v>0</v>
      </c>
      <c r="G73" s="443" t="b">
        <v>1</v>
      </c>
      <c r="H73" s="443" t="b">
        <v>1</v>
      </c>
      <c r="I73" s="443" t="b">
        <v>1</v>
      </c>
      <c r="J73" s="443" t="b">
        <v>1</v>
      </c>
      <c r="K73" s="443" t="b">
        <v>1</v>
      </c>
      <c r="L73" s="443" t="b">
        <v>1</v>
      </c>
      <c r="M73" s="443" t="b">
        <v>1</v>
      </c>
      <c r="N73" s="443" t="b">
        <v>1</v>
      </c>
      <c r="O73" s="443" t="b">
        <v>1</v>
      </c>
      <c r="P73" s="443" t="b">
        <v>1</v>
      </c>
      <c r="Q73" s="443" t="b">
        <v>1</v>
      </c>
      <c r="R73" s="443" t="b">
        <v>1</v>
      </c>
      <c r="S73" s="443" t="b">
        <v>1</v>
      </c>
      <c r="T73" s="443" t="b">
        <v>1</v>
      </c>
      <c r="U73" s="443" t="b">
        <v>1</v>
      </c>
      <c r="V73" s="444"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7"/>
      <c r="C74" s="434" t="s">
        <v>250</v>
      </c>
      <c r="D74" s="443" t="b">
        <v>0</v>
      </c>
      <c r="E74" s="443" t="b">
        <v>0</v>
      </c>
      <c r="F74" s="443" t="b">
        <v>0</v>
      </c>
      <c r="G74" s="443" t="b">
        <v>1</v>
      </c>
      <c r="H74" s="443" t="b">
        <v>1</v>
      </c>
      <c r="I74" s="443" t="b">
        <v>1</v>
      </c>
      <c r="J74" s="443" t="b">
        <v>1</v>
      </c>
      <c r="K74" s="443" t="b">
        <v>1</v>
      </c>
      <c r="L74" s="443" t="b">
        <v>1</v>
      </c>
      <c r="M74" s="443" t="b">
        <v>1</v>
      </c>
      <c r="N74" s="443" t="b">
        <v>1</v>
      </c>
      <c r="O74" s="443" t="b">
        <v>1</v>
      </c>
      <c r="P74" s="443" t="b">
        <v>1</v>
      </c>
      <c r="Q74" s="443" t="b">
        <v>1</v>
      </c>
      <c r="R74" s="443" t="b">
        <v>1</v>
      </c>
      <c r="S74" s="443" t="b">
        <v>1</v>
      </c>
      <c r="T74" s="443" t="b">
        <v>1</v>
      </c>
      <c r="U74" s="443" t="b">
        <v>1</v>
      </c>
      <c r="V74" s="444"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7"/>
      <c r="C75" s="434" t="s">
        <v>251</v>
      </c>
      <c r="D75" s="443" t="b">
        <v>0</v>
      </c>
      <c r="E75" s="443" t="b">
        <v>0</v>
      </c>
      <c r="F75" s="443" t="b">
        <v>0</v>
      </c>
      <c r="G75" s="443" t="b">
        <v>1</v>
      </c>
      <c r="H75" s="443" t="b">
        <v>1</v>
      </c>
      <c r="I75" s="443" t="b">
        <v>1</v>
      </c>
      <c r="J75" s="443" t="b">
        <v>1</v>
      </c>
      <c r="K75" s="443" t="b">
        <v>1</v>
      </c>
      <c r="L75" s="443" t="b">
        <v>1</v>
      </c>
      <c r="M75" s="443" t="b">
        <v>1</v>
      </c>
      <c r="N75" s="443" t="b">
        <v>1</v>
      </c>
      <c r="O75" s="443" t="b">
        <v>1</v>
      </c>
      <c r="P75" s="443" t="b">
        <v>1</v>
      </c>
      <c r="Q75" s="443" t="b">
        <v>1</v>
      </c>
      <c r="R75" s="443" t="b">
        <v>1</v>
      </c>
      <c r="S75" s="443" t="b">
        <v>1</v>
      </c>
      <c r="T75" s="443" t="b">
        <v>1</v>
      </c>
      <c r="U75" s="443" t="b">
        <v>1</v>
      </c>
      <c r="V75" s="444"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7"/>
      <c r="C76" s="440" t="s">
        <v>252</v>
      </c>
      <c r="D76" s="443" t="b">
        <v>1</v>
      </c>
      <c r="E76" s="443" t="b">
        <v>1</v>
      </c>
      <c r="F76" s="443" t="b">
        <v>1</v>
      </c>
      <c r="G76" s="443" t="b">
        <v>1</v>
      </c>
      <c r="H76" s="443" t="b">
        <v>1</v>
      </c>
      <c r="I76" s="443" t="b">
        <v>1</v>
      </c>
      <c r="J76" s="443" t="b">
        <v>1</v>
      </c>
      <c r="K76" s="443" t="b">
        <v>1</v>
      </c>
      <c r="L76" s="443" t="b">
        <v>1</v>
      </c>
      <c r="M76" s="443" t="b">
        <v>1</v>
      </c>
      <c r="N76" s="443" t="b">
        <v>1</v>
      </c>
      <c r="O76" s="443" t="b">
        <v>1</v>
      </c>
      <c r="P76" s="443" t="b">
        <v>1</v>
      </c>
      <c r="Q76" s="443" t="b">
        <v>1</v>
      </c>
      <c r="R76" s="443" t="b">
        <v>1</v>
      </c>
      <c r="S76" s="443" t="b">
        <v>1</v>
      </c>
      <c r="T76" s="443" t="b">
        <v>1</v>
      </c>
      <c r="U76" s="443" t="b">
        <v>1</v>
      </c>
      <c r="V76" s="444"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440" t="s">
        <v>253</v>
      </c>
      <c r="D77" s="443" t="b">
        <v>1</v>
      </c>
      <c r="E77" s="443" t="b">
        <v>1</v>
      </c>
      <c r="F77" s="443" t="b">
        <v>1</v>
      </c>
      <c r="G77" s="443" t="b">
        <v>1</v>
      </c>
      <c r="H77" s="443" t="b">
        <v>1</v>
      </c>
      <c r="I77" s="443" t="b">
        <v>1</v>
      </c>
      <c r="J77" s="443" t="b">
        <v>1</v>
      </c>
      <c r="K77" s="443" t="b">
        <v>1</v>
      </c>
      <c r="L77" s="443" t="b">
        <v>1</v>
      </c>
      <c r="M77" s="443" t="b">
        <v>1</v>
      </c>
      <c r="N77" s="443" t="b">
        <v>1</v>
      </c>
      <c r="O77" s="443" t="b">
        <v>1</v>
      </c>
      <c r="P77" s="443" t="b">
        <v>1</v>
      </c>
      <c r="Q77" s="443" t="b">
        <v>1</v>
      </c>
      <c r="R77" s="443" t="b">
        <v>1</v>
      </c>
      <c r="S77" s="443" t="b">
        <v>1</v>
      </c>
      <c r="T77" s="443" t="b">
        <v>1</v>
      </c>
      <c r="U77" s="443" t="b">
        <v>1</v>
      </c>
      <c r="V77" s="444"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434" t="s">
        <v>254</v>
      </c>
      <c r="D78" s="443" t="b">
        <v>0</v>
      </c>
      <c r="E78" s="443" t="b">
        <v>0</v>
      </c>
      <c r="F78" s="443" t="b">
        <v>0</v>
      </c>
      <c r="G78" s="443" t="b">
        <v>1</v>
      </c>
      <c r="H78" s="443" t="b">
        <v>1</v>
      </c>
      <c r="I78" s="443" t="b">
        <v>1</v>
      </c>
      <c r="J78" s="443" t="b">
        <v>1</v>
      </c>
      <c r="K78" s="443" t="b">
        <v>1</v>
      </c>
      <c r="L78" s="443" t="b">
        <v>1</v>
      </c>
      <c r="M78" s="443" t="b">
        <v>1</v>
      </c>
      <c r="N78" s="443" t="b">
        <v>1</v>
      </c>
      <c r="O78" s="443" t="b">
        <v>1</v>
      </c>
      <c r="P78" s="443" t="b">
        <v>1</v>
      </c>
      <c r="Q78" s="443" t="b">
        <v>1</v>
      </c>
      <c r="R78" s="443" t="b">
        <v>1</v>
      </c>
      <c r="S78" s="443" t="b">
        <v>1</v>
      </c>
      <c r="T78" s="443" t="b">
        <v>1</v>
      </c>
      <c r="U78" s="443" t="b">
        <v>1</v>
      </c>
      <c r="V78" s="444"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440" t="s">
        <v>255</v>
      </c>
      <c r="D79" s="443" t="b">
        <v>1</v>
      </c>
      <c r="E79" s="443" t="b">
        <v>1</v>
      </c>
      <c r="F79" s="443" t="b">
        <v>1</v>
      </c>
      <c r="G79" s="443" t="b">
        <v>1</v>
      </c>
      <c r="H79" s="443" t="b">
        <v>1</v>
      </c>
      <c r="I79" s="443" t="b">
        <v>1</v>
      </c>
      <c r="J79" s="443" t="b">
        <v>1</v>
      </c>
      <c r="K79" s="443" t="b">
        <v>1</v>
      </c>
      <c r="L79" s="443" t="b">
        <v>1</v>
      </c>
      <c r="M79" s="443" t="b">
        <v>1</v>
      </c>
      <c r="N79" s="443" t="b">
        <v>1</v>
      </c>
      <c r="O79" s="443" t="b">
        <v>1</v>
      </c>
      <c r="P79" s="443" t="b">
        <v>1</v>
      </c>
      <c r="Q79" s="443" t="b">
        <v>1</v>
      </c>
      <c r="R79" s="443" t="b">
        <v>1</v>
      </c>
      <c r="S79" s="443" t="b">
        <v>1</v>
      </c>
      <c r="T79" s="443" t="b">
        <v>1</v>
      </c>
      <c r="U79" s="443" t="b">
        <v>1</v>
      </c>
      <c r="V79" s="444"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434" t="s">
        <v>256</v>
      </c>
      <c r="D80" s="443" t="b">
        <v>0</v>
      </c>
      <c r="E80" s="443" t="b">
        <v>0</v>
      </c>
      <c r="F80" s="443" t="b">
        <v>0</v>
      </c>
      <c r="G80" s="443" t="b">
        <v>1</v>
      </c>
      <c r="H80" s="443" t="b">
        <v>1</v>
      </c>
      <c r="I80" s="443" t="b">
        <v>1</v>
      </c>
      <c r="J80" s="443" t="b">
        <v>1</v>
      </c>
      <c r="K80" s="443" t="b">
        <v>1</v>
      </c>
      <c r="L80" s="443" t="b">
        <v>1</v>
      </c>
      <c r="M80" s="443" t="b">
        <v>1</v>
      </c>
      <c r="N80" s="443" t="b">
        <v>1</v>
      </c>
      <c r="O80" s="443" t="b">
        <v>1</v>
      </c>
      <c r="P80" s="443" t="b">
        <v>1</v>
      </c>
      <c r="Q80" s="443" t="b">
        <v>1</v>
      </c>
      <c r="R80" s="443" t="b">
        <v>1</v>
      </c>
      <c r="S80" s="443" t="b">
        <v>1</v>
      </c>
      <c r="T80" s="443" t="b">
        <v>1</v>
      </c>
      <c r="U80" s="443" t="b">
        <v>1</v>
      </c>
      <c r="V80" s="444"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434" t="s">
        <v>257</v>
      </c>
      <c r="D81" s="443" t="b">
        <v>0</v>
      </c>
      <c r="E81" s="443" t="b">
        <v>0</v>
      </c>
      <c r="F81" s="443" t="b">
        <v>0</v>
      </c>
      <c r="G81" s="443" t="b">
        <v>1</v>
      </c>
      <c r="H81" s="443" t="b">
        <v>1</v>
      </c>
      <c r="I81" s="443" t="b">
        <v>1</v>
      </c>
      <c r="J81" s="443" t="b">
        <v>1</v>
      </c>
      <c r="K81" s="443" t="b">
        <v>1</v>
      </c>
      <c r="L81" s="443" t="b">
        <v>1</v>
      </c>
      <c r="M81" s="443" t="b">
        <v>1</v>
      </c>
      <c r="N81" s="443" t="b">
        <v>1</v>
      </c>
      <c r="O81" s="443" t="b">
        <v>1</v>
      </c>
      <c r="P81" s="443" t="b">
        <v>1</v>
      </c>
      <c r="Q81" s="443" t="b">
        <v>1</v>
      </c>
      <c r="R81" s="443" t="b">
        <v>1</v>
      </c>
      <c r="S81" s="443" t="b">
        <v>1</v>
      </c>
      <c r="T81" s="443" t="b">
        <v>1</v>
      </c>
      <c r="U81" s="443" t="b">
        <v>1</v>
      </c>
      <c r="V81" s="444"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434" t="s">
        <v>258</v>
      </c>
      <c r="D82" s="443" t="b">
        <v>0</v>
      </c>
      <c r="E82" s="443" t="b">
        <v>0</v>
      </c>
      <c r="F82" s="443" t="b">
        <v>0</v>
      </c>
      <c r="G82" s="443" t="b">
        <v>1</v>
      </c>
      <c r="H82" s="443" t="b">
        <v>1</v>
      </c>
      <c r="I82" s="443" t="b">
        <v>1</v>
      </c>
      <c r="J82" s="443" t="b">
        <v>1</v>
      </c>
      <c r="K82" s="443" t="b">
        <v>1</v>
      </c>
      <c r="L82" s="443" t="b">
        <v>1</v>
      </c>
      <c r="M82" s="443" t="b">
        <v>1</v>
      </c>
      <c r="N82" s="443" t="b">
        <v>1</v>
      </c>
      <c r="O82" s="443" t="b">
        <v>1</v>
      </c>
      <c r="P82" s="443" t="b">
        <v>1</v>
      </c>
      <c r="Q82" s="443" t="b">
        <v>1</v>
      </c>
      <c r="R82" s="443" t="b">
        <v>1</v>
      </c>
      <c r="S82" s="443" t="b">
        <v>1</v>
      </c>
      <c r="T82" s="443" t="b">
        <v>1</v>
      </c>
      <c r="U82" s="443" t="b">
        <v>1</v>
      </c>
      <c r="V82" s="444"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35"/>
      <c r="C83" s="447" t="s">
        <v>259</v>
      </c>
      <c r="D83" s="448" t="b">
        <v>0</v>
      </c>
      <c r="E83" s="448" t="b">
        <v>0</v>
      </c>
      <c r="F83" s="448" t="b">
        <v>0</v>
      </c>
      <c r="G83" s="448" t="b">
        <v>1</v>
      </c>
      <c r="H83" s="448" t="b">
        <v>1</v>
      </c>
      <c r="I83" s="448" t="b">
        <v>1</v>
      </c>
      <c r="J83" s="448" t="b">
        <v>1</v>
      </c>
      <c r="K83" s="448" t="b">
        <v>1</v>
      </c>
      <c r="L83" s="448" t="b">
        <v>1</v>
      </c>
      <c r="M83" s="448" t="b">
        <v>1</v>
      </c>
      <c r="N83" s="448" t="b">
        <v>1</v>
      </c>
      <c r="O83" s="448" t="b">
        <v>1</v>
      </c>
      <c r="P83" s="448" t="b">
        <v>1</v>
      </c>
      <c r="Q83" s="448" t="b">
        <v>1</v>
      </c>
      <c r="R83" s="448" t="b">
        <v>1</v>
      </c>
      <c r="S83" s="448" t="b">
        <v>1</v>
      </c>
      <c r="T83" s="448" t="b">
        <v>1</v>
      </c>
      <c r="U83" s="448" t="b">
        <v>1</v>
      </c>
      <c r="V83" s="449"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35"/>
      <c r="C86" s="31" t="s">
        <v>313</v>
      </c>
      <c r="D86" s="452"/>
      <c r="E86" s="452"/>
      <c r="F86" s="452"/>
      <c r="G86" s="35"/>
      <c r="H86" s="35"/>
      <c r="I86" s="35"/>
      <c r="J86" s="31" t="s">
        <v>318</v>
      </c>
      <c r="K86" s="358"/>
      <c r="L86" s="358"/>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5" thickBot="1">
      <c r="A87" s="21"/>
      <c r="B87" s="35"/>
      <c r="C87" s="453" t="s">
        <v>314</v>
      </c>
      <c r="D87" s="454" t="s">
        <v>315</v>
      </c>
      <c r="E87" s="454" t="s">
        <v>316</v>
      </c>
      <c r="F87" s="454" t="s">
        <v>317</v>
      </c>
      <c r="G87" s="35"/>
      <c r="H87" s="35"/>
      <c r="I87" s="35"/>
      <c r="J87" s="464"/>
      <c r="K87" s="465" t="s">
        <v>125</v>
      </c>
      <c r="L87" s="466" t="s">
        <v>319</v>
      </c>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21"/>
      <c r="B88" s="35"/>
      <c r="C88" s="455" t="s">
        <v>211</v>
      </c>
      <c r="D88" s="456">
        <v>0.18</v>
      </c>
      <c r="E88" s="456">
        <v>0.15</v>
      </c>
      <c r="F88" s="457">
        <v>0.17</v>
      </c>
      <c r="G88" s="35"/>
      <c r="H88" s="35"/>
      <c r="I88" s="35"/>
      <c r="J88" s="467" t="s">
        <v>320</v>
      </c>
      <c r="K88" s="468">
        <v>0.2</v>
      </c>
      <c r="L88" s="469">
        <v>0.05</v>
      </c>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458" t="s">
        <v>210</v>
      </c>
      <c r="D89" s="459">
        <v>0.11</v>
      </c>
      <c r="E89" s="459">
        <v>0.11</v>
      </c>
      <c r="F89" s="460">
        <v>0.06</v>
      </c>
      <c r="G89" s="35"/>
      <c r="H89" s="35"/>
      <c r="I89" s="35"/>
      <c r="J89" s="467" t="s">
        <v>321</v>
      </c>
      <c r="K89" s="468">
        <v>0</v>
      </c>
      <c r="L89" s="469">
        <v>0.2</v>
      </c>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458" t="s">
        <v>213</v>
      </c>
      <c r="D90" s="459">
        <v>0.09</v>
      </c>
      <c r="E90" s="459">
        <v>0.08</v>
      </c>
      <c r="F90" s="460">
        <v>0.06</v>
      </c>
      <c r="G90" s="35"/>
      <c r="H90" s="35"/>
      <c r="I90" s="35"/>
      <c r="J90" s="467" t="s">
        <v>322</v>
      </c>
      <c r="K90" s="468">
        <v>0.2</v>
      </c>
      <c r="L90" s="469">
        <v>0.05</v>
      </c>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458" t="s">
        <v>212</v>
      </c>
      <c r="D91" s="459">
        <v>0.11</v>
      </c>
      <c r="E91" s="459">
        <v>0.1</v>
      </c>
      <c r="F91" s="460">
        <v>7.0000000000000007E-2</v>
      </c>
      <c r="G91" s="35"/>
      <c r="H91" s="35"/>
      <c r="I91" s="35"/>
      <c r="J91" s="467" t="s">
        <v>323</v>
      </c>
      <c r="K91" s="468">
        <v>0.2</v>
      </c>
      <c r="L91" s="469">
        <v>0.05</v>
      </c>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458" t="s">
        <v>214</v>
      </c>
      <c r="D92" s="459">
        <v>0.15</v>
      </c>
      <c r="E92" s="459">
        <v>0.13</v>
      </c>
      <c r="F92" s="460">
        <v>0.1</v>
      </c>
      <c r="G92" s="35"/>
      <c r="H92" s="35"/>
      <c r="I92" s="35"/>
      <c r="J92" s="467" t="s">
        <v>324</v>
      </c>
      <c r="K92" s="468">
        <v>0.15</v>
      </c>
      <c r="L92" s="469">
        <v>0.1</v>
      </c>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458" t="s">
        <v>215</v>
      </c>
      <c r="D93" s="459">
        <v>0.11</v>
      </c>
      <c r="E93" s="459">
        <v>0.09</v>
      </c>
      <c r="F93" s="460">
        <v>7.0000000000000007E-2</v>
      </c>
      <c r="G93" s="35"/>
      <c r="H93" s="35"/>
      <c r="I93" s="35"/>
      <c r="J93" s="467" t="s">
        <v>325</v>
      </c>
      <c r="K93" s="468">
        <v>0</v>
      </c>
      <c r="L93" s="469">
        <v>0.3</v>
      </c>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458" t="s">
        <v>216</v>
      </c>
      <c r="D94" s="459">
        <v>0.17</v>
      </c>
      <c r="E94" s="459">
        <v>0.15</v>
      </c>
      <c r="F94" s="460">
        <v>0.13</v>
      </c>
      <c r="G94" s="35"/>
      <c r="H94" s="35"/>
      <c r="I94" s="35"/>
      <c r="J94" s="467" t="s">
        <v>326</v>
      </c>
      <c r="K94" s="468">
        <v>0.2</v>
      </c>
      <c r="L94" s="469">
        <v>0.05</v>
      </c>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458" t="s">
        <v>11</v>
      </c>
      <c r="D95" s="459">
        <v>0.12</v>
      </c>
      <c r="E95" s="459">
        <v>0.12</v>
      </c>
      <c r="F95" s="460">
        <v>0.05</v>
      </c>
      <c r="G95" s="35"/>
      <c r="H95" s="35"/>
      <c r="I95" s="35"/>
      <c r="J95" s="467" t="s">
        <v>327</v>
      </c>
      <c r="K95" s="468">
        <v>0</v>
      </c>
      <c r="L95" s="469">
        <v>0.15</v>
      </c>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21"/>
      <c r="B96" s="35"/>
      <c r="C96" s="458" t="s">
        <v>217</v>
      </c>
      <c r="D96" s="459">
        <v>0.14000000000000001</v>
      </c>
      <c r="E96" s="459">
        <v>0.1</v>
      </c>
      <c r="F96" s="460">
        <v>0.08</v>
      </c>
      <c r="G96" s="35"/>
      <c r="H96" s="35"/>
      <c r="I96" s="35"/>
      <c r="J96" s="470" t="s">
        <v>329</v>
      </c>
      <c r="K96" s="471">
        <v>0.05</v>
      </c>
      <c r="L96" s="472">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458" t="s">
        <v>218</v>
      </c>
      <c r="D97" s="459">
        <v>0.11</v>
      </c>
      <c r="E97" s="459">
        <v>0.1</v>
      </c>
      <c r="F97" s="460">
        <v>0.08</v>
      </c>
      <c r="G97" s="35"/>
      <c r="H97" s="35"/>
      <c r="I97" s="35"/>
      <c r="J97" s="473" t="s">
        <v>328</v>
      </c>
      <c r="K97" s="474">
        <v>1</v>
      </c>
      <c r="L97" s="474">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458" t="s">
        <v>219</v>
      </c>
      <c r="D98" s="459">
        <v>0.11</v>
      </c>
      <c r="E98" s="459">
        <v>0.1</v>
      </c>
      <c r="F98" s="460">
        <v>0.06</v>
      </c>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458" t="s">
        <v>220</v>
      </c>
      <c r="D99" s="459">
        <v>0.37</v>
      </c>
      <c r="E99" s="459">
        <v>0.35</v>
      </c>
      <c r="F99" s="460">
        <v>0.31</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458" t="s">
        <v>224</v>
      </c>
      <c r="D100" s="459">
        <v>0.11</v>
      </c>
      <c r="E100" s="459">
        <v>0.08</v>
      </c>
      <c r="F100" s="460">
        <v>0.05</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458" t="s">
        <v>221</v>
      </c>
      <c r="D101" s="459">
        <v>0.09</v>
      </c>
      <c r="E101" s="459">
        <v>7.0000000000000007E-2</v>
      </c>
      <c r="F101" s="460">
        <v>0.05</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458" t="s">
        <v>222</v>
      </c>
      <c r="D102" s="459">
        <v>0.11</v>
      </c>
      <c r="E102" s="459">
        <v>0.08</v>
      </c>
      <c r="F102" s="460">
        <v>0.06</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458" t="s">
        <v>223</v>
      </c>
      <c r="D103" s="459">
        <v>0.11</v>
      </c>
      <c r="E103" s="459">
        <v>0.09</v>
      </c>
      <c r="F103" s="460">
        <v>0.06</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458" t="s">
        <v>225</v>
      </c>
      <c r="D104" s="459">
        <v>0.11</v>
      </c>
      <c r="E104" s="459">
        <v>0.09</v>
      </c>
      <c r="F104" s="460">
        <v>7.0000000000000007E-2</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458" t="s">
        <v>226</v>
      </c>
      <c r="D105" s="459">
        <v>0.09</v>
      </c>
      <c r="E105" s="459">
        <v>0.09</v>
      </c>
      <c r="F105" s="460">
        <v>0.05</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458" t="s">
        <v>227</v>
      </c>
      <c r="D106" s="459">
        <v>0.08</v>
      </c>
      <c r="E106" s="459">
        <v>0.08</v>
      </c>
      <c r="F106" s="460">
        <v>0.05</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458" t="s">
        <v>230</v>
      </c>
      <c r="D107" s="459">
        <v>0.15</v>
      </c>
      <c r="E107" s="459">
        <v>0.14000000000000001</v>
      </c>
      <c r="F107" s="460">
        <v>0.13</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458" t="s">
        <v>229</v>
      </c>
      <c r="D108" s="459">
        <v>0.13</v>
      </c>
      <c r="E108" s="459">
        <v>0.1</v>
      </c>
      <c r="F108" s="460">
        <v>0.08</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458" t="s">
        <v>228</v>
      </c>
      <c r="D109" s="459">
        <v>0.15</v>
      </c>
      <c r="E109" s="459">
        <v>0.12</v>
      </c>
      <c r="F109" s="460">
        <v>0.08</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458" t="s">
        <v>231</v>
      </c>
      <c r="D110" s="459">
        <v>0.14000000000000001</v>
      </c>
      <c r="E110" s="459">
        <v>0.11</v>
      </c>
      <c r="F110" s="460">
        <v>0.08</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458" t="s">
        <v>232</v>
      </c>
      <c r="D111" s="459">
        <v>0.11</v>
      </c>
      <c r="E111" s="459">
        <v>0.09</v>
      </c>
      <c r="F111" s="460">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458" t="s">
        <v>234</v>
      </c>
      <c r="D112" s="459">
        <v>0.1</v>
      </c>
      <c r="E112" s="459">
        <v>0.08</v>
      </c>
      <c r="F112" s="460">
        <v>0.06</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458" t="s">
        <v>233</v>
      </c>
      <c r="D113" s="459">
        <v>0.1</v>
      </c>
      <c r="E113" s="459">
        <v>0.09</v>
      </c>
      <c r="F113" s="460">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458" t="s">
        <v>235</v>
      </c>
      <c r="D114" s="459">
        <v>0.1</v>
      </c>
      <c r="E114" s="459">
        <v>0.09</v>
      </c>
      <c r="F114" s="460">
        <v>0.05</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458" t="s">
        <v>242</v>
      </c>
      <c r="D115" s="459">
        <v>0.11</v>
      </c>
      <c r="E115" s="459">
        <v>0.09</v>
      </c>
      <c r="F115" s="460">
        <v>0.06</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458" t="s">
        <v>243</v>
      </c>
      <c r="D116" s="459">
        <v>0.09</v>
      </c>
      <c r="E116" s="459">
        <v>0.08</v>
      </c>
      <c r="F116" s="460">
        <v>7.0000000000000007E-2</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458" t="s">
        <v>236</v>
      </c>
      <c r="D117" s="459">
        <v>0.1</v>
      </c>
      <c r="E117" s="459">
        <v>0.08</v>
      </c>
      <c r="F117" s="460">
        <v>7.0000000000000007E-2</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458" t="s">
        <v>238</v>
      </c>
      <c r="D118" s="459">
        <v>0.16</v>
      </c>
      <c r="E118" s="459">
        <v>0.13</v>
      </c>
      <c r="F118" s="460">
        <v>0.12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458" t="s">
        <v>239</v>
      </c>
      <c r="D119" s="459">
        <v>0.16</v>
      </c>
      <c r="E119" s="459">
        <v>0.13</v>
      </c>
      <c r="F119" s="460">
        <v>0.11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458" t="s">
        <v>240</v>
      </c>
      <c r="D120" s="459">
        <v>0.11</v>
      </c>
      <c r="E120" s="459">
        <v>0.09</v>
      </c>
      <c r="F120" s="460">
        <v>0.06</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458" t="s">
        <v>237</v>
      </c>
      <c r="D121" s="459">
        <v>0.12</v>
      </c>
      <c r="E121" s="459">
        <v>0.09</v>
      </c>
      <c r="F121" s="460">
        <v>0.06</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458" t="s">
        <v>241</v>
      </c>
      <c r="D122" s="459">
        <v>0.18</v>
      </c>
      <c r="E122" s="459">
        <v>0.15</v>
      </c>
      <c r="F122" s="460">
        <v>7.0000000000000007E-2</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458" t="s">
        <v>244</v>
      </c>
      <c r="D123" s="459">
        <v>0.12</v>
      </c>
      <c r="E123" s="459">
        <v>0.09</v>
      </c>
      <c r="F123" s="460">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458" t="s">
        <v>245</v>
      </c>
      <c r="D124" s="459">
        <v>0.1</v>
      </c>
      <c r="E124" s="459">
        <v>7.0000000000000007E-2</v>
      </c>
      <c r="F124" s="460">
        <v>0.05</v>
      </c>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458" t="s">
        <v>246</v>
      </c>
      <c r="D125" s="459">
        <v>0.1</v>
      </c>
      <c r="E125" s="459">
        <v>0.08</v>
      </c>
      <c r="F125" s="460">
        <v>0.06</v>
      </c>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458" t="s">
        <v>247</v>
      </c>
      <c r="D126" s="459">
        <v>0.13</v>
      </c>
      <c r="E126" s="459">
        <v>0.09</v>
      </c>
      <c r="F126" s="460">
        <v>7.0000000000000007E-2</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458" t="s">
        <v>248</v>
      </c>
      <c r="D127" s="459">
        <v>0.14000000000000001</v>
      </c>
      <c r="E127" s="459">
        <v>0.12</v>
      </c>
      <c r="F127" s="460">
        <v>0.11</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458" t="s">
        <v>249</v>
      </c>
      <c r="D128" s="459">
        <v>0.12</v>
      </c>
      <c r="E128" s="459">
        <v>0.1</v>
      </c>
      <c r="F128" s="460">
        <v>0.06</v>
      </c>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458" t="s">
        <v>250</v>
      </c>
      <c r="D129" s="459">
        <v>0.1</v>
      </c>
      <c r="E129" s="459">
        <v>0.08</v>
      </c>
      <c r="F129" s="460">
        <v>7.0000000000000007E-2</v>
      </c>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458" t="s">
        <v>251</v>
      </c>
      <c r="D130" s="459">
        <v>0.1</v>
      </c>
      <c r="E130" s="459">
        <v>0.1</v>
      </c>
      <c r="F130" s="460">
        <v>7.0000000000000007E-2</v>
      </c>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458" t="s">
        <v>252</v>
      </c>
      <c r="D131" s="459">
        <v>0.11</v>
      </c>
      <c r="E131" s="459">
        <v>0.08</v>
      </c>
      <c r="F131" s="460">
        <v>0.06</v>
      </c>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458" t="s">
        <v>253</v>
      </c>
      <c r="D132" s="459">
        <v>0.1</v>
      </c>
      <c r="E132" s="459">
        <v>0.08</v>
      </c>
      <c r="F132" s="460">
        <v>0.06</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458" t="s">
        <v>255</v>
      </c>
      <c r="D133" s="459">
        <v>0.11</v>
      </c>
      <c r="E133" s="459">
        <v>0.08</v>
      </c>
      <c r="F133" s="460">
        <v>7.0000000000000007E-2</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458" t="s">
        <v>254</v>
      </c>
      <c r="D134" s="459">
        <v>0.17</v>
      </c>
      <c r="E134" s="459">
        <v>0.14000000000000001</v>
      </c>
      <c r="F134" s="460">
        <v>0.1</v>
      </c>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458" t="s">
        <v>256</v>
      </c>
      <c r="D135" s="459">
        <v>0.09</v>
      </c>
      <c r="E135" s="459">
        <v>0.08</v>
      </c>
      <c r="F135" s="460">
        <v>0.04</v>
      </c>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458" t="s">
        <v>258</v>
      </c>
      <c r="D136" s="459">
        <v>0.13</v>
      </c>
      <c r="E136" s="459">
        <v>0.11</v>
      </c>
      <c r="F136" s="460">
        <v>7.0000000000000007E-2</v>
      </c>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458" t="s">
        <v>257</v>
      </c>
      <c r="D137" s="459">
        <v>0.1</v>
      </c>
      <c r="E137" s="459">
        <v>0.08</v>
      </c>
      <c r="F137" s="460">
        <v>0.06</v>
      </c>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21"/>
      <c r="B138" s="35"/>
      <c r="C138" s="461" t="s">
        <v>259</v>
      </c>
      <c r="D138" s="462">
        <v>0.1</v>
      </c>
      <c r="E138" s="462">
        <v>0.08</v>
      </c>
      <c r="F138" s="463">
        <v>0.06</v>
      </c>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3" r:id="rId4" name="Button 5">
              <controlPr defaultSize="0" print="0" autoFill="0" autoPict="0">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55" zoomScaleNormal="55" zoomScalePageLayoutView="55" workbookViewId="0">
      <selection activeCell="C67" sqref="C67:AC67"/>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31"/>
      <c r="B2" s="33"/>
      <c r="C2" s="33"/>
      <c r="D2" s="374" t="s">
        <v>122</v>
      </c>
      <c r="E2" s="131"/>
      <c r="F2" s="131"/>
      <c r="G2" s="131"/>
      <c r="H2" s="131"/>
      <c r="I2" s="33"/>
      <c r="J2" s="33"/>
      <c r="K2" s="30"/>
      <c r="L2" s="33"/>
      <c r="M2" s="374" t="s">
        <v>170</v>
      </c>
      <c r="N2" s="131"/>
      <c r="O2" s="131"/>
      <c r="P2" s="131"/>
      <c r="Q2" s="131"/>
      <c r="R2" s="33"/>
      <c r="S2" s="33"/>
      <c r="T2" s="33"/>
      <c r="U2" s="33"/>
      <c r="V2" s="131"/>
      <c r="W2" s="131"/>
      <c r="X2" s="131"/>
      <c r="Y2" s="131"/>
      <c r="Z2" s="131"/>
      <c r="AA2" s="378"/>
      <c r="AB2" s="378"/>
      <c r="AC2" s="378"/>
      <c r="AD2" s="158"/>
      <c r="AE2" s="376"/>
      <c r="AF2" s="131"/>
      <c r="AG2" s="131"/>
      <c r="AH2" s="131"/>
      <c r="AI2" s="131"/>
      <c r="AJ2" s="131"/>
      <c r="AK2" s="131"/>
      <c r="AL2" s="131"/>
      <c r="AM2" s="131"/>
      <c r="AN2" s="131"/>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31"/>
      <c r="B3" s="33"/>
      <c r="C3" s="33"/>
      <c r="D3" s="33"/>
      <c r="E3" s="131"/>
      <c r="F3" s="33"/>
      <c r="G3" s="131"/>
      <c r="H3" s="131"/>
      <c r="I3" s="30"/>
      <c r="J3" s="33"/>
      <c r="K3" s="131"/>
      <c r="L3" s="33"/>
      <c r="M3" s="128" t="s">
        <v>171</v>
      </c>
      <c r="N3" s="128"/>
      <c r="O3" s="128"/>
      <c r="P3" s="252" t="b">
        <v>0</v>
      </c>
      <c r="Q3" s="379" t="s">
        <v>279</v>
      </c>
      <c r="R3" s="33"/>
      <c r="S3" s="33"/>
      <c r="T3" s="33"/>
      <c r="U3" s="33"/>
      <c r="V3" s="131"/>
      <c r="W3" s="131"/>
      <c r="X3" s="131"/>
      <c r="Y3" s="131"/>
      <c r="Z3" s="131"/>
      <c r="AA3" s="378"/>
      <c r="AB3" s="378"/>
      <c r="AC3" s="378"/>
      <c r="AD3" s="158"/>
      <c r="AE3" s="158"/>
      <c r="AF3" s="131"/>
      <c r="AG3" s="131"/>
      <c r="AH3" s="131"/>
      <c r="AI3" s="131"/>
      <c r="AJ3" s="131"/>
      <c r="AK3" s="131"/>
      <c r="AL3" s="131"/>
      <c r="AM3" s="131"/>
      <c r="AN3" s="131"/>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31"/>
      <c r="B4" s="33"/>
      <c r="C4" s="189" t="s">
        <v>287</v>
      </c>
      <c r="D4" s="33"/>
      <c r="E4" s="131"/>
      <c r="F4" s="33"/>
      <c r="G4" s="131"/>
      <c r="H4" s="131"/>
      <c r="I4" s="30"/>
      <c r="J4" s="33"/>
      <c r="K4" s="131"/>
      <c r="L4" s="33"/>
      <c r="M4" s="244" t="s">
        <v>276</v>
      </c>
      <c r="N4" s="128"/>
      <c r="O4" s="128"/>
      <c r="P4" s="245">
        <v>2014</v>
      </c>
      <c r="Q4" s="373" t="s">
        <v>172</v>
      </c>
      <c r="R4" s="33"/>
      <c r="S4" s="33"/>
      <c r="T4" s="33"/>
      <c r="U4" s="33"/>
      <c r="V4" s="131"/>
      <c r="W4" s="131"/>
      <c r="X4" s="131"/>
      <c r="Y4" s="131"/>
      <c r="Z4" s="131"/>
      <c r="AA4" s="378"/>
      <c r="AB4" s="378"/>
      <c r="AC4" s="378"/>
      <c r="AD4" s="131"/>
      <c r="AE4" s="131"/>
      <c r="AF4" s="131"/>
      <c r="AG4" s="131"/>
      <c r="AH4" s="131"/>
      <c r="AI4" s="131"/>
      <c r="AJ4" s="131"/>
      <c r="AK4" s="131"/>
      <c r="AL4" s="131"/>
      <c r="AM4" s="131"/>
      <c r="AN4" s="131"/>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31"/>
      <c r="B5" s="33"/>
      <c r="C5" s="189" t="s">
        <v>288</v>
      </c>
      <c r="D5" s="33"/>
      <c r="E5" s="131"/>
      <c r="F5" s="33"/>
      <c r="G5" s="131"/>
      <c r="H5" s="131"/>
      <c r="I5" s="30"/>
      <c r="J5" s="33"/>
      <c r="K5" s="131"/>
      <c r="L5" s="33"/>
      <c r="M5" s="244" t="s">
        <v>277</v>
      </c>
      <c r="N5" s="128"/>
      <c r="O5" s="375"/>
      <c r="P5" s="252" t="s">
        <v>262</v>
      </c>
      <c r="Q5" s="377" t="s">
        <v>278</v>
      </c>
      <c r="R5" s="134"/>
      <c r="S5" s="33"/>
      <c r="T5" s="33"/>
      <c r="U5" s="33"/>
      <c r="V5" s="131"/>
      <c r="W5" s="131"/>
      <c r="X5" s="131"/>
      <c r="Y5" s="131"/>
      <c r="Z5" s="131"/>
      <c r="AA5" s="378"/>
      <c r="AB5" s="378"/>
      <c r="AC5" s="378"/>
      <c r="AD5" s="131"/>
      <c r="AE5" s="131"/>
      <c r="AF5" s="131"/>
      <c r="AG5" s="131"/>
      <c r="AH5" s="131"/>
      <c r="AI5" s="131"/>
      <c r="AJ5" s="131"/>
      <c r="AK5" s="131"/>
      <c r="AL5" s="131"/>
      <c r="AM5" s="131"/>
      <c r="AN5" s="131"/>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31"/>
      <c r="B6" s="33"/>
      <c r="C6" s="189" t="s">
        <v>289</v>
      </c>
      <c r="D6" s="33"/>
      <c r="E6" s="131"/>
      <c r="F6" s="33"/>
      <c r="G6" s="131"/>
      <c r="H6" s="131"/>
      <c r="I6" s="131"/>
      <c r="J6" s="131"/>
      <c r="K6" s="33"/>
      <c r="L6" s="158"/>
      <c r="M6" s="158"/>
      <c r="N6" s="528"/>
      <c r="O6" s="528"/>
      <c r="P6" s="158"/>
      <c r="Q6" s="158"/>
      <c r="R6" s="134"/>
      <c r="S6" s="131"/>
      <c r="T6" s="131"/>
      <c r="U6" s="131"/>
      <c r="V6" s="131"/>
      <c r="W6" s="131"/>
      <c r="X6" s="131"/>
      <c r="Y6" s="131"/>
      <c r="Z6" s="131"/>
      <c r="AA6" s="378"/>
      <c r="AB6" s="378"/>
      <c r="AC6" s="378"/>
      <c r="AD6" s="131"/>
      <c r="AE6" s="131"/>
      <c r="AF6" s="131"/>
      <c r="AG6" s="131"/>
      <c r="AH6" s="131"/>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31"/>
      <c r="B7" s="175"/>
      <c r="C7" s="132"/>
      <c r="D7" s="133"/>
      <c r="E7" s="190" t="s">
        <v>129</v>
      </c>
      <c r="F7" s="191" t="s">
        <v>275</v>
      </c>
      <c r="G7" s="134"/>
      <c r="H7" s="47"/>
      <c r="I7" s="47"/>
      <c r="J7" s="47"/>
      <c r="K7" s="47"/>
      <c r="L7" s="47"/>
      <c r="M7" s="134"/>
      <c r="N7" s="134"/>
      <c r="O7" s="134"/>
      <c r="P7" s="134"/>
      <c r="Q7" s="134"/>
      <c r="R7" s="134"/>
      <c r="S7" s="131"/>
      <c r="T7" s="131"/>
      <c r="U7" s="131"/>
      <c r="V7" s="131"/>
      <c r="W7" s="131"/>
      <c r="X7" s="131"/>
      <c r="Y7" s="131"/>
      <c r="Z7" s="131"/>
      <c r="AA7" s="131"/>
      <c r="AB7" s="131"/>
      <c r="AC7" s="131"/>
      <c r="AD7" s="131"/>
      <c r="AE7" s="131"/>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31"/>
      <c r="B8" s="158"/>
      <c r="C8" s="132"/>
      <c r="D8" s="133"/>
      <c r="E8" s="246" t="s">
        <v>130</v>
      </c>
      <c r="F8" s="249" t="b">
        <v>1</v>
      </c>
      <c r="G8" s="134"/>
      <c r="H8" s="47"/>
      <c r="I8" s="47"/>
      <c r="J8" s="47"/>
      <c r="K8" s="47"/>
      <c r="L8" s="47"/>
      <c r="M8" s="134"/>
      <c r="N8" s="131"/>
      <c r="O8" s="134"/>
      <c r="P8" s="134"/>
      <c r="Q8" s="134"/>
      <c r="R8" s="134"/>
      <c r="S8" s="131"/>
      <c r="T8" s="131"/>
      <c r="U8" s="131"/>
      <c r="V8" s="131"/>
      <c r="W8" s="131"/>
      <c r="X8" s="131"/>
      <c r="Y8" s="131"/>
      <c r="Z8" s="131"/>
      <c r="AA8" s="131"/>
      <c r="AB8" s="131"/>
      <c r="AC8" s="131"/>
      <c r="AD8" s="131"/>
      <c r="AE8" s="131"/>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31"/>
      <c r="B9" s="158"/>
      <c r="C9" s="132"/>
      <c r="D9" s="133"/>
      <c r="E9" s="247" t="s">
        <v>131</v>
      </c>
      <c r="F9" s="250" t="b">
        <v>1</v>
      </c>
      <c r="G9" s="134"/>
      <c r="H9" s="47"/>
      <c r="I9" s="47"/>
      <c r="J9" s="47"/>
      <c r="K9" s="47"/>
      <c r="L9" s="47"/>
      <c r="M9" s="134"/>
      <c r="N9" s="131"/>
      <c r="O9" s="134"/>
      <c r="P9" s="134"/>
      <c r="Q9" s="134"/>
      <c r="R9" s="134"/>
      <c r="S9" s="131"/>
      <c r="T9" s="131"/>
      <c r="U9" s="131"/>
      <c r="V9" s="131"/>
      <c r="W9" s="131"/>
      <c r="X9" s="131"/>
      <c r="Y9" s="131"/>
      <c r="Z9" s="131"/>
      <c r="AA9" s="131"/>
      <c r="AB9" s="131"/>
      <c r="AC9" s="131"/>
      <c r="AD9" s="131"/>
      <c r="AE9" s="131"/>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31"/>
      <c r="B10" s="158"/>
      <c r="C10" s="132"/>
      <c r="D10" s="133"/>
      <c r="E10" s="247" t="s">
        <v>151</v>
      </c>
      <c r="F10" s="250" t="b">
        <v>1</v>
      </c>
      <c r="G10" s="134"/>
      <c r="H10" s="47"/>
      <c r="I10" s="47"/>
      <c r="J10" s="47"/>
      <c r="K10" s="47"/>
      <c r="L10" s="47"/>
      <c r="M10" s="134"/>
      <c r="N10" s="131"/>
      <c r="O10" s="131"/>
      <c r="P10" s="131"/>
      <c r="Q10" s="131"/>
      <c r="R10" s="131"/>
      <c r="S10" s="131"/>
      <c r="T10" s="131"/>
      <c r="U10" s="131"/>
      <c r="V10" s="131"/>
      <c r="W10" s="131"/>
      <c r="X10" s="131"/>
      <c r="Y10" s="131"/>
      <c r="Z10" s="131"/>
      <c r="AA10" s="131"/>
      <c r="AB10" s="131"/>
      <c r="AC10" s="131"/>
      <c r="AD10" s="131"/>
      <c r="AE10" s="131"/>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31"/>
      <c r="B11" s="158"/>
      <c r="C11" s="132"/>
      <c r="D11" s="133"/>
      <c r="E11" s="248" t="s">
        <v>152</v>
      </c>
      <c r="F11" s="251" t="b">
        <v>1</v>
      </c>
      <c r="G11" s="134"/>
      <c r="H11" s="47"/>
      <c r="I11" s="47"/>
      <c r="J11" s="47"/>
      <c r="K11" s="47"/>
      <c r="L11" s="47"/>
      <c r="M11" s="134"/>
      <c r="N11" s="131"/>
      <c r="O11" s="131"/>
      <c r="P11" s="131"/>
      <c r="Q11" s="131"/>
      <c r="R11" s="131"/>
      <c r="S11" s="131"/>
      <c r="T11" s="131"/>
      <c r="U11" s="131"/>
      <c r="V11" s="131"/>
      <c r="W11" s="131"/>
      <c r="X11" s="131"/>
      <c r="Y11" s="131"/>
      <c r="Z11" s="131"/>
      <c r="AA11" s="131"/>
      <c r="AB11" s="131"/>
      <c r="AC11" s="131"/>
      <c r="AD11" s="131"/>
      <c r="AE11" s="131"/>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31"/>
      <c r="B12" s="158"/>
      <c r="C12" s="132"/>
      <c r="D12" s="133"/>
      <c r="E12" s="134"/>
      <c r="F12" s="47"/>
      <c r="G12" s="134"/>
      <c r="H12" s="134"/>
      <c r="I12" s="134"/>
      <c r="J12" s="134"/>
      <c r="K12" s="47"/>
      <c r="L12" s="47"/>
      <c r="M12" s="47"/>
      <c r="N12" s="47"/>
      <c r="O12" s="47"/>
      <c r="P12" s="134"/>
      <c r="Q12" s="131"/>
      <c r="R12" s="131"/>
      <c r="S12" s="131"/>
      <c r="T12" s="131"/>
      <c r="U12" s="131"/>
      <c r="V12" s="131"/>
      <c r="W12" s="131"/>
      <c r="X12" s="131"/>
      <c r="Y12" s="131"/>
      <c r="Z12" s="131"/>
      <c r="AA12" s="131"/>
      <c r="AB12" s="131"/>
      <c r="AC12" s="131"/>
      <c r="AD12" s="131"/>
      <c r="AE12" s="131"/>
      <c r="AF12" s="131"/>
      <c r="AG12" s="131"/>
      <c r="AH12" s="131"/>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7" customFormat="1" ht="23.5" customHeight="1" thickBot="1">
      <c r="A13" s="155"/>
      <c r="B13" s="31" t="s">
        <v>274</v>
      </c>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5"/>
      <c r="AE13" s="155"/>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6"/>
      <c r="BB13" s="156"/>
      <c r="BC13" s="156"/>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row>
    <row r="14" spans="1:85" s="1" customFormat="1" ht="32.25" customHeight="1" thickBot="1">
      <c r="A14" s="131"/>
      <c r="B14" s="361"/>
      <c r="C14" s="362" t="s">
        <v>123</v>
      </c>
      <c r="D14" s="363"/>
      <c r="E14" s="363"/>
      <c r="F14" s="363"/>
      <c r="G14" s="363"/>
      <c r="H14" s="363"/>
      <c r="I14" s="363"/>
      <c r="J14" s="363"/>
      <c r="K14" s="363"/>
      <c r="L14" s="362" t="s">
        <v>128</v>
      </c>
      <c r="M14" s="363"/>
      <c r="N14" s="363"/>
      <c r="O14" s="363"/>
      <c r="P14" s="363"/>
      <c r="Q14" s="363"/>
      <c r="R14" s="363"/>
      <c r="S14" s="363"/>
      <c r="T14" s="363"/>
      <c r="U14" s="362" t="s">
        <v>124</v>
      </c>
      <c r="V14" s="363"/>
      <c r="W14" s="363"/>
      <c r="X14" s="363"/>
      <c r="Y14" s="363"/>
      <c r="Z14" s="363"/>
      <c r="AA14" s="363"/>
      <c r="AB14" s="363"/>
      <c r="AC14" s="527"/>
      <c r="AD14" s="155"/>
      <c r="AE14" s="131"/>
      <c r="AF14" s="131"/>
      <c r="AG14" s="131"/>
      <c r="AH14" s="131"/>
      <c r="AI14" s="131"/>
      <c r="AJ14" s="131"/>
      <c r="AK14" s="131"/>
      <c r="AL14" s="131"/>
      <c r="AM14" s="131"/>
      <c r="AN14" s="131"/>
      <c r="AO14" s="131"/>
      <c r="AP14" s="131"/>
      <c r="AQ14" s="131"/>
      <c r="AR14" s="131"/>
      <c r="AS14" s="131"/>
      <c r="AT14" s="131"/>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31"/>
      <c r="B15" s="364"/>
      <c r="C15" s="582" t="s">
        <v>125</v>
      </c>
      <c r="D15" s="580"/>
      <c r="E15" s="580"/>
      <c r="F15" s="580" t="s">
        <v>126</v>
      </c>
      <c r="G15" s="580"/>
      <c r="H15" s="580"/>
      <c r="I15" s="580" t="s">
        <v>127</v>
      </c>
      <c r="J15" s="583"/>
      <c r="K15" s="583"/>
      <c r="L15" s="582" t="s">
        <v>125</v>
      </c>
      <c r="M15" s="580"/>
      <c r="N15" s="580"/>
      <c r="O15" s="580" t="s">
        <v>126</v>
      </c>
      <c r="P15" s="580"/>
      <c r="Q15" s="580"/>
      <c r="R15" s="580" t="s">
        <v>127</v>
      </c>
      <c r="S15" s="583"/>
      <c r="T15" s="583"/>
      <c r="U15" s="582" t="s">
        <v>125</v>
      </c>
      <c r="V15" s="580"/>
      <c r="W15" s="580"/>
      <c r="X15" s="580" t="s">
        <v>126</v>
      </c>
      <c r="Y15" s="580"/>
      <c r="Z15" s="580"/>
      <c r="AA15" s="580" t="s">
        <v>127</v>
      </c>
      <c r="AB15" s="580"/>
      <c r="AC15" s="581"/>
      <c r="AD15" s="131"/>
      <c r="AE15" s="139"/>
      <c r="AF15" s="139"/>
      <c r="AG15" s="139"/>
      <c r="AH15" s="139"/>
      <c r="AI15" s="139"/>
      <c r="AJ15" s="139"/>
      <c r="AK15" s="139"/>
      <c r="AL15" s="139"/>
      <c r="AM15" s="139"/>
      <c r="AN15" s="139"/>
      <c r="AO15" s="134"/>
      <c r="AP15" s="131"/>
      <c r="AQ15" s="131"/>
      <c r="AR15" s="131"/>
      <c r="AS15" s="131"/>
      <c r="AT15" s="131"/>
      <c r="AU15" s="131"/>
      <c r="AV15" s="131"/>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31"/>
      <c r="B16" s="365" t="s">
        <v>115</v>
      </c>
      <c r="C16" s="316" t="s">
        <v>116</v>
      </c>
      <c r="D16" s="317" t="s">
        <v>117</v>
      </c>
      <c r="E16" s="317" t="s">
        <v>118</v>
      </c>
      <c r="F16" s="318" t="s">
        <v>116</v>
      </c>
      <c r="G16" s="317" t="s">
        <v>117</v>
      </c>
      <c r="H16" s="317" t="s">
        <v>118</v>
      </c>
      <c r="I16" s="318" t="s">
        <v>116</v>
      </c>
      <c r="J16" s="317" t="s">
        <v>117</v>
      </c>
      <c r="K16" s="317" t="s">
        <v>118</v>
      </c>
      <c r="L16" s="319" t="s">
        <v>119</v>
      </c>
      <c r="M16" s="317" t="s">
        <v>120</v>
      </c>
      <c r="N16" s="320" t="s">
        <v>118</v>
      </c>
      <c r="O16" s="321" t="s">
        <v>119</v>
      </c>
      <c r="P16" s="317" t="s">
        <v>120</v>
      </c>
      <c r="Q16" s="317" t="s">
        <v>118</v>
      </c>
      <c r="R16" s="318" t="s">
        <v>119</v>
      </c>
      <c r="S16" s="317" t="s">
        <v>120</v>
      </c>
      <c r="T16" s="320" t="s">
        <v>118</v>
      </c>
      <c r="U16" s="319" t="s">
        <v>121</v>
      </c>
      <c r="V16" s="317" t="s">
        <v>117</v>
      </c>
      <c r="W16" s="320" t="s">
        <v>118</v>
      </c>
      <c r="X16" s="321" t="s">
        <v>121</v>
      </c>
      <c r="Y16" s="317" t="s">
        <v>117</v>
      </c>
      <c r="Z16" s="317" t="s">
        <v>118</v>
      </c>
      <c r="AA16" s="318" t="s">
        <v>121</v>
      </c>
      <c r="AB16" s="317" t="s">
        <v>117</v>
      </c>
      <c r="AC16" s="522" t="s">
        <v>118</v>
      </c>
      <c r="AD16" s="160" t="s">
        <v>115</v>
      </c>
      <c r="AE16" s="139"/>
      <c r="AF16" s="139"/>
      <c r="AG16" s="139"/>
      <c r="AH16" s="139"/>
      <c r="AI16" s="139"/>
      <c r="AJ16" s="139"/>
      <c r="AK16" s="139"/>
      <c r="AL16" s="139"/>
      <c r="AM16" s="139"/>
      <c r="AN16" s="139"/>
      <c r="AO16" s="134"/>
      <c r="AP16" s="131"/>
      <c r="AQ16" s="131"/>
      <c r="AR16" s="131"/>
      <c r="AS16" s="131"/>
      <c r="AT16" s="131"/>
      <c r="AU16" s="131"/>
      <c r="AV16" s="131"/>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31"/>
      <c r="B17" s="366" t="s">
        <v>210</v>
      </c>
      <c r="C17" s="140"/>
      <c r="D17" s="136"/>
      <c r="E17" s="137"/>
      <c r="F17" s="138"/>
      <c r="G17" s="136"/>
      <c r="H17" s="137"/>
      <c r="I17" s="138"/>
      <c r="J17" s="136"/>
      <c r="K17" s="136"/>
      <c r="L17" s="136"/>
      <c r="M17" s="136"/>
      <c r="N17" s="136"/>
      <c r="O17" s="136"/>
      <c r="P17" s="136"/>
      <c r="Q17" s="136"/>
      <c r="R17" s="136"/>
      <c r="S17" s="136"/>
      <c r="T17" s="136"/>
      <c r="U17" s="136"/>
      <c r="V17" s="136"/>
      <c r="W17" s="136"/>
      <c r="X17" s="136"/>
      <c r="Y17" s="136"/>
      <c r="Z17" s="136"/>
      <c r="AA17" s="136"/>
      <c r="AB17" s="136"/>
      <c r="AC17" s="523"/>
      <c r="AD17" s="161" t="s">
        <v>5</v>
      </c>
      <c r="AE17" s="139"/>
      <c r="AF17" s="139"/>
      <c r="AG17" s="139"/>
      <c r="AH17" s="139"/>
      <c r="AI17" s="139"/>
      <c r="AJ17" s="139"/>
      <c r="AK17" s="139"/>
      <c r="AL17" s="139"/>
      <c r="AM17" s="139"/>
      <c r="AN17" s="139"/>
      <c r="AO17" s="134"/>
      <c r="AP17" s="131"/>
      <c r="AQ17" s="131"/>
      <c r="AR17" s="131"/>
      <c r="AS17" s="131"/>
      <c r="AT17" s="131"/>
      <c r="AU17" s="131"/>
      <c r="AV17" s="131"/>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31"/>
      <c r="B18" s="366" t="s">
        <v>211</v>
      </c>
      <c r="C18" s="140"/>
      <c r="D18" s="136"/>
      <c r="E18" s="137"/>
      <c r="F18" s="138"/>
      <c r="G18" s="136"/>
      <c r="H18" s="137"/>
      <c r="I18" s="138"/>
      <c r="J18" s="136"/>
      <c r="K18" s="136"/>
      <c r="L18" s="136"/>
      <c r="M18" s="136"/>
      <c r="N18" s="136"/>
      <c r="O18" s="136"/>
      <c r="P18" s="136"/>
      <c r="Q18" s="136"/>
      <c r="R18" s="136"/>
      <c r="S18" s="136"/>
      <c r="T18" s="136"/>
      <c r="U18" s="136"/>
      <c r="V18" s="136"/>
      <c r="W18" s="136"/>
      <c r="X18" s="136"/>
      <c r="Y18" s="136"/>
      <c r="Z18" s="136"/>
      <c r="AA18" s="136"/>
      <c r="AB18" s="136"/>
      <c r="AC18" s="367"/>
      <c r="AD18" s="161" t="s">
        <v>158</v>
      </c>
      <c r="AE18" s="139"/>
      <c r="AF18" s="139"/>
      <c r="AG18" s="139"/>
      <c r="AH18" s="139"/>
      <c r="AI18" s="139"/>
      <c r="AJ18" s="139"/>
      <c r="AK18" s="139"/>
      <c r="AL18" s="139"/>
      <c r="AM18" s="139"/>
      <c r="AN18" s="139"/>
      <c r="AO18" s="134"/>
      <c r="AP18" s="131"/>
      <c r="AQ18" s="131"/>
      <c r="AR18" s="131"/>
      <c r="AS18" s="131"/>
      <c r="AT18" s="131"/>
      <c r="AU18" s="131"/>
      <c r="AV18" s="131"/>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31"/>
      <c r="B19" s="366" t="s">
        <v>212</v>
      </c>
      <c r="C19" s="140"/>
      <c r="D19" s="136"/>
      <c r="E19" s="137"/>
      <c r="F19" s="138"/>
      <c r="G19" s="136"/>
      <c r="H19" s="137"/>
      <c r="I19" s="138"/>
      <c r="J19" s="136"/>
      <c r="K19" s="136"/>
      <c r="L19" s="136"/>
      <c r="M19" s="136"/>
      <c r="N19" s="136"/>
      <c r="O19" s="136"/>
      <c r="P19" s="136"/>
      <c r="Q19" s="136"/>
      <c r="R19" s="136"/>
      <c r="S19" s="136"/>
      <c r="T19" s="136"/>
      <c r="U19" s="136"/>
      <c r="V19" s="136"/>
      <c r="W19" s="136"/>
      <c r="X19" s="136"/>
      <c r="Y19" s="136"/>
      <c r="Z19" s="136"/>
      <c r="AA19" s="136"/>
      <c r="AB19" s="136"/>
      <c r="AC19" s="367"/>
      <c r="AD19" s="161" t="s">
        <v>6</v>
      </c>
      <c r="AE19" s="139"/>
      <c r="AF19" s="139"/>
      <c r="AG19" s="139"/>
      <c r="AH19" s="139"/>
      <c r="AI19" s="139"/>
      <c r="AJ19" s="139"/>
      <c r="AK19" s="139"/>
      <c r="AL19" s="139"/>
      <c r="AM19" s="139"/>
      <c r="AN19" s="139"/>
      <c r="AO19" s="134"/>
      <c r="AP19" s="131"/>
      <c r="AQ19" s="131"/>
      <c r="AR19" s="131"/>
      <c r="AS19" s="131"/>
      <c r="AT19" s="131"/>
      <c r="AU19" s="131"/>
      <c r="AV19" s="131"/>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31"/>
      <c r="B20" s="366" t="s">
        <v>213</v>
      </c>
      <c r="C20" s="140"/>
      <c r="D20" s="136"/>
      <c r="E20" s="137"/>
      <c r="F20" s="138"/>
      <c r="G20" s="136"/>
      <c r="H20" s="137"/>
      <c r="I20" s="138"/>
      <c r="J20" s="136"/>
      <c r="K20" s="136"/>
      <c r="L20" s="136"/>
      <c r="M20" s="136"/>
      <c r="N20" s="136"/>
      <c r="O20" s="136"/>
      <c r="P20" s="136"/>
      <c r="Q20" s="136"/>
      <c r="R20" s="136"/>
      <c r="S20" s="136"/>
      <c r="T20" s="136"/>
      <c r="U20" s="136"/>
      <c r="V20" s="136"/>
      <c r="W20" s="136"/>
      <c r="X20" s="136"/>
      <c r="Y20" s="136"/>
      <c r="Z20" s="136"/>
      <c r="AA20" s="136"/>
      <c r="AB20" s="136"/>
      <c r="AC20" s="367"/>
      <c r="AD20" s="161" t="s">
        <v>7</v>
      </c>
      <c r="AE20" s="139"/>
      <c r="AF20" s="139"/>
      <c r="AG20" s="139"/>
      <c r="AH20" s="139"/>
      <c r="AI20" s="139"/>
      <c r="AJ20" s="139"/>
      <c r="AK20" s="139"/>
      <c r="AL20" s="139"/>
      <c r="AM20" s="139"/>
      <c r="AN20" s="139"/>
      <c r="AO20" s="134"/>
      <c r="AP20" s="131"/>
      <c r="AQ20" s="131"/>
      <c r="AR20" s="131"/>
      <c r="AS20" s="131"/>
      <c r="AT20" s="131"/>
      <c r="AU20" s="131"/>
      <c r="AV20" s="131"/>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31"/>
      <c r="B21" s="366" t="s">
        <v>214</v>
      </c>
      <c r="C21" s="140"/>
      <c r="D21" s="136"/>
      <c r="E21" s="137"/>
      <c r="F21" s="138"/>
      <c r="G21" s="136"/>
      <c r="H21" s="137"/>
      <c r="I21" s="138"/>
      <c r="J21" s="136"/>
      <c r="K21" s="136"/>
      <c r="L21" s="136"/>
      <c r="M21" s="136"/>
      <c r="N21" s="136"/>
      <c r="O21" s="136"/>
      <c r="P21" s="136"/>
      <c r="Q21" s="136"/>
      <c r="R21" s="136"/>
      <c r="S21" s="136"/>
      <c r="T21" s="136"/>
      <c r="U21" s="136"/>
      <c r="V21" s="136"/>
      <c r="W21" s="136"/>
      <c r="X21" s="136"/>
      <c r="Y21" s="136"/>
      <c r="Z21" s="136"/>
      <c r="AA21" s="136"/>
      <c r="AB21" s="136"/>
      <c r="AC21" s="367"/>
      <c r="AD21" s="161" t="s">
        <v>8</v>
      </c>
      <c r="AE21" s="139"/>
      <c r="AF21" s="139"/>
      <c r="AG21" s="139"/>
      <c r="AH21" s="139"/>
      <c r="AI21" s="139"/>
      <c r="AJ21" s="139"/>
      <c r="AK21" s="139"/>
      <c r="AL21" s="139"/>
      <c r="AM21" s="139"/>
      <c r="AN21" s="139"/>
      <c r="AO21" s="134"/>
      <c r="AP21" s="131"/>
      <c r="AQ21" s="131"/>
      <c r="AR21" s="131"/>
      <c r="AS21" s="131"/>
      <c r="AT21" s="131"/>
      <c r="AU21" s="131"/>
      <c r="AV21" s="131"/>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31"/>
      <c r="B22" s="366" t="s">
        <v>215</v>
      </c>
      <c r="C22" s="140"/>
      <c r="D22" s="136"/>
      <c r="E22" s="137"/>
      <c r="F22" s="138"/>
      <c r="G22" s="136"/>
      <c r="H22" s="137"/>
      <c r="I22" s="138"/>
      <c r="J22" s="136"/>
      <c r="K22" s="136"/>
      <c r="L22" s="136"/>
      <c r="M22" s="136"/>
      <c r="N22" s="136"/>
      <c r="O22" s="136"/>
      <c r="P22" s="136"/>
      <c r="Q22" s="136"/>
      <c r="R22" s="136"/>
      <c r="S22" s="136"/>
      <c r="T22" s="136"/>
      <c r="U22" s="136"/>
      <c r="V22" s="136"/>
      <c r="W22" s="136"/>
      <c r="X22" s="136"/>
      <c r="Y22" s="136"/>
      <c r="Z22" s="136"/>
      <c r="AA22" s="136"/>
      <c r="AB22" s="136"/>
      <c r="AC22" s="367"/>
      <c r="AD22" s="161" t="s">
        <v>0</v>
      </c>
      <c r="AE22" s="139"/>
      <c r="AF22" s="139"/>
      <c r="AG22" s="139"/>
      <c r="AH22" s="139"/>
      <c r="AI22" s="139"/>
      <c r="AJ22" s="139"/>
      <c r="AK22" s="139"/>
      <c r="AL22" s="139"/>
      <c r="AM22" s="139"/>
      <c r="AN22" s="139"/>
      <c r="AO22" s="134"/>
      <c r="AP22" s="131"/>
      <c r="AQ22" s="131"/>
      <c r="AR22" s="131"/>
      <c r="AS22" s="131"/>
      <c r="AT22" s="131"/>
      <c r="AU22" s="131"/>
      <c r="AV22" s="131"/>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31"/>
      <c r="B23" s="366" t="s">
        <v>216</v>
      </c>
      <c r="C23" s="140"/>
      <c r="D23" s="136"/>
      <c r="E23" s="137"/>
      <c r="F23" s="138"/>
      <c r="G23" s="136"/>
      <c r="H23" s="137"/>
      <c r="I23" s="138"/>
      <c r="J23" s="136"/>
      <c r="K23" s="136"/>
      <c r="L23" s="136"/>
      <c r="M23" s="136"/>
      <c r="N23" s="136"/>
      <c r="O23" s="136"/>
      <c r="P23" s="136"/>
      <c r="Q23" s="136"/>
      <c r="R23" s="136"/>
      <c r="S23" s="136"/>
      <c r="T23" s="136"/>
      <c r="U23" s="136"/>
      <c r="V23" s="136"/>
      <c r="W23" s="136"/>
      <c r="X23" s="136"/>
      <c r="Y23" s="136"/>
      <c r="Z23" s="136"/>
      <c r="AA23" s="136"/>
      <c r="AB23" s="136"/>
      <c r="AC23" s="367"/>
      <c r="AD23" s="161" t="s">
        <v>9</v>
      </c>
      <c r="AE23" s="139"/>
      <c r="AF23" s="139"/>
      <c r="AG23" s="139"/>
      <c r="AH23" s="139"/>
      <c r="AI23" s="139"/>
      <c r="AJ23" s="139"/>
      <c r="AK23" s="139"/>
      <c r="AL23" s="139"/>
      <c r="AM23" s="139"/>
      <c r="AN23" s="139"/>
      <c r="AO23" s="134"/>
      <c r="AP23" s="131"/>
      <c r="AQ23" s="131"/>
      <c r="AR23" s="131"/>
      <c r="AS23" s="131"/>
      <c r="AT23" s="131"/>
      <c r="AU23" s="131"/>
      <c r="AV23" s="131"/>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31"/>
      <c r="B24" s="366" t="s">
        <v>217</v>
      </c>
      <c r="C24" s="140"/>
      <c r="D24" s="136"/>
      <c r="E24" s="137"/>
      <c r="F24" s="138"/>
      <c r="G24" s="136"/>
      <c r="H24" s="137"/>
      <c r="I24" s="138"/>
      <c r="J24" s="136"/>
      <c r="K24" s="136"/>
      <c r="L24" s="136"/>
      <c r="M24" s="136"/>
      <c r="N24" s="136"/>
      <c r="O24" s="136"/>
      <c r="P24" s="136"/>
      <c r="Q24" s="136"/>
      <c r="R24" s="136"/>
      <c r="S24" s="136"/>
      <c r="T24" s="136"/>
      <c r="U24" s="136"/>
      <c r="V24" s="136"/>
      <c r="W24" s="136"/>
      <c r="X24" s="136"/>
      <c r="Y24" s="136"/>
      <c r="Z24" s="136"/>
      <c r="AA24" s="136"/>
      <c r="AB24" s="136"/>
      <c r="AC24" s="367"/>
      <c r="AD24" s="161" t="s">
        <v>10</v>
      </c>
      <c r="AE24" s="139"/>
      <c r="AF24" s="139"/>
      <c r="AG24" s="526"/>
      <c r="AH24" s="526"/>
      <c r="AI24" s="526"/>
      <c r="AJ24" s="139"/>
      <c r="AK24" s="139"/>
      <c r="AL24" s="139"/>
      <c r="AM24" s="139"/>
      <c r="AN24" s="139"/>
      <c r="AO24" s="134"/>
      <c r="AP24" s="131"/>
      <c r="AQ24" s="131"/>
      <c r="AR24" s="131"/>
      <c r="AS24" s="131"/>
      <c r="AT24" s="131"/>
      <c r="AU24" s="131"/>
      <c r="AV24" s="131"/>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31"/>
      <c r="B25" s="366" t="s">
        <v>11</v>
      </c>
      <c r="C25" s="140"/>
      <c r="D25" s="136"/>
      <c r="E25" s="137"/>
      <c r="F25" s="138"/>
      <c r="G25" s="136"/>
      <c r="H25" s="137"/>
      <c r="I25" s="138"/>
      <c r="J25" s="136"/>
      <c r="K25" s="136"/>
      <c r="L25" s="136"/>
      <c r="M25" s="136"/>
      <c r="N25" s="136"/>
      <c r="O25" s="136"/>
      <c r="P25" s="136"/>
      <c r="Q25" s="136"/>
      <c r="R25" s="136"/>
      <c r="S25" s="136"/>
      <c r="T25" s="136"/>
      <c r="U25" s="136"/>
      <c r="V25" s="136"/>
      <c r="W25" s="136"/>
      <c r="X25" s="136"/>
      <c r="Y25" s="136"/>
      <c r="Z25" s="136"/>
      <c r="AA25" s="136"/>
      <c r="AB25" s="136"/>
      <c r="AC25" s="367"/>
      <c r="AD25" s="161" t="s">
        <v>11</v>
      </c>
      <c r="AE25" s="139"/>
      <c r="AF25" s="139"/>
      <c r="AG25" s="526"/>
      <c r="AH25" s="526"/>
      <c r="AI25" s="526"/>
      <c r="AJ25" s="139"/>
      <c r="AK25" s="139"/>
      <c r="AL25" s="139"/>
      <c r="AM25" s="139"/>
      <c r="AN25" s="139"/>
      <c r="AO25" s="134"/>
      <c r="AP25" s="131"/>
      <c r="AQ25" s="131"/>
      <c r="AR25" s="131"/>
      <c r="AS25" s="131"/>
      <c r="AT25" s="131"/>
      <c r="AU25" s="131"/>
      <c r="AV25" s="131"/>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31"/>
      <c r="B26" s="366" t="s">
        <v>218</v>
      </c>
      <c r="C26" s="140"/>
      <c r="D26" s="136"/>
      <c r="E26" s="137"/>
      <c r="F26" s="138"/>
      <c r="G26" s="136"/>
      <c r="H26" s="137"/>
      <c r="I26" s="138"/>
      <c r="J26" s="136"/>
      <c r="K26" s="136"/>
      <c r="L26" s="136"/>
      <c r="M26" s="136"/>
      <c r="N26" s="136"/>
      <c r="O26" s="136"/>
      <c r="P26" s="136"/>
      <c r="Q26" s="136"/>
      <c r="R26" s="136"/>
      <c r="S26" s="136"/>
      <c r="T26" s="136"/>
      <c r="U26" s="136"/>
      <c r="V26" s="136"/>
      <c r="W26" s="136"/>
      <c r="X26" s="136"/>
      <c r="Y26" s="136"/>
      <c r="Z26" s="136"/>
      <c r="AA26" s="136"/>
      <c r="AB26" s="136"/>
      <c r="AC26" s="367"/>
      <c r="AD26" s="161" t="s">
        <v>12</v>
      </c>
      <c r="AE26" s="139"/>
      <c r="AF26" s="139"/>
      <c r="AG26" s="526"/>
      <c r="AH26" s="526"/>
      <c r="AI26" s="526"/>
      <c r="AJ26" s="139"/>
      <c r="AK26" s="139"/>
      <c r="AL26" s="139"/>
      <c r="AM26" s="139"/>
      <c r="AN26" s="139"/>
      <c r="AO26" s="134"/>
      <c r="AP26" s="131"/>
      <c r="AQ26" s="131"/>
      <c r="AR26" s="131"/>
      <c r="AS26" s="131"/>
      <c r="AT26" s="131"/>
      <c r="AU26" s="131"/>
      <c r="AV26" s="131"/>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31"/>
      <c r="B27" s="366" t="s">
        <v>219</v>
      </c>
      <c r="C27" s="140"/>
      <c r="D27" s="136"/>
      <c r="E27" s="137"/>
      <c r="F27" s="138"/>
      <c r="G27" s="136"/>
      <c r="H27" s="137"/>
      <c r="I27" s="138"/>
      <c r="J27" s="136"/>
      <c r="K27" s="136"/>
      <c r="L27" s="136"/>
      <c r="M27" s="136"/>
      <c r="N27" s="136"/>
      <c r="O27" s="136"/>
      <c r="P27" s="136"/>
      <c r="Q27" s="136"/>
      <c r="R27" s="136"/>
      <c r="S27" s="136"/>
      <c r="T27" s="136"/>
      <c r="U27" s="136"/>
      <c r="V27" s="136"/>
      <c r="W27" s="136"/>
      <c r="X27" s="136"/>
      <c r="Y27" s="136"/>
      <c r="Z27" s="136"/>
      <c r="AA27" s="136"/>
      <c r="AB27" s="136"/>
      <c r="AC27" s="367"/>
      <c r="AD27" s="161" t="s">
        <v>13</v>
      </c>
      <c r="AE27" s="139"/>
      <c r="AF27" s="139"/>
      <c r="AG27" s="526"/>
      <c r="AH27" s="526"/>
      <c r="AI27" s="526"/>
      <c r="AJ27" s="139"/>
      <c r="AK27" s="139"/>
      <c r="AL27" s="139"/>
      <c r="AM27" s="139"/>
      <c r="AN27" s="139"/>
      <c r="AO27" s="134"/>
      <c r="AP27" s="131"/>
      <c r="AQ27" s="131"/>
      <c r="AR27" s="131"/>
      <c r="AS27" s="131"/>
      <c r="AT27" s="131"/>
      <c r="AU27" s="131"/>
      <c r="AV27" s="131"/>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31"/>
      <c r="B28" s="366" t="s">
        <v>220</v>
      </c>
      <c r="C28" s="140"/>
      <c r="D28" s="136"/>
      <c r="E28" s="137"/>
      <c r="F28" s="138"/>
      <c r="G28" s="136"/>
      <c r="H28" s="137"/>
      <c r="I28" s="138"/>
      <c r="J28" s="136"/>
      <c r="K28" s="136"/>
      <c r="L28" s="136"/>
      <c r="M28" s="136"/>
      <c r="N28" s="136"/>
      <c r="O28" s="136"/>
      <c r="P28" s="136"/>
      <c r="Q28" s="136"/>
      <c r="R28" s="136"/>
      <c r="S28" s="136"/>
      <c r="T28" s="136"/>
      <c r="U28" s="136"/>
      <c r="V28" s="136"/>
      <c r="W28" s="136"/>
      <c r="X28" s="136"/>
      <c r="Y28" s="136"/>
      <c r="Z28" s="136"/>
      <c r="AA28" s="136"/>
      <c r="AB28" s="136"/>
      <c r="AC28" s="367"/>
      <c r="AD28" s="161" t="s">
        <v>159</v>
      </c>
      <c r="AE28" s="139"/>
      <c r="AF28" s="139"/>
      <c r="AG28" s="526"/>
      <c r="AH28" s="526"/>
      <c r="AI28" s="526"/>
      <c r="AJ28" s="139"/>
      <c r="AK28" s="139"/>
      <c r="AL28" s="139"/>
      <c r="AM28" s="139"/>
      <c r="AN28" s="139"/>
      <c r="AO28" s="134"/>
      <c r="AP28" s="131"/>
      <c r="AQ28" s="131"/>
      <c r="AR28" s="131"/>
      <c r="AS28" s="131"/>
      <c r="AT28" s="131"/>
      <c r="AU28" s="131"/>
      <c r="AV28" s="131"/>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31"/>
      <c r="B29" s="366" t="s">
        <v>221</v>
      </c>
      <c r="C29" s="140"/>
      <c r="D29" s="136"/>
      <c r="E29" s="137"/>
      <c r="F29" s="138"/>
      <c r="G29" s="136"/>
      <c r="H29" s="137"/>
      <c r="I29" s="138"/>
      <c r="J29" s="136"/>
      <c r="K29" s="136"/>
      <c r="L29" s="136"/>
      <c r="M29" s="136"/>
      <c r="N29" s="136"/>
      <c r="O29" s="136"/>
      <c r="P29" s="136"/>
      <c r="Q29" s="136"/>
      <c r="R29" s="136"/>
      <c r="S29" s="136"/>
      <c r="T29" s="136"/>
      <c r="U29" s="136"/>
      <c r="V29" s="136"/>
      <c r="W29" s="136"/>
      <c r="X29" s="136"/>
      <c r="Y29" s="136"/>
      <c r="Z29" s="136"/>
      <c r="AA29" s="136"/>
      <c r="AB29" s="136"/>
      <c r="AC29" s="367"/>
      <c r="AD29" s="161" t="s">
        <v>14</v>
      </c>
      <c r="AE29" s="139"/>
      <c r="AF29" s="139"/>
      <c r="AG29" s="526"/>
      <c r="AH29" s="526"/>
      <c r="AI29" s="526"/>
      <c r="AJ29" s="139"/>
      <c r="AK29" s="139"/>
      <c r="AL29" s="139"/>
      <c r="AM29" s="139"/>
      <c r="AN29" s="139"/>
      <c r="AO29" s="134"/>
      <c r="AP29" s="131"/>
      <c r="AQ29" s="131"/>
      <c r="AR29" s="131"/>
      <c r="AS29" s="131"/>
      <c r="AT29" s="131"/>
      <c r="AU29" s="131"/>
      <c r="AV29" s="131"/>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31"/>
      <c r="B30" s="366" t="s">
        <v>222</v>
      </c>
      <c r="C30" s="140"/>
      <c r="D30" s="136"/>
      <c r="E30" s="137"/>
      <c r="F30" s="138"/>
      <c r="G30" s="136"/>
      <c r="H30" s="137"/>
      <c r="I30" s="138"/>
      <c r="J30" s="136"/>
      <c r="K30" s="136"/>
      <c r="L30" s="136"/>
      <c r="M30" s="136"/>
      <c r="N30" s="136"/>
      <c r="O30" s="136"/>
      <c r="P30" s="136"/>
      <c r="Q30" s="136"/>
      <c r="R30" s="136"/>
      <c r="S30" s="136"/>
      <c r="T30" s="136"/>
      <c r="U30" s="136"/>
      <c r="V30" s="136"/>
      <c r="W30" s="136"/>
      <c r="X30" s="136"/>
      <c r="Y30" s="136"/>
      <c r="Z30" s="136"/>
      <c r="AA30" s="136"/>
      <c r="AB30" s="136"/>
      <c r="AC30" s="367"/>
      <c r="AD30" s="161" t="s">
        <v>15</v>
      </c>
      <c r="AE30" s="139"/>
      <c r="AF30" s="139"/>
      <c r="AG30" s="526"/>
      <c r="AH30" s="526"/>
      <c r="AI30" s="526"/>
      <c r="AJ30" s="139"/>
      <c r="AK30" s="139"/>
      <c r="AL30" s="139"/>
      <c r="AM30" s="139"/>
      <c r="AN30" s="139"/>
      <c r="AO30" s="134"/>
      <c r="AP30" s="131"/>
      <c r="AQ30" s="131"/>
      <c r="AR30" s="131"/>
      <c r="AS30" s="131"/>
      <c r="AT30" s="131"/>
      <c r="AU30" s="131"/>
      <c r="AV30" s="131"/>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31"/>
      <c r="B31" s="366" t="s">
        <v>223</v>
      </c>
      <c r="C31" s="140"/>
      <c r="D31" s="136"/>
      <c r="E31" s="137"/>
      <c r="F31" s="138"/>
      <c r="G31" s="136"/>
      <c r="H31" s="137"/>
      <c r="I31" s="138"/>
      <c r="J31" s="136"/>
      <c r="K31" s="136"/>
      <c r="L31" s="136"/>
      <c r="M31" s="136"/>
      <c r="N31" s="136"/>
      <c r="O31" s="136"/>
      <c r="P31" s="136"/>
      <c r="Q31" s="136"/>
      <c r="R31" s="136"/>
      <c r="S31" s="136"/>
      <c r="T31" s="136"/>
      <c r="U31" s="136"/>
      <c r="V31" s="136"/>
      <c r="W31" s="136"/>
      <c r="X31" s="136"/>
      <c r="Y31" s="136"/>
      <c r="Z31" s="136"/>
      <c r="AA31" s="136"/>
      <c r="AB31" s="136"/>
      <c r="AC31" s="367"/>
      <c r="AD31" s="161" t="s">
        <v>16</v>
      </c>
      <c r="AE31" s="139"/>
      <c r="AF31" s="139"/>
      <c r="AG31" s="529"/>
      <c r="AH31" s="526"/>
      <c r="AI31" s="526"/>
      <c r="AJ31" s="139"/>
      <c r="AK31" s="139"/>
      <c r="AL31" s="139"/>
      <c r="AM31" s="139"/>
      <c r="AN31" s="139"/>
      <c r="AO31" s="134"/>
      <c r="AP31" s="131"/>
      <c r="AQ31" s="131"/>
      <c r="AR31" s="131"/>
      <c r="AS31" s="131"/>
      <c r="AT31" s="131"/>
      <c r="AU31" s="131"/>
      <c r="AV31" s="131"/>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31"/>
      <c r="B32" s="366" t="s">
        <v>224</v>
      </c>
      <c r="C32" s="140"/>
      <c r="D32" s="136"/>
      <c r="E32" s="137"/>
      <c r="F32" s="138"/>
      <c r="G32" s="136"/>
      <c r="H32" s="137"/>
      <c r="I32" s="138"/>
      <c r="J32" s="136"/>
      <c r="K32" s="136"/>
      <c r="L32" s="136"/>
      <c r="M32" s="136"/>
      <c r="N32" s="136"/>
      <c r="O32" s="136"/>
      <c r="P32" s="136"/>
      <c r="Q32" s="136"/>
      <c r="R32" s="136"/>
      <c r="S32" s="136"/>
      <c r="T32" s="136"/>
      <c r="U32" s="136"/>
      <c r="V32" s="136"/>
      <c r="W32" s="136"/>
      <c r="X32" s="136"/>
      <c r="Y32" s="136"/>
      <c r="Z32" s="136"/>
      <c r="AA32" s="136"/>
      <c r="AB32" s="136"/>
      <c r="AC32" s="367"/>
      <c r="AD32" s="161" t="s">
        <v>17</v>
      </c>
      <c r="AE32" s="139"/>
      <c r="AF32" s="139"/>
      <c r="AG32" s="526"/>
      <c r="AH32" s="526"/>
      <c r="AI32" s="526"/>
      <c r="AJ32" s="139"/>
      <c r="AK32" s="139"/>
      <c r="AL32" s="139"/>
      <c r="AM32" s="139"/>
      <c r="AN32" s="139"/>
      <c r="AO32" s="134"/>
      <c r="AP32" s="131"/>
      <c r="AQ32" s="131"/>
      <c r="AR32" s="131"/>
      <c r="AS32" s="131"/>
      <c r="AT32" s="131"/>
      <c r="AU32" s="131"/>
      <c r="AV32" s="131"/>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31"/>
      <c r="B33" s="366" t="s">
        <v>225</v>
      </c>
      <c r="C33" s="140"/>
      <c r="D33" s="136"/>
      <c r="E33" s="137"/>
      <c r="F33" s="138"/>
      <c r="G33" s="136"/>
      <c r="H33" s="137"/>
      <c r="I33" s="138"/>
      <c r="J33" s="136"/>
      <c r="K33" s="136"/>
      <c r="L33" s="136"/>
      <c r="M33" s="136"/>
      <c r="N33" s="136"/>
      <c r="O33" s="136"/>
      <c r="P33" s="136"/>
      <c r="Q33" s="136"/>
      <c r="R33" s="136"/>
      <c r="S33" s="136"/>
      <c r="T33" s="136"/>
      <c r="U33" s="136"/>
      <c r="V33" s="136"/>
      <c r="W33" s="136"/>
      <c r="X33" s="136"/>
      <c r="Y33" s="136"/>
      <c r="Z33" s="136"/>
      <c r="AA33" s="136"/>
      <c r="AB33" s="136"/>
      <c r="AC33" s="367"/>
      <c r="AD33" s="161" t="s">
        <v>18</v>
      </c>
      <c r="AE33" s="139"/>
      <c r="AF33" s="139"/>
      <c r="AG33" s="526"/>
      <c r="AH33" s="526"/>
      <c r="AI33" s="526"/>
      <c r="AJ33" s="139"/>
      <c r="AK33" s="139"/>
      <c r="AL33" s="139"/>
      <c r="AM33" s="139"/>
      <c r="AN33" s="139"/>
      <c r="AO33" s="134"/>
      <c r="AP33" s="131"/>
      <c r="AQ33" s="131"/>
      <c r="AR33" s="131"/>
      <c r="AS33" s="131"/>
      <c r="AT33" s="131"/>
      <c r="AU33" s="131"/>
      <c r="AV33" s="131"/>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31"/>
      <c r="B34" s="366" t="s">
        <v>226</v>
      </c>
      <c r="C34" s="140"/>
      <c r="D34" s="136"/>
      <c r="E34" s="137"/>
      <c r="F34" s="138"/>
      <c r="G34" s="136"/>
      <c r="H34" s="137"/>
      <c r="I34" s="138"/>
      <c r="J34" s="136"/>
      <c r="K34" s="136"/>
      <c r="L34" s="136"/>
      <c r="M34" s="136"/>
      <c r="N34" s="136"/>
      <c r="O34" s="136"/>
      <c r="P34" s="136"/>
      <c r="Q34" s="136"/>
      <c r="R34" s="136"/>
      <c r="S34" s="136"/>
      <c r="T34" s="136"/>
      <c r="U34" s="136"/>
      <c r="V34" s="136"/>
      <c r="W34" s="136"/>
      <c r="X34" s="136"/>
      <c r="Y34" s="136"/>
      <c r="Z34" s="136"/>
      <c r="AA34" s="136"/>
      <c r="AB34" s="136"/>
      <c r="AC34" s="367"/>
      <c r="AD34" s="161" t="s">
        <v>19</v>
      </c>
      <c r="AE34" s="139"/>
      <c r="AF34" s="139"/>
      <c r="AG34" s="526"/>
      <c r="AH34" s="526"/>
      <c r="AI34" s="526"/>
      <c r="AJ34" s="139"/>
      <c r="AK34" s="139"/>
      <c r="AL34" s="139"/>
      <c r="AM34" s="139"/>
      <c r="AN34" s="139"/>
      <c r="AO34" s="134"/>
      <c r="AP34" s="131"/>
      <c r="AQ34" s="131"/>
      <c r="AR34" s="131"/>
      <c r="AS34" s="131"/>
      <c r="AT34" s="131"/>
      <c r="AU34" s="131"/>
      <c r="AV34" s="131"/>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31"/>
      <c r="B35" s="366" t="s">
        <v>227</v>
      </c>
      <c r="C35" s="140"/>
      <c r="D35" s="136"/>
      <c r="E35" s="137"/>
      <c r="F35" s="138"/>
      <c r="G35" s="136"/>
      <c r="H35" s="137"/>
      <c r="I35" s="138"/>
      <c r="J35" s="136"/>
      <c r="K35" s="136"/>
      <c r="L35" s="136"/>
      <c r="M35" s="136"/>
      <c r="N35" s="136"/>
      <c r="O35" s="136"/>
      <c r="P35" s="136"/>
      <c r="Q35" s="136"/>
      <c r="R35" s="136"/>
      <c r="S35" s="136"/>
      <c r="T35" s="136"/>
      <c r="U35" s="136"/>
      <c r="V35" s="136"/>
      <c r="W35" s="136"/>
      <c r="X35" s="136"/>
      <c r="Y35" s="136"/>
      <c r="Z35" s="136"/>
      <c r="AA35" s="136"/>
      <c r="AB35" s="136"/>
      <c r="AC35" s="367"/>
      <c r="AD35" s="161" t="s">
        <v>20</v>
      </c>
      <c r="AE35" s="139"/>
      <c r="AF35" s="139"/>
      <c r="AG35" s="139"/>
      <c r="AH35" s="139"/>
      <c r="AI35" s="139"/>
      <c r="AJ35" s="139"/>
      <c r="AK35" s="139"/>
      <c r="AL35" s="139"/>
      <c r="AM35" s="139"/>
      <c r="AN35" s="139"/>
      <c r="AO35" s="134"/>
      <c r="AP35" s="131"/>
      <c r="AQ35" s="131"/>
      <c r="AR35" s="131"/>
      <c r="AS35" s="131"/>
      <c r="AT35" s="131"/>
      <c r="AU35" s="131"/>
      <c r="AV35" s="131"/>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31"/>
      <c r="B36" s="366" t="s">
        <v>228</v>
      </c>
      <c r="C36" s="140"/>
      <c r="D36" s="136"/>
      <c r="E36" s="137"/>
      <c r="F36" s="138"/>
      <c r="G36" s="136"/>
      <c r="H36" s="137"/>
      <c r="I36" s="138"/>
      <c r="J36" s="136"/>
      <c r="K36" s="136"/>
      <c r="L36" s="136"/>
      <c r="M36" s="136"/>
      <c r="N36" s="136"/>
      <c r="O36" s="136"/>
      <c r="P36" s="136"/>
      <c r="Q36" s="136"/>
      <c r="R36" s="136"/>
      <c r="S36" s="136"/>
      <c r="T36" s="136"/>
      <c r="U36" s="136"/>
      <c r="V36" s="136"/>
      <c r="W36" s="136"/>
      <c r="X36" s="136"/>
      <c r="Y36" s="136"/>
      <c r="Z36" s="136"/>
      <c r="AA36" s="136"/>
      <c r="AB36" s="136"/>
      <c r="AC36" s="367"/>
      <c r="AD36" s="161" t="s">
        <v>21</v>
      </c>
      <c r="AE36" s="139"/>
      <c r="AF36" s="139"/>
      <c r="AG36" s="139"/>
      <c r="AH36" s="139"/>
      <c r="AI36" s="139"/>
      <c r="AJ36" s="139"/>
      <c r="AK36" s="139"/>
      <c r="AL36" s="139"/>
      <c r="AM36" s="139"/>
      <c r="AN36" s="139"/>
      <c r="AO36" s="134"/>
      <c r="AP36" s="131"/>
      <c r="AQ36" s="131"/>
      <c r="AR36" s="131"/>
      <c r="AS36" s="131"/>
      <c r="AT36" s="131"/>
      <c r="AU36" s="131"/>
      <c r="AV36" s="131"/>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31"/>
      <c r="B37" s="366" t="s">
        <v>229</v>
      </c>
      <c r="C37" s="140"/>
      <c r="D37" s="136"/>
      <c r="E37" s="137"/>
      <c r="F37" s="138"/>
      <c r="G37" s="136"/>
      <c r="H37" s="137"/>
      <c r="I37" s="138"/>
      <c r="J37" s="136"/>
      <c r="K37" s="136"/>
      <c r="L37" s="136"/>
      <c r="M37" s="136"/>
      <c r="N37" s="136"/>
      <c r="O37" s="136"/>
      <c r="P37" s="136"/>
      <c r="Q37" s="136"/>
      <c r="R37" s="136"/>
      <c r="S37" s="136"/>
      <c r="T37" s="136"/>
      <c r="U37" s="136"/>
      <c r="V37" s="136"/>
      <c r="W37" s="136"/>
      <c r="X37" s="136"/>
      <c r="Y37" s="136"/>
      <c r="Z37" s="136"/>
      <c r="AA37" s="136"/>
      <c r="AB37" s="136"/>
      <c r="AC37" s="367"/>
      <c r="AD37" s="161" t="s">
        <v>22</v>
      </c>
      <c r="AE37" s="139"/>
      <c r="AF37" s="139"/>
      <c r="AG37" s="139"/>
      <c r="AH37" s="139"/>
      <c r="AI37" s="139"/>
      <c r="AJ37" s="139"/>
      <c r="AK37" s="139"/>
      <c r="AL37" s="139"/>
      <c r="AM37" s="139"/>
      <c r="AN37" s="139"/>
      <c r="AO37" s="134"/>
      <c r="AP37" s="131"/>
      <c r="AQ37" s="131"/>
      <c r="AR37" s="131"/>
      <c r="AS37" s="131"/>
      <c r="AT37" s="131"/>
      <c r="AU37" s="131"/>
      <c r="AV37" s="131"/>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31"/>
      <c r="B38" s="366" t="s">
        <v>230</v>
      </c>
      <c r="C38" s="140"/>
      <c r="D38" s="136"/>
      <c r="E38" s="137"/>
      <c r="F38" s="138"/>
      <c r="G38" s="136"/>
      <c r="H38" s="137"/>
      <c r="I38" s="138"/>
      <c r="J38" s="136"/>
      <c r="K38" s="136"/>
      <c r="L38" s="136"/>
      <c r="M38" s="136"/>
      <c r="N38" s="136"/>
      <c r="O38" s="136"/>
      <c r="P38" s="136"/>
      <c r="Q38" s="136"/>
      <c r="R38" s="136"/>
      <c r="S38" s="136"/>
      <c r="T38" s="136"/>
      <c r="U38" s="136"/>
      <c r="V38" s="136"/>
      <c r="W38" s="136"/>
      <c r="X38" s="136"/>
      <c r="Y38" s="136"/>
      <c r="Z38" s="136"/>
      <c r="AA38" s="136"/>
      <c r="AB38" s="136"/>
      <c r="AC38" s="367"/>
      <c r="AD38" s="161" t="s">
        <v>23</v>
      </c>
      <c r="AE38" s="139"/>
      <c r="AF38" s="139"/>
      <c r="AG38" s="139"/>
      <c r="AH38" s="139"/>
      <c r="AI38" s="139"/>
      <c r="AJ38" s="139"/>
      <c r="AK38" s="139"/>
      <c r="AL38" s="139"/>
      <c r="AM38" s="139"/>
      <c r="AN38" s="139"/>
      <c r="AO38" s="134"/>
      <c r="AP38" s="131"/>
      <c r="AQ38" s="131"/>
      <c r="AR38" s="131"/>
      <c r="AS38" s="131"/>
      <c r="AT38" s="131"/>
      <c r="AU38" s="131"/>
      <c r="AV38" s="131"/>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31"/>
      <c r="B39" s="366" t="s">
        <v>231</v>
      </c>
      <c r="C39" s="140"/>
      <c r="D39" s="136"/>
      <c r="E39" s="137"/>
      <c r="F39" s="138"/>
      <c r="G39" s="136"/>
      <c r="H39" s="137"/>
      <c r="I39" s="138"/>
      <c r="J39" s="136"/>
      <c r="K39" s="136"/>
      <c r="L39" s="136"/>
      <c r="M39" s="136"/>
      <c r="N39" s="136"/>
      <c r="O39" s="136"/>
      <c r="P39" s="136"/>
      <c r="Q39" s="136"/>
      <c r="R39" s="136"/>
      <c r="S39" s="136"/>
      <c r="T39" s="136"/>
      <c r="U39" s="136"/>
      <c r="V39" s="136"/>
      <c r="W39" s="136"/>
      <c r="X39" s="136"/>
      <c r="Y39" s="136"/>
      <c r="Z39" s="136"/>
      <c r="AA39" s="136"/>
      <c r="AB39" s="136"/>
      <c r="AC39" s="367"/>
      <c r="AD39" s="161" t="s">
        <v>24</v>
      </c>
      <c r="AE39" s="139"/>
      <c r="AF39" s="139"/>
      <c r="AG39" s="139"/>
      <c r="AH39" s="139"/>
      <c r="AI39" s="139"/>
      <c r="AJ39" s="139"/>
      <c r="AK39" s="139"/>
      <c r="AL39" s="139"/>
      <c r="AM39" s="139"/>
      <c r="AN39" s="139"/>
      <c r="AO39" s="134"/>
      <c r="AP39" s="131"/>
      <c r="AQ39" s="131"/>
      <c r="AR39" s="131"/>
      <c r="AS39" s="131"/>
      <c r="AT39" s="131"/>
      <c r="AU39" s="131"/>
      <c r="AV39" s="131"/>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31"/>
      <c r="B40" s="366" t="s">
        <v>232</v>
      </c>
      <c r="C40" s="140"/>
      <c r="D40" s="136"/>
      <c r="E40" s="137"/>
      <c r="F40" s="138"/>
      <c r="G40" s="136"/>
      <c r="H40" s="137"/>
      <c r="I40" s="138"/>
      <c r="J40" s="136"/>
      <c r="K40" s="136"/>
      <c r="L40" s="136"/>
      <c r="M40" s="136"/>
      <c r="N40" s="136"/>
      <c r="O40" s="136"/>
      <c r="P40" s="136"/>
      <c r="Q40" s="136"/>
      <c r="R40" s="136"/>
      <c r="S40" s="136"/>
      <c r="T40" s="136"/>
      <c r="U40" s="136"/>
      <c r="V40" s="136"/>
      <c r="W40" s="136"/>
      <c r="X40" s="136"/>
      <c r="Y40" s="136"/>
      <c r="Z40" s="136"/>
      <c r="AA40" s="136"/>
      <c r="AB40" s="136"/>
      <c r="AC40" s="367"/>
      <c r="AD40" s="161" t="s">
        <v>25</v>
      </c>
      <c r="AE40" s="139"/>
      <c r="AF40" s="139"/>
      <c r="AG40" s="139"/>
      <c r="AH40" s="139"/>
      <c r="AI40" s="139"/>
      <c r="AJ40" s="139"/>
      <c r="AK40" s="139"/>
      <c r="AL40" s="139"/>
      <c r="AM40" s="139"/>
      <c r="AN40" s="139"/>
      <c r="AO40" s="134"/>
      <c r="AP40" s="131"/>
      <c r="AQ40" s="131"/>
      <c r="AR40" s="131"/>
      <c r="AS40" s="131"/>
      <c r="AT40" s="131"/>
      <c r="AU40" s="131"/>
      <c r="AV40" s="131"/>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31"/>
      <c r="B41" s="366" t="s">
        <v>233</v>
      </c>
      <c r="C41" s="140"/>
      <c r="D41" s="136"/>
      <c r="E41" s="137"/>
      <c r="F41" s="138"/>
      <c r="G41" s="136"/>
      <c r="H41" s="137"/>
      <c r="I41" s="138"/>
      <c r="J41" s="136"/>
      <c r="K41" s="136"/>
      <c r="L41" s="136"/>
      <c r="M41" s="136"/>
      <c r="N41" s="136"/>
      <c r="O41" s="136"/>
      <c r="P41" s="136"/>
      <c r="Q41" s="136"/>
      <c r="R41" s="136"/>
      <c r="S41" s="136"/>
      <c r="T41" s="136"/>
      <c r="U41" s="136"/>
      <c r="V41" s="136"/>
      <c r="W41" s="136"/>
      <c r="X41" s="136"/>
      <c r="Y41" s="136"/>
      <c r="Z41" s="136"/>
      <c r="AA41" s="136"/>
      <c r="AB41" s="136"/>
      <c r="AC41" s="367"/>
      <c r="AD41" s="161" t="s">
        <v>26</v>
      </c>
      <c r="AE41" s="139"/>
      <c r="AF41" s="139"/>
      <c r="AG41" s="139"/>
      <c r="AH41" s="139"/>
      <c r="AI41" s="139"/>
      <c r="AJ41" s="139"/>
      <c r="AK41" s="139"/>
      <c r="AL41" s="139"/>
      <c r="AM41" s="139"/>
      <c r="AN41" s="139"/>
      <c r="AO41" s="134"/>
      <c r="AP41" s="131"/>
      <c r="AQ41" s="131"/>
      <c r="AR41" s="131"/>
      <c r="AS41" s="131"/>
      <c r="AT41" s="131"/>
      <c r="AU41" s="131"/>
      <c r="AV41" s="131"/>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31"/>
      <c r="B42" s="366" t="s">
        <v>234</v>
      </c>
      <c r="C42" s="140"/>
      <c r="D42" s="136"/>
      <c r="E42" s="137"/>
      <c r="F42" s="138"/>
      <c r="G42" s="136"/>
      <c r="H42" s="137"/>
      <c r="I42" s="138"/>
      <c r="J42" s="136"/>
      <c r="K42" s="136"/>
      <c r="L42" s="136"/>
      <c r="M42" s="136"/>
      <c r="N42" s="136"/>
      <c r="O42" s="136"/>
      <c r="P42" s="136"/>
      <c r="Q42" s="136"/>
      <c r="R42" s="136"/>
      <c r="S42" s="136"/>
      <c r="T42" s="136"/>
      <c r="U42" s="136"/>
      <c r="V42" s="136"/>
      <c r="W42" s="136"/>
      <c r="X42" s="136"/>
      <c r="Y42" s="136"/>
      <c r="Z42" s="136"/>
      <c r="AA42" s="136"/>
      <c r="AB42" s="136"/>
      <c r="AC42" s="367"/>
      <c r="AD42" s="161" t="s">
        <v>27</v>
      </c>
      <c r="AE42" s="139"/>
      <c r="AF42" s="139"/>
      <c r="AG42" s="139"/>
      <c r="AH42" s="139"/>
      <c r="AI42" s="139"/>
      <c r="AJ42" s="139"/>
      <c r="AK42" s="139"/>
      <c r="AL42" s="139"/>
      <c r="AM42" s="139"/>
      <c r="AN42" s="139"/>
      <c r="AO42" s="134"/>
      <c r="AP42" s="131"/>
      <c r="AQ42" s="131"/>
      <c r="AR42" s="131"/>
      <c r="AS42" s="131"/>
      <c r="AT42" s="131"/>
      <c r="AU42" s="131"/>
      <c r="AV42" s="131"/>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31"/>
      <c r="B43" s="366" t="s">
        <v>235</v>
      </c>
      <c r="C43" s="140"/>
      <c r="D43" s="136"/>
      <c r="E43" s="137"/>
      <c r="F43" s="138"/>
      <c r="G43" s="136"/>
      <c r="H43" s="137"/>
      <c r="I43" s="138"/>
      <c r="J43" s="136"/>
      <c r="K43" s="136"/>
      <c r="L43" s="136"/>
      <c r="M43" s="136"/>
      <c r="N43" s="136"/>
      <c r="O43" s="136"/>
      <c r="P43" s="136"/>
      <c r="Q43" s="136"/>
      <c r="R43" s="136"/>
      <c r="S43" s="136"/>
      <c r="T43" s="136"/>
      <c r="U43" s="136"/>
      <c r="V43" s="136"/>
      <c r="W43" s="136"/>
      <c r="X43" s="136"/>
      <c r="Y43" s="136"/>
      <c r="Z43" s="136"/>
      <c r="AA43" s="136"/>
      <c r="AB43" s="136"/>
      <c r="AC43" s="367"/>
      <c r="AD43" s="161" t="s">
        <v>28</v>
      </c>
      <c r="AE43" s="139"/>
      <c r="AF43" s="139"/>
      <c r="AG43" s="139"/>
      <c r="AH43" s="139"/>
      <c r="AI43" s="139"/>
      <c r="AJ43" s="139"/>
      <c r="AK43" s="139"/>
      <c r="AL43" s="139"/>
      <c r="AM43" s="139"/>
      <c r="AN43" s="139"/>
      <c r="AO43" s="134"/>
      <c r="AP43" s="131"/>
      <c r="AQ43" s="131"/>
      <c r="AR43" s="131"/>
      <c r="AS43" s="131"/>
      <c r="AT43" s="131"/>
      <c r="AU43" s="131"/>
      <c r="AV43" s="131"/>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31"/>
      <c r="B44" s="366" t="s">
        <v>236</v>
      </c>
      <c r="C44" s="140"/>
      <c r="D44" s="136"/>
      <c r="E44" s="137"/>
      <c r="F44" s="138"/>
      <c r="G44" s="136"/>
      <c r="H44" s="137"/>
      <c r="I44" s="138"/>
      <c r="J44" s="136"/>
      <c r="K44" s="136"/>
      <c r="L44" s="136"/>
      <c r="M44" s="136"/>
      <c r="N44" s="136"/>
      <c r="O44" s="136"/>
      <c r="P44" s="136"/>
      <c r="Q44" s="136"/>
      <c r="R44" s="136"/>
      <c r="S44" s="136"/>
      <c r="T44" s="136"/>
      <c r="U44" s="136"/>
      <c r="V44" s="136"/>
      <c r="W44" s="136"/>
      <c r="X44" s="136"/>
      <c r="Y44" s="136"/>
      <c r="Z44" s="136"/>
      <c r="AA44" s="136"/>
      <c r="AB44" s="136"/>
      <c r="AC44" s="367"/>
      <c r="AD44" s="161" t="s">
        <v>29</v>
      </c>
      <c r="AE44" s="139"/>
      <c r="AF44" s="139"/>
      <c r="AG44" s="139"/>
      <c r="AH44" s="139"/>
      <c r="AI44" s="139"/>
      <c r="AJ44" s="139"/>
      <c r="AK44" s="139"/>
      <c r="AL44" s="139"/>
      <c r="AM44" s="139"/>
      <c r="AN44" s="139"/>
      <c r="AO44" s="134"/>
      <c r="AP44" s="131"/>
      <c r="AQ44" s="131"/>
      <c r="AR44" s="131"/>
      <c r="AS44" s="131"/>
      <c r="AT44" s="131"/>
      <c r="AU44" s="131"/>
      <c r="AV44" s="131"/>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31"/>
      <c r="B45" s="366" t="s">
        <v>237</v>
      </c>
      <c r="C45" s="140"/>
      <c r="D45" s="136"/>
      <c r="E45" s="137"/>
      <c r="F45" s="138"/>
      <c r="G45" s="136"/>
      <c r="H45" s="137"/>
      <c r="I45" s="138"/>
      <c r="J45" s="136"/>
      <c r="K45" s="136"/>
      <c r="L45" s="136"/>
      <c r="M45" s="136"/>
      <c r="N45" s="136"/>
      <c r="O45" s="136"/>
      <c r="P45" s="136"/>
      <c r="Q45" s="136"/>
      <c r="R45" s="136"/>
      <c r="S45" s="136"/>
      <c r="T45" s="136"/>
      <c r="U45" s="136"/>
      <c r="V45" s="136"/>
      <c r="W45" s="136"/>
      <c r="X45" s="136"/>
      <c r="Y45" s="136"/>
      <c r="Z45" s="136"/>
      <c r="AA45" s="136"/>
      <c r="AB45" s="136"/>
      <c r="AC45" s="367"/>
      <c r="AD45" s="161" t="s">
        <v>30</v>
      </c>
      <c r="AE45" s="139"/>
      <c r="AF45" s="139"/>
      <c r="AG45" s="139"/>
      <c r="AH45" s="139"/>
      <c r="AI45" s="139"/>
      <c r="AJ45" s="139"/>
      <c r="AK45" s="139"/>
      <c r="AL45" s="139"/>
      <c r="AM45" s="139"/>
      <c r="AN45" s="139"/>
      <c r="AO45" s="134"/>
      <c r="AP45" s="131"/>
      <c r="AQ45" s="131"/>
      <c r="AR45" s="131"/>
      <c r="AS45" s="131"/>
      <c r="AT45" s="131"/>
      <c r="AU45" s="131"/>
      <c r="AV45" s="131"/>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31"/>
      <c r="B46" s="366" t="s">
        <v>238</v>
      </c>
      <c r="C46" s="140"/>
      <c r="D46" s="136"/>
      <c r="E46" s="137"/>
      <c r="F46" s="138"/>
      <c r="G46" s="136"/>
      <c r="H46" s="137"/>
      <c r="I46" s="138"/>
      <c r="J46" s="136"/>
      <c r="K46" s="136"/>
      <c r="L46" s="136"/>
      <c r="M46" s="136"/>
      <c r="N46" s="136"/>
      <c r="O46" s="136"/>
      <c r="P46" s="136"/>
      <c r="Q46" s="136"/>
      <c r="R46" s="136"/>
      <c r="S46" s="136"/>
      <c r="T46" s="136"/>
      <c r="U46" s="136"/>
      <c r="V46" s="136"/>
      <c r="W46" s="136"/>
      <c r="X46" s="136"/>
      <c r="Y46" s="136"/>
      <c r="Z46" s="136"/>
      <c r="AA46" s="136"/>
      <c r="AB46" s="136"/>
      <c r="AC46" s="367"/>
      <c r="AD46" s="161" t="s">
        <v>31</v>
      </c>
      <c r="AE46" s="139"/>
      <c r="AF46" s="139"/>
      <c r="AG46" s="139"/>
      <c r="AH46" s="139"/>
      <c r="AI46" s="139"/>
      <c r="AJ46" s="139"/>
      <c r="AK46" s="139"/>
      <c r="AL46" s="139"/>
      <c r="AM46" s="139"/>
      <c r="AN46" s="139"/>
      <c r="AO46" s="134"/>
      <c r="AP46" s="131"/>
      <c r="AQ46" s="131"/>
      <c r="AR46" s="131"/>
      <c r="AS46" s="131"/>
      <c r="AT46" s="131"/>
      <c r="AU46" s="131"/>
      <c r="AV46" s="131"/>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31"/>
      <c r="B47" s="366" t="s">
        <v>239</v>
      </c>
      <c r="C47" s="140"/>
      <c r="D47" s="136"/>
      <c r="E47" s="137"/>
      <c r="F47" s="138"/>
      <c r="G47" s="136"/>
      <c r="H47" s="137"/>
      <c r="I47" s="138"/>
      <c r="J47" s="136"/>
      <c r="K47" s="136"/>
      <c r="L47" s="136"/>
      <c r="M47" s="136"/>
      <c r="N47" s="136"/>
      <c r="O47" s="136"/>
      <c r="P47" s="136"/>
      <c r="Q47" s="136"/>
      <c r="R47" s="136"/>
      <c r="S47" s="136"/>
      <c r="T47" s="136"/>
      <c r="U47" s="136"/>
      <c r="V47" s="136"/>
      <c r="W47" s="136"/>
      <c r="X47" s="136"/>
      <c r="Y47" s="136"/>
      <c r="Z47" s="136"/>
      <c r="AA47" s="136"/>
      <c r="AB47" s="136"/>
      <c r="AC47" s="367"/>
      <c r="AD47" s="161" t="s">
        <v>32</v>
      </c>
      <c r="AE47" s="139"/>
      <c r="AF47" s="139"/>
      <c r="AG47" s="139"/>
      <c r="AH47" s="139"/>
      <c r="AI47" s="139"/>
      <c r="AJ47" s="139"/>
      <c r="AK47" s="139"/>
      <c r="AL47" s="139"/>
      <c r="AM47" s="139"/>
      <c r="AN47" s="139"/>
      <c r="AO47" s="134"/>
      <c r="AP47" s="131"/>
      <c r="AQ47" s="131"/>
      <c r="AR47" s="131"/>
      <c r="AS47" s="131"/>
      <c r="AT47" s="131"/>
      <c r="AU47" s="131"/>
      <c r="AV47" s="131"/>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31"/>
      <c r="B48" s="366" t="s">
        <v>240</v>
      </c>
      <c r="C48" s="140"/>
      <c r="D48" s="136"/>
      <c r="E48" s="137"/>
      <c r="F48" s="138"/>
      <c r="G48" s="136"/>
      <c r="H48" s="137"/>
      <c r="I48" s="138"/>
      <c r="J48" s="136"/>
      <c r="K48" s="136"/>
      <c r="L48" s="136"/>
      <c r="M48" s="136"/>
      <c r="N48" s="136"/>
      <c r="O48" s="136"/>
      <c r="P48" s="136"/>
      <c r="Q48" s="136"/>
      <c r="R48" s="136"/>
      <c r="S48" s="136"/>
      <c r="T48" s="136"/>
      <c r="U48" s="136"/>
      <c r="V48" s="136"/>
      <c r="W48" s="136"/>
      <c r="X48" s="136"/>
      <c r="Y48" s="136"/>
      <c r="Z48" s="136"/>
      <c r="AA48" s="136"/>
      <c r="AB48" s="136"/>
      <c r="AC48" s="367"/>
      <c r="AD48" s="161" t="s">
        <v>33</v>
      </c>
      <c r="AE48" s="139"/>
      <c r="AF48" s="139"/>
      <c r="AG48" s="139"/>
      <c r="AH48" s="139"/>
      <c r="AI48" s="139"/>
      <c r="AJ48" s="139"/>
      <c r="AK48" s="139"/>
      <c r="AL48" s="139"/>
      <c r="AM48" s="139"/>
      <c r="AN48" s="139"/>
      <c r="AO48" s="134"/>
      <c r="AP48" s="131"/>
      <c r="AQ48" s="131"/>
      <c r="AR48" s="131"/>
      <c r="AS48" s="131"/>
      <c r="AT48" s="131"/>
      <c r="AU48" s="131"/>
      <c r="AV48" s="131"/>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31"/>
      <c r="B49" s="366" t="s">
        <v>241</v>
      </c>
      <c r="C49" s="140"/>
      <c r="D49" s="136"/>
      <c r="E49" s="137"/>
      <c r="F49" s="138"/>
      <c r="G49" s="136"/>
      <c r="H49" s="137"/>
      <c r="I49" s="138"/>
      <c r="J49" s="136"/>
      <c r="K49" s="136"/>
      <c r="L49" s="136"/>
      <c r="M49" s="136"/>
      <c r="N49" s="136"/>
      <c r="O49" s="136"/>
      <c r="P49" s="136"/>
      <c r="Q49" s="136"/>
      <c r="R49" s="136"/>
      <c r="S49" s="136"/>
      <c r="T49" s="136"/>
      <c r="U49" s="136"/>
      <c r="V49" s="136"/>
      <c r="W49" s="136"/>
      <c r="X49" s="136"/>
      <c r="Y49" s="136"/>
      <c r="Z49" s="136"/>
      <c r="AA49" s="136"/>
      <c r="AB49" s="136"/>
      <c r="AC49" s="367"/>
      <c r="AD49" s="161" t="s">
        <v>34</v>
      </c>
      <c r="AE49" s="139"/>
      <c r="AF49" s="139"/>
      <c r="AG49" s="139"/>
      <c r="AH49" s="139"/>
      <c r="AI49" s="139"/>
      <c r="AJ49" s="139"/>
      <c r="AK49" s="139"/>
      <c r="AL49" s="139"/>
      <c r="AM49" s="139"/>
      <c r="AN49" s="139"/>
      <c r="AO49" s="134"/>
      <c r="AP49" s="131"/>
      <c r="AQ49" s="131"/>
      <c r="AR49" s="131"/>
      <c r="AS49" s="131"/>
      <c r="AT49" s="131"/>
      <c r="AU49" s="131"/>
      <c r="AV49" s="131"/>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31"/>
      <c r="B50" s="366" t="s">
        <v>242</v>
      </c>
      <c r="C50" s="140"/>
      <c r="D50" s="136"/>
      <c r="E50" s="137"/>
      <c r="F50" s="138"/>
      <c r="G50" s="136"/>
      <c r="H50" s="137"/>
      <c r="I50" s="138"/>
      <c r="J50" s="136"/>
      <c r="K50" s="136"/>
      <c r="L50" s="136"/>
      <c r="M50" s="136"/>
      <c r="N50" s="136"/>
      <c r="O50" s="136"/>
      <c r="P50" s="136"/>
      <c r="Q50" s="136"/>
      <c r="R50" s="136"/>
      <c r="S50" s="136"/>
      <c r="T50" s="136"/>
      <c r="U50" s="136"/>
      <c r="V50" s="136"/>
      <c r="W50" s="136"/>
      <c r="X50" s="136"/>
      <c r="Y50" s="136"/>
      <c r="Z50" s="136"/>
      <c r="AA50" s="136"/>
      <c r="AB50" s="136"/>
      <c r="AC50" s="367"/>
      <c r="AD50" s="161" t="s">
        <v>35</v>
      </c>
      <c r="AE50" s="139"/>
      <c r="AF50" s="139"/>
      <c r="AG50" s="139"/>
      <c r="AH50" s="139"/>
      <c r="AI50" s="139"/>
      <c r="AJ50" s="139"/>
      <c r="AK50" s="139"/>
      <c r="AL50" s="139"/>
      <c r="AM50" s="139"/>
      <c r="AN50" s="139"/>
      <c r="AO50" s="134"/>
      <c r="AP50" s="131"/>
      <c r="AQ50" s="131"/>
      <c r="AR50" s="131"/>
      <c r="AS50" s="131"/>
      <c r="AT50" s="131"/>
      <c r="AU50" s="131"/>
      <c r="AV50" s="131"/>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31"/>
      <c r="B51" s="366" t="s">
        <v>243</v>
      </c>
      <c r="C51" s="140"/>
      <c r="D51" s="136"/>
      <c r="E51" s="137"/>
      <c r="F51" s="138"/>
      <c r="G51" s="136"/>
      <c r="H51" s="137"/>
      <c r="I51" s="138"/>
      <c r="J51" s="136"/>
      <c r="K51" s="136"/>
      <c r="L51" s="136"/>
      <c r="M51" s="136"/>
      <c r="N51" s="136"/>
      <c r="O51" s="136"/>
      <c r="P51" s="136"/>
      <c r="Q51" s="136"/>
      <c r="R51" s="136"/>
      <c r="S51" s="136"/>
      <c r="T51" s="136"/>
      <c r="U51" s="136"/>
      <c r="V51" s="136"/>
      <c r="W51" s="136"/>
      <c r="X51" s="136"/>
      <c r="Y51" s="136"/>
      <c r="Z51" s="136"/>
      <c r="AA51" s="136"/>
      <c r="AB51" s="136"/>
      <c r="AC51" s="367"/>
      <c r="AD51" s="161" t="s">
        <v>36</v>
      </c>
      <c r="AE51" s="139"/>
      <c r="AF51" s="139"/>
      <c r="AG51" s="139"/>
      <c r="AH51" s="139"/>
      <c r="AI51" s="139"/>
      <c r="AJ51" s="139"/>
      <c r="AK51" s="139"/>
      <c r="AL51" s="139"/>
      <c r="AM51" s="139"/>
      <c r="AN51" s="139"/>
      <c r="AO51" s="134"/>
      <c r="AP51" s="131"/>
      <c r="AQ51" s="131"/>
      <c r="AR51" s="131"/>
      <c r="AS51" s="131"/>
      <c r="AT51" s="131"/>
      <c r="AU51" s="131"/>
      <c r="AV51" s="131"/>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31"/>
      <c r="B52" s="366" t="s">
        <v>244</v>
      </c>
      <c r="C52" s="140"/>
      <c r="D52" s="136"/>
      <c r="E52" s="137"/>
      <c r="F52" s="138"/>
      <c r="G52" s="136"/>
      <c r="H52" s="137"/>
      <c r="I52" s="138"/>
      <c r="J52" s="136"/>
      <c r="K52" s="136"/>
      <c r="L52" s="136"/>
      <c r="M52" s="136"/>
      <c r="N52" s="136"/>
      <c r="O52" s="136"/>
      <c r="P52" s="136"/>
      <c r="Q52" s="136"/>
      <c r="R52" s="136"/>
      <c r="S52" s="136"/>
      <c r="T52" s="136"/>
      <c r="U52" s="136"/>
      <c r="V52" s="136"/>
      <c r="W52" s="136"/>
      <c r="X52" s="136"/>
      <c r="Y52" s="136"/>
      <c r="Z52" s="136"/>
      <c r="AA52" s="136"/>
      <c r="AB52" s="136"/>
      <c r="AC52" s="367"/>
      <c r="AD52" s="161" t="s">
        <v>37</v>
      </c>
      <c r="AE52" s="139"/>
      <c r="AF52" s="139"/>
      <c r="AG52" s="139"/>
      <c r="AH52" s="139"/>
      <c r="AI52" s="139"/>
      <c r="AJ52" s="139"/>
      <c r="AK52" s="139"/>
      <c r="AL52" s="139"/>
      <c r="AM52" s="139"/>
      <c r="AN52" s="139"/>
      <c r="AO52" s="134"/>
      <c r="AP52" s="131"/>
      <c r="AQ52" s="131"/>
      <c r="AR52" s="131"/>
      <c r="AS52" s="131"/>
      <c r="AT52" s="131"/>
      <c r="AU52" s="131"/>
      <c r="AV52" s="131"/>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31"/>
      <c r="B53" s="366" t="s">
        <v>245</v>
      </c>
      <c r="C53" s="140"/>
      <c r="D53" s="136"/>
      <c r="E53" s="137"/>
      <c r="F53" s="138"/>
      <c r="G53" s="136"/>
      <c r="H53" s="137"/>
      <c r="I53" s="138"/>
      <c r="J53" s="136"/>
      <c r="K53" s="136"/>
      <c r="L53" s="136"/>
      <c r="M53" s="136"/>
      <c r="N53" s="136"/>
      <c r="O53" s="136"/>
      <c r="P53" s="136"/>
      <c r="Q53" s="136"/>
      <c r="R53" s="136"/>
      <c r="S53" s="136"/>
      <c r="T53" s="136"/>
      <c r="U53" s="136"/>
      <c r="V53" s="136"/>
      <c r="W53" s="136"/>
      <c r="X53" s="136"/>
      <c r="Y53" s="136"/>
      <c r="Z53" s="136"/>
      <c r="AA53" s="136"/>
      <c r="AB53" s="136"/>
      <c r="AC53" s="367"/>
      <c r="AD53" s="161" t="s">
        <v>38</v>
      </c>
      <c r="AE53" s="139"/>
      <c r="AF53" s="139"/>
      <c r="AG53" s="139"/>
      <c r="AH53" s="139"/>
      <c r="AI53" s="139"/>
      <c r="AJ53" s="139"/>
      <c r="AK53" s="139"/>
      <c r="AL53" s="139"/>
      <c r="AM53" s="139"/>
      <c r="AN53" s="139"/>
      <c r="AO53" s="134"/>
      <c r="AP53" s="131"/>
      <c r="AQ53" s="131"/>
      <c r="AR53" s="131"/>
      <c r="AS53" s="131"/>
      <c r="AT53" s="131"/>
      <c r="AU53" s="131"/>
      <c r="AV53" s="131"/>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31"/>
      <c r="B54" s="366" t="s">
        <v>246</v>
      </c>
      <c r="C54" s="140"/>
      <c r="D54" s="136"/>
      <c r="E54" s="137"/>
      <c r="F54" s="138"/>
      <c r="G54" s="136"/>
      <c r="H54" s="137"/>
      <c r="I54" s="138"/>
      <c r="J54" s="136"/>
      <c r="K54" s="136"/>
      <c r="L54" s="136"/>
      <c r="M54" s="136"/>
      <c r="N54" s="136"/>
      <c r="O54" s="136"/>
      <c r="P54" s="136"/>
      <c r="Q54" s="136"/>
      <c r="R54" s="136"/>
      <c r="S54" s="136"/>
      <c r="T54" s="136"/>
      <c r="U54" s="136"/>
      <c r="V54" s="136"/>
      <c r="W54" s="136"/>
      <c r="X54" s="136"/>
      <c r="Y54" s="136"/>
      <c r="Z54" s="136"/>
      <c r="AA54" s="136"/>
      <c r="AB54" s="136"/>
      <c r="AC54" s="367"/>
      <c r="AD54" s="161" t="s">
        <v>39</v>
      </c>
      <c r="AE54" s="139"/>
      <c r="AF54" s="139"/>
      <c r="AG54" s="139"/>
      <c r="AH54" s="139"/>
      <c r="AI54" s="139"/>
      <c r="AJ54" s="139"/>
      <c r="AK54" s="139"/>
      <c r="AL54" s="139"/>
      <c r="AM54" s="139"/>
      <c r="AN54" s="139"/>
      <c r="AO54" s="134"/>
      <c r="AP54" s="131"/>
      <c r="AQ54" s="131"/>
      <c r="AR54" s="131"/>
      <c r="AS54" s="131"/>
      <c r="AT54" s="131"/>
      <c r="AU54" s="131"/>
      <c r="AV54" s="131"/>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31"/>
      <c r="B55" s="366" t="s">
        <v>247</v>
      </c>
      <c r="C55" s="140"/>
      <c r="D55" s="136"/>
      <c r="E55" s="137"/>
      <c r="F55" s="138"/>
      <c r="G55" s="136"/>
      <c r="H55" s="137"/>
      <c r="I55" s="138"/>
      <c r="J55" s="136"/>
      <c r="K55" s="136"/>
      <c r="L55" s="136"/>
      <c r="M55" s="136"/>
      <c r="N55" s="136"/>
      <c r="O55" s="136"/>
      <c r="P55" s="136"/>
      <c r="Q55" s="136"/>
      <c r="R55" s="136"/>
      <c r="S55" s="136"/>
      <c r="T55" s="136"/>
      <c r="U55" s="136"/>
      <c r="V55" s="136"/>
      <c r="W55" s="136"/>
      <c r="X55" s="136"/>
      <c r="Y55" s="136"/>
      <c r="Z55" s="136"/>
      <c r="AA55" s="136"/>
      <c r="AB55" s="136"/>
      <c r="AC55" s="367"/>
      <c r="AD55" s="161" t="s">
        <v>40</v>
      </c>
      <c r="AE55" s="139"/>
      <c r="AF55" s="139"/>
      <c r="AG55" s="139"/>
      <c r="AH55" s="139"/>
      <c r="AI55" s="139"/>
      <c r="AJ55" s="139"/>
      <c r="AK55" s="139"/>
      <c r="AL55" s="139"/>
      <c r="AM55" s="139"/>
      <c r="AN55" s="139"/>
      <c r="AO55" s="134"/>
      <c r="AP55" s="131"/>
      <c r="AQ55" s="131"/>
      <c r="AR55" s="131"/>
      <c r="AS55" s="131"/>
      <c r="AT55" s="131"/>
      <c r="AU55" s="131"/>
      <c r="AV55" s="131"/>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31"/>
      <c r="B56" s="366" t="s">
        <v>248</v>
      </c>
      <c r="C56" s="140"/>
      <c r="D56" s="136"/>
      <c r="E56" s="137"/>
      <c r="F56" s="138"/>
      <c r="G56" s="136"/>
      <c r="H56" s="137"/>
      <c r="I56" s="138"/>
      <c r="J56" s="136"/>
      <c r="K56" s="136"/>
      <c r="L56" s="136"/>
      <c r="M56" s="136"/>
      <c r="N56" s="136"/>
      <c r="O56" s="136"/>
      <c r="P56" s="136"/>
      <c r="Q56" s="136"/>
      <c r="R56" s="136"/>
      <c r="S56" s="136"/>
      <c r="T56" s="136"/>
      <c r="U56" s="136"/>
      <c r="V56" s="136"/>
      <c r="W56" s="136"/>
      <c r="X56" s="136"/>
      <c r="Y56" s="136"/>
      <c r="Z56" s="136"/>
      <c r="AA56" s="136"/>
      <c r="AB56" s="136"/>
      <c r="AC56" s="367"/>
      <c r="AD56" s="161" t="s">
        <v>41</v>
      </c>
      <c r="AE56" s="139"/>
      <c r="AF56" s="139"/>
      <c r="AG56" s="139"/>
      <c r="AH56" s="139"/>
      <c r="AI56" s="139"/>
      <c r="AJ56" s="139"/>
      <c r="AK56" s="139"/>
      <c r="AL56" s="139"/>
      <c r="AM56" s="139"/>
      <c r="AN56" s="139"/>
      <c r="AO56" s="134"/>
      <c r="AP56" s="131"/>
      <c r="AQ56" s="131"/>
      <c r="AR56" s="131"/>
      <c r="AS56" s="131"/>
      <c r="AT56" s="131"/>
      <c r="AU56" s="131"/>
      <c r="AV56" s="131"/>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31"/>
      <c r="B57" s="366" t="s">
        <v>249</v>
      </c>
      <c r="C57" s="140"/>
      <c r="D57" s="136"/>
      <c r="E57" s="137"/>
      <c r="F57" s="138"/>
      <c r="G57" s="136"/>
      <c r="H57" s="137"/>
      <c r="I57" s="138"/>
      <c r="J57" s="136"/>
      <c r="K57" s="136"/>
      <c r="L57" s="136"/>
      <c r="M57" s="136"/>
      <c r="N57" s="136"/>
      <c r="O57" s="136"/>
      <c r="P57" s="136"/>
      <c r="Q57" s="136"/>
      <c r="R57" s="136"/>
      <c r="S57" s="136"/>
      <c r="T57" s="136"/>
      <c r="U57" s="136"/>
      <c r="V57" s="136"/>
      <c r="W57" s="136"/>
      <c r="X57" s="136"/>
      <c r="Y57" s="136"/>
      <c r="Z57" s="136"/>
      <c r="AA57" s="136"/>
      <c r="AB57" s="136"/>
      <c r="AC57" s="367"/>
      <c r="AD57" s="161" t="s">
        <v>42</v>
      </c>
      <c r="AE57" s="139"/>
      <c r="AF57" s="139"/>
      <c r="AG57" s="139"/>
      <c r="AH57" s="139"/>
      <c r="AI57" s="139"/>
      <c r="AJ57" s="139"/>
      <c r="AK57" s="139"/>
      <c r="AL57" s="139"/>
      <c r="AM57" s="139"/>
      <c r="AN57" s="139"/>
      <c r="AO57" s="134"/>
      <c r="AP57" s="131"/>
      <c r="AQ57" s="131"/>
      <c r="AR57" s="131"/>
      <c r="AS57" s="131"/>
      <c r="AT57" s="131"/>
      <c r="AU57" s="131"/>
      <c r="AV57" s="131"/>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31"/>
      <c r="B58" s="366" t="s">
        <v>250</v>
      </c>
      <c r="C58" s="140"/>
      <c r="D58" s="136"/>
      <c r="E58" s="137"/>
      <c r="F58" s="138"/>
      <c r="G58" s="136"/>
      <c r="H58" s="137"/>
      <c r="I58" s="138"/>
      <c r="J58" s="136"/>
      <c r="K58" s="136"/>
      <c r="L58" s="136"/>
      <c r="M58" s="136"/>
      <c r="N58" s="136"/>
      <c r="O58" s="136"/>
      <c r="P58" s="136"/>
      <c r="Q58" s="136"/>
      <c r="R58" s="136"/>
      <c r="S58" s="136"/>
      <c r="T58" s="136"/>
      <c r="U58" s="136"/>
      <c r="V58" s="136"/>
      <c r="W58" s="136"/>
      <c r="X58" s="136"/>
      <c r="Y58" s="136"/>
      <c r="Z58" s="136"/>
      <c r="AA58" s="136"/>
      <c r="AB58" s="136"/>
      <c r="AC58" s="367"/>
      <c r="AD58" s="161" t="s">
        <v>43</v>
      </c>
      <c r="AE58" s="139"/>
      <c r="AF58" s="139"/>
      <c r="AG58" s="139"/>
      <c r="AH58" s="139"/>
      <c r="AI58" s="139"/>
      <c r="AJ58" s="139"/>
      <c r="AK58" s="139"/>
      <c r="AL58" s="139"/>
      <c r="AM58" s="139"/>
      <c r="AN58" s="139"/>
      <c r="AO58" s="134"/>
      <c r="AP58" s="131"/>
      <c r="AQ58" s="131"/>
      <c r="AR58" s="131"/>
      <c r="AS58" s="131"/>
      <c r="AT58" s="131"/>
      <c r="AU58" s="131"/>
      <c r="AV58" s="131"/>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31"/>
      <c r="B59" s="366" t="s">
        <v>251</v>
      </c>
      <c r="C59" s="140"/>
      <c r="D59" s="136"/>
      <c r="E59" s="137"/>
      <c r="F59" s="138"/>
      <c r="G59" s="136"/>
      <c r="H59" s="137"/>
      <c r="I59" s="138"/>
      <c r="J59" s="136"/>
      <c r="K59" s="136"/>
      <c r="L59" s="136"/>
      <c r="M59" s="136"/>
      <c r="N59" s="136"/>
      <c r="O59" s="136"/>
      <c r="P59" s="136"/>
      <c r="Q59" s="136"/>
      <c r="R59" s="136"/>
      <c r="S59" s="136"/>
      <c r="T59" s="136"/>
      <c r="U59" s="136"/>
      <c r="V59" s="136"/>
      <c r="W59" s="136"/>
      <c r="X59" s="136"/>
      <c r="Y59" s="136"/>
      <c r="Z59" s="136"/>
      <c r="AA59" s="136"/>
      <c r="AB59" s="136"/>
      <c r="AC59" s="367"/>
      <c r="AD59" s="161" t="s">
        <v>44</v>
      </c>
      <c r="AE59" s="139"/>
      <c r="AF59" s="139"/>
      <c r="AG59" s="139"/>
      <c r="AH59" s="139"/>
      <c r="AI59" s="139"/>
      <c r="AJ59" s="139"/>
      <c r="AK59" s="139"/>
      <c r="AL59" s="139"/>
      <c r="AM59" s="139"/>
      <c r="AN59" s="139"/>
      <c r="AO59" s="134"/>
      <c r="AP59" s="131"/>
      <c r="AQ59" s="131"/>
      <c r="AR59" s="131"/>
      <c r="AS59" s="131"/>
      <c r="AT59" s="131"/>
      <c r="AU59" s="131"/>
      <c r="AV59" s="131"/>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31"/>
      <c r="B60" s="366" t="s">
        <v>252</v>
      </c>
      <c r="C60" s="140"/>
      <c r="D60" s="136"/>
      <c r="E60" s="137"/>
      <c r="F60" s="138"/>
      <c r="G60" s="136"/>
      <c r="H60" s="137"/>
      <c r="I60" s="138"/>
      <c r="J60" s="136"/>
      <c r="K60" s="136"/>
      <c r="L60" s="136"/>
      <c r="M60" s="136"/>
      <c r="N60" s="136"/>
      <c r="O60" s="136"/>
      <c r="P60" s="136"/>
      <c r="Q60" s="136"/>
      <c r="R60" s="136"/>
      <c r="S60" s="136"/>
      <c r="T60" s="136"/>
      <c r="U60" s="136"/>
      <c r="V60" s="136"/>
      <c r="W60" s="136"/>
      <c r="X60" s="136"/>
      <c r="Y60" s="136"/>
      <c r="Z60" s="136"/>
      <c r="AA60" s="136"/>
      <c r="AB60" s="136"/>
      <c r="AC60" s="367"/>
      <c r="AD60" s="161" t="s">
        <v>45</v>
      </c>
      <c r="AE60" s="139"/>
      <c r="AF60" s="139"/>
      <c r="AG60" s="139"/>
      <c r="AH60" s="139"/>
      <c r="AI60" s="139"/>
      <c r="AJ60" s="139"/>
      <c r="AK60" s="139"/>
      <c r="AL60" s="139"/>
      <c r="AM60" s="139"/>
      <c r="AN60" s="139"/>
      <c r="AO60" s="134"/>
      <c r="AP60" s="131"/>
      <c r="AQ60" s="131"/>
      <c r="AR60" s="131"/>
      <c r="AS60" s="131"/>
      <c r="AT60" s="131"/>
      <c r="AU60" s="131"/>
      <c r="AV60" s="131"/>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31"/>
      <c r="B61" s="366" t="s">
        <v>253</v>
      </c>
      <c r="C61" s="140"/>
      <c r="D61" s="136"/>
      <c r="E61" s="137"/>
      <c r="F61" s="138"/>
      <c r="G61" s="136"/>
      <c r="H61" s="137"/>
      <c r="I61" s="138"/>
      <c r="J61" s="136"/>
      <c r="K61" s="136"/>
      <c r="L61" s="136"/>
      <c r="M61" s="136"/>
      <c r="N61" s="136"/>
      <c r="O61" s="136"/>
      <c r="P61" s="136"/>
      <c r="Q61" s="136"/>
      <c r="R61" s="136"/>
      <c r="S61" s="136"/>
      <c r="T61" s="136"/>
      <c r="U61" s="136"/>
      <c r="V61" s="136"/>
      <c r="W61" s="136"/>
      <c r="X61" s="136"/>
      <c r="Y61" s="136"/>
      <c r="Z61" s="136"/>
      <c r="AA61" s="136"/>
      <c r="AB61" s="136"/>
      <c r="AC61" s="367"/>
      <c r="AD61" s="161" t="s">
        <v>46</v>
      </c>
      <c r="AE61" s="139"/>
      <c r="AF61" s="139"/>
      <c r="AG61" s="139"/>
      <c r="AH61" s="139"/>
      <c r="AI61" s="139"/>
      <c r="AJ61" s="139"/>
      <c r="AK61" s="139"/>
      <c r="AL61" s="139"/>
      <c r="AM61" s="139"/>
      <c r="AN61" s="139"/>
      <c r="AO61" s="134"/>
      <c r="AP61" s="131"/>
      <c r="AQ61" s="131"/>
      <c r="AR61" s="131"/>
      <c r="AS61" s="131"/>
      <c r="AT61" s="131"/>
      <c r="AU61" s="131"/>
      <c r="AV61" s="131"/>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31"/>
      <c r="B62" s="366" t="s">
        <v>254</v>
      </c>
      <c r="C62" s="140"/>
      <c r="D62" s="136"/>
      <c r="E62" s="137"/>
      <c r="F62" s="138"/>
      <c r="G62" s="136"/>
      <c r="H62" s="137"/>
      <c r="I62" s="138"/>
      <c r="J62" s="136"/>
      <c r="K62" s="136"/>
      <c r="L62" s="136"/>
      <c r="M62" s="136"/>
      <c r="N62" s="136"/>
      <c r="O62" s="136"/>
      <c r="P62" s="136"/>
      <c r="Q62" s="136"/>
      <c r="R62" s="136"/>
      <c r="S62" s="136"/>
      <c r="T62" s="136"/>
      <c r="U62" s="136"/>
      <c r="V62" s="136"/>
      <c r="W62" s="136"/>
      <c r="X62" s="136"/>
      <c r="Y62" s="136"/>
      <c r="Z62" s="136"/>
      <c r="AA62" s="136"/>
      <c r="AB62" s="136"/>
      <c r="AC62" s="367"/>
      <c r="AD62" s="161" t="s">
        <v>47</v>
      </c>
      <c r="AE62" s="139"/>
      <c r="AF62" s="139"/>
      <c r="AG62" s="139"/>
      <c r="AH62" s="139"/>
      <c r="AI62" s="139"/>
      <c r="AJ62" s="139"/>
      <c r="AK62" s="139"/>
      <c r="AL62" s="139"/>
      <c r="AM62" s="139"/>
      <c r="AN62" s="139"/>
      <c r="AO62" s="134"/>
      <c r="AP62" s="131"/>
      <c r="AQ62" s="131"/>
      <c r="AR62" s="131"/>
      <c r="AS62" s="131"/>
      <c r="AT62" s="131"/>
      <c r="AU62" s="131"/>
      <c r="AV62" s="131"/>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31"/>
      <c r="B63" s="366" t="s">
        <v>255</v>
      </c>
      <c r="C63" s="140"/>
      <c r="D63" s="136"/>
      <c r="E63" s="137"/>
      <c r="F63" s="138"/>
      <c r="G63" s="136"/>
      <c r="H63" s="137"/>
      <c r="I63" s="138"/>
      <c r="J63" s="136"/>
      <c r="K63" s="136"/>
      <c r="L63" s="136"/>
      <c r="M63" s="136"/>
      <c r="N63" s="136"/>
      <c r="O63" s="136"/>
      <c r="P63" s="136"/>
      <c r="Q63" s="136"/>
      <c r="R63" s="136"/>
      <c r="S63" s="136"/>
      <c r="T63" s="136"/>
      <c r="U63" s="136"/>
      <c r="V63" s="136"/>
      <c r="W63" s="136"/>
      <c r="X63" s="136"/>
      <c r="Y63" s="136"/>
      <c r="Z63" s="136"/>
      <c r="AA63" s="136"/>
      <c r="AB63" s="136"/>
      <c r="AC63" s="367"/>
      <c r="AD63" s="161" t="s">
        <v>48</v>
      </c>
      <c r="AE63" s="139"/>
      <c r="AF63" s="139"/>
      <c r="AG63" s="139"/>
      <c r="AH63" s="139"/>
      <c r="AI63" s="139"/>
      <c r="AJ63" s="139"/>
      <c r="AK63" s="139"/>
      <c r="AL63" s="139"/>
      <c r="AM63" s="139"/>
      <c r="AN63" s="139"/>
      <c r="AO63" s="134"/>
      <c r="AP63" s="131"/>
      <c r="AQ63" s="131"/>
      <c r="AR63" s="131"/>
      <c r="AS63" s="131"/>
      <c r="AT63" s="131"/>
      <c r="AU63" s="131"/>
      <c r="AV63" s="131"/>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31"/>
      <c r="B64" s="366" t="s">
        <v>256</v>
      </c>
      <c r="C64" s="140"/>
      <c r="D64" s="136"/>
      <c r="E64" s="137"/>
      <c r="F64" s="138"/>
      <c r="G64" s="136"/>
      <c r="H64" s="137"/>
      <c r="I64" s="138"/>
      <c r="J64" s="136"/>
      <c r="K64" s="136"/>
      <c r="L64" s="136"/>
      <c r="M64" s="136"/>
      <c r="N64" s="136"/>
      <c r="O64" s="136"/>
      <c r="P64" s="136"/>
      <c r="Q64" s="136"/>
      <c r="R64" s="136"/>
      <c r="S64" s="136"/>
      <c r="T64" s="136"/>
      <c r="U64" s="136"/>
      <c r="V64" s="136"/>
      <c r="W64" s="136"/>
      <c r="X64" s="136"/>
      <c r="Y64" s="136"/>
      <c r="Z64" s="136"/>
      <c r="AA64" s="136"/>
      <c r="AB64" s="136"/>
      <c r="AC64" s="367"/>
      <c r="AD64" s="161" t="s">
        <v>49</v>
      </c>
      <c r="AE64" s="139"/>
      <c r="AF64" s="139"/>
      <c r="AG64" s="139"/>
      <c r="AH64" s="139"/>
      <c r="AI64" s="139"/>
      <c r="AJ64" s="139"/>
      <c r="AK64" s="139"/>
      <c r="AL64" s="139"/>
      <c r="AM64" s="139"/>
      <c r="AN64" s="139"/>
      <c r="AO64" s="134"/>
      <c r="AP64" s="131"/>
      <c r="AQ64" s="131"/>
      <c r="AR64" s="131"/>
      <c r="AS64" s="131"/>
      <c r="AT64" s="131"/>
      <c r="AU64" s="131"/>
      <c r="AV64" s="131"/>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31"/>
      <c r="B65" s="366" t="s">
        <v>257</v>
      </c>
      <c r="C65" s="140"/>
      <c r="D65" s="136"/>
      <c r="E65" s="137"/>
      <c r="F65" s="138"/>
      <c r="G65" s="136"/>
      <c r="H65" s="137"/>
      <c r="I65" s="138"/>
      <c r="J65" s="136"/>
      <c r="K65" s="136"/>
      <c r="L65" s="136"/>
      <c r="M65" s="136"/>
      <c r="N65" s="136"/>
      <c r="O65" s="136"/>
      <c r="P65" s="136"/>
      <c r="Q65" s="136"/>
      <c r="R65" s="136"/>
      <c r="S65" s="136"/>
      <c r="T65" s="136"/>
      <c r="U65" s="136"/>
      <c r="V65" s="136"/>
      <c r="W65" s="136"/>
      <c r="X65" s="136"/>
      <c r="Y65" s="136"/>
      <c r="Z65" s="136"/>
      <c r="AA65" s="136"/>
      <c r="AB65" s="136"/>
      <c r="AC65" s="367"/>
      <c r="AD65" s="161" t="s">
        <v>50</v>
      </c>
      <c r="AE65" s="139"/>
      <c r="AF65" s="139"/>
      <c r="AG65" s="139"/>
      <c r="AH65" s="139"/>
      <c r="AI65" s="139"/>
      <c r="AJ65" s="139"/>
      <c r="AK65" s="139"/>
      <c r="AL65" s="139"/>
      <c r="AM65" s="139"/>
      <c r="AN65" s="139"/>
      <c r="AO65" s="134"/>
      <c r="AP65" s="131"/>
      <c r="AQ65" s="131"/>
      <c r="AR65" s="131"/>
      <c r="AS65" s="131"/>
      <c r="AT65" s="131"/>
      <c r="AU65" s="131"/>
      <c r="AV65" s="131"/>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34"/>
      <c r="B66" s="366" t="s">
        <v>258</v>
      </c>
      <c r="C66" s="140"/>
      <c r="D66" s="136"/>
      <c r="E66" s="137"/>
      <c r="F66" s="138"/>
      <c r="G66" s="136"/>
      <c r="H66" s="137"/>
      <c r="I66" s="138"/>
      <c r="J66" s="136"/>
      <c r="K66" s="136"/>
      <c r="L66" s="136"/>
      <c r="M66" s="136"/>
      <c r="N66" s="136"/>
      <c r="O66" s="136"/>
      <c r="P66" s="136"/>
      <c r="Q66" s="136"/>
      <c r="R66" s="136"/>
      <c r="S66" s="136"/>
      <c r="T66" s="136"/>
      <c r="U66" s="136"/>
      <c r="V66" s="136"/>
      <c r="W66" s="136"/>
      <c r="X66" s="136"/>
      <c r="Y66" s="136"/>
      <c r="Z66" s="136"/>
      <c r="AA66" s="136"/>
      <c r="AB66" s="136"/>
      <c r="AC66" s="367"/>
      <c r="AD66" s="161" t="s">
        <v>51</v>
      </c>
      <c r="AE66" s="139"/>
      <c r="AF66" s="139"/>
      <c r="AG66" s="139"/>
      <c r="AH66" s="139"/>
      <c r="AI66" s="139"/>
      <c r="AJ66" s="139"/>
      <c r="AK66" s="139"/>
      <c r="AL66" s="139"/>
      <c r="AM66" s="139"/>
      <c r="AN66" s="139"/>
      <c r="AO66" s="139"/>
      <c r="AP66" s="139"/>
      <c r="AQ66" s="139"/>
      <c r="AR66" s="134"/>
      <c r="AS66" s="131"/>
      <c r="AT66" s="131"/>
      <c r="AU66" s="131"/>
      <c r="AV66" s="131"/>
      <c r="AW66" s="131"/>
      <c r="AX66" s="131"/>
      <c r="AY66" s="131"/>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34"/>
      <c r="B67" s="368" t="s">
        <v>259</v>
      </c>
      <c r="C67" s="519"/>
      <c r="D67" s="369"/>
      <c r="E67" s="520"/>
      <c r="F67" s="521"/>
      <c r="G67" s="369"/>
      <c r="H67" s="520"/>
      <c r="I67" s="521"/>
      <c r="J67" s="369"/>
      <c r="K67" s="369"/>
      <c r="L67" s="369"/>
      <c r="M67" s="369"/>
      <c r="N67" s="369"/>
      <c r="O67" s="369"/>
      <c r="P67" s="369"/>
      <c r="Q67" s="369"/>
      <c r="R67" s="369"/>
      <c r="S67" s="369"/>
      <c r="T67" s="369"/>
      <c r="U67" s="369"/>
      <c r="V67" s="369"/>
      <c r="W67" s="369"/>
      <c r="X67" s="369"/>
      <c r="Y67" s="369"/>
      <c r="Z67" s="369"/>
      <c r="AA67" s="369"/>
      <c r="AB67" s="369"/>
      <c r="AC67" s="370"/>
      <c r="AD67" s="162" t="s">
        <v>52</v>
      </c>
      <c r="AE67" s="139"/>
      <c r="AF67" s="134"/>
      <c r="AG67" s="131"/>
      <c r="AH67" s="131"/>
      <c r="AI67" s="131"/>
      <c r="AJ67" s="131"/>
      <c r="AK67" s="131"/>
      <c r="AL67" s="131"/>
      <c r="AM67" s="131"/>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34"/>
      <c r="B68" s="141"/>
      <c r="C68" s="141"/>
      <c r="D68" s="141"/>
      <c r="E68" s="141"/>
      <c r="F68" s="141"/>
      <c r="G68" s="141"/>
      <c r="H68" s="141"/>
      <c r="I68" s="141"/>
      <c r="J68" s="141"/>
      <c r="K68" s="141"/>
      <c r="L68" s="141"/>
      <c r="M68" s="141"/>
      <c r="N68" s="139"/>
      <c r="O68" s="139"/>
      <c r="P68" s="142"/>
      <c r="Q68" s="139"/>
      <c r="R68" s="139"/>
      <c r="S68" s="142"/>
      <c r="T68" s="139"/>
      <c r="U68" s="139"/>
      <c r="V68" s="139"/>
      <c r="W68" s="139"/>
      <c r="X68" s="139"/>
      <c r="Y68" s="139"/>
      <c r="Z68" s="139"/>
      <c r="AA68" s="139"/>
      <c r="AB68" s="139"/>
      <c r="AC68" s="139"/>
      <c r="AD68" s="139"/>
      <c r="AE68" s="139"/>
      <c r="AF68" s="139"/>
      <c r="AG68" s="139"/>
      <c r="AH68" s="139"/>
      <c r="AI68" s="134"/>
      <c r="AJ68" s="131"/>
      <c r="AK68" s="131"/>
      <c r="AL68" s="131"/>
      <c r="AM68" s="131"/>
      <c r="AN68" s="131"/>
      <c r="AO68" s="131"/>
      <c r="AP68" s="131"/>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34"/>
      <c r="B69" s="141"/>
      <c r="C69" s="141"/>
      <c r="D69" s="141"/>
      <c r="E69" s="141"/>
      <c r="F69" s="141"/>
      <c r="G69" s="141"/>
      <c r="H69" s="141"/>
      <c r="I69" s="141"/>
      <c r="J69" s="141"/>
      <c r="K69" s="141"/>
      <c r="L69" s="141"/>
      <c r="M69" s="141"/>
      <c r="N69" s="139"/>
      <c r="O69" s="139"/>
      <c r="P69" s="142"/>
      <c r="Q69" s="139"/>
      <c r="R69" s="139"/>
      <c r="S69" s="143"/>
      <c r="T69" s="139"/>
      <c r="U69" s="139"/>
      <c r="V69" s="139"/>
      <c r="W69" s="139"/>
      <c r="X69" s="139"/>
      <c r="Y69" s="139"/>
      <c r="Z69" s="139"/>
      <c r="AA69" s="139"/>
      <c r="AB69" s="139"/>
      <c r="AC69" s="139"/>
      <c r="AD69" s="139"/>
      <c r="AE69" s="139"/>
      <c r="AF69" s="139"/>
      <c r="AG69" s="139"/>
      <c r="AH69" s="139"/>
      <c r="AI69" s="134"/>
      <c r="AJ69" s="131"/>
      <c r="AK69" s="131"/>
      <c r="AL69" s="131"/>
      <c r="AM69" s="131"/>
      <c r="AN69" s="131"/>
      <c r="AO69" s="131"/>
      <c r="AP69" s="131"/>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31"/>
      <c r="B70" s="141"/>
      <c r="C70" s="141"/>
      <c r="D70" s="141"/>
      <c r="E70" s="141"/>
      <c r="F70" s="141"/>
      <c r="G70" s="141"/>
      <c r="H70" s="141"/>
      <c r="I70" s="141"/>
      <c r="J70" s="141"/>
      <c r="K70" s="141"/>
      <c r="L70" s="141"/>
      <c r="M70" s="141"/>
      <c r="N70" s="139"/>
      <c r="O70" s="139"/>
      <c r="P70" s="142"/>
      <c r="Q70" s="139"/>
      <c r="R70" s="139"/>
      <c r="S70" s="143"/>
      <c r="T70" s="139"/>
      <c r="U70" s="144"/>
      <c r="V70" s="139"/>
      <c r="W70" s="139"/>
      <c r="X70" s="139"/>
      <c r="Y70" s="139"/>
      <c r="Z70" s="139"/>
      <c r="AA70" s="139"/>
      <c r="AB70" s="139"/>
      <c r="AC70" s="139"/>
      <c r="AD70" s="139"/>
      <c r="AE70" s="139"/>
      <c r="AF70" s="139"/>
      <c r="AG70" s="139"/>
      <c r="AH70" s="139"/>
      <c r="AI70" s="134"/>
      <c r="AJ70" s="131"/>
      <c r="AK70" s="131"/>
      <c r="AL70" s="131"/>
      <c r="AM70" s="131"/>
      <c r="AN70" s="131"/>
      <c r="AO70" s="131"/>
      <c r="AP70" s="131"/>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31"/>
      <c r="B71" s="141"/>
      <c r="C71" s="141"/>
      <c r="D71" s="141"/>
      <c r="E71" s="141"/>
      <c r="F71" s="141"/>
      <c r="G71" s="141"/>
      <c r="H71" s="141"/>
      <c r="I71" s="141"/>
      <c r="J71" s="141"/>
      <c r="K71" s="141"/>
      <c r="L71" s="141"/>
      <c r="M71" s="141"/>
      <c r="N71" s="139"/>
      <c r="O71" s="139"/>
      <c r="P71" s="142"/>
      <c r="Q71" s="139"/>
      <c r="R71" s="139"/>
      <c r="S71" s="143"/>
      <c r="T71" s="139"/>
      <c r="U71" s="139"/>
      <c r="V71" s="139"/>
      <c r="W71" s="139"/>
      <c r="X71" s="139"/>
      <c r="Y71" s="139"/>
      <c r="Z71" s="139"/>
      <c r="AA71" s="139"/>
      <c r="AB71" s="139"/>
      <c r="AC71" s="139"/>
      <c r="AD71" s="139"/>
      <c r="AE71" s="139"/>
      <c r="AF71" s="139"/>
      <c r="AG71" s="139"/>
      <c r="AH71" s="139"/>
      <c r="AI71" s="134"/>
      <c r="AJ71" s="131"/>
      <c r="AK71" s="131"/>
      <c r="AL71" s="131"/>
      <c r="AM71" s="131"/>
      <c r="AN71" s="131"/>
      <c r="AO71" s="131"/>
      <c r="AP71" s="131"/>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34"/>
      <c r="B72" s="141"/>
      <c r="C72" s="141"/>
      <c r="D72" s="141"/>
      <c r="E72" s="141"/>
      <c r="F72" s="141"/>
      <c r="G72" s="141"/>
      <c r="H72" s="141"/>
      <c r="I72" s="141"/>
      <c r="J72" s="141"/>
      <c r="K72" s="141"/>
      <c r="L72" s="141"/>
      <c r="M72" s="141"/>
      <c r="N72" s="139"/>
      <c r="O72" s="139"/>
      <c r="P72" s="142"/>
      <c r="Q72" s="139"/>
      <c r="R72" s="139"/>
      <c r="S72" s="143"/>
      <c r="T72" s="139"/>
      <c r="U72" s="139"/>
      <c r="V72" s="139"/>
      <c r="W72" s="139"/>
      <c r="X72" s="139"/>
      <c r="Y72" s="139"/>
      <c r="Z72" s="139"/>
      <c r="AA72" s="139"/>
      <c r="AB72" s="139"/>
      <c r="AC72" s="139"/>
      <c r="AD72" s="139"/>
      <c r="AE72" s="139"/>
      <c r="AF72" s="139"/>
      <c r="AG72" s="139"/>
      <c r="AH72" s="139"/>
      <c r="AI72" s="134"/>
      <c r="AJ72" s="131"/>
      <c r="AK72" s="131"/>
      <c r="AL72" s="131"/>
      <c r="AM72" s="131"/>
      <c r="AN72" s="131"/>
      <c r="AO72" s="131"/>
      <c r="AP72" s="131"/>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31"/>
      <c r="B73" s="141"/>
      <c r="C73" s="141"/>
      <c r="D73" s="141"/>
      <c r="E73" s="141"/>
      <c r="F73" s="141"/>
      <c r="G73" s="141"/>
      <c r="H73" s="141"/>
      <c r="I73" s="141"/>
      <c r="J73" s="141"/>
      <c r="K73" s="141"/>
      <c r="L73" s="141"/>
      <c r="M73" s="141"/>
      <c r="N73" s="139"/>
      <c r="O73" s="139"/>
      <c r="P73" s="142"/>
      <c r="Q73" s="139"/>
      <c r="R73" s="139"/>
      <c r="S73" s="143"/>
      <c r="T73" s="139"/>
      <c r="U73" s="139"/>
      <c r="V73" s="139"/>
      <c r="W73" s="139"/>
      <c r="X73" s="139"/>
      <c r="Y73" s="139"/>
      <c r="Z73" s="139"/>
      <c r="AA73" s="139"/>
      <c r="AB73" s="139"/>
      <c r="AC73" s="139"/>
      <c r="AD73" s="139"/>
      <c r="AE73" s="139"/>
      <c r="AF73" s="139"/>
      <c r="AG73" s="139"/>
      <c r="AH73" s="139"/>
      <c r="AI73" s="134"/>
      <c r="AJ73" s="131"/>
      <c r="AK73" s="131"/>
      <c r="AL73" s="131"/>
      <c r="AM73" s="131"/>
      <c r="AN73" s="131"/>
      <c r="AO73" s="131"/>
      <c r="AP73" s="131"/>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31"/>
      <c r="B74" s="141"/>
      <c r="C74" s="141"/>
      <c r="D74" s="141"/>
      <c r="E74" s="141"/>
      <c r="F74" s="141"/>
      <c r="G74" s="141"/>
      <c r="H74" s="141"/>
      <c r="I74" s="141"/>
      <c r="J74" s="141"/>
      <c r="K74" s="141"/>
      <c r="L74" s="141"/>
      <c r="M74" s="141"/>
      <c r="N74" s="139"/>
      <c r="O74" s="139"/>
      <c r="P74" s="142"/>
      <c r="Q74" s="139"/>
      <c r="R74" s="139"/>
      <c r="S74" s="142"/>
      <c r="T74" s="139"/>
      <c r="U74" s="139"/>
      <c r="V74" s="139"/>
      <c r="W74" s="139"/>
      <c r="X74" s="139"/>
      <c r="Y74" s="139"/>
      <c r="Z74" s="139"/>
      <c r="AA74" s="139"/>
      <c r="AB74" s="139"/>
      <c r="AC74" s="139"/>
      <c r="AD74" s="139"/>
      <c r="AE74" s="139"/>
      <c r="AF74" s="139"/>
      <c r="AG74" s="139"/>
      <c r="AH74" s="139"/>
      <c r="AI74" s="134"/>
      <c r="AJ74" s="131"/>
      <c r="AK74" s="131"/>
      <c r="AL74" s="131"/>
      <c r="AM74" s="131"/>
      <c r="AN74" s="131"/>
      <c r="AO74" s="131"/>
      <c r="AP74" s="131"/>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31"/>
      <c r="B75" s="141"/>
      <c r="C75" s="141"/>
      <c r="D75" s="141"/>
      <c r="E75" s="141"/>
      <c r="F75" s="141"/>
      <c r="G75" s="141"/>
      <c r="H75" s="141"/>
      <c r="I75" s="141"/>
      <c r="J75" s="141"/>
      <c r="K75" s="141"/>
      <c r="L75" s="141"/>
      <c r="M75" s="141"/>
      <c r="N75" s="139"/>
      <c r="O75" s="139"/>
      <c r="P75" s="142"/>
      <c r="Q75" s="139"/>
      <c r="R75" s="139"/>
      <c r="S75" s="143"/>
      <c r="T75" s="139"/>
      <c r="U75" s="139"/>
      <c r="V75" s="139"/>
      <c r="W75" s="139"/>
      <c r="X75" s="139"/>
      <c r="Y75" s="139"/>
      <c r="Z75" s="139"/>
      <c r="AA75" s="139"/>
      <c r="AB75" s="139"/>
      <c r="AC75" s="139"/>
      <c r="AD75" s="139"/>
      <c r="AE75" s="139"/>
      <c r="AF75" s="139"/>
      <c r="AG75" s="139"/>
      <c r="AH75" s="139"/>
      <c r="AI75" s="134"/>
      <c r="AJ75" s="131"/>
      <c r="AK75" s="131"/>
      <c r="AL75" s="131"/>
      <c r="AM75" s="131"/>
      <c r="AN75" s="131"/>
      <c r="AO75" s="131"/>
      <c r="AP75" s="131"/>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31"/>
      <c r="B76" s="141"/>
      <c r="C76" s="141"/>
      <c r="D76" s="141"/>
      <c r="E76" s="141"/>
      <c r="F76" s="141"/>
      <c r="G76" s="141"/>
      <c r="H76" s="141"/>
      <c r="I76" s="141"/>
      <c r="J76" s="141"/>
      <c r="K76" s="141"/>
      <c r="L76" s="141"/>
      <c r="M76" s="141"/>
      <c r="N76" s="139"/>
      <c r="O76" s="139"/>
      <c r="P76" s="142"/>
      <c r="Q76" s="139"/>
      <c r="R76" s="139"/>
      <c r="S76" s="143"/>
      <c r="T76" s="139"/>
      <c r="U76" s="139"/>
      <c r="V76" s="139"/>
      <c r="W76" s="139"/>
      <c r="X76" s="139"/>
      <c r="Y76" s="139"/>
      <c r="Z76" s="139"/>
      <c r="AA76" s="139"/>
      <c r="AB76" s="139"/>
      <c r="AC76" s="139"/>
      <c r="AD76" s="139"/>
      <c r="AE76" s="139"/>
      <c r="AF76" s="139"/>
      <c r="AG76" s="139"/>
      <c r="AH76" s="139"/>
      <c r="AI76" s="134"/>
      <c r="AJ76" s="131"/>
      <c r="AK76" s="131"/>
      <c r="AL76" s="131"/>
      <c r="AM76" s="131"/>
      <c r="AN76" s="131"/>
      <c r="AO76" s="131"/>
      <c r="AP76" s="131"/>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31"/>
      <c r="B77" s="141"/>
      <c r="C77" s="141"/>
      <c r="D77" s="141"/>
      <c r="E77" s="141"/>
      <c r="F77" s="141"/>
      <c r="G77" s="141"/>
      <c r="H77" s="141"/>
      <c r="I77" s="141"/>
      <c r="J77" s="141"/>
      <c r="K77" s="141"/>
      <c r="L77" s="141"/>
      <c r="M77" s="141"/>
      <c r="N77" s="139"/>
      <c r="O77" s="139"/>
      <c r="P77" s="142"/>
      <c r="Q77" s="139"/>
      <c r="R77" s="139"/>
      <c r="S77" s="143"/>
      <c r="T77" s="139"/>
      <c r="U77" s="139"/>
      <c r="V77" s="139"/>
      <c r="W77" s="139"/>
      <c r="X77" s="139"/>
      <c r="Y77" s="139"/>
      <c r="Z77" s="139"/>
      <c r="AA77" s="139"/>
      <c r="AB77" s="139"/>
      <c r="AC77" s="139"/>
      <c r="AD77" s="139"/>
      <c r="AE77" s="139"/>
      <c r="AF77" s="139"/>
      <c r="AG77" s="139"/>
      <c r="AH77" s="139"/>
      <c r="AI77" s="134"/>
      <c r="AJ77" s="131"/>
      <c r="AK77" s="131"/>
      <c r="AL77" s="131"/>
      <c r="AM77" s="131"/>
      <c r="AN77" s="131"/>
      <c r="AO77" s="131"/>
      <c r="AP77" s="131"/>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34"/>
      <c r="B78" s="141"/>
      <c r="C78" s="141"/>
      <c r="D78" s="141"/>
      <c r="E78" s="141"/>
      <c r="F78" s="141"/>
      <c r="G78" s="141"/>
      <c r="H78" s="141"/>
      <c r="I78" s="141"/>
      <c r="J78" s="141"/>
      <c r="K78" s="141"/>
      <c r="L78" s="141"/>
      <c r="M78" s="141"/>
      <c r="N78" s="139"/>
      <c r="O78" s="139"/>
      <c r="P78" s="142"/>
      <c r="Q78" s="139"/>
      <c r="R78" s="139"/>
      <c r="S78" s="143"/>
      <c r="T78" s="139"/>
      <c r="U78" s="139"/>
      <c r="V78" s="139"/>
      <c r="W78" s="139"/>
      <c r="X78" s="139"/>
      <c r="Y78" s="139"/>
      <c r="Z78" s="139"/>
      <c r="AA78" s="139"/>
      <c r="AB78" s="139"/>
      <c r="AC78" s="139"/>
      <c r="AD78" s="139"/>
      <c r="AE78" s="139"/>
      <c r="AF78" s="139"/>
      <c r="AG78" s="139"/>
      <c r="AH78" s="139"/>
      <c r="AI78" s="139"/>
      <c r="AJ78" s="139"/>
      <c r="AK78" s="131"/>
      <c r="AL78" s="131"/>
      <c r="AM78" s="131"/>
      <c r="AN78" s="131"/>
      <c r="AO78" s="131"/>
      <c r="AP78" s="131"/>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31"/>
      <c r="B79" s="141"/>
      <c r="C79" s="141"/>
      <c r="D79" s="141"/>
      <c r="E79" s="141"/>
      <c r="F79" s="141"/>
      <c r="G79" s="141"/>
      <c r="H79" s="141"/>
      <c r="I79" s="141"/>
      <c r="J79" s="141"/>
      <c r="K79" s="141"/>
      <c r="L79" s="141"/>
      <c r="M79" s="141"/>
      <c r="N79" s="139"/>
      <c r="O79" s="139"/>
      <c r="P79" s="142"/>
      <c r="Q79" s="139"/>
      <c r="R79" s="139"/>
      <c r="S79" s="143"/>
      <c r="T79" s="139"/>
      <c r="U79" s="139"/>
      <c r="V79" s="139"/>
      <c r="W79" s="145"/>
      <c r="X79" s="145"/>
      <c r="Y79" s="145"/>
      <c r="Z79" s="145"/>
      <c r="AA79" s="145"/>
      <c r="AB79" s="145"/>
      <c r="AC79" s="145"/>
      <c r="AD79" s="139"/>
      <c r="AE79" s="139"/>
      <c r="AF79" s="139"/>
      <c r="AG79" s="139"/>
      <c r="AH79" s="139"/>
      <c r="AI79" s="139"/>
      <c r="AJ79" s="139"/>
      <c r="AK79" s="131"/>
      <c r="AL79" s="131"/>
      <c r="AM79" s="131"/>
      <c r="AN79" s="131"/>
      <c r="AO79" s="131"/>
      <c r="AP79" s="131"/>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31"/>
      <c r="B80" s="141"/>
      <c r="C80" s="141"/>
      <c r="D80" s="141"/>
      <c r="E80" s="141"/>
      <c r="F80" s="141"/>
      <c r="G80" s="141"/>
      <c r="H80" s="141"/>
      <c r="I80" s="141"/>
      <c r="J80" s="141"/>
      <c r="K80" s="141"/>
      <c r="L80" s="141"/>
      <c r="M80" s="141"/>
      <c r="N80" s="145"/>
      <c r="O80" s="145"/>
      <c r="P80" s="147"/>
      <c r="Q80" s="145"/>
      <c r="R80" s="145"/>
      <c r="S80" s="147"/>
      <c r="T80" s="145"/>
      <c r="U80" s="145"/>
      <c r="V80" s="145"/>
      <c r="W80" s="139"/>
      <c r="X80" s="139"/>
      <c r="Y80" s="139"/>
      <c r="Z80" s="139"/>
      <c r="AA80" s="139"/>
      <c r="AB80" s="139"/>
      <c r="AC80" s="139"/>
      <c r="AD80" s="139"/>
      <c r="AE80" s="139"/>
      <c r="AF80" s="139"/>
      <c r="AG80" s="139"/>
      <c r="AH80" s="139"/>
      <c r="AI80" s="139"/>
      <c r="AJ80" s="139"/>
      <c r="AK80" s="146"/>
      <c r="AL80" s="146"/>
      <c r="AM80" s="131"/>
      <c r="AN80" s="131"/>
      <c r="AO80" s="131"/>
      <c r="AP80" s="131"/>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31"/>
      <c r="B81" s="141"/>
      <c r="C81" s="141"/>
      <c r="D81" s="141"/>
      <c r="E81" s="141"/>
      <c r="F81" s="141"/>
      <c r="G81" s="141"/>
      <c r="H81" s="141"/>
      <c r="I81" s="141"/>
      <c r="J81" s="141"/>
      <c r="K81" s="141"/>
      <c r="L81" s="141"/>
      <c r="M81" s="141"/>
      <c r="N81" s="139"/>
      <c r="O81" s="139"/>
      <c r="P81" s="142"/>
      <c r="Q81" s="139"/>
      <c r="R81" s="139"/>
      <c r="S81" s="143"/>
      <c r="T81" s="139"/>
      <c r="U81" s="139"/>
      <c r="V81" s="139"/>
      <c r="W81" s="139"/>
      <c r="X81" s="139"/>
      <c r="Y81" s="139"/>
      <c r="Z81" s="139"/>
      <c r="AA81" s="139"/>
      <c r="AB81" s="139"/>
      <c r="AC81" s="139"/>
      <c r="AD81" s="139"/>
      <c r="AE81" s="139"/>
      <c r="AF81" s="139"/>
      <c r="AG81" s="139"/>
      <c r="AH81" s="139"/>
      <c r="AI81" s="139"/>
      <c r="AJ81" s="139"/>
      <c r="AM81" s="131"/>
      <c r="AN81" s="131"/>
      <c r="AO81" s="131"/>
      <c r="AP81" s="131"/>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31"/>
      <c r="B82" s="141"/>
      <c r="C82" s="141"/>
      <c r="D82" s="141"/>
      <c r="E82" s="141"/>
      <c r="F82" s="141"/>
      <c r="G82" s="141"/>
      <c r="H82" s="141"/>
      <c r="I82" s="141"/>
      <c r="J82" s="141"/>
      <c r="K82" s="141"/>
      <c r="L82" s="141"/>
      <c r="M82" s="141"/>
      <c r="N82" s="139"/>
      <c r="O82" s="139"/>
      <c r="P82" s="142"/>
      <c r="Q82" s="139"/>
      <c r="R82" s="139"/>
      <c r="S82" s="143"/>
      <c r="T82" s="139"/>
      <c r="U82" s="139"/>
      <c r="V82" s="139"/>
      <c r="W82" s="139"/>
      <c r="X82" s="139"/>
      <c r="Y82" s="139"/>
      <c r="Z82" s="139"/>
      <c r="AA82" s="139"/>
      <c r="AB82" s="139"/>
      <c r="AC82" s="139"/>
      <c r="AD82" s="139"/>
      <c r="AE82" s="139"/>
      <c r="AF82" s="139"/>
      <c r="AG82" s="139"/>
      <c r="AH82" s="139"/>
      <c r="AI82" s="139"/>
      <c r="AJ82" s="139"/>
      <c r="AK82" s="131"/>
      <c r="AL82" s="131"/>
      <c r="AM82" s="131"/>
      <c r="AN82" s="131"/>
      <c r="AO82" s="131"/>
      <c r="AP82" s="131"/>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31"/>
      <c r="B83" s="141"/>
      <c r="C83" s="141"/>
      <c r="D83" s="141"/>
      <c r="E83" s="141"/>
      <c r="F83" s="141"/>
      <c r="G83" s="141"/>
      <c r="H83" s="141"/>
      <c r="I83" s="141"/>
      <c r="J83" s="141"/>
      <c r="K83" s="141"/>
      <c r="L83" s="141"/>
      <c r="M83" s="141"/>
      <c r="N83" s="139"/>
      <c r="O83" s="139"/>
      <c r="P83" s="142"/>
      <c r="Q83" s="139"/>
      <c r="R83" s="139"/>
      <c r="S83" s="143"/>
      <c r="T83" s="139"/>
      <c r="U83" s="139"/>
      <c r="V83" s="139"/>
      <c r="W83" s="139"/>
      <c r="X83" s="139"/>
      <c r="Y83" s="139"/>
      <c r="Z83" s="139"/>
      <c r="AA83" s="139"/>
      <c r="AB83" s="139"/>
      <c r="AC83" s="139"/>
      <c r="AD83" s="139"/>
      <c r="AE83" s="139"/>
      <c r="AF83" s="139"/>
      <c r="AG83" s="139"/>
      <c r="AH83" s="139"/>
      <c r="AI83" s="139"/>
      <c r="AJ83" s="139"/>
      <c r="AK83" s="131"/>
      <c r="AL83" s="131"/>
      <c r="AM83" s="131"/>
      <c r="AN83" s="131"/>
      <c r="AO83" s="131"/>
      <c r="AP83" s="131"/>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34"/>
      <c r="B84" s="141"/>
      <c r="C84" s="141"/>
      <c r="D84" s="141"/>
      <c r="E84" s="141"/>
      <c r="F84" s="141"/>
      <c r="G84" s="141"/>
      <c r="H84" s="141"/>
      <c r="I84" s="141"/>
      <c r="J84" s="141"/>
      <c r="K84" s="141"/>
      <c r="L84" s="141"/>
      <c r="M84" s="141"/>
      <c r="N84" s="139"/>
      <c r="O84" s="139"/>
      <c r="P84" s="142"/>
      <c r="Q84" s="139"/>
      <c r="R84" s="139"/>
      <c r="S84" s="143"/>
      <c r="T84" s="139"/>
      <c r="U84" s="139"/>
      <c r="V84" s="139"/>
      <c r="W84" s="139"/>
      <c r="X84" s="139"/>
      <c r="Y84" s="139"/>
      <c r="Z84" s="139"/>
      <c r="AA84" s="139"/>
      <c r="AB84" s="139"/>
      <c r="AC84" s="139"/>
      <c r="AD84" s="139"/>
      <c r="AE84" s="139"/>
      <c r="AF84" s="139"/>
      <c r="AG84" s="139"/>
      <c r="AH84" s="139"/>
      <c r="AI84" s="139"/>
      <c r="AJ84" s="139"/>
      <c r="AK84" s="131"/>
      <c r="AL84" s="131"/>
      <c r="AM84" s="131"/>
      <c r="AN84" s="131"/>
      <c r="AO84" s="131"/>
      <c r="AP84" s="131"/>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31"/>
      <c r="B85" s="141"/>
      <c r="C85" s="141"/>
      <c r="D85" s="141"/>
      <c r="E85" s="141"/>
      <c r="F85" s="141"/>
      <c r="G85" s="141"/>
      <c r="H85" s="141"/>
      <c r="I85" s="141"/>
      <c r="J85" s="141"/>
      <c r="K85" s="141"/>
      <c r="L85" s="141"/>
      <c r="M85" s="141"/>
      <c r="N85" s="139"/>
      <c r="O85" s="139"/>
      <c r="P85" s="142"/>
      <c r="Q85" s="139"/>
      <c r="R85" s="139"/>
      <c r="S85" s="143"/>
      <c r="T85" s="139"/>
      <c r="U85" s="139"/>
      <c r="V85" s="139"/>
      <c r="W85" s="139"/>
      <c r="X85" s="139"/>
      <c r="Y85" s="139"/>
      <c r="Z85" s="139"/>
      <c r="AA85" s="139"/>
      <c r="AB85" s="139"/>
      <c r="AC85" s="139"/>
      <c r="AD85" s="139"/>
      <c r="AE85" s="139"/>
      <c r="AF85" s="139"/>
      <c r="AG85" s="139"/>
      <c r="AH85" s="139"/>
      <c r="AI85" s="139"/>
      <c r="AJ85" s="139"/>
      <c r="AK85" s="131"/>
      <c r="AL85" s="131"/>
      <c r="AM85" s="131"/>
      <c r="AN85" s="131"/>
      <c r="AO85" s="131"/>
      <c r="AP85" s="131"/>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31"/>
      <c r="B86" s="141"/>
      <c r="C86" s="141"/>
      <c r="D86" s="141"/>
      <c r="E86" s="141"/>
      <c r="F86" s="141"/>
      <c r="G86" s="141"/>
      <c r="H86" s="141"/>
      <c r="I86" s="141"/>
      <c r="J86" s="141"/>
      <c r="K86" s="141"/>
      <c r="L86" s="141"/>
      <c r="M86" s="141"/>
      <c r="N86" s="139"/>
      <c r="O86" s="139"/>
      <c r="P86" s="142"/>
      <c r="Q86" s="139"/>
      <c r="R86" s="139"/>
      <c r="S86" s="142"/>
      <c r="T86" s="139"/>
      <c r="U86" s="139"/>
      <c r="V86" s="139"/>
      <c r="W86" s="139"/>
      <c r="X86" s="139"/>
      <c r="Y86" s="139"/>
      <c r="Z86" s="139"/>
      <c r="AA86" s="139"/>
      <c r="AB86" s="139"/>
      <c r="AC86" s="139"/>
      <c r="AD86" s="139"/>
      <c r="AE86" s="139"/>
      <c r="AF86" s="139"/>
      <c r="AG86" s="139"/>
      <c r="AH86" s="139"/>
      <c r="AI86" s="139"/>
      <c r="AJ86" s="139"/>
      <c r="AK86" s="131"/>
      <c r="AL86" s="131"/>
      <c r="AM86" s="146"/>
      <c r="AN86" s="131"/>
      <c r="AO86" s="131"/>
      <c r="AP86" s="131"/>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31"/>
      <c r="B87" s="141"/>
      <c r="C87" s="141"/>
      <c r="D87" s="141"/>
      <c r="E87" s="141"/>
      <c r="F87" s="141"/>
      <c r="G87" s="141"/>
      <c r="H87" s="141"/>
      <c r="I87" s="141"/>
      <c r="J87" s="141"/>
      <c r="K87" s="141"/>
      <c r="L87" s="141"/>
      <c r="M87" s="141"/>
      <c r="N87" s="139"/>
      <c r="O87" s="139"/>
      <c r="P87" s="142"/>
      <c r="Q87" s="139"/>
      <c r="R87" s="139"/>
      <c r="S87" s="143"/>
      <c r="T87" s="139"/>
      <c r="U87" s="139"/>
      <c r="V87" s="139"/>
      <c r="W87" s="139"/>
      <c r="X87" s="139"/>
      <c r="Y87" s="139"/>
      <c r="Z87" s="139"/>
      <c r="AA87" s="139"/>
      <c r="AB87" s="139"/>
      <c r="AC87" s="139"/>
      <c r="AD87" s="139"/>
      <c r="AE87" s="139"/>
      <c r="AF87" s="139"/>
      <c r="AG87" s="139"/>
      <c r="AH87" s="139"/>
      <c r="AI87" s="139"/>
      <c r="AJ87" s="139"/>
      <c r="AK87" s="131"/>
      <c r="AL87" s="131"/>
      <c r="AM87" s="131"/>
      <c r="AN87" s="131"/>
      <c r="AO87" s="131"/>
      <c r="AP87" s="131"/>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31"/>
      <c r="B88" s="141"/>
      <c r="C88" s="141"/>
      <c r="D88" s="141"/>
      <c r="E88" s="141"/>
      <c r="F88" s="141"/>
      <c r="G88" s="141"/>
      <c r="H88" s="141"/>
      <c r="I88" s="141"/>
      <c r="J88" s="141"/>
      <c r="K88" s="141"/>
      <c r="L88" s="141"/>
      <c r="M88" s="141"/>
      <c r="N88" s="139"/>
      <c r="O88" s="139"/>
      <c r="P88" s="142"/>
      <c r="Q88" s="139"/>
      <c r="R88" s="139"/>
      <c r="S88" s="143"/>
      <c r="T88" s="139"/>
      <c r="U88" s="139"/>
      <c r="V88" s="139"/>
      <c r="W88" s="139"/>
      <c r="X88" s="139"/>
      <c r="Y88" s="139"/>
      <c r="Z88" s="139"/>
      <c r="AA88" s="139"/>
      <c r="AB88" s="139"/>
      <c r="AC88" s="139"/>
      <c r="AD88" s="139"/>
      <c r="AE88" s="139"/>
      <c r="AF88" s="139"/>
      <c r="AG88" s="139"/>
      <c r="AH88" s="139"/>
      <c r="AI88" s="139"/>
      <c r="AJ88" s="139"/>
      <c r="AK88" s="131"/>
      <c r="AL88" s="131"/>
      <c r="AM88" s="131"/>
      <c r="AN88" s="131"/>
      <c r="AO88" s="131"/>
      <c r="AP88" s="131"/>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31"/>
      <c r="B89" s="141"/>
      <c r="C89" s="141"/>
      <c r="D89" s="141"/>
      <c r="E89" s="141"/>
      <c r="F89" s="141"/>
      <c r="G89" s="141"/>
      <c r="H89" s="141"/>
      <c r="I89" s="141"/>
      <c r="J89" s="141"/>
      <c r="K89" s="141"/>
      <c r="L89" s="141"/>
      <c r="M89" s="141"/>
      <c r="N89" s="139"/>
      <c r="O89" s="139"/>
      <c r="P89" s="142"/>
      <c r="Q89" s="139"/>
      <c r="R89" s="139"/>
      <c r="S89" s="143"/>
      <c r="T89" s="139"/>
      <c r="U89" s="139"/>
      <c r="V89" s="139"/>
      <c r="W89" s="139"/>
      <c r="X89" s="139"/>
      <c r="Y89" s="139"/>
      <c r="Z89" s="139"/>
      <c r="AA89" s="139"/>
      <c r="AB89" s="139"/>
      <c r="AC89" s="139"/>
      <c r="AD89" s="139"/>
      <c r="AE89" s="139"/>
      <c r="AF89" s="139"/>
      <c r="AG89" s="139"/>
      <c r="AH89" s="139"/>
      <c r="AI89" s="139"/>
      <c r="AJ89" s="139"/>
      <c r="AK89" s="131"/>
      <c r="AL89" s="131"/>
      <c r="AM89" s="131"/>
      <c r="AN89" s="131"/>
      <c r="AO89" s="131"/>
      <c r="AP89" s="131"/>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34"/>
      <c r="B90" s="141"/>
      <c r="C90" s="141"/>
      <c r="D90" s="141"/>
      <c r="E90" s="141"/>
      <c r="F90" s="141"/>
      <c r="G90" s="141"/>
      <c r="H90" s="141"/>
      <c r="I90" s="141"/>
      <c r="J90" s="141"/>
      <c r="K90" s="141"/>
      <c r="L90" s="141"/>
      <c r="M90" s="141"/>
      <c r="N90" s="139"/>
      <c r="O90" s="139"/>
      <c r="P90" s="142"/>
      <c r="Q90" s="139"/>
      <c r="R90" s="139"/>
      <c r="S90" s="143"/>
      <c r="T90" s="139"/>
      <c r="U90" s="139"/>
      <c r="V90" s="139"/>
      <c r="W90" s="139"/>
      <c r="X90" s="139"/>
      <c r="Y90" s="139"/>
      <c r="Z90" s="139"/>
      <c r="AA90" s="139"/>
      <c r="AB90" s="139"/>
      <c r="AC90" s="139"/>
      <c r="AD90" s="139"/>
      <c r="AE90" s="139"/>
      <c r="AF90" s="139"/>
      <c r="AG90" s="139"/>
      <c r="AH90" s="139"/>
      <c r="AI90" s="139"/>
      <c r="AJ90" s="139"/>
      <c r="AK90" s="131"/>
      <c r="AL90" s="131"/>
      <c r="AM90" s="131"/>
      <c r="AN90" s="131"/>
      <c r="AO90" s="131"/>
      <c r="AP90" s="131"/>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31"/>
      <c r="B91" s="141"/>
      <c r="C91" s="141"/>
      <c r="D91" s="141"/>
      <c r="E91" s="141"/>
      <c r="F91" s="141"/>
      <c r="G91" s="141"/>
      <c r="H91" s="141"/>
      <c r="I91" s="141"/>
      <c r="J91" s="141"/>
      <c r="K91" s="141"/>
      <c r="L91" s="141"/>
      <c r="M91" s="141"/>
      <c r="N91" s="139"/>
      <c r="O91" s="139"/>
      <c r="P91" s="142"/>
      <c r="Q91" s="139"/>
      <c r="R91" s="139"/>
      <c r="S91" s="143"/>
      <c r="T91" s="139"/>
      <c r="U91" s="139"/>
      <c r="V91" s="139"/>
      <c r="W91" s="139"/>
      <c r="X91" s="139"/>
      <c r="Y91" s="139"/>
      <c r="Z91" s="139"/>
      <c r="AA91" s="139"/>
      <c r="AB91" s="139"/>
      <c r="AC91" s="139"/>
      <c r="AD91" s="139"/>
      <c r="AE91" s="139"/>
      <c r="AF91" s="139"/>
      <c r="AG91" s="139"/>
      <c r="AH91" s="139"/>
      <c r="AI91" s="139"/>
      <c r="AJ91" s="139"/>
      <c r="AK91" s="131"/>
      <c r="AL91" s="131"/>
      <c r="AM91" s="131"/>
      <c r="AN91" s="131"/>
      <c r="AO91" s="131"/>
      <c r="AP91" s="131"/>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31"/>
      <c r="B92" s="141"/>
      <c r="C92" s="141"/>
      <c r="D92" s="141"/>
      <c r="E92" s="141"/>
      <c r="F92" s="141"/>
      <c r="G92" s="141"/>
      <c r="H92" s="141"/>
      <c r="I92" s="141"/>
      <c r="J92" s="141"/>
      <c r="K92" s="141"/>
      <c r="L92" s="141"/>
      <c r="M92" s="141"/>
      <c r="N92" s="139"/>
      <c r="O92" s="139"/>
      <c r="P92" s="142"/>
      <c r="Q92" s="139"/>
      <c r="R92" s="139"/>
      <c r="S92" s="142"/>
      <c r="T92" s="139"/>
      <c r="U92" s="139"/>
      <c r="V92" s="139"/>
      <c r="W92" s="139"/>
      <c r="X92" s="139"/>
      <c r="Y92" s="139"/>
      <c r="Z92" s="139"/>
      <c r="AA92" s="139"/>
      <c r="AB92" s="139"/>
      <c r="AC92" s="139"/>
      <c r="AD92" s="139"/>
      <c r="AE92" s="139"/>
      <c r="AF92" s="139"/>
      <c r="AG92" s="139"/>
      <c r="AH92" s="139"/>
      <c r="AI92" s="139"/>
      <c r="AJ92" s="139"/>
      <c r="AK92" s="131"/>
      <c r="AL92" s="131"/>
      <c r="AM92" s="146"/>
      <c r="AN92" s="131"/>
      <c r="AO92" s="131"/>
      <c r="AP92" s="131"/>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31"/>
      <c r="B93" s="141"/>
      <c r="C93" s="141"/>
      <c r="D93" s="141"/>
      <c r="E93" s="141"/>
      <c r="F93" s="141"/>
      <c r="G93" s="141"/>
      <c r="H93" s="141"/>
      <c r="I93" s="141"/>
      <c r="J93" s="141"/>
      <c r="K93" s="141"/>
      <c r="L93" s="141"/>
      <c r="M93" s="141"/>
      <c r="N93" s="139"/>
      <c r="O93" s="139"/>
      <c r="P93" s="142"/>
      <c r="Q93" s="139"/>
      <c r="R93" s="139"/>
      <c r="S93" s="143"/>
      <c r="T93" s="139"/>
      <c r="U93" s="139"/>
      <c r="V93" s="139"/>
      <c r="W93" s="139"/>
      <c r="X93" s="139"/>
      <c r="Y93" s="139"/>
      <c r="Z93" s="139"/>
      <c r="AA93" s="139"/>
      <c r="AB93" s="139"/>
      <c r="AC93" s="139"/>
      <c r="AD93" s="139"/>
      <c r="AE93" s="139"/>
      <c r="AF93" s="139"/>
      <c r="AG93" s="139"/>
      <c r="AH93" s="139"/>
      <c r="AI93" s="139"/>
      <c r="AJ93" s="139"/>
      <c r="AK93" s="131"/>
      <c r="AL93" s="131"/>
      <c r="AM93" s="131"/>
      <c r="AN93" s="131"/>
      <c r="AO93" s="131"/>
      <c r="AP93" s="131"/>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31"/>
      <c r="B94" s="141"/>
      <c r="C94" s="141"/>
      <c r="D94" s="141"/>
      <c r="E94" s="141"/>
      <c r="F94" s="141"/>
      <c r="G94" s="141"/>
      <c r="H94" s="141"/>
      <c r="I94" s="141"/>
      <c r="J94" s="141"/>
      <c r="K94" s="141"/>
      <c r="L94" s="141"/>
      <c r="M94" s="141"/>
      <c r="N94" s="139"/>
      <c r="O94" s="139"/>
      <c r="P94" s="142"/>
      <c r="Q94" s="139"/>
      <c r="R94" s="139"/>
      <c r="S94" s="143"/>
      <c r="T94" s="139"/>
      <c r="U94" s="139"/>
      <c r="V94" s="139"/>
      <c r="W94" s="139"/>
      <c r="X94" s="139"/>
      <c r="Y94" s="139"/>
      <c r="Z94" s="139"/>
      <c r="AA94" s="139"/>
      <c r="AB94" s="139"/>
      <c r="AC94" s="139"/>
      <c r="AD94" s="139"/>
      <c r="AE94" s="139"/>
      <c r="AF94" s="139"/>
      <c r="AG94" s="139"/>
      <c r="AH94" s="139"/>
      <c r="AI94" s="139"/>
      <c r="AJ94" s="139"/>
      <c r="AK94" s="131"/>
      <c r="AL94" s="131"/>
      <c r="AM94" s="131"/>
      <c r="AN94" s="131"/>
      <c r="AO94" s="131"/>
      <c r="AP94" s="131"/>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31"/>
      <c r="B95" s="141"/>
      <c r="C95" s="141"/>
      <c r="D95" s="141"/>
      <c r="E95" s="141"/>
      <c r="F95" s="141"/>
      <c r="G95" s="141"/>
      <c r="H95" s="141"/>
      <c r="I95" s="141"/>
      <c r="J95" s="141"/>
      <c r="K95" s="141"/>
      <c r="L95" s="141"/>
      <c r="M95" s="141"/>
      <c r="N95" s="139"/>
      <c r="O95" s="139"/>
      <c r="P95" s="142"/>
      <c r="Q95" s="139"/>
      <c r="R95" s="139"/>
      <c r="S95" s="143"/>
      <c r="T95" s="139"/>
      <c r="U95" s="139"/>
      <c r="V95" s="139"/>
      <c r="W95" s="139"/>
      <c r="X95" s="139"/>
      <c r="Y95" s="139"/>
      <c r="Z95" s="139"/>
      <c r="AA95" s="139"/>
      <c r="AB95" s="139"/>
      <c r="AC95" s="139"/>
      <c r="AD95" s="139"/>
      <c r="AE95" s="139"/>
      <c r="AF95" s="139"/>
      <c r="AG95" s="139"/>
      <c r="AH95" s="139"/>
      <c r="AI95" s="134"/>
      <c r="AJ95" s="131"/>
      <c r="AK95" s="131"/>
      <c r="AL95" s="131"/>
      <c r="AM95" s="131"/>
      <c r="AN95" s="131"/>
      <c r="AO95" s="131"/>
      <c r="AP95" s="131"/>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34"/>
      <c r="B96" s="141"/>
      <c r="C96" s="141"/>
      <c r="D96" s="141"/>
      <c r="E96" s="141"/>
      <c r="F96" s="141"/>
      <c r="G96" s="141"/>
      <c r="H96" s="141"/>
      <c r="I96" s="141"/>
      <c r="J96" s="141"/>
      <c r="K96" s="141"/>
      <c r="L96" s="141"/>
      <c r="M96" s="141"/>
      <c r="N96" s="139"/>
      <c r="O96" s="139"/>
      <c r="P96" s="142"/>
      <c r="Q96" s="139"/>
      <c r="R96" s="139"/>
      <c r="S96" s="143"/>
      <c r="T96" s="139"/>
      <c r="U96" s="139"/>
      <c r="V96" s="139"/>
      <c r="W96" s="139"/>
      <c r="X96" s="139"/>
      <c r="Y96" s="139"/>
      <c r="Z96" s="139"/>
      <c r="AA96" s="139"/>
      <c r="AB96" s="139"/>
      <c r="AC96" s="139"/>
      <c r="AD96" s="139"/>
      <c r="AE96" s="139"/>
      <c r="AF96" s="139"/>
      <c r="AG96" s="139"/>
      <c r="AH96" s="139"/>
      <c r="AI96" s="134"/>
      <c r="AJ96" s="131"/>
      <c r="AK96" s="131"/>
      <c r="AL96" s="131"/>
      <c r="AM96" s="131"/>
      <c r="AN96" s="131"/>
      <c r="AO96" s="131"/>
      <c r="AP96" s="131"/>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31"/>
      <c r="B97" s="141"/>
      <c r="C97" s="141"/>
      <c r="D97" s="141"/>
      <c r="E97" s="141"/>
      <c r="F97" s="141"/>
      <c r="G97" s="141"/>
      <c r="H97" s="141"/>
      <c r="I97" s="141"/>
      <c r="J97" s="141"/>
      <c r="K97" s="141"/>
      <c r="L97" s="141"/>
      <c r="M97" s="141"/>
      <c r="N97" s="139"/>
      <c r="O97" s="139"/>
      <c r="P97" s="142"/>
      <c r="Q97" s="139"/>
      <c r="R97" s="139"/>
      <c r="S97" s="143"/>
      <c r="T97" s="139"/>
      <c r="U97" s="139"/>
      <c r="V97" s="139"/>
      <c r="W97" s="139"/>
      <c r="X97" s="139"/>
      <c r="Y97" s="139"/>
      <c r="Z97" s="139"/>
      <c r="AA97" s="139"/>
      <c r="AB97" s="139"/>
      <c r="AC97" s="139"/>
      <c r="AD97" s="139"/>
      <c r="AE97" s="139"/>
      <c r="AF97" s="139"/>
      <c r="AG97" s="139"/>
      <c r="AH97" s="139"/>
      <c r="AI97" s="134"/>
      <c r="AJ97" s="131"/>
      <c r="AK97" s="131"/>
      <c r="AL97" s="131"/>
      <c r="AM97" s="131"/>
      <c r="AN97" s="131"/>
      <c r="AO97" s="131"/>
      <c r="AP97" s="131"/>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31"/>
      <c r="B98" s="141"/>
      <c r="C98" s="141"/>
      <c r="D98" s="141"/>
      <c r="E98" s="141"/>
      <c r="F98" s="141"/>
      <c r="G98" s="141"/>
      <c r="H98" s="141"/>
      <c r="I98" s="141"/>
      <c r="J98" s="141"/>
      <c r="K98" s="141"/>
      <c r="L98" s="141"/>
      <c r="M98" s="141"/>
      <c r="N98" s="139"/>
      <c r="O98" s="139"/>
      <c r="P98" s="142"/>
      <c r="Q98" s="139"/>
      <c r="R98" s="139"/>
      <c r="S98" s="142"/>
      <c r="T98" s="139"/>
      <c r="U98" s="139"/>
      <c r="V98" s="139"/>
      <c r="W98" s="139"/>
      <c r="X98" s="139"/>
      <c r="Y98" s="139"/>
      <c r="Z98" s="139"/>
      <c r="AA98" s="139"/>
      <c r="AB98" s="139"/>
      <c r="AC98" s="139"/>
      <c r="AD98" s="139"/>
      <c r="AE98" s="139"/>
      <c r="AF98" s="139"/>
      <c r="AG98" s="139"/>
      <c r="AH98" s="139"/>
      <c r="AI98" s="134"/>
      <c r="AJ98" s="131"/>
      <c r="AK98" s="131"/>
      <c r="AL98" s="131"/>
      <c r="AM98" s="146"/>
      <c r="AN98" s="131"/>
      <c r="AO98" s="131"/>
      <c r="AP98" s="131"/>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31"/>
      <c r="B99" s="141"/>
      <c r="C99" s="141"/>
      <c r="D99" s="141"/>
      <c r="E99" s="141"/>
      <c r="F99" s="141"/>
      <c r="G99" s="141"/>
      <c r="H99" s="141"/>
      <c r="I99" s="141"/>
      <c r="J99" s="141"/>
      <c r="K99" s="141"/>
      <c r="L99" s="141"/>
      <c r="M99" s="141"/>
      <c r="N99" s="139"/>
      <c r="O99" s="139"/>
      <c r="P99" s="142"/>
      <c r="Q99" s="139"/>
      <c r="R99" s="139"/>
      <c r="S99" s="143"/>
      <c r="T99" s="139"/>
      <c r="U99" s="139"/>
      <c r="V99" s="139"/>
      <c r="W99" s="139"/>
      <c r="X99" s="139"/>
      <c r="Y99" s="139"/>
      <c r="Z99" s="139"/>
      <c r="AA99" s="139"/>
      <c r="AB99" s="139"/>
      <c r="AC99" s="139"/>
      <c r="AD99" s="139"/>
      <c r="AE99" s="139"/>
      <c r="AF99" s="139"/>
      <c r="AG99" s="139"/>
      <c r="AH99" s="139"/>
      <c r="AI99" s="134"/>
      <c r="AJ99" s="131"/>
      <c r="AK99" s="131"/>
      <c r="AL99" s="131"/>
      <c r="AM99" s="131"/>
      <c r="AN99" s="131"/>
      <c r="AO99" s="131"/>
      <c r="AP99" s="131"/>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31"/>
      <c r="B100" s="141"/>
      <c r="C100" s="141"/>
      <c r="D100" s="141"/>
      <c r="E100" s="141"/>
      <c r="F100" s="141"/>
      <c r="G100" s="141"/>
      <c r="H100" s="141"/>
      <c r="I100" s="141"/>
      <c r="J100" s="141"/>
      <c r="K100" s="141"/>
      <c r="L100" s="141"/>
      <c r="M100" s="141"/>
      <c r="N100" s="139"/>
      <c r="O100" s="139"/>
      <c r="P100" s="142"/>
      <c r="Q100" s="139"/>
      <c r="R100" s="139"/>
      <c r="S100" s="143"/>
      <c r="T100" s="139"/>
      <c r="U100" s="139"/>
      <c r="V100" s="139"/>
      <c r="W100" s="139"/>
      <c r="X100" s="139"/>
      <c r="Y100" s="139"/>
      <c r="Z100" s="139"/>
      <c r="AA100" s="139"/>
      <c r="AB100" s="139"/>
      <c r="AC100" s="139"/>
      <c r="AD100" s="139"/>
      <c r="AE100" s="139"/>
      <c r="AF100" s="139"/>
      <c r="AG100" s="139"/>
      <c r="AH100" s="139"/>
      <c r="AI100" s="134"/>
      <c r="AJ100" s="131"/>
      <c r="AK100" s="131"/>
      <c r="AL100" s="131"/>
      <c r="AM100" s="131"/>
      <c r="AN100" s="131"/>
      <c r="AO100" s="131"/>
      <c r="AP100" s="131"/>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31"/>
      <c r="B101" s="141"/>
      <c r="C101" s="141"/>
      <c r="D101" s="141"/>
      <c r="E101" s="141"/>
      <c r="F101" s="141"/>
      <c r="G101" s="141"/>
      <c r="H101" s="141"/>
      <c r="I101" s="141"/>
      <c r="J101" s="141"/>
      <c r="K101" s="141"/>
      <c r="L101" s="141"/>
      <c r="M101" s="141"/>
      <c r="N101" s="139"/>
      <c r="O101" s="139"/>
      <c r="P101" s="142"/>
      <c r="Q101" s="139"/>
      <c r="R101" s="139"/>
      <c r="S101" s="143"/>
      <c r="T101" s="139"/>
      <c r="U101" s="139"/>
      <c r="V101" s="139"/>
      <c r="W101" s="139"/>
      <c r="X101" s="139"/>
      <c r="Y101" s="139"/>
      <c r="Z101" s="139"/>
      <c r="AA101" s="139"/>
      <c r="AB101" s="139"/>
      <c r="AC101" s="139"/>
      <c r="AD101" s="139"/>
      <c r="AE101" s="139"/>
      <c r="AF101" s="139"/>
      <c r="AG101" s="139"/>
      <c r="AH101" s="139"/>
      <c r="AI101" s="134"/>
      <c r="AJ101" s="131"/>
      <c r="AK101" s="131"/>
      <c r="AL101" s="131"/>
      <c r="AM101" s="131"/>
      <c r="AN101" s="131"/>
      <c r="AO101" s="131"/>
      <c r="AP101" s="131"/>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34"/>
      <c r="B102" s="141"/>
      <c r="C102" s="141"/>
      <c r="D102" s="141"/>
      <c r="E102" s="141"/>
      <c r="F102" s="141"/>
      <c r="G102" s="141"/>
      <c r="H102" s="141"/>
      <c r="I102" s="141"/>
      <c r="J102" s="141"/>
      <c r="K102" s="141"/>
      <c r="L102" s="141"/>
      <c r="M102" s="141"/>
      <c r="N102" s="139"/>
      <c r="O102" s="139"/>
      <c r="P102" s="142"/>
      <c r="Q102" s="139"/>
      <c r="R102" s="139"/>
      <c r="S102" s="143"/>
      <c r="T102" s="139"/>
      <c r="U102" s="139"/>
      <c r="V102" s="139"/>
      <c r="W102" s="139"/>
      <c r="X102" s="139"/>
      <c r="Y102" s="139"/>
      <c r="Z102" s="139"/>
      <c r="AA102" s="139"/>
      <c r="AB102" s="139"/>
      <c r="AC102" s="139"/>
      <c r="AD102" s="139"/>
      <c r="AE102" s="139"/>
      <c r="AF102" s="139"/>
      <c r="AG102" s="139"/>
      <c r="AH102" s="139"/>
      <c r="AI102" s="134"/>
      <c r="AJ102" s="131"/>
      <c r="AK102" s="131"/>
      <c r="AL102" s="131"/>
      <c r="AM102" s="131"/>
      <c r="AN102" s="131"/>
      <c r="AO102" s="131"/>
      <c r="AP102" s="131"/>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31"/>
      <c r="B103" s="141"/>
      <c r="C103" s="141"/>
      <c r="D103" s="141"/>
      <c r="E103" s="141"/>
      <c r="F103" s="141"/>
      <c r="G103" s="141"/>
      <c r="H103" s="141"/>
      <c r="I103" s="141"/>
      <c r="J103" s="141"/>
      <c r="K103" s="141"/>
      <c r="L103" s="141"/>
      <c r="M103" s="141"/>
      <c r="N103" s="139"/>
      <c r="O103" s="139"/>
      <c r="P103" s="142"/>
      <c r="Q103" s="139"/>
      <c r="R103" s="139"/>
      <c r="S103" s="143"/>
      <c r="T103" s="139"/>
      <c r="U103" s="139"/>
      <c r="V103" s="139"/>
      <c r="W103" s="139"/>
      <c r="X103" s="139"/>
      <c r="Y103" s="139"/>
      <c r="Z103" s="139"/>
      <c r="AA103" s="139"/>
      <c r="AB103" s="139"/>
      <c r="AC103" s="139"/>
      <c r="AD103" s="139"/>
      <c r="AE103" s="139"/>
      <c r="AF103" s="139"/>
      <c r="AG103" s="139"/>
      <c r="AH103" s="139"/>
      <c r="AI103" s="134"/>
      <c r="AJ103" s="131"/>
      <c r="AK103" s="131"/>
      <c r="AL103" s="131"/>
      <c r="AM103" s="131"/>
      <c r="AN103" s="131"/>
      <c r="AO103" s="131"/>
      <c r="AP103" s="131"/>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31"/>
      <c r="B104" s="141"/>
      <c r="C104" s="141"/>
      <c r="D104" s="141"/>
      <c r="E104" s="141"/>
      <c r="F104" s="141"/>
      <c r="G104" s="141"/>
      <c r="H104" s="141"/>
      <c r="I104" s="141"/>
      <c r="J104" s="141"/>
      <c r="K104" s="141"/>
      <c r="L104" s="141"/>
      <c r="M104" s="141"/>
      <c r="N104" s="139"/>
      <c r="O104" s="139"/>
      <c r="P104" s="142"/>
      <c r="Q104" s="139"/>
      <c r="R104" s="139"/>
      <c r="S104" s="142"/>
      <c r="T104" s="139"/>
      <c r="U104" s="139"/>
      <c r="V104" s="139"/>
      <c r="W104" s="139"/>
      <c r="X104" s="139"/>
      <c r="Y104" s="139"/>
      <c r="Z104" s="139"/>
      <c r="AA104" s="139"/>
      <c r="AB104" s="139"/>
      <c r="AC104" s="139"/>
      <c r="AD104" s="139"/>
      <c r="AE104" s="139"/>
      <c r="AF104" s="139"/>
      <c r="AG104" s="139"/>
      <c r="AH104" s="139"/>
      <c r="AI104" s="134"/>
      <c r="AJ104" s="131"/>
      <c r="AK104" s="131"/>
      <c r="AL104" s="131"/>
      <c r="AM104" s="131"/>
      <c r="AN104" s="131"/>
      <c r="AO104" s="131"/>
      <c r="AP104" s="131"/>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31"/>
      <c r="B105" s="141"/>
      <c r="C105" s="141"/>
      <c r="D105" s="141"/>
      <c r="E105" s="141"/>
      <c r="F105" s="141"/>
      <c r="G105" s="141"/>
      <c r="H105" s="141"/>
      <c r="I105" s="141"/>
      <c r="J105" s="141"/>
      <c r="K105" s="141"/>
      <c r="L105" s="141"/>
      <c r="M105" s="141"/>
      <c r="N105" s="139"/>
      <c r="O105" s="139"/>
      <c r="P105" s="142"/>
      <c r="Q105" s="139"/>
      <c r="R105" s="139"/>
      <c r="S105" s="143"/>
      <c r="T105" s="139"/>
      <c r="U105" s="139"/>
      <c r="V105" s="139"/>
      <c r="W105" s="139"/>
      <c r="X105" s="139"/>
      <c r="Y105" s="139"/>
      <c r="Z105" s="139"/>
      <c r="AA105" s="139"/>
      <c r="AB105" s="139"/>
      <c r="AC105" s="139"/>
      <c r="AD105" s="139"/>
      <c r="AE105" s="139"/>
      <c r="AF105" s="139"/>
      <c r="AG105" s="139"/>
      <c r="AH105" s="139"/>
      <c r="AI105" s="134"/>
      <c r="AJ105" s="131"/>
      <c r="AK105" s="131"/>
      <c r="AL105" s="131"/>
      <c r="AM105" s="131"/>
      <c r="AN105" s="131"/>
      <c r="AO105" s="131"/>
      <c r="AP105" s="131"/>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31"/>
      <c r="B106" s="141"/>
      <c r="C106" s="141"/>
      <c r="D106" s="141"/>
      <c r="E106" s="141"/>
      <c r="F106" s="141"/>
      <c r="G106" s="141"/>
      <c r="H106" s="141"/>
      <c r="I106" s="141"/>
      <c r="J106" s="141"/>
      <c r="K106" s="141"/>
      <c r="L106" s="141"/>
      <c r="M106" s="141"/>
      <c r="N106" s="139"/>
      <c r="O106" s="139"/>
      <c r="P106" s="142"/>
      <c r="Q106" s="139"/>
      <c r="R106" s="139"/>
      <c r="S106" s="143"/>
      <c r="T106" s="139"/>
      <c r="U106" s="139"/>
      <c r="V106" s="139"/>
      <c r="W106" s="139"/>
      <c r="X106" s="139"/>
      <c r="Y106" s="139"/>
      <c r="Z106" s="139"/>
      <c r="AA106" s="139"/>
      <c r="AB106" s="139"/>
      <c r="AC106" s="139"/>
      <c r="AD106" s="139"/>
      <c r="AE106" s="139"/>
      <c r="AF106" s="139"/>
      <c r="AG106" s="139"/>
      <c r="AH106" s="139"/>
      <c r="AI106" s="134"/>
      <c r="AJ106" s="131"/>
      <c r="AK106" s="131"/>
      <c r="AL106" s="131"/>
      <c r="AM106" s="131"/>
      <c r="AN106" s="131"/>
      <c r="AO106" s="131"/>
      <c r="AP106" s="131"/>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31"/>
      <c r="B107" s="141"/>
      <c r="C107" s="141"/>
      <c r="D107" s="141"/>
      <c r="E107" s="141"/>
      <c r="F107" s="141"/>
      <c r="G107" s="141"/>
      <c r="H107" s="141"/>
      <c r="I107" s="141"/>
      <c r="J107" s="141"/>
      <c r="K107" s="141"/>
      <c r="L107" s="141"/>
      <c r="M107" s="141"/>
      <c r="N107" s="139"/>
      <c r="O107" s="139"/>
      <c r="P107" s="142"/>
      <c r="Q107" s="139"/>
      <c r="R107" s="139"/>
      <c r="S107" s="143"/>
      <c r="T107" s="139"/>
      <c r="U107" s="139"/>
      <c r="V107" s="139"/>
      <c r="W107" s="139"/>
      <c r="X107" s="139"/>
      <c r="Y107" s="139"/>
      <c r="Z107" s="139"/>
      <c r="AA107" s="139"/>
      <c r="AB107" s="139"/>
      <c r="AC107" s="139"/>
      <c r="AD107" s="139"/>
      <c r="AE107" s="139"/>
      <c r="AF107" s="139"/>
      <c r="AG107" s="139"/>
      <c r="AH107" s="139"/>
      <c r="AI107" s="134"/>
      <c r="AJ107" s="131"/>
      <c r="AK107" s="131"/>
      <c r="AL107" s="131"/>
      <c r="AM107" s="131"/>
      <c r="AN107" s="131"/>
      <c r="AO107" s="131"/>
      <c r="AP107" s="131"/>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34"/>
      <c r="B108" s="141"/>
      <c r="C108" s="141"/>
      <c r="D108" s="141"/>
      <c r="E108" s="141"/>
      <c r="F108" s="141"/>
      <c r="G108" s="141"/>
      <c r="H108" s="141"/>
      <c r="I108" s="141"/>
      <c r="J108" s="141"/>
      <c r="K108" s="141"/>
      <c r="L108" s="141"/>
      <c r="M108" s="141"/>
      <c r="N108" s="139"/>
      <c r="O108" s="139"/>
      <c r="P108" s="142"/>
      <c r="Q108" s="139"/>
      <c r="R108" s="139"/>
      <c r="S108" s="143"/>
      <c r="T108" s="139"/>
      <c r="U108" s="139"/>
      <c r="V108" s="139"/>
      <c r="W108" s="139"/>
      <c r="X108" s="139"/>
      <c r="Y108" s="139"/>
      <c r="Z108" s="139"/>
      <c r="AA108" s="139"/>
      <c r="AB108" s="139"/>
      <c r="AC108" s="139"/>
      <c r="AD108" s="139"/>
      <c r="AE108" s="139"/>
      <c r="AF108" s="139"/>
      <c r="AG108" s="139"/>
      <c r="AH108" s="139"/>
      <c r="AI108" s="134"/>
      <c r="AJ108" s="131"/>
      <c r="AK108" s="131"/>
      <c r="AL108" s="131"/>
      <c r="AM108" s="131"/>
      <c r="AN108" s="131"/>
      <c r="AO108" s="131"/>
      <c r="AP108" s="131"/>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31"/>
      <c r="B109" s="141"/>
      <c r="C109" s="141"/>
      <c r="D109" s="141"/>
      <c r="E109" s="141"/>
      <c r="F109" s="141"/>
      <c r="G109" s="141"/>
      <c r="H109" s="141"/>
      <c r="I109" s="141"/>
      <c r="J109" s="141"/>
      <c r="K109" s="141"/>
      <c r="L109" s="141"/>
      <c r="M109" s="141"/>
      <c r="N109" s="139"/>
      <c r="O109" s="139"/>
      <c r="P109" s="142"/>
      <c r="Q109" s="139"/>
      <c r="R109" s="139"/>
      <c r="S109" s="143"/>
      <c r="T109" s="139"/>
      <c r="U109" s="139"/>
      <c r="V109" s="139"/>
      <c r="W109" s="139"/>
      <c r="X109" s="139"/>
      <c r="Y109" s="139"/>
      <c r="Z109" s="139"/>
      <c r="AA109" s="139"/>
      <c r="AB109" s="139"/>
      <c r="AC109" s="139"/>
      <c r="AD109" s="139"/>
      <c r="AE109" s="139"/>
      <c r="AF109" s="139"/>
      <c r="AG109" s="139"/>
      <c r="AH109" s="139"/>
      <c r="AI109" s="134"/>
      <c r="AJ109" s="131"/>
      <c r="AK109" s="131"/>
      <c r="AL109" s="131"/>
      <c r="AM109" s="131"/>
      <c r="AN109" s="131"/>
      <c r="AO109" s="131"/>
      <c r="AP109" s="131"/>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31"/>
      <c r="B110" s="141"/>
      <c r="C110" s="141"/>
      <c r="D110" s="141"/>
      <c r="E110" s="141"/>
      <c r="F110" s="141"/>
      <c r="G110" s="141"/>
      <c r="H110" s="141"/>
      <c r="I110" s="141"/>
      <c r="J110" s="141"/>
      <c r="K110" s="141"/>
      <c r="L110" s="141"/>
      <c r="M110" s="141"/>
      <c r="N110" s="139"/>
      <c r="O110" s="139"/>
      <c r="P110" s="142"/>
      <c r="Q110" s="139"/>
      <c r="R110" s="139"/>
      <c r="S110" s="142"/>
      <c r="T110" s="139"/>
      <c r="U110" s="139"/>
      <c r="V110" s="139"/>
      <c r="W110" s="139"/>
      <c r="X110" s="139"/>
      <c r="Y110" s="139"/>
      <c r="Z110" s="139"/>
      <c r="AA110" s="139"/>
      <c r="AB110" s="139"/>
      <c r="AC110" s="139"/>
      <c r="AD110" s="139"/>
      <c r="AE110" s="139"/>
      <c r="AF110" s="139"/>
      <c r="AG110" s="139"/>
      <c r="AH110" s="139"/>
      <c r="AI110" s="134"/>
      <c r="AJ110" s="131"/>
      <c r="AK110" s="131"/>
      <c r="AL110" s="131"/>
      <c r="AM110" s="131"/>
      <c r="AN110" s="131"/>
      <c r="AO110" s="131"/>
      <c r="AP110" s="131"/>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31"/>
      <c r="B111" s="141"/>
      <c r="C111" s="141"/>
      <c r="D111" s="141"/>
      <c r="E111" s="141"/>
      <c r="F111" s="141"/>
      <c r="G111" s="141"/>
      <c r="H111" s="141"/>
      <c r="I111" s="141"/>
      <c r="J111" s="141"/>
      <c r="K111" s="141"/>
      <c r="L111" s="141"/>
      <c r="M111" s="141"/>
      <c r="N111" s="139"/>
      <c r="O111" s="139"/>
      <c r="P111" s="142"/>
      <c r="Q111" s="139"/>
      <c r="R111" s="139"/>
      <c r="S111" s="143"/>
      <c r="T111" s="139"/>
      <c r="U111" s="139"/>
      <c r="V111" s="139"/>
      <c r="W111" s="139"/>
      <c r="X111" s="139"/>
      <c r="Y111" s="139"/>
      <c r="Z111" s="139"/>
      <c r="AA111" s="139"/>
      <c r="AB111" s="139"/>
      <c r="AC111" s="139"/>
      <c r="AD111" s="139"/>
      <c r="AE111" s="139"/>
      <c r="AF111" s="139"/>
      <c r="AG111" s="139"/>
      <c r="AH111" s="139"/>
      <c r="AI111" s="134"/>
      <c r="AJ111" s="131"/>
      <c r="AK111" s="131"/>
      <c r="AL111" s="131"/>
      <c r="AM111" s="131"/>
      <c r="AN111" s="131"/>
      <c r="AO111" s="131"/>
      <c r="AP111" s="131"/>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31"/>
      <c r="B112" s="141"/>
      <c r="C112" s="141"/>
      <c r="D112" s="141"/>
      <c r="E112" s="141"/>
      <c r="F112" s="141"/>
      <c r="G112" s="141"/>
      <c r="H112" s="141"/>
      <c r="I112" s="141"/>
      <c r="J112" s="141"/>
      <c r="K112" s="141"/>
      <c r="L112" s="141"/>
      <c r="M112" s="141"/>
      <c r="N112" s="139"/>
      <c r="O112" s="139"/>
      <c r="P112" s="142"/>
      <c r="Q112" s="139"/>
      <c r="R112" s="139"/>
      <c r="S112" s="143"/>
      <c r="T112" s="139"/>
      <c r="U112" s="139"/>
      <c r="V112" s="139"/>
      <c r="W112" s="139"/>
      <c r="X112" s="139"/>
      <c r="Y112" s="139"/>
      <c r="Z112" s="139"/>
      <c r="AA112" s="139"/>
      <c r="AB112" s="139"/>
      <c r="AC112" s="139"/>
      <c r="AD112" s="139"/>
      <c r="AE112" s="139"/>
      <c r="AF112" s="139"/>
      <c r="AG112" s="139"/>
      <c r="AH112" s="139"/>
      <c r="AI112" s="134"/>
      <c r="AJ112" s="131"/>
      <c r="AK112" s="131"/>
      <c r="AL112" s="131"/>
      <c r="AM112" s="131"/>
      <c r="AN112" s="131"/>
      <c r="AO112" s="131"/>
      <c r="AP112" s="131"/>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31"/>
      <c r="B113" s="141"/>
      <c r="C113" s="141"/>
      <c r="D113" s="141"/>
      <c r="E113" s="141"/>
      <c r="F113" s="141"/>
      <c r="G113" s="141"/>
      <c r="H113" s="141"/>
      <c r="I113" s="141"/>
      <c r="J113" s="141"/>
      <c r="K113" s="141"/>
      <c r="L113" s="141"/>
      <c r="M113" s="141"/>
      <c r="N113" s="139"/>
      <c r="O113" s="139"/>
      <c r="P113" s="142"/>
      <c r="Q113" s="139"/>
      <c r="R113" s="139"/>
      <c r="S113" s="143"/>
      <c r="T113" s="139"/>
      <c r="U113" s="139"/>
      <c r="V113" s="139"/>
      <c r="W113" s="139"/>
      <c r="X113" s="139"/>
      <c r="Y113" s="139"/>
      <c r="Z113" s="139"/>
      <c r="AA113" s="139"/>
      <c r="AB113" s="139"/>
      <c r="AC113" s="139"/>
      <c r="AD113" s="139"/>
      <c r="AE113" s="139"/>
      <c r="AF113" s="139"/>
      <c r="AG113" s="139"/>
      <c r="AH113" s="139"/>
      <c r="AI113" s="134"/>
      <c r="AJ113" s="131"/>
      <c r="AK113" s="131"/>
      <c r="AL113" s="131"/>
      <c r="AM113" s="131"/>
      <c r="AN113" s="131"/>
      <c r="AO113" s="131"/>
      <c r="AP113" s="131"/>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34"/>
      <c r="B114" s="141"/>
      <c r="C114" s="141"/>
      <c r="D114" s="141"/>
      <c r="E114" s="141"/>
      <c r="F114" s="141"/>
      <c r="G114" s="141"/>
      <c r="H114" s="141"/>
      <c r="I114" s="141"/>
      <c r="J114" s="141"/>
      <c r="K114" s="141"/>
      <c r="L114" s="141"/>
      <c r="M114" s="141"/>
      <c r="N114" s="139"/>
      <c r="O114" s="139"/>
      <c r="P114" s="142"/>
      <c r="Q114" s="139"/>
      <c r="R114" s="139"/>
      <c r="S114" s="143"/>
      <c r="T114" s="139"/>
      <c r="U114" s="139"/>
      <c r="V114" s="139"/>
      <c r="W114" s="139"/>
      <c r="X114" s="139"/>
      <c r="Y114" s="139"/>
      <c r="Z114" s="139"/>
      <c r="AA114" s="139"/>
      <c r="AB114" s="139"/>
      <c r="AC114" s="139"/>
      <c r="AD114" s="139"/>
      <c r="AE114" s="139"/>
      <c r="AF114" s="139"/>
      <c r="AG114" s="139"/>
      <c r="AH114" s="139"/>
      <c r="AI114" s="134"/>
      <c r="AJ114" s="131"/>
      <c r="AK114" s="131"/>
      <c r="AL114" s="131"/>
      <c r="AM114" s="131"/>
      <c r="AN114" s="131"/>
      <c r="AO114" s="131"/>
      <c r="AP114" s="131"/>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31"/>
      <c r="B115" s="141"/>
      <c r="C115" s="141"/>
      <c r="D115" s="141"/>
      <c r="E115" s="141"/>
      <c r="F115" s="141"/>
      <c r="G115" s="141"/>
      <c r="H115" s="141"/>
      <c r="I115" s="141"/>
      <c r="J115" s="141"/>
      <c r="K115" s="141"/>
      <c r="L115" s="141"/>
      <c r="M115" s="141"/>
      <c r="N115" s="139"/>
      <c r="O115" s="139"/>
      <c r="P115" s="142"/>
      <c r="Q115" s="139"/>
      <c r="R115" s="139"/>
      <c r="S115" s="143"/>
      <c r="T115" s="139"/>
      <c r="U115" s="139"/>
      <c r="V115" s="139"/>
      <c r="W115" s="139"/>
      <c r="X115" s="139"/>
      <c r="Y115" s="139"/>
      <c r="Z115" s="139"/>
      <c r="AA115" s="139"/>
      <c r="AB115" s="139"/>
      <c r="AC115" s="139"/>
      <c r="AD115" s="139"/>
      <c r="AE115" s="139"/>
      <c r="AF115" s="139"/>
      <c r="AG115" s="139"/>
      <c r="AH115" s="139"/>
      <c r="AI115" s="134"/>
      <c r="AJ115" s="131"/>
      <c r="AK115" s="131"/>
      <c r="AL115" s="131"/>
      <c r="AM115" s="131"/>
      <c r="AN115" s="131"/>
      <c r="AO115" s="131"/>
      <c r="AP115" s="131"/>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31"/>
      <c r="B116" s="141"/>
      <c r="C116" s="141"/>
      <c r="D116" s="141"/>
      <c r="E116" s="141"/>
      <c r="F116" s="141"/>
      <c r="G116" s="141"/>
      <c r="H116" s="141"/>
      <c r="I116" s="141"/>
      <c r="J116" s="141"/>
      <c r="K116" s="141"/>
      <c r="L116" s="141"/>
      <c r="M116" s="141"/>
      <c r="N116" s="139"/>
      <c r="O116" s="139"/>
      <c r="P116" s="142"/>
      <c r="Q116" s="139"/>
      <c r="R116" s="139"/>
      <c r="S116" s="142"/>
      <c r="T116" s="139"/>
      <c r="U116" s="139"/>
      <c r="V116" s="139"/>
      <c r="W116" s="139"/>
      <c r="X116" s="139"/>
      <c r="Y116" s="139"/>
      <c r="Z116" s="139"/>
      <c r="AA116" s="139"/>
      <c r="AB116" s="139"/>
      <c r="AC116" s="139"/>
      <c r="AD116" s="139"/>
      <c r="AE116" s="139"/>
      <c r="AF116" s="139"/>
      <c r="AG116" s="139"/>
      <c r="AH116" s="139"/>
      <c r="AI116" s="134"/>
      <c r="AJ116" s="131"/>
      <c r="AK116" s="131"/>
      <c r="AL116" s="131"/>
      <c r="AM116" s="131"/>
      <c r="AN116" s="131"/>
      <c r="AO116" s="131"/>
      <c r="AP116" s="131"/>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31"/>
      <c r="B117" s="141"/>
      <c r="C117" s="141"/>
      <c r="D117" s="141"/>
      <c r="E117" s="141"/>
      <c r="F117" s="141"/>
      <c r="G117" s="141"/>
      <c r="H117" s="141"/>
      <c r="I117" s="141"/>
      <c r="J117" s="141"/>
      <c r="K117" s="141"/>
      <c r="L117" s="141"/>
      <c r="M117" s="141"/>
      <c r="N117" s="139"/>
      <c r="O117" s="139"/>
      <c r="P117" s="142"/>
      <c r="Q117" s="139"/>
      <c r="R117" s="139"/>
      <c r="S117" s="143"/>
      <c r="T117" s="139"/>
      <c r="U117" s="139"/>
      <c r="V117" s="139"/>
      <c r="W117" s="139"/>
      <c r="X117" s="139"/>
      <c r="Y117" s="139"/>
      <c r="Z117" s="139"/>
      <c r="AA117" s="139"/>
      <c r="AB117" s="139"/>
      <c r="AC117" s="139"/>
      <c r="AD117" s="139"/>
      <c r="AE117" s="139"/>
      <c r="AF117" s="139"/>
      <c r="AG117" s="139"/>
      <c r="AH117" s="139"/>
      <c r="AI117" s="134"/>
      <c r="AJ117" s="131"/>
      <c r="AK117" s="131"/>
      <c r="AL117" s="131"/>
      <c r="AM117" s="131"/>
      <c r="AN117" s="131"/>
      <c r="AO117" s="131"/>
      <c r="AP117" s="131"/>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31"/>
      <c r="B118" s="141"/>
      <c r="C118" s="141"/>
      <c r="D118" s="141"/>
      <c r="E118" s="141"/>
      <c r="F118" s="141"/>
      <c r="G118" s="141"/>
      <c r="H118" s="141"/>
      <c r="I118" s="141"/>
      <c r="J118" s="141"/>
      <c r="K118" s="141"/>
      <c r="L118" s="141"/>
      <c r="M118" s="141"/>
      <c r="N118" s="139"/>
      <c r="O118" s="139"/>
      <c r="P118" s="142"/>
      <c r="Q118" s="139"/>
      <c r="R118" s="139"/>
      <c r="S118" s="143"/>
      <c r="T118" s="139"/>
      <c r="U118" s="139"/>
      <c r="V118" s="139"/>
      <c r="W118" s="139"/>
      <c r="X118" s="139"/>
      <c r="Y118" s="139"/>
      <c r="Z118" s="139"/>
      <c r="AA118" s="139"/>
      <c r="AB118" s="139"/>
      <c r="AC118" s="139"/>
      <c r="AD118" s="139"/>
      <c r="AE118" s="139"/>
      <c r="AF118" s="139"/>
      <c r="AG118" s="139"/>
      <c r="AH118" s="139"/>
      <c r="AI118" s="134"/>
      <c r="AJ118" s="131"/>
      <c r="AK118" s="131"/>
      <c r="AL118" s="131"/>
      <c r="AM118" s="131"/>
      <c r="AN118" s="131"/>
      <c r="AO118" s="131"/>
      <c r="AP118" s="131"/>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31"/>
      <c r="B119" s="141"/>
      <c r="C119" s="141"/>
      <c r="D119" s="141"/>
      <c r="E119" s="141"/>
      <c r="F119" s="141"/>
      <c r="G119" s="141"/>
      <c r="H119" s="141"/>
      <c r="I119" s="141"/>
      <c r="J119" s="141"/>
      <c r="K119" s="141"/>
      <c r="L119" s="141"/>
      <c r="M119" s="141"/>
      <c r="N119" s="139"/>
      <c r="O119" s="139"/>
      <c r="P119" s="142"/>
      <c r="Q119" s="139"/>
      <c r="R119" s="139"/>
      <c r="S119" s="143"/>
      <c r="T119" s="139"/>
      <c r="U119" s="139"/>
      <c r="V119" s="139"/>
      <c r="W119" s="139"/>
      <c r="X119" s="139"/>
      <c r="Y119" s="139"/>
      <c r="Z119" s="139"/>
      <c r="AA119" s="139"/>
      <c r="AB119" s="139"/>
      <c r="AC119" s="139"/>
      <c r="AD119" s="139"/>
      <c r="AE119" s="139"/>
      <c r="AF119" s="139"/>
      <c r="AG119" s="139"/>
      <c r="AH119" s="139"/>
      <c r="AI119" s="134"/>
      <c r="AJ119" s="131"/>
      <c r="AK119" s="131"/>
      <c r="AL119" s="131"/>
      <c r="AM119" s="131"/>
      <c r="AN119" s="131"/>
      <c r="AO119" s="131"/>
      <c r="AP119" s="131"/>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34"/>
      <c r="B120" s="141"/>
      <c r="C120" s="141"/>
      <c r="D120" s="141"/>
      <c r="E120" s="141"/>
      <c r="F120" s="141"/>
      <c r="G120" s="141"/>
      <c r="H120" s="141"/>
      <c r="I120" s="141"/>
      <c r="J120" s="141"/>
      <c r="K120" s="141"/>
      <c r="L120" s="141"/>
      <c r="M120" s="141"/>
      <c r="N120" s="139"/>
      <c r="O120" s="139"/>
      <c r="P120" s="142"/>
      <c r="Q120" s="139"/>
      <c r="R120" s="139"/>
      <c r="S120" s="143"/>
      <c r="T120" s="139"/>
      <c r="U120" s="139"/>
      <c r="V120" s="139"/>
      <c r="W120" s="139"/>
      <c r="X120" s="139"/>
      <c r="Y120" s="139"/>
      <c r="Z120" s="139"/>
      <c r="AA120" s="139"/>
      <c r="AB120" s="139"/>
      <c r="AC120" s="139"/>
      <c r="AD120" s="139"/>
      <c r="AE120" s="139"/>
      <c r="AF120" s="139"/>
      <c r="AG120" s="139"/>
      <c r="AH120" s="139"/>
      <c r="AI120" s="134"/>
      <c r="AJ120" s="131"/>
      <c r="AK120" s="131"/>
      <c r="AL120" s="131"/>
      <c r="AM120" s="131"/>
      <c r="AN120" s="131"/>
      <c r="AO120" s="131"/>
      <c r="AP120" s="131"/>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31"/>
      <c r="B121" s="141"/>
      <c r="C121" s="141"/>
      <c r="D121" s="141"/>
      <c r="E121" s="141"/>
      <c r="F121" s="141"/>
      <c r="G121" s="141"/>
      <c r="H121" s="141"/>
      <c r="I121" s="141"/>
      <c r="J121" s="141"/>
      <c r="K121" s="141"/>
      <c r="L121" s="141"/>
      <c r="M121" s="141"/>
      <c r="N121" s="139"/>
      <c r="O121" s="139"/>
      <c r="P121" s="142"/>
      <c r="Q121" s="139"/>
      <c r="R121" s="139"/>
      <c r="S121" s="143"/>
      <c r="T121" s="139"/>
      <c r="U121" s="139"/>
      <c r="V121" s="139"/>
      <c r="W121" s="139"/>
      <c r="X121" s="139"/>
      <c r="Y121" s="139"/>
      <c r="Z121" s="139"/>
      <c r="AA121" s="139"/>
      <c r="AB121" s="139"/>
      <c r="AC121" s="139"/>
      <c r="AD121" s="139"/>
      <c r="AE121" s="139"/>
      <c r="AF121" s="139"/>
      <c r="AG121" s="139"/>
      <c r="AH121" s="139"/>
      <c r="AI121" s="134"/>
      <c r="AJ121" s="131"/>
      <c r="AK121" s="131"/>
      <c r="AL121" s="131"/>
      <c r="AM121" s="131"/>
      <c r="AN121" s="131"/>
      <c r="AO121" s="131"/>
      <c r="AP121" s="131"/>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31"/>
      <c r="B122" s="141"/>
      <c r="C122" s="141"/>
      <c r="D122" s="141"/>
      <c r="E122" s="141"/>
      <c r="F122" s="141"/>
      <c r="G122" s="141"/>
      <c r="H122" s="141"/>
      <c r="I122" s="141"/>
      <c r="J122" s="141"/>
      <c r="K122" s="141"/>
      <c r="L122" s="141"/>
      <c r="M122" s="141"/>
      <c r="N122" s="139"/>
      <c r="O122" s="139"/>
      <c r="P122" s="142"/>
      <c r="Q122" s="139"/>
      <c r="R122" s="139"/>
      <c r="S122" s="142"/>
      <c r="T122" s="139"/>
      <c r="U122" s="139"/>
      <c r="V122" s="139"/>
      <c r="W122" s="139"/>
      <c r="X122" s="139"/>
      <c r="Y122" s="139"/>
      <c r="Z122" s="139"/>
      <c r="AA122" s="139"/>
      <c r="AB122" s="139"/>
      <c r="AC122" s="139"/>
      <c r="AD122" s="139"/>
      <c r="AE122" s="139"/>
      <c r="AF122" s="139"/>
      <c r="AG122" s="139"/>
      <c r="AH122" s="139"/>
      <c r="AI122" s="134"/>
      <c r="AJ122" s="131"/>
      <c r="AK122" s="131"/>
      <c r="AL122" s="131"/>
      <c r="AM122" s="131"/>
      <c r="AN122" s="131"/>
      <c r="AO122" s="131"/>
      <c r="AP122" s="131"/>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31"/>
      <c r="B123" s="141"/>
      <c r="C123" s="141"/>
      <c r="D123" s="141"/>
      <c r="E123" s="141"/>
      <c r="F123" s="141"/>
      <c r="G123" s="141"/>
      <c r="H123" s="141"/>
      <c r="I123" s="141"/>
      <c r="J123" s="141"/>
      <c r="K123" s="141"/>
      <c r="L123" s="141"/>
      <c r="M123" s="141"/>
      <c r="N123" s="139"/>
      <c r="O123" s="139"/>
      <c r="P123" s="142"/>
      <c r="Q123" s="139"/>
      <c r="R123" s="139"/>
      <c r="S123" s="143"/>
      <c r="T123" s="139"/>
      <c r="U123" s="139"/>
      <c r="V123" s="139"/>
      <c r="W123" s="139"/>
      <c r="X123" s="139"/>
      <c r="Y123" s="139"/>
      <c r="Z123" s="139"/>
      <c r="AA123" s="139"/>
      <c r="AB123" s="139"/>
      <c r="AC123" s="139"/>
      <c r="AD123" s="139"/>
      <c r="AE123" s="139"/>
      <c r="AF123" s="139"/>
      <c r="AG123" s="139"/>
      <c r="AH123" s="139"/>
      <c r="AI123" s="134"/>
      <c r="AJ123" s="131"/>
      <c r="AK123" s="131"/>
      <c r="AL123" s="131"/>
      <c r="AM123" s="131"/>
      <c r="AN123" s="131"/>
      <c r="AO123" s="131"/>
      <c r="AP123" s="131"/>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31"/>
      <c r="B124" s="141"/>
      <c r="C124" s="141"/>
      <c r="D124" s="141"/>
      <c r="E124" s="141"/>
      <c r="F124" s="141"/>
      <c r="G124" s="141"/>
      <c r="H124" s="141"/>
      <c r="I124" s="141"/>
      <c r="J124" s="141"/>
      <c r="K124" s="141"/>
      <c r="L124" s="141"/>
      <c r="M124" s="141"/>
      <c r="N124" s="139"/>
      <c r="O124" s="139"/>
      <c r="P124" s="142"/>
      <c r="Q124" s="139"/>
      <c r="R124" s="139"/>
      <c r="S124" s="143"/>
      <c r="T124" s="139"/>
      <c r="U124" s="139"/>
      <c r="V124" s="139"/>
      <c r="W124" s="139"/>
      <c r="X124" s="139"/>
      <c r="Y124" s="139"/>
      <c r="Z124" s="139"/>
      <c r="AA124" s="139"/>
      <c r="AB124" s="139"/>
      <c r="AC124" s="139"/>
      <c r="AD124" s="139"/>
      <c r="AE124" s="139"/>
      <c r="AF124" s="139"/>
      <c r="AG124" s="139"/>
      <c r="AH124" s="139"/>
      <c r="AI124" s="134"/>
      <c r="AJ124" s="131"/>
      <c r="AK124" s="131"/>
      <c r="AL124" s="131"/>
      <c r="AM124" s="131"/>
      <c r="AN124" s="131"/>
      <c r="AO124" s="131"/>
      <c r="AP124" s="131"/>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31"/>
      <c r="B125" s="141"/>
      <c r="C125" s="141"/>
      <c r="D125" s="141"/>
      <c r="E125" s="141"/>
      <c r="F125" s="141"/>
      <c r="G125" s="141"/>
      <c r="H125" s="141"/>
      <c r="I125" s="141"/>
      <c r="J125" s="141"/>
      <c r="K125" s="141"/>
      <c r="L125" s="141"/>
      <c r="M125" s="141"/>
      <c r="N125" s="139"/>
      <c r="O125" s="139"/>
      <c r="P125" s="142"/>
      <c r="Q125" s="139"/>
      <c r="R125" s="139"/>
      <c r="S125" s="143"/>
      <c r="T125" s="139"/>
      <c r="U125" s="139"/>
      <c r="V125" s="139"/>
      <c r="W125" s="139"/>
      <c r="X125" s="139"/>
      <c r="Y125" s="139"/>
      <c r="Z125" s="139"/>
      <c r="AA125" s="139"/>
      <c r="AB125" s="139"/>
      <c r="AC125" s="139"/>
      <c r="AD125" s="139"/>
      <c r="AE125" s="139"/>
      <c r="AF125" s="139"/>
      <c r="AG125" s="139"/>
      <c r="AH125" s="139"/>
      <c r="AI125" s="134"/>
      <c r="AJ125" s="131"/>
      <c r="AK125" s="131"/>
      <c r="AL125" s="131"/>
      <c r="AM125" s="131"/>
      <c r="AN125" s="131"/>
      <c r="AO125" s="131"/>
      <c r="AP125" s="131"/>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34"/>
      <c r="B126" s="141"/>
      <c r="C126" s="141"/>
      <c r="D126" s="141"/>
      <c r="E126" s="141"/>
      <c r="F126" s="141"/>
      <c r="G126" s="141"/>
      <c r="H126" s="141"/>
      <c r="I126" s="141"/>
      <c r="J126" s="141"/>
      <c r="K126" s="141"/>
      <c r="L126" s="141"/>
      <c r="M126" s="141"/>
      <c r="N126" s="139"/>
      <c r="O126" s="139"/>
      <c r="P126" s="142"/>
      <c r="Q126" s="139"/>
      <c r="R126" s="139"/>
      <c r="S126" s="143"/>
      <c r="T126" s="139"/>
      <c r="U126" s="139"/>
      <c r="V126" s="139"/>
      <c r="W126" s="139"/>
      <c r="X126" s="139"/>
      <c r="Y126" s="139"/>
      <c r="Z126" s="139"/>
      <c r="AA126" s="139"/>
      <c r="AB126" s="139"/>
      <c r="AC126" s="139"/>
      <c r="AD126" s="139"/>
      <c r="AE126" s="139"/>
      <c r="AF126" s="139"/>
      <c r="AG126" s="139"/>
      <c r="AH126" s="139"/>
      <c r="AI126" s="134"/>
      <c r="AJ126" s="131"/>
      <c r="AK126" s="131"/>
      <c r="AL126" s="131"/>
      <c r="AM126" s="131"/>
      <c r="AN126" s="131"/>
      <c r="AO126" s="131"/>
      <c r="AP126" s="131"/>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31"/>
      <c r="B127" s="141"/>
      <c r="C127" s="141"/>
      <c r="D127" s="141"/>
      <c r="E127" s="141"/>
      <c r="F127" s="141"/>
      <c r="G127" s="141"/>
      <c r="H127" s="141"/>
      <c r="I127" s="141"/>
      <c r="J127" s="141"/>
      <c r="K127" s="141"/>
      <c r="L127" s="141"/>
      <c r="M127" s="141"/>
      <c r="N127" s="139"/>
      <c r="O127" s="139"/>
      <c r="P127" s="142"/>
      <c r="Q127" s="139"/>
      <c r="R127" s="139"/>
      <c r="S127" s="143"/>
      <c r="T127" s="139"/>
      <c r="U127" s="139"/>
      <c r="V127" s="139"/>
      <c r="W127" s="139"/>
      <c r="X127" s="139"/>
      <c r="Y127" s="139"/>
      <c r="Z127" s="139"/>
      <c r="AA127" s="139"/>
      <c r="AB127" s="139"/>
      <c r="AC127" s="139"/>
      <c r="AD127" s="139"/>
      <c r="AE127" s="139"/>
      <c r="AF127" s="139"/>
      <c r="AG127" s="139"/>
      <c r="AH127" s="139"/>
      <c r="AI127" s="134"/>
      <c r="AJ127" s="131"/>
      <c r="AK127" s="131"/>
      <c r="AL127" s="131"/>
      <c r="AM127" s="131"/>
      <c r="AN127" s="131"/>
      <c r="AO127" s="131"/>
      <c r="AP127" s="131"/>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31"/>
      <c r="B128" s="141"/>
      <c r="C128" s="141"/>
      <c r="D128" s="141"/>
      <c r="E128" s="141"/>
      <c r="F128" s="141"/>
      <c r="G128" s="141"/>
      <c r="H128" s="141"/>
      <c r="I128" s="141"/>
      <c r="J128" s="141"/>
      <c r="K128" s="141"/>
      <c r="L128" s="141"/>
      <c r="M128" s="141"/>
      <c r="N128" s="139"/>
      <c r="O128" s="139"/>
      <c r="P128" s="142"/>
      <c r="Q128" s="139"/>
      <c r="R128" s="139"/>
      <c r="S128" s="142"/>
      <c r="T128" s="139"/>
      <c r="U128" s="139"/>
      <c r="V128" s="139"/>
      <c r="W128" s="139"/>
      <c r="X128" s="139"/>
      <c r="Y128" s="139"/>
      <c r="Z128" s="139"/>
      <c r="AA128" s="139"/>
      <c r="AB128" s="139"/>
      <c r="AC128" s="139"/>
      <c r="AD128" s="139"/>
      <c r="AE128" s="139"/>
      <c r="AF128" s="139"/>
      <c r="AG128" s="139"/>
      <c r="AH128" s="139"/>
      <c r="AI128" s="134"/>
      <c r="AJ128" s="131"/>
      <c r="AK128" s="131"/>
      <c r="AL128" s="131"/>
      <c r="AM128" s="131"/>
      <c r="AN128" s="131"/>
      <c r="AO128" s="131"/>
      <c r="AP128" s="131"/>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31"/>
      <c r="B129" s="141"/>
      <c r="C129" s="141"/>
      <c r="D129" s="141"/>
      <c r="E129" s="141"/>
      <c r="F129" s="141"/>
      <c r="G129" s="141"/>
      <c r="H129" s="141"/>
      <c r="I129" s="141"/>
      <c r="J129" s="141"/>
      <c r="K129" s="141"/>
      <c r="L129" s="141"/>
      <c r="M129" s="141"/>
      <c r="N129" s="139"/>
      <c r="O129" s="139"/>
      <c r="P129" s="142"/>
      <c r="Q129" s="139"/>
      <c r="R129" s="139"/>
      <c r="S129" s="143"/>
      <c r="T129" s="139"/>
      <c r="U129" s="139"/>
      <c r="V129" s="139"/>
      <c r="W129" s="139"/>
      <c r="X129" s="139"/>
      <c r="Y129" s="139"/>
      <c r="Z129" s="139"/>
      <c r="AA129" s="139"/>
      <c r="AB129" s="139"/>
      <c r="AC129" s="139"/>
      <c r="AD129" s="139"/>
      <c r="AE129" s="139"/>
      <c r="AF129" s="139"/>
      <c r="AG129" s="139"/>
      <c r="AH129" s="139"/>
      <c r="AI129" s="134"/>
      <c r="AJ129" s="131"/>
      <c r="AK129" s="131"/>
      <c r="AL129" s="131"/>
      <c r="AM129" s="131"/>
      <c r="AN129" s="131"/>
      <c r="AO129" s="131"/>
      <c r="AP129" s="131"/>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31"/>
      <c r="B130" s="141"/>
      <c r="C130" s="141"/>
      <c r="D130" s="141"/>
      <c r="E130" s="141"/>
      <c r="F130" s="141"/>
      <c r="G130" s="141"/>
      <c r="H130" s="141"/>
      <c r="I130" s="141"/>
      <c r="J130" s="141"/>
      <c r="K130" s="141"/>
      <c r="L130" s="141"/>
      <c r="M130" s="141"/>
      <c r="N130" s="139"/>
      <c r="O130" s="139"/>
      <c r="P130" s="142"/>
      <c r="Q130" s="139"/>
      <c r="R130" s="139"/>
      <c r="S130" s="143"/>
      <c r="T130" s="139"/>
      <c r="U130" s="139"/>
      <c r="V130" s="139"/>
      <c r="W130" s="139"/>
      <c r="X130" s="139"/>
      <c r="Y130" s="139"/>
      <c r="Z130" s="139"/>
      <c r="AA130" s="139"/>
      <c r="AB130" s="139"/>
      <c r="AC130" s="139"/>
      <c r="AD130" s="139"/>
      <c r="AE130" s="139"/>
      <c r="AF130" s="139"/>
      <c r="AG130" s="139"/>
      <c r="AH130" s="139"/>
      <c r="AI130" s="134"/>
      <c r="AJ130" s="131"/>
      <c r="AK130" s="131"/>
      <c r="AL130" s="131"/>
      <c r="AM130" s="131"/>
      <c r="AN130" s="131"/>
      <c r="AO130" s="131"/>
      <c r="AP130" s="131"/>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31"/>
      <c r="B131" s="141"/>
      <c r="C131" s="141"/>
      <c r="D131" s="141"/>
      <c r="E131" s="141"/>
      <c r="F131" s="141"/>
      <c r="G131" s="141"/>
      <c r="H131" s="141"/>
      <c r="I131" s="141"/>
      <c r="J131" s="141"/>
      <c r="K131" s="141"/>
      <c r="L131" s="141"/>
      <c r="M131" s="141"/>
      <c r="N131" s="139"/>
      <c r="O131" s="139"/>
      <c r="P131" s="142"/>
      <c r="Q131" s="139"/>
      <c r="R131" s="139"/>
      <c r="S131" s="143"/>
      <c r="T131" s="139"/>
      <c r="U131" s="139"/>
      <c r="V131" s="139"/>
      <c r="W131" s="139"/>
      <c r="X131" s="139"/>
      <c r="Y131" s="139"/>
      <c r="Z131" s="139"/>
      <c r="AA131" s="139"/>
      <c r="AB131" s="139"/>
      <c r="AC131" s="139"/>
      <c r="AD131" s="139"/>
      <c r="AE131" s="139"/>
      <c r="AF131" s="139"/>
      <c r="AG131" s="139"/>
      <c r="AH131" s="139"/>
      <c r="AI131" s="134"/>
      <c r="AJ131" s="131"/>
      <c r="AK131" s="131"/>
      <c r="AL131" s="131"/>
      <c r="AM131" s="131"/>
      <c r="AN131" s="131"/>
      <c r="AO131" s="131"/>
      <c r="AP131" s="131"/>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34"/>
      <c r="B132" s="141"/>
      <c r="C132" s="141"/>
      <c r="D132" s="141"/>
      <c r="E132" s="141"/>
      <c r="F132" s="141"/>
      <c r="G132" s="141"/>
      <c r="H132" s="141"/>
      <c r="I132" s="141"/>
      <c r="J132" s="141"/>
      <c r="K132" s="141"/>
      <c r="L132" s="141"/>
      <c r="M132" s="141"/>
      <c r="N132" s="139"/>
      <c r="O132" s="139"/>
      <c r="P132" s="139"/>
      <c r="Q132" s="139"/>
      <c r="R132" s="139"/>
      <c r="S132" s="143"/>
      <c r="T132" s="139"/>
      <c r="U132" s="139"/>
      <c r="V132" s="139"/>
      <c r="W132" s="139"/>
      <c r="X132" s="139"/>
      <c r="Y132" s="139"/>
      <c r="Z132" s="139"/>
      <c r="AA132" s="139"/>
      <c r="AB132" s="139"/>
      <c r="AC132" s="139"/>
      <c r="AD132" s="139"/>
      <c r="AE132" s="139"/>
      <c r="AF132" s="139"/>
      <c r="AG132" s="139"/>
      <c r="AH132" s="139"/>
      <c r="AI132" s="134"/>
      <c r="AJ132" s="131"/>
      <c r="AK132" s="131"/>
      <c r="AL132" s="131"/>
      <c r="AM132" s="131"/>
      <c r="AN132" s="131"/>
      <c r="AO132" s="131"/>
      <c r="AP132" s="131"/>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31"/>
      <c r="B133" s="141"/>
      <c r="C133" s="141"/>
      <c r="D133" s="141"/>
      <c r="E133" s="141"/>
      <c r="F133" s="141"/>
      <c r="G133" s="141"/>
      <c r="H133" s="141"/>
      <c r="I133" s="141"/>
      <c r="J133" s="141"/>
      <c r="K133" s="141"/>
      <c r="L133" s="141"/>
      <c r="M133" s="141"/>
      <c r="N133" s="139"/>
      <c r="O133" s="139"/>
      <c r="P133" s="139"/>
      <c r="Q133" s="139"/>
      <c r="R133" s="139"/>
      <c r="S133" s="143"/>
      <c r="T133" s="139"/>
      <c r="U133" s="139"/>
      <c r="V133" s="139"/>
      <c r="W133" s="139"/>
      <c r="X133" s="139"/>
      <c r="Y133" s="139"/>
      <c r="Z133" s="148"/>
      <c r="AA133" s="148"/>
      <c r="AB133" s="148"/>
      <c r="AC133" s="148"/>
      <c r="AD133" s="139"/>
      <c r="AE133" s="139"/>
      <c r="AF133" s="139"/>
      <c r="AG133" s="139"/>
      <c r="AH133" s="139"/>
      <c r="AI133" s="134"/>
      <c r="AJ133" s="131"/>
      <c r="AK133" s="131"/>
      <c r="AL133" s="131"/>
      <c r="AM133" s="131"/>
      <c r="AN133" s="131"/>
      <c r="AO133" s="131"/>
      <c r="AP133" s="131"/>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31"/>
      <c r="B134" s="141"/>
      <c r="C134" s="141"/>
      <c r="D134" s="141"/>
      <c r="E134" s="141"/>
      <c r="F134" s="141"/>
      <c r="G134" s="141"/>
      <c r="H134" s="141"/>
      <c r="I134" s="141"/>
      <c r="J134" s="141"/>
      <c r="K134" s="141"/>
      <c r="L134" s="141"/>
      <c r="M134" s="141"/>
      <c r="N134" s="139"/>
      <c r="O134" s="139"/>
      <c r="P134" s="139"/>
      <c r="Q134" s="139"/>
      <c r="R134" s="139"/>
      <c r="S134" s="142"/>
      <c r="T134" s="139"/>
      <c r="U134" s="139"/>
      <c r="V134" s="139"/>
      <c r="W134" s="139"/>
      <c r="X134" s="139"/>
      <c r="Y134" s="139"/>
      <c r="Z134" s="139"/>
      <c r="AA134" s="139"/>
      <c r="AB134" s="139"/>
      <c r="AC134" s="139"/>
      <c r="AD134" s="139"/>
      <c r="AE134" s="139"/>
      <c r="AF134" s="139"/>
      <c r="AG134" s="139"/>
      <c r="AH134" s="139"/>
      <c r="AI134" s="134"/>
      <c r="AJ134" s="131"/>
      <c r="AK134" s="131"/>
      <c r="AL134" s="131"/>
      <c r="AM134" s="131"/>
      <c r="AN134" s="131"/>
      <c r="AO134" s="131"/>
      <c r="AP134" s="131"/>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31"/>
      <c r="B135" s="141"/>
      <c r="C135" s="141"/>
      <c r="D135" s="141"/>
      <c r="E135" s="141"/>
      <c r="F135" s="141"/>
      <c r="G135" s="141"/>
      <c r="H135" s="141"/>
      <c r="I135" s="141"/>
      <c r="J135" s="141"/>
      <c r="K135" s="141"/>
      <c r="L135" s="141"/>
      <c r="M135" s="141"/>
      <c r="N135" s="139"/>
      <c r="O135" s="139"/>
      <c r="P135" s="139"/>
      <c r="Q135" s="139"/>
      <c r="R135" s="139"/>
      <c r="S135" s="143"/>
      <c r="T135" s="139"/>
      <c r="U135" s="139"/>
      <c r="V135" s="139"/>
      <c r="W135" s="139"/>
      <c r="X135" s="139"/>
      <c r="Y135" s="139"/>
      <c r="Z135" s="139"/>
      <c r="AA135" s="139"/>
      <c r="AB135" s="139"/>
      <c r="AC135" s="139"/>
      <c r="AD135" s="139"/>
      <c r="AE135" s="139"/>
      <c r="AF135" s="139"/>
      <c r="AG135" s="139"/>
      <c r="AH135" s="139"/>
      <c r="AI135" s="134"/>
      <c r="AJ135" s="131"/>
      <c r="AK135" s="131"/>
      <c r="AL135" s="131"/>
      <c r="AM135" s="131"/>
      <c r="AN135" s="131"/>
      <c r="AO135" s="131"/>
      <c r="AP135" s="131"/>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31"/>
      <c r="B136" s="141"/>
      <c r="C136" s="141"/>
      <c r="D136" s="141"/>
      <c r="E136" s="141"/>
      <c r="F136" s="141"/>
      <c r="G136" s="141"/>
      <c r="H136" s="141"/>
      <c r="I136" s="141"/>
      <c r="J136" s="141"/>
      <c r="K136" s="141"/>
      <c r="L136" s="141"/>
      <c r="M136" s="141"/>
      <c r="N136" s="139"/>
      <c r="O136" s="139"/>
      <c r="P136" s="139"/>
      <c r="Q136" s="139"/>
      <c r="R136" s="139"/>
      <c r="S136" s="143"/>
      <c r="T136" s="139"/>
      <c r="U136" s="139"/>
      <c r="V136" s="139"/>
      <c r="W136" s="139"/>
      <c r="X136" s="139"/>
      <c r="Y136" s="139"/>
      <c r="Z136" s="139"/>
      <c r="AA136" s="139"/>
      <c r="AB136" s="139"/>
      <c r="AC136" s="139"/>
      <c r="AD136" s="139"/>
      <c r="AE136" s="139"/>
      <c r="AF136" s="139"/>
      <c r="AG136" s="139"/>
      <c r="AH136" s="139"/>
      <c r="AI136" s="134"/>
      <c r="AJ136" s="131"/>
      <c r="AK136" s="131"/>
      <c r="AL136" s="131"/>
      <c r="AM136" s="131"/>
      <c r="AN136" s="131"/>
      <c r="AO136" s="131"/>
      <c r="AP136" s="131"/>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31"/>
      <c r="B137" s="141"/>
      <c r="C137" s="141"/>
      <c r="D137" s="141"/>
      <c r="E137" s="141"/>
      <c r="F137" s="141"/>
      <c r="G137" s="141"/>
      <c r="H137" s="141"/>
      <c r="I137" s="141"/>
      <c r="J137" s="141"/>
      <c r="K137" s="141"/>
      <c r="L137" s="141"/>
      <c r="M137" s="141"/>
      <c r="N137" s="139"/>
      <c r="O137" s="139"/>
      <c r="P137" s="139"/>
      <c r="Q137" s="139"/>
      <c r="R137" s="139"/>
      <c r="S137" s="143"/>
      <c r="T137" s="139"/>
      <c r="U137" s="139"/>
      <c r="V137" s="139"/>
      <c r="W137" s="139"/>
      <c r="X137" s="139"/>
      <c r="Y137" s="139"/>
      <c r="Z137" s="139"/>
      <c r="AA137" s="139"/>
      <c r="AB137" s="139"/>
      <c r="AC137" s="139"/>
      <c r="AD137" s="139"/>
      <c r="AE137" s="139"/>
      <c r="AF137" s="139"/>
      <c r="AG137" s="139"/>
      <c r="AH137" s="139"/>
      <c r="AI137" s="134"/>
      <c r="AJ137" s="131"/>
      <c r="AK137" s="131"/>
      <c r="AL137" s="131"/>
      <c r="AM137" s="131"/>
      <c r="AN137" s="131"/>
      <c r="AO137" s="131"/>
      <c r="AP137" s="131"/>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34"/>
      <c r="B138" s="141"/>
      <c r="C138" s="141"/>
      <c r="D138" s="141"/>
      <c r="E138" s="141"/>
      <c r="F138" s="141"/>
      <c r="G138" s="141"/>
      <c r="H138" s="141"/>
      <c r="I138" s="141"/>
      <c r="J138" s="141"/>
      <c r="K138" s="141"/>
      <c r="L138" s="141"/>
      <c r="M138" s="141"/>
      <c r="N138" s="139"/>
      <c r="O138" s="139"/>
      <c r="P138" s="139"/>
      <c r="Q138" s="139"/>
      <c r="R138" s="139"/>
      <c r="S138" s="143"/>
      <c r="T138" s="139"/>
      <c r="U138" s="139"/>
      <c r="V138" s="139"/>
      <c r="W138" s="139"/>
      <c r="X138" s="139"/>
      <c r="Y138" s="139"/>
      <c r="Z138" s="139"/>
      <c r="AA138" s="139"/>
      <c r="AB138" s="139"/>
      <c r="AC138" s="139"/>
      <c r="AD138" s="139"/>
      <c r="AE138" s="139"/>
      <c r="AF138" s="139"/>
      <c r="AG138" s="139"/>
      <c r="AH138" s="139"/>
      <c r="AI138" s="134"/>
      <c r="AJ138" s="131"/>
      <c r="AK138" s="131"/>
      <c r="AL138" s="131"/>
      <c r="AM138" s="131"/>
      <c r="AN138" s="131"/>
      <c r="AO138" s="131"/>
      <c r="AP138" s="131"/>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31"/>
      <c r="B139" s="141"/>
      <c r="C139" s="141"/>
      <c r="D139" s="141"/>
      <c r="E139" s="141"/>
      <c r="F139" s="141"/>
      <c r="G139" s="141"/>
      <c r="H139" s="141"/>
      <c r="I139" s="141"/>
      <c r="J139" s="141"/>
      <c r="K139" s="141"/>
      <c r="L139" s="141"/>
      <c r="M139" s="141"/>
      <c r="N139" s="139"/>
      <c r="O139" s="139"/>
      <c r="P139" s="139"/>
      <c r="Q139" s="139"/>
      <c r="R139" s="139"/>
      <c r="S139" s="143"/>
      <c r="T139" s="139"/>
      <c r="U139" s="139"/>
      <c r="V139" s="139"/>
      <c r="W139" s="139"/>
      <c r="X139" s="139"/>
      <c r="Y139" s="139"/>
      <c r="Z139" s="139"/>
      <c r="AA139" s="139"/>
      <c r="AB139" s="139"/>
      <c r="AC139" s="139"/>
      <c r="AD139" s="139"/>
      <c r="AE139" s="139"/>
      <c r="AF139" s="139"/>
      <c r="AG139" s="139"/>
      <c r="AH139" s="139"/>
      <c r="AI139" s="134"/>
      <c r="AJ139" s="131"/>
      <c r="AK139" s="131"/>
      <c r="AL139" s="131"/>
      <c r="AM139" s="131"/>
      <c r="AN139" s="131"/>
      <c r="AO139" s="131"/>
      <c r="AP139" s="131"/>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31"/>
      <c r="B140" s="141"/>
      <c r="C140" s="141"/>
      <c r="D140" s="141"/>
      <c r="E140" s="141"/>
      <c r="F140" s="141"/>
      <c r="G140" s="141"/>
      <c r="H140" s="141"/>
      <c r="I140" s="141"/>
      <c r="J140" s="141"/>
      <c r="K140" s="141"/>
      <c r="L140" s="141"/>
      <c r="M140" s="141"/>
      <c r="N140" s="139"/>
      <c r="O140" s="139"/>
      <c r="P140" s="139"/>
      <c r="Q140" s="139"/>
      <c r="R140" s="139"/>
      <c r="S140" s="142"/>
      <c r="T140" s="139"/>
      <c r="U140" s="139"/>
      <c r="V140" s="139"/>
      <c r="W140" s="139"/>
      <c r="X140" s="139"/>
      <c r="Y140" s="139"/>
      <c r="Z140" s="139"/>
      <c r="AA140" s="139"/>
      <c r="AB140" s="139"/>
      <c r="AC140" s="139"/>
      <c r="AD140" s="139"/>
      <c r="AE140" s="139"/>
      <c r="AF140" s="139"/>
      <c r="AG140" s="139"/>
      <c r="AH140" s="139"/>
      <c r="AI140" s="134"/>
      <c r="AJ140" s="131"/>
      <c r="AK140" s="131"/>
      <c r="AL140" s="131"/>
      <c r="AM140" s="131"/>
      <c r="AN140" s="131"/>
      <c r="AO140" s="131"/>
      <c r="AP140" s="131"/>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31"/>
      <c r="B141" s="141"/>
      <c r="C141" s="141"/>
      <c r="D141" s="141"/>
      <c r="E141" s="141"/>
      <c r="F141" s="141"/>
      <c r="G141" s="141"/>
      <c r="H141" s="141"/>
      <c r="I141" s="141"/>
      <c r="J141" s="141"/>
      <c r="K141" s="141"/>
      <c r="L141" s="141"/>
      <c r="M141" s="141"/>
      <c r="N141" s="139"/>
      <c r="O141" s="139"/>
      <c r="P141" s="139"/>
      <c r="Q141" s="139"/>
      <c r="R141" s="139"/>
      <c r="S141" s="143"/>
      <c r="T141" s="139"/>
      <c r="U141" s="139"/>
      <c r="V141" s="139"/>
      <c r="W141" s="139"/>
      <c r="X141" s="139"/>
      <c r="Y141" s="139"/>
      <c r="Z141" s="139"/>
      <c r="AA141" s="139"/>
      <c r="AB141" s="139"/>
      <c r="AC141" s="139"/>
      <c r="AD141" s="139"/>
      <c r="AE141" s="139"/>
      <c r="AF141" s="139"/>
      <c r="AG141" s="139"/>
      <c r="AH141" s="139"/>
      <c r="AI141" s="134"/>
      <c r="AJ141" s="131"/>
      <c r="AK141" s="131"/>
      <c r="AL141" s="131"/>
      <c r="AM141" s="131"/>
      <c r="AN141" s="131"/>
      <c r="AO141" s="131"/>
      <c r="AP141" s="131"/>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31"/>
      <c r="B142" s="141"/>
      <c r="C142" s="141"/>
      <c r="D142" s="141"/>
      <c r="E142" s="141"/>
      <c r="F142" s="141"/>
      <c r="G142" s="141"/>
      <c r="H142" s="141"/>
      <c r="I142" s="141"/>
      <c r="J142" s="141"/>
      <c r="K142" s="141"/>
      <c r="L142" s="141"/>
      <c r="M142" s="141"/>
      <c r="N142" s="139"/>
      <c r="O142" s="139"/>
      <c r="P142" s="139"/>
      <c r="Q142" s="139"/>
      <c r="R142" s="139"/>
      <c r="S142" s="143"/>
      <c r="T142" s="139"/>
      <c r="U142" s="139"/>
      <c r="V142" s="139"/>
      <c r="W142" s="139"/>
      <c r="X142" s="139"/>
      <c r="Y142" s="139"/>
      <c r="Z142" s="139"/>
      <c r="AA142" s="139"/>
      <c r="AB142" s="139"/>
      <c r="AC142" s="139"/>
      <c r="AD142" s="139"/>
      <c r="AE142" s="139"/>
      <c r="AF142" s="139"/>
      <c r="AG142" s="139"/>
      <c r="AH142" s="139"/>
      <c r="AI142" s="134"/>
      <c r="AJ142" s="131"/>
      <c r="AK142" s="131"/>
      <c r="AL142" s="131"/>
      <c r="AM142" s="131"/>
      <c r="AN142" s="131"/>
      <c r="AO142" s="131"/>
      <c r="AP142" s="131"/>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31"/>
      <c r="B143" s="141"/>
      <c r="C143" s="141"/>
      <c r="D143" s="141"/>
      <c r="E143" s="141"/>
      <c r="F143" s="141"/>
      <c r="G143" s="141"/>
      <c r="H143" s="141"/>
      <c r="I143" s="141"/>
      <c r="J143" s="141"/>
      <c r="K143" s="141"/>
      <c r="L143" s="141"/>
      <c r="M143" s="141"/>
      <c r="N143" s="139"/>
      <c r="O143" s="139"/>
      <c r="P143" s="139"/>
      <c r="Q143" s="139"/>
      <c r="R143" s="139"/>
      <c r="S143" s="143"/>
      <c r="T143" s="139"/>
      <c r="U143" s="139"/>
      <c r="V143" s="139"/>
      <c r="W143" s="139"/>
      <c r="X143" s="139"/>
      <c r="Y143" s="139"/>
      <c r="Z143" s="139"/>
      <c r="AA143" s="139"/>
      <c r="AB143" s="139"/>
      <c r="AC143" s="139"/>
      <c r="AD143" s="139"/>
      <c r="AE143" s="139"/>
      <c r="AF143" s="139"/>
      <c r="AG143" s="139"/>
      <c r="AH143" s="139"/>
      <c r="AI143" s="134"/>
      <c r="AJ143" s="131"/>
      <c r="AK143" s="131"/>
      <c r="AL143" s="131"/>
      <c r="AM143" s="131"/>
      <c r="AN143" s="131"/>
      <c r="AO143" s="131"/>
      <c r="AP143" s="131"/>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34"/>
      <c r="B144" s="141"/>
      <c r="C144" s="141"/>
      <c r="D144" s="141"/>
      <c r="E144" s="141"/>
      <c r="F144" s="141"/>
      <c r="G144" s="141"/>
      <c r="H144" s="141"/>
      <c r="I144" s="141"/>
      <c r="J144" s="141"/>
      <c r="K144" s="141"/>
      <c r="L144" s="141"/>
      <c r="M144" s="141"/>
      <c r="N144" s="139"/>
      <c r="O144" s="139"/>
      <c r="P144" s="139"/>
      <c r="Q144" s="139"/>
      <c r="R144" s="139"/>
      <c r="S144" s="143"/>
      <c r="T144" s="139"/>
      <c r="U144" s="139"/>
      <c r="V144" s="139"/>
      <c r="W144" s="139"/>
      <c r="X144" s="139"/>
      <c r="Y144" s="139"/>
      <c r="Z144" s="139"/>
      <c r="AA144" s="139"/>
      <c r="AB144" s="139"/>
      <c r="AC144" s="139"/>
      <c r="AD144" s="139"/>
      <c r="AE144" s="139"/>
      <c r="AF144" s="139"/>
      <c r="AG144" s="139"/>
      <c r="AH144" s="139"/>
      <c r="AI144" s="134"/>
      <c r="AJ144" s="131"/>
      <c r="AK144" s="131"/>
      <c r="AL144" s="131"/>
      <c r="AM144" s="131"/>
      <c r="AN144" s="131"/>
      <c r="AO144" s="131"/>
      <c r="AP144" s="131"/>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31"/>
      <c r="B145" s="141"/>
      <c r="C145" s="141"/>
      <c r="D145" s="141"/>
      <c r="E145" s="141"/>
      <c r="F145" s="141"/>
      <c r="G145" s="141"/>
      <c r="H145" s="141"/>
      <c r="I145" s="141"/>
      <c r="J145" s="141"/>
      <c r="K145" s="141"/>
      <c r="L145" s="141"/>
      <c r="M145" s="141"/>
      <c r="N145" s="139"/>
      <c r="O145" s="139"/>
      <c r="P145" s="139"/>
      <c r="Q145" s="139"/>
      <c r="R145" s="139"/>
      <c r="S145" s="143"/>
      <c r="T145" s="139"/>
      <c r="U145" s="139"/>
      <c r="V145" s="139"/>
      <c r="W145" s="139"/>
      <c r="X145" s="139"/>
      <c r="Y145" s="139"/>
      <c r="Z145" s="139"/>
      <c r="AA145" s="139"/>
      <c r="AB145" s="139"/>
      <c r="AC145" s="139"/>
      <c r="AD145" s="139"/>
      <c r="AE145" s="139"/>
      <c r="AF145" s="139"/>
      <c r="AG145" s="139"/>
      <c r="AH145" s="139"/>
      <c r="AI145" s="134"/>
      <c r="AJ145" s="131"/>
      <c r="AK145" s="131"/>
      <c r="AL145" s="131"/>
      <c r="AM145" s="131"/>
      <c r="AN145" s="131"/>
      <c r="AO145" s="131"/>
      <c r="AP145" s="131"/>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31"/>
      <c r="B146" s="141"/>
      <c r="C146" s="141"/>
      <c r="D146" s="141"/>
      <c r="E146" s="141"/>
      <c r="F146" s="141"/>
      <c r="G146" s="141"/>
      <c r="H146" s="141"/>
      <c r="I146" s="141"/>
      <c r="J146" s="141"/>
      <c r="K146" s="141"/>
      <c r="L146" s="141"/>
      <c r="M146" s="141"/>
      <c r="N146" s="139"/>
      <c r="O146" s="139"/>
      <c r="P146" s="139"/>
      <c r="Q146" s="139"/>
      <c r="R146" s="139"/>
      <c r="S146" s="142"/>
      <c r="T146" s="139"/>
      <c r="U146" s="139"/>
      <c r="V146" s="139"/>
      <c r="W146" s="139"/>
      <c r="X146" s="139"/>
      <c r="Y146" s="139"/>
      <c r="Z146" s="139"/>
      <c r="AA146" s="139"/>
      <c r="AB146" s="139"/>
      <c r="AC146" s="139"/>
      <c r="AD146" s="139"/>
      <c r="AE146" s="139"/>
      <c r="AF146" s="139"/>
      <c r="AG146" s="139"/>
      <c r="AH146" s="139"/>
      <c r="AI146" s="134"/>
      <c r="AJ146" s="131"/>
      <c r="AK146" s="131"/>
      <c r="AL146" s="131"/>
      <c r="AM146" s="131"/>
      <c r="AN146" s="131"/>
      <c r="AO146" s="131"/>
      <c r="AP146" s="131"/>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31"/>
      <c r="B147" s="141"/>
      <c r="C147" s="141"/>
      <c r="D147" s="141"/>
      <c r="E147" s="141"/>
      <c r="F147" s="141"/>
      <c r="G147" s="141"/>
      <c r="H147" s="141"/>
      <c r="I147" s="141"/>
      <c r="J147" s="141"/>
      <c r="K147" s="141"/>
      <c r="L147" s="141"/>
      <c r="M147" s="141"/>
      <c r="N147" s="139"/>
      <c r="O147" s="139"/>
      <c r="P147" s="139"/>
      <c r="Q147" s="139"/>
      <c r="R147" s="139"/>
      <c r="S147" s="143"/>
      <c r="T147" s="139"/>
      <c r="U147" s="139"/>
      <c r="V147" s="139"/>
      <c r="W147" s="139"/>
      <c r="X147" s="139"/>
      <c r="Y147" s="139"/>
      <c r="Z147" s="139"/>
      <c r="AA147" s="139"/>
      <c r="AB147" s="139"/>
      <c r="AC147" s="139"/>
      <c r="AD147" s="139"/>
      <c r="AE147" s="139"/>
      <c r="AF147" s="139"/>
      <c r="AG147" s="139"/>
      <c r="AH147" s="139"/>
      <c r="AI147" s="134"/>
      <c r="AJ147" s="131"/>
      <c r="AK147" s="131"/>
      <c r="AL147" s="131"/>
      <c r="AM147" s="131"/>
      <c r="AN147" s="131"/>
      <c r="AO147" s="131"/>
      <c r="AP147" s="131"/>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31"/>
      <c r="B148" s="141"/>
      <c r="C148" s="141"/>
      <c r="D148" s="141"/>
      <c r="E148" s="141"/>
      <c r="F148" s="141"/>
      <c r="G148" s="141"/>
      <c r="H148" s="141"/>
      <c r="I148" s="141"/>
      <c r="J148" s="141"/>
      <c r="K148" s="141"/>
      <c r="L148" s="141"/>
      <c r="M148" s="141"/>
      <c r="N148" s="139"/>
      <c r="O148" s="139"/>
      <c r="P148" s="139"/>
      <c r="Q148" s="139"/>
      <c r="R148" s="139"/>
      <c r="S148" s="143"/>
      <c r="T148" s="139"/>
      <c r="U148" s="139"/>
      <c r="V148" s="139"/>
      <c r="W148" s="139"/>
      <c r="X148" s="139"/>
      <c r="Y148" s="139"/>
      <c r="Z148" s="139"/>
      <c r="AA148" s="139"/>
      <c r="AB148" s="139"/>
      <c r="AC148" s="139"/>
      <c r="AD148" s="139"/>
      <c r="AE148" s="139"/>
      <c r="AF148" s="139"/>
      <c r="AG148" s="139"/>
      <c r="AH148" s="139"/>
      <c r="AI148" s="134"/>
      <c r="AJ148" s="131"/>
      <c r="AK148" s="131"/>
      <c r="AL148" s="131"/>
      <c r="AM148" s="131"/>
      <c r="AN148" s="131"/>
      <c r="AO148" s="131"/>
      <c r="AP148" s="131"/>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31"/>
      <c r="B149" s="141"/>
      <c r="C149" s="141"/>
      <c r="D149" s="141"/>
      <c r="E149" s="141"/>
      <c r="F149" s="141"/>
      <c r="G149" s="141"/>
      <c r="H149" s="141"/>
      <c r="I149" s="141"/>
      <c r="J149" s="141"/>
      <c r="K149" s="141"/>
      <c r="L149" s="141"/>
      <c r="M149" s="141"/>
      <c r="N149" s="139"/>
      <c r="O149" s="139"/>
      <c r="P149" s="139"/>
      <c r="Q149" s="139"/>
      <c r="R149" s="139"/>
      <c r="S149" s="143"/>
      <c r="T149" s="139"/>
      <c r="U149" s="139"/>
      <c r="V149" s="139"/>
      <c r="W149" s="139"/>
      <c r="X149" s="139"/>
      <c r="Y149" s="139"/>
      <c r="Z149" s="139"/>
      <c r="AA149" s="139"/>
      <c r="AB149" s="139"/>
      <c r="AC149" s="139"/>
      <c r="AD149" s="139"/>
      <c r="AE149" s="139"/>
      <c r="AF149" s="139"/>
      <c r="AG149" s="139"/>
      <c r="AH149" s="139"/>
      <c r="AI149" s="134"/>
      <c r="AJ149" s="131"/>
      <c r="AK149" s="131"/>
      <c r="AL149" s="131"/>
      <c r="AM149" s="131"/>
      <c r="AN149" s="131"/>
      <c r="AO149" s="131"/>
      <c r="AP149" s="131"/>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34"/>
      <c r="B150" s="141"/>
      <c r="C150" s="141"/>
      <c r="D150" s="141"/>
      <c r="E150" s="141"/>
      <c r="F150" s="141"/>
      <c r="G150" s="141"/>
      <c r="H150" s="141"/>
      <c r="I150" s="141"/>
      <c r="J150" s="141"/>
      <c r="K150" s="141"/>
      <c r="L150" s="141"/>
      <c r="M150" s="141"/>
      <c r="N150" s="139"/>
      <c r="O150" s="139"/>
      <c r="P150" s="139"/>
      <c r="Q150" s="139"/>
      <c r="R150" s="139"/>
      <c r="S150" s="143"/>
      <c r="T150" s="139"/>
      <c r="U150" s="139"/>
      <c r="V150" s="139"/>
      <c r="W150" s="139"/>
      <c r="X150" s="139"/>
      <c r="Y150" s="139"/>
      <c r="Z150" s="139"/>
      <c r="AA150" s="139"/>
      <c r="AB150" s="139"/>
      <c r="AC150" s="139"/>
      <c r="AD150" s="139"/>
      <c r="AE150" s="139"/>
      <c r="AF150" s="139"/>
      <c r="AG150" s="139"/>
      <c r="AH150" s="139"/>
      <c r="AI150" s="134"/>
      <c r="AJ150" s="131"/>
      <c r="AK150" s="131"/>
      <c r="AL150" s="131"/>
      <c r="AM150" s="131"/>
      <c r="AN150" s="131"/>
      <c r="AO150" s="131"/>
      <c r="AP150" s="131"/>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31"/>
      <c r="B151" s="141"/>
      <c r="C151" s="141"/>
      <c r="D151" s="141"/>
      <c r="E151" s="141"/>
      <c r="F151" s="141"/>
      <c r="G151" s="141"/>
      <c r="H151" s="141"/>
      <c r="I151" s="141"/>
      <c r="J151" s="141"/>
      <c r="K151" s="141"/>
      <c r="L151" s="141"/>
      <c r="M151" s="141"/>
      <c r="N151" s="139"/>
      <c r="O151" s="139"/>
      <c r="P151" s="139"/>
      <c r="Q151" s="139"/>
      <c r="R151" s="139"/>
      <c r="S151" s="143"/>
      <c r="T151" s="139"/>
      <c r="U151" s="139"/>
      <c r="V151" s="139"/>
      <c r="W151" s="139"/>
      <c r="X151" s="139"/>
      <c r="Y151" s="139"/>
      <c r="Z151" s="139"/>
      <c r="AA151" s="139"/>
      <c r="AB151" s="139"/>
      <c r="AC151" s="139"/>
      <c r="AD151" s="139"/>
      <c r="AE151" s="139"/>
      <c r="AF151" s="139"/>
      <c r="AG151" s="139"/>
      <c r="AH151" s="139"/>
      <c r="AI151" s="134"/>
      <c r="AJ151" s="131"/>
      <c r="AK151" s="131"/>
      <c r="AL151" s="131"/>
      <c r="AM151" s="131"/>
      <c r="AN151" s="131"/>
      <c r="AO151" s="131"/>
      <c r="AP151" s="131"/>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31"/>
      <c r="B152" s="141"/>
      <c r="C152" s="141"/>
      <c r="D152" s="141"/>
      <c r="E152" s="141"/>
      <c r="F152" s="141"/>
      <c r="G152" s="141"/>
      <c r="H152" s="141"/>
      <c r="I152" s="141"/>
      <c r="J152" s="141"/>
      <c r="K152" s="141"/>
      <c r="L152" s="141"/>
      <c r="M152" s="141"/>
      <c r="N152" s="139"/>
      <c r="O152" s="139"/>
      <c r="P152" s="139"/>
      <c r="Q152" s="139"/>
      <c r="R152" s="139"/>
      <c r="S152" s="142"/>
      <c r="T152" s="139"/>
      <c r="U152" s="139"/>
      <c r="V152" s="139"/>
      <c r="W152" s="139"/>
      <c r="X152" s="139"/>
      <c r="Y152" s="139"/>
      <c r="Z152" s="139"/>
      <c r="AA152" s="139"/>
      <c r="AB152" s="139"/>
      <c r="AC152" s="139"/>
      <c r="AD152" s="139"/>
      <c r="AE152" s="139"/>
      <c r="AF152" s="139"/>
      <c r="AG152" s="139"/>
      <c r="AH152" s="139"/>
      <c r="AI152" s="134"/>
      <c r="AJ152" s="131"/>
      <c r="AK152" s="131"/>
      <c r="AL152" s="131"/>
      <c r="AM152" s="131"/>
      <c r="AN152" s="131"/>
      <c r="AO152" s="131"/>
      <c r="AP152" s="131"/>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31"/>
      <c r="B153" s="141"/>
      <c r="C153" s="141"/>
      <c r="D153" s="141"/>
      <c r="E153" s="141"/>
      <c r="F153" s="141"/>
      <c r="G153" s="141"/>
      <c r="H153" s="141"/>
      <c r="I153" s="141"/>
      <c r="J153" s="141"/>
      <c r="K153" s="141"/>
      <c r="L153" s="141"/>
      <c r="M153" s="141"/>
      <c r="N153" s="139"/>
      <c r="O153" s="139"/>
      <c r="P153" s="139"/>
      <c r="Q153" s="139"/>
      <c r="R153" s="139"/>
      <c r="S153" s="143"/>
      <c r="T153" s="139"/>
      <c r="U153" s="139"/>
      <c r="V153" s="139"/>
      <c r="W153" s="139"/>
      <c r="X153" s="139"/>
      <c r="Y153" s="139"/>
      <c r="Z153" s="139"/>
      <c r="AA153" s="139"/>
      <c r="AB153" s="139"/>
      <c r="AC153" s="139"/>
      <c r="AD153" s="139"/>
      <c r="AE153" s="139"/>
      <c r="AF153" s="139"/>
      <c r="AG153" s="139"/>
      <c r="AH153" s="139"/>
      <c r="AI153" s="134"/>
      <c r="AJ153" s="131"/>
      <c r="AK153" s="131"/>
      <c r="AL153" s="131"/>
      <c r="AM153" s="131"/>
      <c r="AN153" s="131"/>
      <c r="AO153" s="131"/>
      <c r="AP153" s="131"/>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31"/>
      <c r="B154" s="141"/>
      <c r="C154" s="141"/>
      <c r="D154" s="141"/>
      <c r="E154" s="141"/>
      <c r="F154" s="141"/>
      <c r="G154" s="141"/>
      <c r="H154" s="141"/>
      <c r="I154" s="141"/>
      <c r="J154" s="141"/>
      <c r="K154" s="141"/>
      <c r="L154" s="141"/>
      <c r="M154" s="141"/>
      <c r="N154" s="139"/>
      <c r="O154" s="139"/>
      <c r="P154" s="139"/>
      <c r="Q154" s="139"/>
      <c r="R154" s="139"/>
      <c r="S154" s="143"/>
      <c r="T154" s="139"/>
      <c r="U154" s="139"/>
      <c r="V154" s="139"/>
      <c r="W154" s="139"/>
      <c r="X154" s="139"/>
      <c r="Y154" s="139"/>
      <c r="Z154" s="139"/>
      <c r="AA154" s="139"/>
      <c r="AB154" s="139"/>
      <c r="AC154" s="139"/>
      <c r="AD154" s="139"/>
      <c r="AE154" s="139"/>
      <c r="AF154" s="139"/>
      <c r="AG154" s="139"/>
      <c r="AH154" s="139"/>
      <c r="AI154" s="134"/>
      <c r="AJ154" s="131"/>
      <c r="AK154" s="131"/>
      <c r="AL154" s="131"/>
      <c r="AM154" s="131"/>
      <c r="AN154" s="131"/>
      <c r="AO154" s="131"/>
      <c r="AP154" s="131"/>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31"/>
      <c r="B155" s="141"/>
      <c r="C155" s="141"/>
      <c r="D155" s="141"/>
      <c r="E155" s="141"/>
      <c r="F155" s="141"/>
      <c r="G155" s="141"/>
      <c r="H155" s="141"/>
      <c r="I155" s="141"/>
      <c r="J155" s="141"/>
      <c r="K155" s="141"/>
      <c r="L155" s="141"/>
      <c r="M155" s="141"/>
      <c r="N155" s="139"/>
      <c r="O155" s="139"/>
      <c r="P155" s="139"/>
      <c r="Q155" s="139"/>
      <c r="R155" s="139"/>
      <c r="S155" s="143"/>
      <c r="T155" s="139"/>
      <c r="U155" s="139"/>
      <c r="V155" s="139"/>
      <c r="W155" s="139"/>
      <c r="X155" s="139"/>
      <c r="Y155" s="139"/>
      <c r="Z155" s="139"/>
      <c r="AA155" s="139"/>
      <c r="AB155" s="139"/>
      <c r="AC155" s="139"/>
      <c r="AD155" s="139"/>
      <c r="AE155" s="139"/>
      <c r="AF155" s="139"/>
      <c r="AG155" s="139"/>
      <c r="AH155" s="139"/>
      <c r="AI155" s="134"/>
      <c r="AJ155" s="131"/>
      <c r="AK155" s="131"/>
      <c r="AL155" s="131"/>
      <c r="AM155" s="131"/>
      <c r="AN155" s="131"/>
      <c r="AO155" s="131"/>
      <c r="AP155" s="131"/>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34"/>
      <c r="B156" s="141"/>
      <c r="C156" s="141"/>
      <c r="D156" s="141"/>
      <c r="E156" s="141"/>
      <c r="F156" s="141"/>
      <c r="G156" s="141"/>
      <c r="H156" s="141"/>
      <c r="I156" s="141"/>
      <c r="J156" s="141"/>
      <c r="K156" s="141"/>
      <c r="L156" s="141"/>
      <c r="M156" s="141"/>
      <c r="N156" s="139"/>
      <c r="O156" s="139"/>
      <c r="P156" s="139"/>
      <c r="Q156" s="139"/>
      <c r="R156" s="139"/>
      <c r="S156" s="149"/>
      <c r="T156" s="139"/>
      <c r="U156" s="139"/>
      <c r="V156" s="139"/>
      <c r="W156" s="139"/>
      <c r="X156" s="139"/>
      <c r="Y156" s="139"/>
      <c r="Z156" s="139"/>
      <c r="AA156" s="139"/>
      <c r="AB156" s="139"/>
      <c r="AC156" s="139"/>
      <c r="AD156" s="139"/>
      <c r="AE156" s="139"/>
      <c r="AF156" s="139"/>
      <c r="AG156" s="139"/>
      <c r="AH156" s="139"/>
      <c r="AI156" s="134"/>
      <c r="AJ156" s="131"/>
      <c r="AK156" s="131"/>
      <c r="AL156" s="131"/>
      <c r="AM156" s="131"/>
      <c r="AN156" s="131"/>
      <c r="AO156" s="131"/>
      <c r="AP156" s="131"/>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31"/>
      <c r="B157" s="141"/>
      <c r="C157" s="141"/>
      <c r="D157" s="141"/>
      <c r="E157" s="141"/>
      <c r="F157" s="141"/>
      <c r="G157" s="141"/>
      <c r="H157" s="141"/>
      <c r="I157" s="141"/>
      <c r="J157" s="141"/>
      <c r="K157" s="141"/>
      <c r="L157" s="141"/>
      <c r="M157" s="141"/>
      <c r="N157" s="139"/>
      <c r="O157" s="139"/>
      <c r="P157" s="139"/>
      <c r="Q157" s="139"/>
      <c r="R157" s="139"/>
      <c r="S157" s="149"/>
      <c r="T157" s="139"/>
      <c r="U157" s="139"/>
      <c r="V157" s="139"/>
      <c r="W157" s="139"/>
      <c r="X157" s="139"/>
      <c r="Y157" s="139"/>
      <c r="Z157" s="139"/>
      <c r="AA157" s="139"/>
      <c r="AB157" s="139"/>
      <c r="AC157" s="139"/>
      <c r="AD157" s="139"/>
      <c r="AE157" s="139"/>
      <c r="AF157" s="139"/>
      <c r="AG157" s="139"/>
      <c r="AH157" s="139"/>
      <c r="AI157" s="134"/>
      <c r="AJ157" s="131"/>
      <c r="AK157" s="131"/>
      <c r="AL157" s="131"/>
      <c r="AM157" s="131"/>
      <c r="AN157" s="131"/>
      <c r="AO157" s="131"/>
      <c r="AP157" s="131"/>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31"/>
      <c r="B158" s="141"/>
      <c r="C158" s="141"/>
      <c r="D158" s="141"/>
      <c r="E158" s="141"/>
      <c r="F158" s="141"/>
      <c r="G158" s="141"/>
      <c r="H158" s="141"/>
      <c r="I158" s="141"/>
      <c r="J158" s="141"/>
      <c r="K158" s="141"/>
      <c r="L158" s="141"/>
      <c r="M158" s="141"/>
      <c r="N158" s="139"/>
      <c r="O158" s="139"/>
      <c r="P158" s="139"/>
      <c r="Q158" s="139"/>
      <c r="R158" s="139"/>
      <c r="S158" s="139"/>
      <c r="T158" s="139"/>
      <c r="U158" s="139"/>
      <c r="V158" s="139"/>
      <c r="W158" s="139"/>
      <c r="X158" s="139"/>
      <c r="Y158" s="139"/>
      <c r="Z158" s="139"/>
      <c r="AA158" s="139"/>
      <c r="AB158" s="139"/>
      <c r="AC158" s="139"/>
      <c r="AD158" s="139"/>
      <c r="AE158" s="139"/>
      <c r="AF158" s="139"/>
      <c r="AG158" s="139"/>
      <c r="AH158" s="139"/>
      <c r="AI158" s="134"/>
      <c r="AJ158" s="131"/>
      <c r="AK158" s="131"/>
      <c r="AL158" s="131"/>
      <c r="AM158" s="131"/>
      <c r="AN158" s="146"/>
      <c r="AO158" s="146"/>
      <c r="AP158" s="146"/>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31"/>
      <c r="B159" s="141"/>
      <c r="C159" s="141"/>
      <c r="D159" s="141"/>
      <c r="E159" s="141"/>
      <c r="F159" s="141"/>
      <c r="G159" s="141"/>
      <c r="H159" s="141"/>
      <c r="I159" s="141"/>
      <c r="J159" s="141"/>
      <c r="K159" s="141"/>
      <c r="L159" s="141"/>
      <c r="M159" s="141"/>
      <c r="N159" s="139"/>
      <c r="O159" s="139"/>
      <c r="P159" s="139"/>
      <c r="Q159" s="139"/>
      <c r="R159" s="139"/>
      <c r="S159" s="149"/>
      <c r="T159" s="139"/>
      <c r="U159" s="139"/>
      <c r="V159" s="139"/>
      <c r="W159" s="139"/>
      <c r="X159" s="139"/>
      <c r="Y159" s="139"/>
      <c r="Z159" s="139"/>
      <c r="AA159" s="139"/>
      <c r="AB159" s="139"/>
      <c r="AC159" s="139"/>
      <c r="AD159" s="139"/>
      <c r="AE159" s="139"/>
      <c r="AF159" s="139"/>
      <c r="AG159" s="139"/>
      <c r="AH159" s="139"/>
      <c r="AI159" s="134"/>
      <c r="AJ159" s="131"/>
      <c r="AK159" s="131"/>
      <c r="AL159" s="131"/>
      <c r="AM159" s="131"/>
      <c r="AN159" s="131"/>
      <c r="AO159" s="131"/>
      <c r="AP159" s="131"/>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31"/>
      <c r="B160" s="141"/>
      <c r="C160" s="141"/>
      <c r="D160" s="141"/>
      <c r="E160" s="141"/>
      <c r="F160" s="141"/>
      <c r="G160" s="141"/>
      <c r="H160" s="141"/>
      <c r="I160" s="141"/>
      <c r="J160" s="141"/>
      <c r="K160" s="141"/>
      <c r="L160" s="141"/>
      <c r="M160" s="141"/>
      <c r="N160" s="139"/>
      <c r="O160" s="139"/>
      <c r="P160" s="139"/>
      <c r="Q160" s="139"/>
      <c r="R160" s="139"/>
      <c r="S160" s="149"/>
      <c r="T160" s="139"/>
      <c r="U160" s="139"/>
      <c r="V160" s="139"/>
      <c r="W160" s="139"/>
      <c r="X160" s="139"/>
      <c r="Y160" s="139"/>
      <c r="Z160" s="139"/>
      <c r="AA160" s="139"/>
      <c r="AB160" s="139"/>
      <c r="AC160" s="139"/>
      <c r="AD160" s="139"/>
      <c r="AE160" s="139"/>
      <c r="AF160" s="139"/>
      <c r="AG160" s="139"/>
      <c r="AH160" s="139"/>
      <c r="AI160" s="134"/>
      <c r="AJ160" s="131"/>
      <c r="AK160" s="131"/>
      <c r="AL160" s="131"/>
      <c r="AM160" s="131"/>
      <c r="AN160" s="131"/>
      <c r="AO160" s="131"/>
      <c r="AP160" s="131"/>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31"/>
      <c r="B161" s="141"/>
      <c r="C161" s="141"/>
      <c r="D161" s="141"/>
      <c r="E161" s="141"/>
      <c r="F161" s="141"/>
      <c r="G161" s="141"/>
      <c r="H161" s="141"/>
      <c r="I161" s="141"/>
      <c r="J161" s="141"/>
      <c r="K161" s="141"/>
      <c r="L161" s="141"/>
      <c r="M161" s="141"/>
      <c r="N161" s="139"/>
      <c r="O161" s="139"/>
      <c r="P161" s="139"/>
      <c r="Q161" s="139"/>
      <c r="R161" s="139"/>
      <c r="S161" s="149"/>
      <c r="T161" s="139"/>
      <c r="U161" s="139"/>
      <c r="V161" s="139"/>
      <c r="W161" s="139"/>
      <c r="X161" s="139"/>
      <c r="Y161" s="139"/>
      <c r="Z161" s="139"/>
      <c r="AA161" s="139"/>
      <c r="AB161" s="139"/>
      <c r="AC161" s="139"/>
      <c r="AD161" s="139"/>
      <c r="AE161" s="139"/>
      <c r="AF161" s="139"/>
      <c r="AG161" s="139"/>
      <c r="AH161" s="139"/>
      <c r="AI161" s="134"/>
      <c r="AJ161" s="131"/>
      <c r="AK161" s="131"/>
      <c r="AL161" s="131"/>
      <c r="AM161" s="131"/>
      <c r="AN161" s="131"/>
      <c r="AO161" s="131"/>
      <c r="AP161" s="131"/>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34"/>
      <c r="B162" s="141"/>
      <c r="C162" s="141"/>
      <c r="D162" s="141"/>
      <c r="E162" s="141"/>
      <c r="F162" s="141"/>
      <c r="G162" s="141"/>
      <c r="H162" s="141"/>
      <c r="I162" s="141"/>
      <c r="J162" s="141"/>
      <c r="K162" s="141"/>
      <c r="L162" s="141"/>
      <c r="M162" s="141"/>
      <c r="N162" s="139"/>
      <c r="O162" s="139"/>
      <c r="P162" s="139"/>
      <c r="Q162" s="139"/>
      <c r="R162" s="139"/>
      <c r="S162" s="149"/>
      <c r="T162" s="139"/>
      <c r="U162" s="139"/>
      <c r="V162" s="139"/>
      <c r="W162" s="139"/>
      <c r="X162" s="139"/>
      <c r="Y162" s="139"/>
      <c r="Z162" s="139"/>
      <c r="AA162" s="139"/>
      <c r="AB162" s="139"/>
      <c r="AC162" s="139"/>
      <c r="AD162" s="139"/>
      <c r="AE162" s="139"/>
      <c r="AF162" s="139"/>
      <c r="AG162" s="139"/>
      <c r="AH162" s="139"/>
      <c r="AI162" s="134"/>
      <c r="AJ162" s="131"/>
      <c r="AK162" s="131"/>
      <c r="AL162" s="131"/>
      <c r="AM162" s="131"/>
      <c r="AN162" s="131"/>
      <c r="AO162" s="131"/>
      <c r="AP162" s="131"/>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31"/>
      <c r="B163" s="141"/>
      <c r="C163" s="141"/>
      <c r="D163" s="141"/>
      <c r="E163" s="141"/>
      <c r="F163" s="141"/>
      <c r="G163" s="141"/>
      <c r="H163" s="141"/>
      <c r="I163" s="141"/>
      <c r="J163" s="141"/>
      <c r="K163" s="141"/>
      <c r="L163" s="141"/>
      <c r="M163" s="141"/>
      <c r="N163" s="139"/>
      <c r="O163" s="139"/>
      <c r="P163" s="139"/>
      <c r="Q163" s="139"/>
      <c r="R163" s="139"/>
      <c r="S163" s="149"/>
      <c r="T163" s="139"/>
      <c r="U163" s="139"/>
      <c r="V163" s="139"/>
      <c r="W163" s="139"/>
      <c r="X163" s="139"/>
      <c r="Y163" s="139"/>
      <c r="Z163" s="139"/>
      <c r="AA163" s="139"/>
      <c r="AB163" s="139"/>
      <c r="AC163" s="139"/>
      <c r="AD163" s="139"/>
      <c r="AE163" s="139"/>
      <c r="AF163" s="139"/>
      <c r="AG163" s="139"/>
      <c r="AH163" s="139"/>
      <c r="AI163" s="134"/>
      <c r="AJ163" s="131"/>
      <c r="AK163" s="131"/>
      <c r="AL163" s="131"/>
      <c r="AM163" s="131"/>
      <c r="AN163" s="131"/>
      <c r="AO163" s="131"/>
      <c r="AP163" s="131"/>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31"/>
      <c r="B164" s="141"/>
      <c r="C164" s="141"/>
      <c r="D164" s="141"/>
      <c r="E164" s="141"/>
      <c r="F164" s="141"/>
      <c r="G164" s="141"/>
      <c r="H164" s="141"/>
      <c r="I164" s="141"/>
      <c r="J164" s="141"/>
      <c r="K164" s="141"/>
      <c r="L164" s="141"/>
      <c r="M164" s="141"/>
      <c r="N164" s="139"/>
      <c r="O164" s="139"/>
      <c r="P164" s="139"/>
      <c r="Q164" s="139"/>
      <c r="R164" s="139"/>
      <c r="S164" s="139"/>
      <c r="T164" s="139"/>
      <c r="U164" s="139"/>
      <c r="V164" s="139"/>
      <c r="W164" s="139"/>
      <c r="X164" s="139"/>
      <c r="Y164" s="139"/>
      <c r="Z164" s="139"/>
      <c r="AA164" s="139"/>
      <c r="AB164" s="139"/>
      <c r="AC164" s="139"/>
      <c r="AD164" s="139"/>
      <c r="AE164" s="139"/>
      <c r="AF164" s="139"/>
      <c r="AG164" s="139"/>
      <c r="AH164" s="139"/>
      <c r="AI164" s="134"/>
      <c r="AJ164" s="131"/>
      <c r="AK164" s="131"/>
      <c r="AL164" s="131"/>
      <c r="AM164" s="131"/>
      <c r="AN164" s="146"/>
      <c r="AO164" s="146"/>
      <c r="AP164" s="146"/>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31"/>
      <c r="B165" s="141"/>
      <c r="C165" s="141"/>
      <c r="D165" s="141"/>
      <c r="E165" s="141"/>
      <c r="F165" s="141"/>
      <c r="G165" s="141"/>
      <c r="H165" s="141"/>
      <c r="I165" s="141"/>
      <c r="J165" s="141"/>
      <c r="K165" s="141"/>
      <c r="L165" s="141"/>
      <c r="M165" s="141"/>
      <c r="N165" s="139"/>
      <c r="O165" s="139"/>
      <c r="P165" s="139"/>
      <c r="Q165" s="139"/>
      <c r="R165" s="139"/>
      <c r="S165" s="149"/>
      <c r="T165" s="139"/>
      <c r="U165" s="139"/>
      <c r="V165" s="139"/>
      <c r="W165" s="139"/>
      <c r="X165" s="139"/>
      <c r="Y165" s="139"/>
      <c r="Z165" s="139"/>
      <c r="AA165" s="139"/>
      <c r="AB165" s="139"/>
      <c r="AC165" s="139"/>
      <c r="AD165" s="139"/>
      <c r="AE165" s="139"/>
      <c r="AF165" s="139"/>
      <c r="AG165" s="139"/>
      <c r="AH165" s="139"/>
      <c r="AI165" s="134"/>
      <c r="AJ165" s="131"/>
      <c r="AK165" s="131"/>
      <c r="AL165" s="131"/>
      <c r="AM165" s="131"/>
      <c r="AN165" s="131"/>
      <c r="AO165" s="131"/>
      <c r="AP165" s="131"/>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31"/>
      <c r="B166" s="141"/>
      <c r="C166" s="141"/>
      <c r="D166" s="141"/>
      <c r="E166" s="141"/>
      <c r="F166" s="141"/>
      <c r="G166" s="141"/>
      <c r="H166" s="141"/>
      <c r="I166" s="141"/>
      <c r="J166" s="141"/>
      <c r="K166" s="141"/>
      <c r="L166" s="141"/>
      <c r="M166" s="141"/>
      <c r="N166" s="139"/>
      <c r="O166" s="139"/>
      <c r="P166" s="139"/>
      <c r="Q166" s="139"/>
      <c r="R166" s="139"/>
      <c r="S166" s="149"/>
      <c r="T166" s="139"/>
      <c r="U166" s="139"/>
      <c r="V166" s="139"/>
      <c r="W166" s="139"/>
      <c r="X166" s="139"/>
      <c r="Y166" s="139"/>
      <c r="Z166" s="139"/>
      <c r="AA166" s="139"/>
      <c r="AB166" s="139"/>
      <c r="AC166" s="139"/>
      <c r="AD166" s="139"/>
      <c r="AE166" s="139"/>
      <c r="AF166" s="139"/>
      <c r="AG166" s="139"/>
      <c r="AH166" s="139"/>
      <c r="AI166" s="134"/>
      <c r="AJ166" s="131"/>
      <c r="AK166" s="131"/>
      <c r="AL166" s="131"/>
      <c r="AM166" s="131"/>
      <c r="AN166" s="131"/>
      <c r="AO166" s="131"/>
      <c r="AP166" s="131"/>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31"/>
      <c r="B167" s="141"/>
      <c r="C167" s="141"/>
      <c r="D167" s="141"/>
      <c r="E167" s="141"/>
      <c r="F167" s="141"/>
      <c r="G167" s="141"/>
      <c r="H167" s="141"/>
      <c r="I167" s="141"/>
      <c r="J167" s="141"/>
      <c r="K167" s="141"/>
      <c r="L167" s="141"/>
      <c r="M167" s="141"/>
      <c r="N167" s="139"/>
      <c r="O167" s="139"/>
      <c r="P167" s="139"/>
      <c r="Q167" s="139"/>
      <c r="R167" s="139"/>
      <c r="S167" s="149"/>
      <c r="T167" s="139"/>
      <c r="U167" s="139"/>
      <c r="V167" s="139"/>
      <c r="W167" s="139"/>
      <c r="X167" s="139"/>
      <c r="Y167" s="139"/>
      <c r="Z167" s="139"/>
      <c r="AA167" s="139"/>
      <c r="AB167" s="139"/>
      <c r="AC167" s="139"/>
      <c r="AD167" s="139"/>
      <c r="AE167" s="139"/>
      <c r="AF167" s="139"/>
      <c r="AG167" s="139"/>
      <c r="AH167" s="139"/>
      <c r="AI167" s="134"/>
      <c r="AJ167" s="131"/>
      <c r="AK167" s="131"/>
      <c r="AL167" s="131"/>
      <c r="AM167" s="131"/>
      <c r="AN167" s="131"/>
      <c r="AO167" s="131"/>
      <c r="AP167" s="131"/>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34"/>
      <c r="B168" s="141"/>
      <c r="C168" s="141"/>
      <c r="D168" s="141"/>
      <c r="E168" s="141"/>
      <c r="F168" s="141"/>
      <c r="G168" s="141"/>
      <c r="H168" s="141"/>
      <c r="I168" s="141"/>
      <c r="J168" s="141"/>
      <c r="K168" s="141"/>
      <c r="L168" s="141"/>
      <c r="M168" s="141"/>
      <c r="N168" s="139"/>
      <c r="O168" s="139"/>
      <c r="P168" s="139"/>
      <c r="Q168" s="139"/>
      <c r="R168" s="139"/>
      <c r="S168" s="149"/>
      <c r="T168" s="139"/>
      <c r="U168" s="139"/>
      <c r="V168" s="139"/>
      <c r="W168" s="139"/>
      <c r="X168" s="139"/>
      <c r="Y168" s="139"/>
      <c r="Z168" s="139"/>
      <c r="AA168" s="139"/>
      <c r="AB168" s="139"/>
      <c r="AC168" s="139"/>
      <c r="AD168" s="139"/>
      <c r="AE168" s="139"/>
      <c r="AF168" s="139"/>
      <c r="AG168" s="139"/>
      <c r="AH168" s="139"/>
      <c r="AI168" s="134"/>
      <c r="AJ168" s="131"/>
      <c r="AK168" s="131"/>
      <c r="AL168" s="131"/>
      <c r="AM168" s="131"/>
      <c r="AN168" s="131"/>
      <c r="AO168" s="131"/>
      <c r="AP168" s="131"/>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31"/>
      <c r="B169" s="141"/>
      <c r="C169" s="141"/>
      <c r="D169" s="141"/>
      <c r="E169" s="141"/>
      <c r="F169" s="141"/>
      <c r="G169" s="141"/>
      <c r="H169" s="141"/>
      <c r="I169" s="141"/>
      <c r="J169" s="141"/>
      <c r="K169" s="141"/>
      <c r="L169" s="141"/>
      <c r="M169" s="141"/>
      <c r="N169" s="139"/>
      <c r="O169" s="139"/>
      <c r="P169" s="139"/>
      <c r="Q169" s="139"/>
      <c r="R169" s="139"/>
      <c r="S169" s="149"/>
      <c r="T169" s="139"/>
      <c r="U169" s="139"/>
      <c r="V169" s="139"/>
      <c r="W169" s="139"/>
      <c r="X169" s="139"/>
      <c r="Y169" s="139"/>
      <c r="Z169" s="139"/>
      <c r="AA169" s="139"/>
      <c r="AB169" s="139"/>
      <c r="AC169" s="139"/>
      <c r="AD169" s="139"/>
      <c r="AE169" s="139"/>
      <c r="AF169" s="139"/>
      <c r="AG169" s="139"/>
      <c r="AH169" s="139"/>
      <c r="AI169" s="134"/>
      <c r="AJ169" s="131"/>
      <c r="AK169" s="131"/>
      <c r="AL169" s="131"/>
      <c r="AM169" s="131"/>
      <c r="AN169" s="131"/>
      <c r="AO169" s="131"/>
      <c r="AP169" s="131"/>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31"/>
      <c r="B170" s="141"/>
      <c r="C170" s="141"/>
      <c r="D170" s="141"/>
      <c r="E170" s="141"/>
      <c r="F170" s="141"/>
      <c r="G170" s="141"/>
      <c r="H170" s="141"/>
      <c r="I170" s="141"/>
      <c r="J170" s="141"/>
      <c r="K170" s="141"/>
      <c r="L170" s="141"/>
      <c r="M170" s="141"/>
      <c r="N170" s="139"/>
      <c r="O170" s="139"/>
      <c r="P170" s="139"/>
      <c r="Q170" s="139"/>
      <c r="R170" s="139"/>
      <c r="S170" s="139"/>
      <c r="T170" s="139"/>
      <c r="U170" s="139"/>
      <c r="V170" s="139"/>
      <c r="W170" s="139"/>
      <c r="X170" s="139"/>
      <c r="Y170" s="139"/>
      <c r="Z170" s="139"/>
      <c r="AA170" s="139"/>
      <c r="AB170" s="139"/>
      <c r="AC170" s="139"/>
      <c r="AD170" s="139"/>
      <c r="AE170" s="139"/>
      <c r="AF170" s="139"/>
      <c r="AG170" s="139"/>
      <c r="AH170" s="139"/>
      <c r="AI170" s="134"/>
      <c r="AJ170" s="131"/>
      <c r="AK170" s="131"/>
      <c r="AL170" s="131"/>
      <c r="AM170" s="131"/>
      <c r="AN170" s="146"/>
      <c r="AO170" s="146"/>
      <c r="AP170" s="146"/>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31"/>
      <c r="B171" s="141"/>
      <c r="C171" s="141"/>
      <c r="D171" s="141"/>
      <c r="E171" s="141"/>
      <c r="F171" s="141"/>
      <c r="G171" s="141"/>
      <c r="H171" s="141"/>
      <c r="I171" s="141"/>
      <c r="J171" s="141"/>
      <c r="K171" s="141"/>
      <c r="L171" s="141"/>
      <c r="M171" s="141"/>
      <c r="N171" s="139"/>
      <c r="O171" s="139"/>
      <c r="P171" s="139"/>
      <c r="Q171" s="139"/>
      <c r="R171" s="139"/>
      <c r="S171" s="149"/>
      <c r="T171" s="139"/>
      <c r="U171" s="139"/>
      <c r="V171" s="139"/>
      <c r="W171" s="139"/>
      <c r="X171" s="139"/>
      <c r="Y171" s="139"/>
      <c r="Z171" s="139"/>
      <c r="AA171" s="139"/>
      <c r="AB171" s="139"/>
      <c r="AC171" s="139"/>
      <c r="AD171" s="139"/>
      <c r="AE171" s="139"/>
      <c r="AF171" s="139"/>
      <c r="AG171" s="139"/>
      <c r="AH171" s="139"/>
      <c r="AI171" s="134"/>
      <c r="AJ171" s="131"/>
      <c r="AK171" s="131"/>
      <c r="AL171" s="131"/>
      <c r="AM171" s="131"/>
      <c r="AN171" s="131"/>
      <c r="AO171" s="131"/>
      <c r="AP171" s="131"/>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31"/>
      <c r="B172" s="141"/>
      <c r="C172" s="141"/>
      <c r="D172" s="141"/>
      <c r="E172" s="141"/>
      <c r="F172" s="524"/>
      <c r="G172" s="141"/>
      <c r="H172" s="141"/>
      <c r="I172" s="141"/>
      <c r="J172" s="141"/>
      <c r="K172" s="141"/>
      <c r="L172" s="141"/>
      <c r="M172" s="141"/>
      <c r="N172" s="139"/>
      <c r="O172" s="139"/>
      <c r="P172" s="139"/>
      <c r="Q172" s="139"/>
      <c r="R172" s="139"/>
      <c r="S172" s="149"/>
      <c r="T172" s="139"/>
      <c r="U172" s="139"/>
      <c r="V172" s="139"/>
      <c r="W172" s="139"/>
      <c r="X172" s="139"/>
      <c r="Y172" s="139"/>
      <c r="Z172" s="139"/>
      <c r="AA172" s="139"/>
      <c r="AB172" s="139"/>
      <c r="AC172" s="139"/>
      <c r="AD172" s="139"/>
      <c r="AE172" s="139"/>
      <c r="AF172" s="139"/>
      <c r="AG172" s="139"/>
      <c r="AH172" s="139"/>
      <c r="AI172" s="134"/>
      <c r="AJ172" s="131"/>
      <c r="AK172" s="131"/>
      <c r="AL172" s="131"/>
      <c r="AM172" s="131"/>
      <c r="AN172" s="131"/>
      <c r="AO172" s="131"/>
      <c r="AP172" s="131"/>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31"/>
      <c r="B173" s="141"/>
      <c r="C173" s="141"/>
      <c r="D173" s="141"/>
      <c r="E173" s="525" t="b">
        <v>1</v>
      </c>
      <c r="F173" s="524" t="s">
        <v>102</v>
      </c>
      <c r="G173" s="141"/>
      <c r="H173" s="141"/>
      <c r="I173" s="141"/>
      <c r="J173" s="141"/>
      <c r="K173" s="141"/>
      <c r="L173" s="141"/>
      <c r="M173" s="141"/>
      <c r="N173" s="139"/>
      <c r="O173" s="139"/>
      <c r="P173" s="139"/>
      <c r="Q173" s="139"/>
      <c r="R173" s="139"/>
      <c r="S173" s="149"/>
      <c r="T173" s="139"/>
      <c r="U173" s="139"/>
      <c r="V173" s="139"/>
      <c r="W173" s="139"/>
      <c r="X173" s="139"/>
      <c r="Y173" s="139"/>
      <c r="Z173" s="139"/>
      <c r="AA173" s="139"/>
      <c r="AB173" s="139"/>
      <c r="AC173" s="139"/>
      <c r="AD173" s="139"/>
      <c r="AE173" s="139"/>
      <c r="AF173" s="139"/>
      <c r="AG173" s="139"/>
      <c r="AH173" s="139"/>
      <c r="AI173" s="134"/>
      <c r="AJ173" s="131"/>
      <c r="AK173" s="131"/>
      <c r="AL173" s="131"/>
      <c r="AM173" s="131"/>
      <c r="AN173" s="131"/>
      <c r="AO173" s="131"/>
      <c r="AP173" s="131"/>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34"/>
      <c r="B174" s="141"/>
      <c r="C174" s="141"/>
      <c r="D174" s="141"/>
      <c r="E174" s="525" t="b">
        <v>0</v>
      </c>
      <c r="F174" s="524" t="s">
        <v>265</v>
      </c>
      <c r="G174" s="141"/>
      <c r="H174" s="141"/>
      <c r="I174" s="141"/>
      <c r="J174" s="141"/>
      <c r="K174" s="141"/>
      <c r="L174" s="141"/>
      <c r="M174" s="141"/>
      <c r="N174" s="139"/>
      <c r="O174" s="139"/>
      <c r="P174" s="139"/>
      <c r="Q174" s="139"/>
      <c r="R174" s="139"/>
      <c r="S174" s="149"/>
      <c r="T174" s="139"/>
      <c r="U174" s="139"/>
      <c r="V174" s="139"/>
      <c r="W174" s="139"/>
      <c r="X174" s="139"/>
      <c r="Y174" s="139"/>
      <c r="Z174" s="139"/>
      <c r="AA174" s="139"/>
      <c r="AB174" s="139"/>
      <c r="AC174" s="139"/>
      <c r="AD174" s="139"/>
      <c r="AE174" s="139"/>
      <c r="AF174" s="139"/>
      <c r="AG174" s="139"/>
      <c r="AH174" s="139"/>
      <c r="AI174" s="134"/>
      <c r="AJ174" s="131"/>
      <c r="AK174" s="131"/>
      <c r="AL174" s="131"/>
      <c r="AM174" s="131"/>
      <c r="AN174" s="131"/>
      <c r="AO174" s="131"/>
      <c r="AP174" s="131"/>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31"/>
      <c r="B175" s="141"/>
      <c r="C175" s="141"/>
      <c r="D175" s="141"/>
      <c r="E175" s="525"/>
      <c r="F175" s="524" t="s">
        <v>267</v>
      </c>
      <c r="G175" s="141"/>
      <c r="H175" s="141"/>
      <c r="I175" s="141"/>
      <c r="J175" s="141"/>
      <c r="K175" s="141"/>
      <c r="L175" s="141"/>
      <c r="M175" s="141"/>
      <c r="N175" s="139"/>
      <c r="O175" s="139"/>
      <c r="P175" s="139"/>
      <c r="Q175" s="139"/>
      <c r="R175" s="139"/>
      <c r="S175" s="149"/>
      <c r="T175" s="139"/>
      <c r="U175" s="139"/>
      <c r="V175" s="139"/>
      <c r="W175" s="139"/>
      <c r="X175" s="139"/>
      <c r="Y175" s="139"/>
      <c r="Z175" s="139"/>
      <c r="AA175" s="139"/>
      <c r="AB175" s="139"/>
      <c r="AC175" s="139"/>
      <c r="AD175" s="139"/>
      <c r="AE175" s="139"/>
      <c r="AF175" s="139"/>
      <c r="AG175" s="139"/>
      <c r="AH175" s="139"/>
      <c r="AI175" s="134"/>
      <c r="AJ175" s="131"/>
      <c r="AK175" s="131"/>
      <c r="AL175" s="131"/>
      <c r="AM175" s="131"/>
      <c r="AN175" s="131"/>
      <c r="AO175" s="131"/>
      <c r="AP175" s="131"/>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31"/>
      <c r="B176" s="141"/>
      <c r="C176" s="141"/>
      <c r="D176" s="141"/>
      <c r="E176" s="141"/>
      <c r="F176" s="524" t="s">
        <v>209</v>
      </c>
      <c r="G176" s="141"/>
      <c r="H176" s="141"/>
      <c r="I176" s="141"/>
      <c r="J176" s="141"/>
      <c r="K176" s="141"/>
      <c r="L176" s="141"/>
      <c r="M176" s="141"/>
      <c r="N176" s="139"/>
      <c r="O176" s="139"/>
      <c r="P176" s="139"/>
      <c r="Q176" s="139"/>
      <c r="R176" s="139"/>
      <c r="S176" s="139"/>
      <c r="T176" s="139"/>
      <c r="U176" s="139"/>
      <c r="V176" s="139"/>
      <c r="W176" s="139"/>
      <c r="X176" s="139"/>
      <c r="Y176" s="139"/>
      <c r="Z176" s="139"/>
      <c r="AA176" s="139"/>
      <c r="AB176" s="139"/>
      <c r="AC176" s="139"/>
      <c r="AD176" s="139"/>
      <c r="AE176" s="139"/>
      <c r="AF176" s="139"/>
      <c r="AG176" s="139"/>
      <c r="AH176" s="139"/>
      <c r="AI176" s="134"/>
      <c r="AJ176" s="131"/>
      <c r="AK176" s="131"/>
      <c r="AL176" s="131"/>
      <c r="AM176" s="131"/>
      <c r="AN176" s="131"/>
      <c r="AO176" s="131"/>
      <c r="AP176" s="131"/>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31"/>
      <c r="B177" s="141"/>
      <c r="C177" s="141"/>
      <c r="D177" s="141"/>
      <c r="E177" s="141"/>
      <c r="F177" s="524" t="s">
        <v>266</v>
      </c>
      <c r="G177" s="141"/>
      <c r="H177" s="141"/>
      <c r="I177" s="141"/>
      <c r="J177" s="141"/>
      <c r="K177" s="141"/>
      <c r="L177" s="141"/>
      <c r="M177" s="141"/>
      <c r="N177" s="139"/>
      <c r="O177" s="139"/>
      <c r="P177" s="139"/>
      <c r="Q177" s="139"/>
      <c r="R177" s="139"/>
      <c r="S177" s="149"/>
      <c r="T177" s="139"/>
      <c r="U177" s="139"/>
      <c r="V177" s="139"/>
      <c r="W177" s="139"/>
      <c r="X177" s="139"/>
      <c r="Y177" s="139"/>
      <c r="Z177" s="139"/>
      <c r="AA177" s="139"/>
      <c r="AB177" s="139"/>
      <c r="AC177" s="139"/>
      <c r="AD177" s="139"/>
      <c r="AE177" s="139"/>
      <c r="AF177" s="139"/>
      <c r="AG177" s="139"/>
      <c r="AH177" s="139"/>
      <c r="AI177" s="134"/>
      <c r="AJ177" s="131"/>
      <c r="AK177" s="131"/>
      <c r="AL177" s="131"/>
      <c r="AM177" s="131"/>
      <c r="AN177" s="131"/>
      <c r="AO177" s="131"/>
      <c r="AP177" s="131"/>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31"/>
      <c r="B178" s="141"/>
      <c r="C178" s="141"/>
      <c r="D178" s="141"/>
      <c r="E178" s="141"/>
      <c r="F178" s="524" t="s">
        <v>262</v>
      </c>
      <c r="G178" s="141"/>
      <c r="H178" s="141"/>
      <c r="I178" s="141"/>
      <c r="J178" s="141"/>
      <c r="K178" s="141"/>
      <c r="L178" s="141"/>
      <c r="M178" s="141"/>
      <c r="N178" s="139"/>
      <c r="O178" s="139"/>
      <c r="P178" s="139"/>
      <c r="Q178" s="139"/>
      <c r="R178" s="139"/>
      <c r="S178" s="149"/>
      <c r="T178" s="139"/>
      <c r="U178" s="139"/>
      <c r="V178" s="139"/>
      <c r="W178" s="139"/>
      <c r="X178" s="139"/>
      <c r="Y178" s="139"/>
      <c r="Z178" s="139"/>
      <c r="AA178" s="139"/>
      <c r="AB178" s="139"/>
      <c r="AC178" s="139"/>
      <c r="AD178" s="139"/>
      <c r="AE178" s="139"/>
      <c r="AF178" s="139"/>
      <c r="AG178" s="139"/>
      <c r="AH178" s="139"/>
      <c r="AI178" s="134"/>
      <c r="AJ178" s="131"/>
      <c r="AK178" s="131"/>
      <c r="AL178" s="131"/>
      <c r="AM178" s="131"/>
      <c r="AN178" s="131"/>
      <c r="AO178" s="131"/>
      <c r="AP178" s="131"/>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31"/>
      <c r="B179" s="141"/>
      <c r="C179" s="141"/>
      <c r="D179" s="141"/>
      <c r="E179" s="141"/>
      <c r="F179" s="524" t="s">
        <v>268</v>
      </c>
      <c r="G179" s="141"/>
      <c r="H179" s="141"/>
      <c r="I179" s="141"/>
      <c r="J179" s="141"/>
      <c r="K179" s="141"/>
      <c r="L179" s="141"/>
      <c r="M179" s="141"/>
      <c r="N179" s="139"/>
      <c r="O179" s="139"/>
      <c r="P179" s="139"/>
      <c r="Q179" s="139"/>
      <c r="R179" s="139"/>
      <c r="S179" s="149"/>
      <c r="T179" s="139"/>
      <c r="U179" s="139"/>
      <c r="V179" s="139"/>
      <c r="W179" s="139"/>
      <c r="X179" s="139"/>
      <c r="Y179" s="139"/>
      <c r="Z179" s="139"/>
      <c r="AA179" s="139"/>
      <c r="AB179" s="139"/>
      <c r="AC179" s="139"/>
      <c r="AD179" s="139"/>
      <c r="AE179" s="139"/>
      <c r="AF179" s="139"/>
      <c r="AG179" s="139"/>
      <c r="AH179" s="139"/>
      <c r="AI179" s="134"/>
      <c r="AJ179" s="131"/>
      <c r="AK179" s="131"/>
      <c r="AL179" s="131"/>
      <c r="AM179" s="131"/>
      <c r="AN179" s="131"/>
      <c r="AO179" s="131"/>
      <c r="AP179" s="131"/>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34"/>
      <c r="B180" s="141"/>
      <c r="C180" s="141"/>
      <c r="D180" s="141"/>
      <c r="E180" s="141"/>
      <c r="F180" s="524" t="s">
        <v>263</v>
      </c>
      <c r="G180" s="141"/>
      <c r="H180" s="141"/>
      <c r="I180" s="141"/>
      <c r="J180" s="141"/>
      <c r="K180" s="141"/>
      <c r="L180" s="141"/>
      <c r="M180" s="141"/>
      <c r="N180" s="139"/>
      <c r="O180" s="139"/>
      <c r="P180" s="139"/>
      <c r="Q180" s="139"/>
      <c r="R180" s="139"/>
      <c r="S180" s="149"/>
      <c r="T180" s="139"/>
      <c r="U180" s="139"/>
      <c r="V180" s="139"/>
      <c r="W180" s="139"/>
      <c r="X180" s="139"/>
      <c r="Y180" s="139"/>
      <c r="Z180" s="139"/>
      <c r="AA180" s="139"/>
      <c r="AB180" s="139"/>
      <c r="AC180" s="139"/>
      <c r="AD180" s="139"/>
      <c r="AE180" s="139"/>
      <c r="AF180" s="139"/>
      <c r="AG180" s="139"/>
      <c r="AH180" s="139"/>
      <c r="AI180" s="134"/>
      <c r="AJ180" s="131"/>
      <c r="AK180" s="131"/>
      <c r="AL180" s="131"/>
      <c r="AM180" s="131"/>
      <c r="AN180" s="131"/>
      <c r="AO180" s="131"/>
      <c r="AP180" s="131"/>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31"/>
      <c r="B181" s="141"/>
      <c r="C181" s="141"/>
      <c r="D181" s="141"/>
      <c r="E181" s="141"/>
      <c r="F181" s="524" t="s">
        <v>269</v>
      </c>
      <c r="G181" s="141"/>
      <c r="H181" s="141"/>
      <c r="I181" s="141"/>
      <c r="J181" s="141"/>
      <c r="K181" s="141"/>
      <c r="L181" s="141"/>
      <c r="M181" s="141"/>
      <c r="N181" s="139"/>
      <c r="O181" s="139"/>
      <c r="P181" s="139"/>
      <c r="Q181" s="139"/>
      <c r="R181" s="139"/>
      <c r="S181" s="149"/>
      <c r="T181" s="139"/>
      <c r="U181" s="139"/>
      <c r="V181" s="139"/>
      <c r="W181" s="139"/>
      <c r="X181" s="139"/>
      <c r="Y181" s="139"/>
      <c r="Z181" s="139"/>
      <c r="AA181" s="139"/>
      <c r="AB181" s="139"/>
      <c r="AC181" s="139"/>
      <c r="AD181" s="139"/>
      <c r="AE181" s="139"/>
      <c r="AF181" s="139"/>
      <c r="AG181" s="139"/>
      <c r="AH181" s="139"/>
      <c r="AI181" s="134"/>
      <c r="AJ181" s="131"/>
      <c r="AK181" s="131"/>
      <c r="AL181" s="131"/>
      <c r="AM181" s="131"/>
      <c r="AN181" s="131"/>
      <c r="AO181" s="131"/>
      <c r="AP181" s="131"/>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31"/>
      <c r="B182" s="141"/>
      <c r="C182" s="141"/>
      <c r="D182" s="141"/>
      <c r="E182" s="141"/>
      <c r="F182" s="524" t="s">
        <v>264</v>
      </c>
      <c r="G182" s="141"/>
      <c r="H182" s="141"/>
      <c r="I182" s="141"/>
      <c r="J182" s="141"/>
      <c r="K182" s="141"/>
      <c r="L182" s="141"/>
      <c r="M182" s="141"/>
      <c r="N182" s="139"/>
      <c r="O182" s="139"/>
      <c r="P182" s="139"/>
      <c r="Q182" s="139"/>
      <c r="R182" s="139"/>
      <c r="S182" s="139"/>
      <c r="T182" s="139"/>
      <c r="U182" s="139"/>
      <c r="V182" s="139"/>
      <c r="W182" s="139"/>
      <c r="X182" s="139"/>
      <c r="Y182" s="139"/>
      <c r="Z182" s="139"/>
      <c r="AA182" s="139"/>
      <c r="AB182" s="139"/>
      <c r="AC182" s="139"/>
      <c r="AD182" s="139"/>
      <c r="AE182" s="139"/>
      <c r="AF182" s="139"/>
      <c r="AG182" s="139"/>
      <c r="AH182" s="139"/>
      <c r="AI182" s="134"/>
      <c r="AJ182" s="131"/>
      <c r="AK182" s="131"/>
      <c r="AL182" s="131"/>
      <c r="AM182" s="131"/>
      <c r="AN182" s="131"/>
      <c r="AO182" s="131"/>
      <c r="AP182" s="131"/>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31"/>
      <c r="B183" s="141"/>
      <c r="C183" s="141"/>
      <c r="D183" s="141"/>
      <c r="E183" s="141"/>
      <c r="F183" s="524"/>
      <c r="G183" s="141"/>
      <c r="H183" s="141"/>
      <c r="I183" s="141"/>
      <c r="J183" s="141"/>
      <c r="K183" s="141"/>
      <c r="L183" s="141"/>
      <c r="M183" s="141"/>
      <c r="N183" s="139"/>
      <c r="O183" s="139"/>
      <c r="P183" s="139"/>
      <c r="Q183" s="139"/>
      <c r="R183" s="139"/>
      <c r="S183" s="149"/>
      <c r="T183" s="139"/>
      <c r="U183" s="139"/>
      <c r="V183" s="139"/>
      <c r="W183" s="139"/>
      <c r="X183" s="139"/>
      <c r="Y183" s="139"/>
      <c r="Z183" s="139"/>
      <c r="AA183" s="139"/>
      <c r="AB183" s="139"/>
      <c r="AC183" s="139"/>
      <c r="AD183" s="139"/>
      <c r="AE183" s="139"/>
      <c r="AF183" s="139"/>
      <c r="AG183" s="139"/>
      <c r="AH183" s="139"/>
      <c r="AI183" s="134"/>
      <c r="AJ183" s="131"/>
      <c r="AK183" s="131"/>
      <c r="AL183" s="131"/>
      <c r="AM183" s="131"/>
      <c r="AN183" s="131"/>
      <c r="AO183" s="131"/>
      <c r="AP183" s="131"/>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31"/>
      <c r="B184" s="141"/>
      <c r="C184" s="141"/>
      <c r="D184" s="141"/>
      <c r="E184" s="141"/>
      <c r="F184" s="524"/>
      <c r="G184" s="141"/>
      <c r="H184" s="141"/>
      <c r="I184" s="141"/>
      <c r="J184" s="141"/>
      <c r="K184" s="141"/>
      <c r="L184" s="141"/>
      <c r="M184" s="141"/>
      <c r="N184" s="139"/>
      <c r="O184" s="139"/>
      <c r="P184" s="139"/>
      <c r="Q184" s="139"/>
      <c r="R184" s="139"/>
      <c r="S184" s="149"/>
      <c r="T184" s="139"/>
      <c r="U184" s="139"/>
      <c r="V184" s="139"/>
      <c r="W184" s="139"/>
      <c r="X184" s="139"/>
      <c r="Y184" s="139"/>
      <c r="Z184" s="139"/>
      <c r="AA184" s="139"/>
      <c r="AB184" s="139"/>
      <c r="AC184" s="139"/>
      <c r="AD184" s="139"/>
      <c r="AE184" s="139"/>
      <c r="AF184" s="139"/>
      <c r="AG184" s="139"/>
      <c r="AH184" s="139"/>
      <c r="AI184" s="134"/>
      <c r="AJ184" s="131"/>
      <c r="AK184" s="131"/>
      <c r="AL184" s="131"/>
      <c r="AM184" s="131"/>
      <c r="AN184" s="131"/>
      <c r="AO184" s="131"/>
      <c r="AP184" s="131"/>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31"/>
      <c r="B185" s="141"/>
      <c r="C185" s="141"/>
      <c r="D185" s="141"/>
      <c r="E185" s="141"/>
      <c r="F185" s="524"/>
      <c r="G185" s="141"/>
      <c r="H185" s="141"/>
      <c r="I185" s="141"/>
      <c r="J185" s="141"/>
      <c r="K185" s="141"/>
      <c r="L185" s="141"/>
      <c r="M185" s="141"/>
      <c r="N185" s="139"/>
      <c r="O185" s="139"/>
      <c r="P185" s="139"/>
      <c r="Q185" s="139"/>
      <c r="R185" s="139"/>
      <c r="S185" s="149"/>
      <c r="T185" s="139"/>
      <c r="U185" s="139"/>
      <c r="V185" s="139"/>
      <c r="W185" s="139"/>
      <c r="X185" s="139"/>
      <c r="Y185" s="139"/>
      <c r="Z185" s="139"/>
      <c r="AA185" s="139"/>
      <c r="AB185" s="139"/>
      <c r="AC185" s="139"/>
      <c r="AD185" s="139"/>
      <c r="AE185" s="139"/>
      <c r="AF185" s="139"/>
      <c r="AG185" s="139"/>
      <c r="AH185" s="139"/>
      <c r="AI185" s="134"/>
      <c r="AJ185" s="131"/>
      <c r="AK185" s="131"/>
      <c r="AL185" s="131"/>
      <c r="AM185" s="131"/>
      <c r="AN185" s="131"/>
      <c r="AO185" s="131"/>
      <c r="AP185" s="131"/>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34"/>
      <c r="B186" s="141"/>
      <c r="C186" s="141"/>
      <c r="D186" s="141"/>
      <c r="E186" s="141"/>
      <c r="F186" s="524"/>
      <c r="G186" s="141"/>
      <c r="H186" s="141"/>
      <c r="I186" s="141"/>
      <c r="J186" s="141"/>
      <c r="K186" s="141"/>
      <c r="L186" s="141"/>
      <c r="M186" s="141"/>
      <c r="N186" s="139"/>
      <c r="O186" s="139"/>
      <c r="P186" s="139"/>
      <c r="Q186" s="139"/>
      <c r="R186" s="139"/>
      <c r="S186" s="149"/>
      <c r="T186" s="139"/>
      <c r="U186" s="139"/>
      <c r="V186" s="139"/>
      <c r="W186" s="139"/>
      <c r="X186" s="139"/>
      <c r="Y186" s="139"/>
      <c r="Z186" s="139"/>
      <c r="AA186" s="139"/>
      <c r="AB186" s="139"/>
      <c r="AC186" s="139"/>
      <c r="AD186" s="139"/>
      <c r="AE186" s="139"/>
      <c r="AF186" s="139"/>
      <c r="AG186" s="139"/>
      <c r="AH186" s="139"/>
      <c r="AI186" s="134"/>
      <c r="AJ186" s="131"/>
      <c r="AK186" s="131"/>
      <c r="AL186" s="131"/>
      <c r="AM186" s="131"/>
      <c r="AN186" s="131"/>
      <c r="AO186" s="131"/>
      <c r="AP186" s="131"/>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31"/>
      <c r="B187" s="141"/>
      <c r="C187" s="141"/>
      <c r="D187" s="141"/>
      <c r="E187" s="141"/>
      <c r="F187" s="524"/>
      <c r="G187" s="141"/>
      <c r="H187" s="141"/>
      <c r="I187" s="141"/>
      <c r="J187" s="141"/>
      <c r="K187" s="141"/>
      <c r="L187" s="141"/>
      <c r="M187" s="141"/>
      <c r="N187" s="139"/>
      <c r="O187" s="139"/>
      <c r="P187" s="139"/>
      <c r="Q187" s="139"/>
      <c r="R187" s="139"/>
      <c r="S187" s="149"/>
      <c r="T187" s="139"/>
      <c r="U187" s="139"/>
      <c r="V187" s="139"/>
      <c r="W187" s="139"/>
      <c r="X187" s="139"/>
      <c r="Y187" s="139"/>
      <c r="Z187" s="139"/>
      <c r="AA187" s="139"/>
      <c r="AB187" s="139"/>
      <c r="AC187" s="139"/>
      <c r="AD187" s="139"/>
      <c r="AE187" s="139"/>
      <c r="AF187" s="139"/>
      <c r="AG187" s="139"/>
      <c r="AH187" s="139"/>
      <c r="AI187" s="134"/>
      <c r="AJ187" s="131"/>
      <c r="AK187" s="131"/>
      <c r="AL187" s="131"/>
      <c r="AM187" s="131"/>
      <c r="AN187" s="131"/>
      <c r="AO187" s="131"/>
      <c r="AP187" s="131"/>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31"/>
      <c r="B188" s="141"/>
      <c r="C188" s="141"/>
      <c r="D188" s="141"/>
      <c r="E188" s="141"/>
      <c r="F188" s="524"/>
      <c r="G188" s="141"/>
      <c r="H188" s="141"/>
      <c r="I188" s="141"/>
      <c r="J188" s="141"/>
      <c r="K188" s="141"/>
      <c r="L188" s="141"/>
      <c r="M188" s="141"/>
      <c r="N188" s="139"/>
      <c r="O188" s="139"/>
      <c r="P188" s="139"/>
      <c r="Q188" s="139"/>
      <c r="R188" s="139"/>
      <c r="S188" s="139"/>
      <c r="T188" s="139"/>
      <c r="U188" s="139"/>
      <c r="V188" s="139"/>
      <c r="W188" s="139"/>
      <c r="X188" s="139"/>
      <c r="Y188" s="139"/>
      <c r="Z188" s="139"/>
      <c r="AA188" s="139"/>
      <c r="AB188" s="139"/>
      <c r="AC188" s="139"/>
      <c r="AD188" s="139"/>
      <c r="AE188" s="139"/>
      <c r="AF188" s="139"/>
      <c r="AG188" s="139"/>
      <c r="AH188" s="139"/>
      <c r="AI188" s="134"/>
      <c r="AJ188" s="131"/>
      <c r="AK188" s="131"/>
      <c r="AL188" s="131"/>
      <c r="AM188" s="131"/>
      <c r="AN188" s="131"/>
      <c r="AO188" s="131"/>
      <c r="AP188" s="131"/>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31"/>
      <c r="B189" s="141"/>
      <c r="C189" s="141"/>
      <c r="D189" s="141"/>
      <c r="E189" s="141"/>
      <c r="F189" s="524"/>
      <c r="G189" s="141"/>
      <c r="H189" s="141"/>
      <c r="I189" s="141"/>
      <c r="J189" s="141"/>
      <c r="K189" s="141"/>
      <c r="L189" s="141"/>
      <c r="M189" s="141"/>
      <c r="N189" s="139"/>
      <c r="O189" s="139"/>
      <c r="P189" s="139"/>
      <c r="Q189" s="139"/>
      <c r="R189" s="139"/>
      <c r="S189" s="149"/>
      <c r="T189" s="139"/>
      <c r="U189" s="139"/>
      <c r="V189" s="139"/>
      <c r="W189" s="139"/>
      <c r="X189" s="139"/>
      <c r="Y189" s="139"/>
      <c r="Z189" s="139"/>
      <c r="AA189" s="139"/>
      <c r="AB189" s="139"/>
      <c r="AC189" s="139"/>
      <c r="AD189" s="139"/>
      <c r="AE189" s="139"/>
      <c r="AF189" s="139"/>
      <c r="AG189" s="139"/>
      <c r="AH189" s="139"/>
      <c r="AI189" s="134"/>
      <c r="AJ189" s="131"/>
      <c r="AK189" s="131"/>
      <c r="AL189" s="131"/>
      <c r="AM189" s="131"/>
      <c r="AN189" s="131"/>
      <c r="AO189" s="131"/>
      <c r="AP189" s="131"/>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31"/>
      <c r="B190" s="141"/>
      <c r="C190" s="141"/>
      <c r="D190" s="141"/>
      <c r="E190" s="141"/>
      <c r="F190" s="524"/>
      <c r="G190" s="141"/>
      <c r="H190" s="141"/>
      <c r="I190" s="141"/>
      <c r="J190" s="141"/>
      <c r="K190" s="141"/>
      <c r="L190" s="141"/>
      <c r="M190" s="141"/>
      <c r="N190" s="139"/>
      <c r="O190" s="139"/>
      <c r="P190" s="139"/>
      <c r="Q190" s="139"/>
      <c r="R190" s="139"/>
      <c r="S190" s="149"/>
      <c r="T190" s="139"/>
      <c r="U190" s="139"/>
      <c r="V190" s="139"/>
      <c r="W190" s="139"/>
      <c r="X190" s="139"/>
      <c r="Y190" s="139"/>
      <c r="Z190" s="139"/>
      <c r="AA190" s="139"/>
      <c r="AB190" s="139"/>
      <c r="AC190" s="139"/>
      <c r="AD190" s="139"/>
      <c r="AE190" s="139"/>
      <c r="AF190" s="139"/>
      <c r="AG190" s="139"/>
      <c r="AH190" s="139"/>
      <c r="AI190" s="134"/>
      <c r="AJ190" s="131"/>
      <c r="AK190" s="131"/>
      <c r="AL190" s="131"/>
      <c r="AM190" s="131"/>
      <c r="AN190" s="131"/>
      <c r="AO190" s="131"/>
      <c r="AP190" s="131"/>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31"/>
      <c r="B191" s="141"/>
      <c r="C191" s="141"/>
      <c r="D191" s="141"/>
      <c r="E191" s="141"/>
      <c r="F191" s="524"/>
      <c r="G191" s="141"/>
      <c r="H191" s="141"/>
      <c r="I191" s="141"/>
      <c r="J191" s="141"/>
      <c r="K191" s="141"/>
      <c r="L191" s="141"/>
      <c r="M191" s="141"/>
      <c r="N191" s="139"/>
      <c r="O191" s="139"/>
      <c r="P191" s="139"/>
      <c r="Q191" s="139"/>
      <c r="R191" s="139"/>
      <c r="S191" s="149"/>
      <c r="T191" s="139"/>
      <c r="U191" s="139"/>
      <c r="V191" s="139"/>
      <c r="W191" s="139"/>
      <c r="X191" s="139"/>
      <c r="Y191" s="139"/>
      <c r="Z191" s="139"/>
      <c r="AA191" s="139"/>
      <c r="AB191" s="139"/>
      <c r="AC191" s="139"/>
      <c r="AD191" s="139"/>
      <c r="AE191" s="139"/>
      <c r="AF191" s="139"/>
      <c r="AG191" s="139"/>
      <c r="AH191" s="139"/>
      <c r="AI191" s="134"/>
      <c r="AJ191" s="131"/>
      <c r="AK191" s="131"/>
      <c r="AL191" s="131"/>
      <c r="AM191" s="131"/>
      <c r="AN191" s="131"/>
      <c r="AO191" s="131"/>
      <c r="AP191" s="131"/>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34"/>
      <c r="B192" s="141"/>
      <c r="C192" s="141"/>
      <c r="D192" s="141"/>
      <c r="E192" s="141"/>
      <c r="F192" s="141"/>
      <c r="G192" s="141"/>
      <c r="H192" s="141"/>
      <c r="I192" s="141"/>
      <c r="J192" s="141"/>
      <c r="K192" s="141"/>
      <c r="L192" s="141"/>
      <c r="M192" s="141"/>
      <c r="N192" s="139"/>
      <c r="O192" s="139"/>
      <c r="P192" s="139"/>
      <c r="Q192" s="139"/>
      <c r="R192" s="139"/>
      <c r="S192" s="149"/>
      <c r="T192" s="139"/>
      <c r="U192" s="139"/>
      <c r="V192" s="139"/>
      <c r="W192" s="139"/>
      <c r="X192" s="139"/>
      <c r="Y192" s="139"/>
      <c r="Z192" s="139"/>
      <c r="AA192" s="139"/>
      <c r="AB192" s="139"/>
      <c r="AC192" s="139"/>
      <c r="AD192" s="139"/>
      <c r="AE192" s="139"/>
      <c r="AF192" s="139"/>
      <c r="AG192" s="139"/>
      <c r="AH192" s="139"/>
      <c r="AI192" s="134"/>
      <c r="AJ192" s="131"/>
      <c r="AK192" s="131"/>
      <c r="AL192" s="131"/>
      <c r="AM192" s="131"/>
      <c r="AN192" s="131"/>
      <c r="AO192" s="131"/>
      <c r="AP192" s="131"/>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31"/>
      <c r="B193" s="141"/>
      <c r="C193" s="141"/>
      <c r="D193" s="141"/>
      <c r="E193" s="141"/>
      <c r="F193" s="141"/>
      <c r="G193" s="141"/>
      <c r="H193" s="141"/>
      <c r="I193" s="141"/>
      <c r="J193" s="141"/>
      <c r="K193" s="141"/>
      <c r="L193" s="141"/>
      <c r="M193" s="141"/>
      <c r="N193" s="139"/>
      <c r="O193" s="139"/>
      <c r="P193" s="139"/>
      <c r="Q193" s="139"/>
      <c r="R193" s="139"/>
      <c r="S193" s="149"/>
      <c r="T193" s="139"/>
      <c r="U193" s="139"/>
      <c r="V193" s="139"/>
      <c r="W193" s="139"/>
      <c r="X193" s="139"/>
      <c r="Y193" s="139"/>
      <c r="Z193" s="139"/>
      <c r="AA193" s="139"/>
      <c r="AB193" s="139"/>
      <c r="AC193" s="139"/>
      <c r="AD193" s="139"/>
      <c r="AE193" s="139"/>
      <c r="AF193" s="139"/>
      <c r="AG193" s="139"/>
      <c r="AH193" s="139"/>
      <c r="AI193" s="134"/>
      <c r="AJ193" s="131"/>
      <c r="AK193" s="131"/>
      <c r="AL193" s="131"/>
      <c r="AM193" s="131"/>
      <c r="AN193" s="131"/>
      <c r="AO193" s="131"/>
      <c r="AP193" s="131"/>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31"/>
      <c r="B194" s="141"/>
      <c r="C194" s="141"/>
      <c r="D194" s="141"/>
      <c r="E194" s="141"/>
      <c r="F194" s="141"/>
      <c r="G194" s="141"/>
      <c r="H194" s="141"/>
      <c r="I194" s="141"/>
      <c r="J194" s="141"/>
      <c r="K194" s="141"/>
      <c r="L194" s="141"/>
      <c r="M194" s="141"/>
      <c r="N194" s="139"/>
      <c r="O194" s="139"/>
      <c r="P194" s="139"/>
      <c r="Q194" s="139"/>
      <c r="R194" s="139"/>
      <c r="S194" s="139"/>
      <c r="T194" s="139"/>
      <c r="U194" s="139"/>
      <c r="V194" s="139"/>
      <c r="W194" s="139"/>
      <c r="X194" s="139"/>
      <c r="Y194" s="139"/>
      <c r="Z194" s="139"/>
      <c r="AA194" s="139"/>
      <c r="AB194" s="139"/>
      <c r="AC194" s="139"/>
      <c r="AD194" s="139"/>
      <c r="AE194" s="139"/>
      <c r="AF194" s="139"/>
      <c r="AG194" s="139"/>
      <c r="AH194" s="139"/>
      <c r="AI194" s="134"/>
      <c r="AJ194" s="131"/>
      <c r="AK194" s="131"/>
      <c r="AL194" s="131"/>
      <c r="AM194" s="131"/>
      <c r="AN194" s="131"/>
      <c r="AO194" s="131"/>
      <c r="AP194" s="131"/>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31"/>
      <c r="B195" s="141"/>
      <c r="C195" s="141"/>
      <c r="D195" s="141"/>
      <c r="E195" s="141"/>
      <c r="F195" s="141"/>
      <c r="G195" s="141"/>
      <c r="H195" s="141"/>
      <c r="I195" s="141"/>
      <c r="J195" s="141"/>
      <c r="K195" s="141"/>
      <c r="L195" s="141"/>
      <c r="M195" s="141"/>
      <c r="N195" s="139"/>
      <c r="O195" s="139"/>
      <c r="P195" s="139"/>
      <c r="Q195" s="139"/>
      <c r="R195" s="139"/>
      <c r="S195" s="149"/>
      <c r="T195" s="139"/>
      <c r="U195" s="139"/>
      <c r="V195" s="139"/>
      <c r="W195" s="139"/>
      <c r="X195" s="139"/>
      <c r="Y195" s="139"/>
      <c r="Z195" s="139"/>
      <c r="AA195" s="139"/>
      <c r="AB195" s="139"/>
      <c r="AC195" s="139"/>
      <c r="AD195" s="139"/>
      <c r="AE195" s="139"/>
      <c r="AF195" s="139"/>
      <c r="AG195" s="139"/>
      <c r="AH195" s="139"/>
      <c r="AI195" s="134"/>
      <c r="AJ195" s="131"/>
      <c r="AK195" s="131"/>
      <c r="AL195" s="131"/>
      <c r="AM195" s="131"/>
      <c r="AN195" s="131"/>
      <c r="AO195" s="131"/>
      <c r="AP195" s="131"/>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31"/>
      <c r="B196" s="141"/>
      <c r="C196" s="141"/>
      <c r="D196" s="141"/>
      <c r="E196" s="141"/>
      <c r="F196" s="141"/>
      <c r="G196" s="141"/>
      <c r="H196" s="141"/>
      <c r="I196" s="141"/>
      <c r="J196" s="141"/>
      <c r="K196" s="141"/>
      <c r="L196" s="141"/>
      <c r="M196" s="141"/>
      <c r="N196" s="139"/>
      <c r="O196" s="139"/>
      <c r="P196" s="139"/>
      <c r="Q196" s="139"/>
      <c r="R196" s="139"/>
      <c r="S196" s="149"/>
      <c r="T196" s="139"/>
      <c r="U196" s="139"/>
      <c r="V196" s="139"/>
      <c r="W196" s="139"/>
      <c r="X196" s="139"/>
      <c r="Y196" s="139"/>
      <c r="Z196" s="139"/>
      <c r="AA196" s="139"/>
      <c r="AB196" s="139"/>
      <c r="AC196" s="139"/>
      <c r="AD196" s="139"/>
      <c r="AE196" s="139"/>
      <c r="AF196" s="139"/>
      <c r="AG196" s="139"/>
      <c r="AH196" s="139"/>
      <c r="AI196" s="134"/>
      <c r="AJ196" s="131"/>
      <c r="AK196" s="131"/>
      <c r="AL196" s="131"/>
      <c r="AM196" s="131"/>
      <c r="AN196" s="131"/>
      <c r="AO196" s="131"/>
      <c r="AP196" s="131"/>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31"/>
      <c r="B197" s="141"/>
      <c r="C197" s="141"/>
      <c r="D197" s="141"/>
      <c r="E197" s="141"/>
      <c r="F197" s="141"/>
      <c r="G197" s="141"/>
      <c r="H197" s="141"/>
      <c r="I197" s="141"/>
      <c r="J197" s="141"/>
      <c r="K197" s="141"/>
      <c r="L197" s="141"/>
      <c r="M197" s="141"/>
      <c r="N197" s="139"/>
      <c r="O197" s="139"/>
      <c r="P197" s="139"/>
      <c r="Q197" s="139"/>
      <c r="R197" s="139"/>
      <c r="S197" s="149"/>
      <c r="T197" s="139"/>
      <c r="U197" s="139"/>
      <c r="V197" s="139"/>
      <c r="W197" s="139"/>
      <c r="X197" s="139"/>
      <c r="Y197" s="139"/>
      <c r="Z197" s="139"/>
      <c r="AA197" s="139"/>
      <c r="AB197" s="139"/>
      <c r="AC197" s="139"/>
      <c r="AD197" s="139"/>
      <c r="AE197" s="139"/>
      <c r="AF197" s="139"/>
      <c r="AG197" s="139"/>
      <c r="AH197" s="139"/>
      <c r="AI197" s="134"/>
      <c r="AJ197" s="131"/>
      <c r="AK197" s="131"/>
      <c r="AL197" s="131"/>
      <c r="AM197" s="131"/>
      <c r="AN197" s="131"/>
      <c r="AO197" s="131"/>
      <c r="AP197" s="131"/>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34"/>
      <c r="B198" s="141"/>
      <c r="C198" s="141"/>
      <c r="D198" s="141"/>
      <c r="E198" s="141"/>
      <c r="F198" s="141"/>
      <c r="G198" s="141"/>
      <c r="H198" s="141"/>
      <c r="I198" s="141"/>
      <c r="J198" s="141"/>
      <c r="K198" s="141"/>
      <c r="L198" s="141"/>
      <c r="M198" s="141"/>
      <c r="N198" s="139"/>
      <c r="O198" s="139"/>
      <c r="P198" s="139"/>
      <c r="Q198" s="139"/>
      <c r="R198" s="139"/>
      <c r="S198" s="149"/>
      <c r="T198" s="139"/>
      <c r="U198" s="139"/>
      <c r="V198" s="139"/>
      <c r="W198" s="139"/>
      <c r="X198" s="139"/>
      <c r="Y198" s="139"/>
      <c r="Z198" s="139"/>
      <c r="AA198" s="139"/>
      <c r="AB198" s="139"/>
      <c r="AC198" s="139"/>
      <c r="AD198" s="139"/>
      <c r="AE198" s="139"/>
      <c r="AF198" s="139"/>
      <c r="AG198" s="139"/>
      <c r="AH198" s="139"/>
      <c r="AI198" s="134"/>
      <c r="AJ198" s="131"/>
      <c r="AK198" s="131"/>
      <c r="AL198" s="131"/>
      <c r="AM198" s="131"/>
      <c r="AN198" s="131"/>
      <c r="AO198" s="131"/>
      <c r="AP198" s="131"/>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31"/>
      <c r="B199" s="141"/>
      <c r="C199" s="141"/>
      <c r="D199" s="141"/>
      <c r="E199" s="141"/>
      <c r="F199" s="141"/>
      <c r="G199" s="141"/>
      <c r="H199" s="141"/>
      <c r="I199" s="141"/>
      <c r="J199" s="141"/>
      <c r="K199" s="141"/>
      <c r="L199" s="141"/>
      <c r="M199" s="141"/>
      <c r="N199" s="139"/>
      <c r="O199" s="139"/>
      <c r="P199" s="139"/>
      <c r="Q199" s="139"/>
      <c r="R199" s="139"/>
      <c r="S199" s="149"/>
      <c r="T199" s="139"/>
      <c r="U199" s="139"/>
      <c r="V199" s="139"/>
      <c r="W199" s="139"/>
      <c r="X199" s="139"/>
      <c r="Y199" s="139"/>
      <c r="Z199" s="139"/>
      <c r="AA199" s="139"/>
      <c r="AB199" s="139"/>
      <c r="AC199" s="139"/>
      <c r="AD199" s="139"/>
      <c r="AE199" s="139"/>
      <c r="AF199" s="139"/>
      <c r="AG199" s="139"/>
      <c r="AH199" s="139"/>
      <c r="AI199" s="134"/>
      <c r="AJ199" s="131"/>
      <c r="AK199" s="131"/>
      <c r="AL199" s="131"/>
      <c r="AM199" s="131"/>
      <c r="AN199" s="131"/>
      <c r="AO199" s="131"/>
      <c r="AP199" s="131"/>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31"/>
      <c r="B200" s="141"/>
      <c r="C200" s="141"/>
      <c r="D200" s="141"/>
      <c r="E200" s="141"/>
      <c r="F200" s="141"/>
      <c r="G200" s="141"/>
      <c r="H200" s="141"/>
      <c r="I200" s="141"/>
      <c r="J200" s="141"/>
      <c r="K200" s="141"/>
      <c r="L200" s="141"/>
      <c r="M200" s="141"/>
      <c r="N200" s="139"/>
      <c r="O200" s="139"/>
      <c r="P200" s="139"/>
      <c r="Q200" s="139"/>
      <c r="R200" s="139"/>
      <c r="S200" s="139"/>
      <c r="T200" s="139"/>
      <c r="U200" s="139"/>
      <c r="V200" s="139"/>
      <c r="W200" s="139"/>
      <c r="X200" s="139"/>
      <c r="Y200" s="139"/>
      <c r="Z200" s="139"/>
      <c r="AA200" s="139"/>
      <c r="AB200" s="139"/>
      <c r="AC200" s="139"/>
      <c r="AD200" s="139"/>
      <c r="AE200" s="139"/>
      <c r="AF200" s="139"/>
      <c r="AG200" s="139"/>
      <c r="AH200" s="139"/>
      <c r="AI200" s="134"/>
      <c r="AJ200" s="131"/>
      <c r="AK200" s="131"/>
      <c r="AL200" s="131"/>
      <c r="AM200" s="131"/>
      <c r="AN200" s="131"/>
      <c r="AO200" s="131"/>
      <c r="AP200" s="131"/>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31"/>
      <c r="B201" s="141"/>
      <c r="C201" s="141"/>
      <c r="D201" s="141"/>
      <c r="E201" s="141"/>
      <c r="F201" s="141"/>
      <c r="G201" s="141"/>
      <c r="H201" s="141"/>
      <c r="I201" s="141"/>
      <c r="J201" s="141"/>
      <c r="K201" s="141"/>
      <c r="L201" s="141"/>
      <c r="M201" s="141"/>
      <c r="N201" s="139"/>
      <c r="O201" s="139"/>
      <c r="P201" s="139"/>
      <c r="Q201" s="139"/>
      <c r="R201" s="139"/>
      <c r="S201" s="149"/>
      <c r="T201" s="139"/>
      <c r="U201" s="139"/>
      <c r="V201" s="139"/>
      <c r="W201" s="139"/>
      <c r="X201" s="139"/>
      <c r="Y201" s="139"/>
      <c r="Z201" s="139"/>
      <c r="AA201" s="139"/>
      <c r="AB201" s="139"/>
      <c r="AC201" s="139"/>
      <c r="AD201" s="139"/>
      <c r="AE201" s="139"/>
      <c r="AF201" s="139"/>
      <c r="AG201" s="139"/>
      <c r="AH201" s="139"/>
      <c r="AI201" s="134"/>
      <c r="AJ201" s="131"/>
      <c r="AK201" s="131"/>
      <c r="AL201" s="131"/>
      <c r="AM201" s="131"/>
      <c r="AN201" s="131"/>
      <c r="AO201" s="131"/>
      <c r="AP201" s="131"/>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31"/>
      <c r="B202" s="141"/>
      <c r="C202" s="141"/>
      <c r="D202" s="141"/>
      <c r="E202" s="141"/>
      <c r="F202" s="141"/>
      <c r="G202" s="141"/>
      <c r="H202" s="141"/>
      <c r="I202" s="141"/>
      <c r="J202" s="141"/>
      <c r="K202" s="141"/>
      <c r="L202" s="141"/>
      <c r="M202" s="141"/>
      <c r="N202" s="139"/>
      <c r="O202" s="139"/>
      <c r="P202" s="139"/>
      <c r="Q202" s="139"/>
      <c r="R202" s="139"/>
      <c r="S202" s="149"/>
      <c r="T202" s="139"/>
      <c r="U202" s="139"/>
      <c r="V202" s="139"/>
      <c r="W202" s="139"/>
      <c r="X202" s="139"/>
      <c r="Y202" s="139"/>
      <c r="Z202" s="139"/>
      <c r="AA202" s="139"/>
      <c r="AB202" s="139"/>
      <c r="AC202" s="139"/>
      <c r="AD202" s="139"/>
      <c r="AE202" s="139"/>
      <c r="AF202" s="139"/>
      <c r="AG202" s="139"/>
      <c r="AH202" s="139"/>
      <c r="AI202" s="134"/>
      <c r="AJ202" s="131"/>
      <c r="AK202" s="131"/>
      <c r="AL202" s="131"/>
      <c r="AM202" s="131"/>
      <c r="AN202" s="131"/>
      <c r="AO202" s="131"/>
      <c r="AP202" s="131"/>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31"/>
      <c r="B203" s="141"/>
      <c r="C203" s="141"/>
      <c r="D203" s="141"/>
      <c r="E203" s="141"/>
      <c r="F203" s="141"/>
      <c r="G203" s="141"/>
      <c r="H203" s="141"/>
      <c r="I203" s="141"/>
      <c r="J203" s="141"/>
      <c r="K203" s="141"/>
      <c r="L203" s="141"/>
      <c r="M203" s="141"/>
      <c r="N203" s="139"/>
      <c r="O203" s="139"/>
      <c r="P203" s="139"/>
      <c r="Q203" s="139"/>
      <c r="R203" s="139"/>
      <c r="S203" s="149"/>
      <c r="T203" s="139"/>
      <c r="U203" s="139"/>
      <c r="V203" s="139"/>
      <c r="W203" s="139"/>
      <c r="X203" s="139"/>
      <c r="Y203" s="139"/>
      <c r="Z203" s="139"/>
      <c r="AA203" s="139"/>
      <c r="AB203" s="139"/>
      <c r="AC203" s="139"/>
      <c r="AD203" s="139"/>
      <c r="AE203" s="139"/>
      <c r="AF203" s="139"/>
      <c r="AG203" s="139"/>
      <c r="AH203" s="139"/>
      <c r="AI203" s="134"/>
      <c r="AJ203" s="131"/>
      <c r="AK203" s="131"/>
      <c r="AL203" s="131"/>
      <c r="AM203" s="131"/>
      <c r="AN203" s="131"/>
      <c r="AO203" s="131"/>
      <c r="AP203" s="131"/>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34"/>
      <c r="B204" s="141"/>
      <c r="C204" s="141"/>
      <c r="D204" s="141"/>
      <c r="E204" s="141"/>
      <c r="F204" s="141"/>
      <c r="G204" s="141"/>
      <c r="H204" s="141"/>
      <c r="I204" s="141"/>
      <c r="J204" s="141"/>
      <c r="K204" s="141"/>
      <c r="L204" s="141"/>
      <c r="M204" s="141"/>
      <c r="N204" s="139"/>
      <c r="O204" s="139"/>
      <c r="P204" s="139"/>
      <c r="Q204" s="139"/>
      <c r="R204" s="139"/>
      <c r="S204" s="149"/>
      <c r="T204" s="139"/>
      <c r="U204" s="139"/>
      <c r="V204" s="139"/>
      <c r="W204" s="139"/>
      <c r="X204" s="139"/>
      <c r="Y204" s="139"/>
      <c r="Z204" s="139"/>
      <c r="AA204" s="139"/>
      <c r="AB204" s="139"/>
      <c r="AC204" s="139"/>
      <c r="AD204" s="139"/>
      <c r="AE204" s="139"/>
      <c r="AF204" s="139"/>
      <c r="AG204" s="139"/>
      <c r="AH204" s="139"/>
      <c r="AI204" s="134"/>
      <c r="AJ204" s="131"/>
      <c r="AK204" s="131"/>
      <c r="AL204" s="131"/>
      <c r="AM204" s="131"/>
      <c r="AN204" s="131"/>
      <c r="AO204" s="131"/>
      <c r="AP204" s="131"/>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31"/>
      <c r="B205" s="141"/>
      <c r="C205" s="141"/>
      <c r="D205" s="141"/>
      <c r="E205" s="141"/>
      <c r="F205" s="141"/>
      <c r="G205" s="141"/>
      <c r="H205" s="141"/>
      <c r="I205" s="141"/>
      <c r="J205" s="141"/>
      <c r="K205" s="141"/>
      <c r="L205" s="141"/>
      <c r="M205" s="141"/>
      <c r="N205" s="139"/>
      <c r="O205" s="139"/>
      <c r="P205" s="139"/>
      <c r="Q205" s="139"/>
      <c r="R205" s="139"/>
      <c r="S205" s="149"/>
      <c r="T205" s="139"/>
      <c r="U205" s="139"/>
      <c r="V205" s="139"/>
      <c r="W205" s="139"/>
      <c r="X205" s="139"/>
      <c r="Y205" s="139"/>
      <c r="Z205" s="139"/>
      <c r="AA205" s="139"/>
      <c r="AB205" s="139"/>
      <c r="AC205" s="139"/>
      <c r="AD205" s="139"/>
      <c r="AE205" s="139"/>
      <c r="AF205" s="139"/>
      <c r="AG205" s="139"/>
      <c r="AH205" s="139"/>
      <c r="AI205" s="134"/>
      <c r="AJ205" s="131"/>
      <c r="AK205" s="131"/>
      <c r="AL205" s="131"/>
      <c r="AM205" s="131"/>
      <c r="AN205" s="131"/>
      <c r="AO205" s="131"/>
      <c r="AP205" s="131"/>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31"/>
      <c r="B206" s="141"/>
      <c r="C206" s="141"/>
      <c r="D206" s="141"/>
      <c r="E206" s="141"/>
      <c r="F206" s="141"/>
      <c r="G206" s="141"/>
      <c r="H206" s="141"/>
      <c r="I206" s="141"/>
      <c r="J206" s="141"/>
      <c r="K206" s="141"/>
      <c r="L206" s="141"/>
      <c r="M206" s="141"/>
      <c r="N206" s="139"/>
      <c r="O206" s="139"/>
      <c r="P206" s="139"/>
      <c r="Q206" s="139"/>
      <c r="R206" s="139"/>
      <c r="S206" s="139"/>
      <c r="T206" s="139"/>
      <c r="U206" s="139"/>
      <c r="V206" s="139"/>
      <c r="W206" s="139"/>
      <c r="X206" s="139"/>
      <c r="Y206" s="139"/>
      <c r="Z206" s="139"/>
      <c r="AA206" s="139"/>
      <c r="AB206" s="139"/>
      <c r="AC206" s="139"/>
      <c r="AD206" s="139"/>
      <c r="AE206" s="139"/>
      <c r="AF206" s="139"/>
      <c r="AG206" s="139"/>
      <c r="AH206" s="139"/>
      <c r="AI206" s="134"/>
      <c r="AJ206" s="131"/>
      <c r="AK206" s="131"/>
      <c r="AL206" s="131"/>
      <c r="AM206" s="131"/>
      <c r="AN206" s="131"/>
      <c r="AO206" s="131"/>
      <c r="AP206" s="131"/>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31"/>
      <c r="B207" s="141"/>
      <c r="C207" s="141"/>
      <c r="D207" s="141"/>
      <c r="E207" s="141"/>
      <c r="F207" s="141"/>
      <c r="G207" s="141"/>
      <c r="H207" s="141"/>
      <c r="I207" s="141"/>
      <c r="J207" s="141"/>
      <c r="K207" s="141"/>
      <c r="L207" s="141"/>
      <c r="M207" s="141"/>
      <c r="N207" s="139"/>
      <c r="O207" s="139"/>
      <c r="P207" s="139"/>
      <c r="Q207" s="139"/>
      <c r="R207" s="139"/>
      <c r="S207" s="149"/>
      <c r="T207" s="139"/>
      <c r="U207" s="139"/>
      <c r="V207" s="139"/>
      <c r="W207" s="139"/>
      <c r="X207" s="139"/>
      <c r="Y207" s="139"/>
      <c r="Z207" s="139"/>
      <c r="AA207" s="139"/>
      <c r="AB207" s="139"/>
      <c r="AC207" s="139"/>
      <c r="AD207" s="139"/>
      <c r="AE207" s="139"/>
      <c r="AF207" s="139"/>
      <c r="AG207" s="139"/>
      <c r="AH207" s="139"/>
      <c r="AI207" s="134"/>
      <c r="AJ207" s="131"/>
      <c r="AK207" s="131"/>
      <c r="AL207" s="131"/>
      <c r="AM207" s="131"/>
      <c r="AN207" s="131"/>
      <c r="AO207" s="131"/>
      <c r="AP207" s="131"/>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31"/>
      <c r="B208" s="141"/>
      <c r="C208" s="141"/>
      <c r="D208" s="141"/>
      <c r="E208" s="141"/>
      <c r="F208" s="141"/>
      <c r="G208" s="141"/>
      <c r="H208" s="141"/>
      <c r="I208" s="141"/>
      <c r="J208" s="141"/>
      <c r="K208" s="141"/>
      <c r="L208" s="141"/>
      <c r="M208" s="141"/>
      <c r="N208" s="139"/>
      <c r="O208" s="139"/>
      <c r="P208" s="139"/>
      <c r="Q208" s="139"/>
      <c r="R208" s="139"/>
      <c r="S208" s="149"/>
      <c r="T208" s="139"/>
      <c r="U208" s="139"/>
      <c r="V208" s="139"/>
      <c r="W208" s="139"/>
      <c r="X208" s="139"/>
      <c r="Y208" s="139"/>
      <c r="Z208" s="139"/>
      <c r="AA208" s="139"/>
      <c r="AB208" s="139"/>
      <c r="AC208" s="139"/>
      <c r="AD208" s="139"/>
      <c r="AE208" s="139"/>
      <c r="AF208" s="139"/>
      <c r="AG208" s="139"/>
      <c r="AH208" s="139"/>
      <c r="AI208" s="134"/>
      <c r="AJ208" s="131"/>
      <c r="AK208" s="131"/>
      <c r="AL208" s="131"/>
      <c r="AM208" s="131"/>
      <c r="AN208" s="131"/>
      <c r="AO208" s="131"/>
      <c r="AP208" s="131"/>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31"/>
      <c r="B209" s="141"/>
      <c r="C209" s="141"/>
      <c r="D209" s="141"/>
      <c r="E209" s="141"/>
      <c r="F209" s="141"/>
      <c r="G209" s="141"/>
      <c r="H209" s="141"/>
      <c r="I209" s="141"/>
      <c r="J209" s="141"/>
      <c r="K209" s="141"/>
      <c r="L209" s="141"/>
      <c r="M209" s="141"/>
      <c r="N209" s="139"/>
      <c r="O209" s="139"/>
      <c r="P209" s="139"/>
      <c r="Q209" s="139"/>
      <c r="R209" s="139"/>
      <c r="S209" s="149"/>
      <c r="T209" s="139"/>
      <c r="U209" s="139"/>
      <c r="V209" s="139"/>
      <c r="W209" s="139"/>
      <c r="X209" s="139"/>
      <c r="Y209" s="139"/>
      <c r="Z209" s="139"/>
      <c r="AA209" s="139"/>
      <c r="AB209" s="139"/>
      <c r="AC209" s="139"/>
      <c r="AD209" s="139"/>
      <c r="AE209" s="139"/>
      <c r="AF209" s="139"/>
      <c r="AG209" s="139"/>
      <c r="AH209" s="139"/>
      <c r="AI209" s="134"/>
      <c r="AJ209" s="131"/>
      <c r="AK209" s="131"/>
      <c r="AL209" s="131"/>
      <c r="AM209" s="131"/>
      <c r="AN209" s="131"/>
      <c r="AO209" s="131"/>
      <c r="AP209" s="131"/>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31"/>
      <c r="B210" s="141"/>
      <c r="C210" s="141"/>
      <c r="D210" s="141"/>
      <c r="E210" s="141"/>
      <c r="F210" s="141"/>
      <c r="G210" s="141"/>
      <c r="H210" s="141"/>
      <c r="I210" s="141"/>
      <c r="J210" s="141"/>
      <c r="K210" s="141"/>
      <c r="L210" s="141"/>
      <c r="M210" s="141"/>
      <c r="N210" s="139"/>
      <c r="O210" s="139"/>
      <c r="P210" s="139"/>
      <c r="Q210" s="139"/>
      <c r="R210" s="139"/>
      <c r="S210" s="149"/>
      <c r="T210" s="139"/>
      <c r="U210" s="139"/>
      <c r="V210" s="139"/>
      <c r="W210" s="141"/>
      <c r="X210" s="141"/>
      <c r="Y210" s="141"/>
      <c r="Z210" s="141"/>
      <c r="AA210" s="141"/>
      <c r="AB210" s="141"/>
      <c r="AC210" s="141"/>
      <c r="AD210" s="139"/>
      <c r="AE210" s="139"/>
      <c r="AF210" s="139"/>
      <c r="AG210" s="139"/>
      <c r="AH210" s="139"/>
      <c r="AI210" s="134"/>
      <c r="AJ210" s="131"/>
      <c r="AK210" s="131"/>
      <c r="AL210" s="131"/>
      <c r="AM210" s="131"/>
      <c r="AN210" s="131"/>
      <c r="AO210" s="131"/>
      <c r="AP210" s="131"/>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3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34"/>
      <c r="AJ211" s="131"/>
      <c r="AK211" s="131"/>
      <c r="AL211" s="131"/>
      <c r="AM211" s="131"/>
      <c r="AN211" s="131"/>
      <c r="AO211" s="131"/>
      <c r="AP211" s="131"/>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3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34"/>
      <c r="AJ212" s="131"/>
      <c r="AK212" s="131"/>
      <c r="AL212" s="131"/>
      <c r="AM212" s="131"/>
      <c r="AN212" s="131"/>
      <c r="AO212" s="131"/>
      <c r="AP212" s="131"/>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3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34"/>
      <c r="AJ213" s="131"/>
      <c r="AK213" s="131"/>
      <c r="AL213" s="131"/>
      <c r="AM213" s="131"/>
      <c r="AN213" s="131"/>
      <c r="AO213" s="131"/>
      <c r="AP213" s="131"/>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3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34"/>
      <c r="AJ214" s="131"/>
      <c r="AK214" s="131"/>
      <c r="AL214" s="131"/>
      <c r="AM214" s="131"/>
      <c r="AN214" s="131"/>
      <c r="AO214" s="131"/>
      <c r="AP214" s="131"/>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3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34"/>
      <c r="AJ215" s="131"/>
      <c r="AK215" s="131"/>
      <c r="AL215" s="131"/>
      <c r="AM215" s="131"/>
      <c r="AN215" s="131"/>
      <c r="AO215" s="131"/>
      <c r="AP215" s="131"/>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3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34"/>
      <c r="AJ216" s="131"/>
      <c r="AK216" s="131"/>
      <c r="AL216" s="131"/>
      <c r="AM216" s="131"/>
      <c r="AN216" s="131"/>
      <c r="AO216" s="131"/>
      <c r="AP216" s="131"/>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3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34"/>
      <c r="AJ217" s="131"/>
      <c r="AK217" s="131"/>
      <c r="AL217" s="131"/>
      <c r="AM217" s="131"/>
      <c r="AN217" s="131"/>
      <c r="AO217" s="131"/>
      <c r="AP217" s="131"/>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46"/>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34"/>
      <c r="AJ218" s="131"/>
      <c r="AK218" s="131"/>
      <c r="AL218" s="131"/>
      <c r="AM218" s="131"/>
      <c r="AN218" s="131"/>
      <c r="AO218" s="131"/>
      <c r="AP218" s="131"/>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3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34"/>
      <c r="AJ219" s="131"/>
      <c r="AK219" s="131"/>
      <c r="AL219" s="131"/>
      <c r="AM219" s="131"/>
      <c r="AN219" s="131"/>
      <c r="AO219" s="131"/>
      <c r="AP219" s="131"/>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3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34"/>
      <c r="AJ220" s="131"/>
      <c r="AK220" s="131"/>
      <c r="AL220" s="131"/>
      <c r="AM220" s="131"/>
      <c r="AN220" s="131"/>
      <c r="AO220" s="131"/>
      <c r="AP220" s="131"/>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3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34"/>
      <c r="AJ221" s="131"/>
      <c r="AK221" s="131"/>
      <c r="AL221" s="131"/>
      <c r="AM221" s="131"/>
      <c r="AN221" s="131"/>
      <c r="AO221" s="131"/>
      <c r="AP221" s="131"/>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3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34"/>
      <c r="AJ222" s="131"/>
      <c r="AK222" s="131"/>
      <c r="AL222" s="131"/>
      <c r="AM222" s="131"/>
      <c r="AN222" s="131"/>
      <c r="AO222" s="131"/>
      <c r="AP222" s="131"/>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3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34"/>
      <c r="AJ223" s="131"/>
      <c r="AK223" s="131"/>
      <c r="AL223" s="131"/>
      <c r="AM223" s="131"/>
      <c r="AN223" s="131"/>
      <c r="AO223" s="131"/>
      <c r="AP223" s="131"/>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3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34"/>
      <c r="AJ224" s="131"/>
      <c r="AK224" s="131"/>
      <c r="AL224" s="131"/>
      <c r="AM224" s="131"/>
      <c r="AN224" s="131"/>
      <c r="AO224" s="131"/>
      <c r="AP224" s="131"/>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3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34"/>
      <c r="AJ225" s="131"/>
      <c r="AK225" s="131"/>
      <c r="AL225" s="131"/>
      <c r="AM225" s="131"/>
      <c r="AN225" s="131"/>
      <c r="AO225" s="131"/>
      <c r="AP225" s="131"/>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3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34"/>
      <c r="AJ226" s="131"/>
      <c r="AK226" s="131"/>
      <c r="AL226" s="131"/>
      <c r="AM226" s="131"/>
      <c r="AN226" s="131"/>
      <c r="AO226" s="131"/>
      <c r="AP226" s="131"/>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3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34"/>
      <c r="AJ227" s="131"/>
      <c r="AK227" s="131"/>
      <c r="AL227" s="131"/>
      <c r="AM227" s="131"/>
      <c r="AN227" s="131"/>
      <c r="AO227" s="131"/>
      <c r="AP227" s="131"/>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3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34"/>
      <c r="AJ228" s="131"/>
      <c r="AK228" s="131"/>
      <c r="AL228" s="131"/>
      <c r="AM228" s="131"/>
      <c r="AN228" s="131"/>
      <c r="AO228" s="131"/>
      <c r="AP228" s="131"/>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3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34"/>
      <c r="AJ229" s="131"/>
      <c r="AK229" s="131"/>
      <c r="AL229" s="131"/>
      <c r="AM229" s="131"/>
      <c r="AN229" s="131"/>
      <c r="AO229" s="131"/>
      <c r="AP229" s="131"/>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3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34"/>
      <c r="AJ230" s="131"/>
      <c r="AK230" s="131"/>
      <c r="AL230" s="131"/>
      <c r="AM230" s="131"/>
      <c r="AN230" s="131"/>
      <c r="AO230" s="131"/>
      <c r="AP230" s="131"/>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3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34"/>
      <c r="AJ231" s="131"/>
      <c r="AK231" s="131"/>
      <c r="AL231" s="131"/>
      <c r="AM231" s="131"/>
      <c r="AN231" s="131"/>
      <c r="AO231" s="131"/>
      <c r="AP231" s="131"/>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3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34"/>
      <c r="AJ232" s="131"/>
      <c r="AK232" s="131"/>
      <c r="AL232" s="131"/>
      <c r="AM232" s="131"/>
      <c r="AN232" s="131"/>
      <c r="AO232" s="131"/>
      <c r="AP232" s="131"/>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3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34"/>
      <c r="AJ233" s="131"/>
      <c r="AK233" s="131"/>
      <c r="AL233" s="131"/>
      <c r="AM233" s="131"/>
      <c r="AN233" s="131"/>
      <c r="AO233" s="131"/>
      <c r="AP233" s="131"/>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3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34"/>
      <c r="AJ234" s="131"/>
      <c r="AK234" s="131"/>
      <c r="AL234" s="131"/>
      <c r="AM234" s="131"/>
      <c r="AN234" s="131"/>
      <c r="AO234" s="131"/>
      <c r="AP234" s="131"/>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3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34"/>
      <c r="AJ235" s="131"/>
      <c r="AK235" s="131"/>
      <c r="AL235" s="131"/>
      <c r="AM235" s="131"/>
      <c r="AN235" s="131"/>
      <c r="AO235" s="131"/>
      <c r="AP235" s="131"/>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3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34"/>
      <c r="AJ236" s="131"/>
      <c r="AK236" s="131"/>
      <c r="AL236" s="131"/>
      <c r="AM236" s="131"/>
      <c r="AN236" s="131"/>
      <c r="AO236" s="131"/>
      <c r="AP236" s="131"/>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3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34"/>
      <c r="AJ237" s="131"/>
      <c r="AK237" s="131"/>
      <c r="AL237" s="131"/>
      <c r="AM237" s="131"/>
      <c r="AN237" s="131"/>
      <c r="AO237" s="131"/>
      <c r="AP237" s="131"/>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3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34"/>
      <c r="AJ238" s="131"/>
      <c r="AK238" s="131"/>
      <c r="AL238" s="131"/>
      <c r="AM238" s="131"/>
      <c r="AN238" s="131"/>
      <c r="AO238" s="131"/>
      <c r="AP238" s="131"/>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3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34"/>
      <c r="AJ239" s="131"/>
      <c r="AK239" s="131"/>
      <c r="AL239" s="131"/>
      <c r="AM239" s="131"/>
      <c r="AN239" s="131"/>
      <c r="AO239" s="131"/>
      <c r="AP239" s="131"/>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3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34"/>
      <c r="AJ240" s="131"/>
      <c r="AK240" s="131"/>
      <c r="AL240" s="131"/>
      <c r="AM240" s="131"/>
      <c r="AN240" s="131"/>
      <c r="AO240" s="131"/>
      <c r="AP240" s="131"/>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3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34"/>
      <c r="AJ241" s="131"/>
      <c r="AK241" s="131"/>
      <c r="AL241" s="131"/>
      <c r="AM241" s="131"/>
      <c r="AN241" s="131"/>
      <c r="AO241" s="131"/>
      <c r="AP241" s="131"/>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3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34"/>
      <c r="AJ242" s="131"/>
      <c r="AK242" s="131"/>
      <c r="AL242" s="131"/>
      <c r="AM242" s="131"/>
      <c r="AN242" s="131"/>
      <c r="AO242" s="131"/>
      <c r="AP242" s="131"/>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3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34"/>
      <c r="AJ243" s="131"/>
      <c r="AK243" s="131"/>
      <c r="AL243" s="131"/>
      <c r="AM243" s="131"/>
      <c r="AN243" s="131"/>
      <c r="AO243" s="131"/>
      <c r="AP243" s="131"/>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3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34"/>
      <c r="AJ244" s="131"/>
      <c r="AK244" s="131"/>
      <c r="AL244" s="131"/>
      <c r="AM244" s="131"/>
      <c r="AN244" s="131"/>
      <c r="AO244" s="131"/>
      <c r="AP244" s="131"/>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3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34"/>
      <c r="AJ245" s="131"/>
      <c r="AK245" s="131"/>
      <c r="AL245" s="131"/>
      <c r="AM245" s="131"/>
      <c r="AN245" s="131"/>
      <c r="AO245" s="131"/>
      <c r="AP245" s="131"/>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3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34"/>
      <c r="AJ246" s="131"/>
      <c r="AK246" s="131"/>
      <c r="AL246" s="131"/>
      <c r="AM246" s="131"/>
      <c r="AN246" s="131"/>
      <c r="AO246" s="131"/>
      <c r="AP246" s="131"/>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3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34"/>
      <c r="AJ247" s="131"/>
      <c r="AK247" s="131"/>
      <c r="AL247" s="131"/>
      <c r="AM247" s="131"/>
      <c r="AN247" s="131"/>
      <c r="AO247" s="131"/>
      <c r="AP247" s="131"/>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3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34"/>
      <c r="AJ248" s="131"/>
      <c r="AK248" s="131"/>
      <c r="AL248" s="131"/>
      <c r="AM248" s="131"/>
      <c r="AN248" s="131"/>
      <c r="AO248" s="131"/>
      <c r="AP248" s="131"/>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3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34"/>
      <c r="AJ249" s="131"/>
      <c r="AK249" s="131"/>
      <c r="AL249" s="131"/>
      <c r="AM249" s="131"/>
      <c r="AN249" s="131"/>
      <c r="AO249" s="131"/>
      <c r="AP249" s="131"/>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3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34"/>
      <c r="AJ250" s="131"/>
      <c r="AK250" s="131"/>
      <c r="AL250" s="131"/>
      <c r="AM250" s="131"/>
      <c r="AN250" s="131"/>
      <c r="AO250" s="131"/>
      <c r="AP250" s="131"/>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3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34"/>
      <c r="AJ251" s="131"/>
      <c r="AK251" s="131"/>
      <c r="AL251" s="131"/>
      <c r="AM251" s="131"/>
      <c r="AN251" s="131"/>
      <c r="AO251" s="131"/>
      <c r="AP251" s="131"/>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3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34"/>
      <c r="AJ252" s="131"/>
      <c r="AK252" s="131"/>
      <c r="AL252" s="131"/>
      <c r="AM252" s="131"/>
      <c r="AN252" s="131"/>
      <c r="AO252" s="131"/>
      <c r="AP252" s="131"/>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3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34"/>
      <c r="AJ253" s="131"/>
      <c r="AK253" s="131"/>
      <c r="AL253" s="131"/>
      <c r="AM253" s="131"/>
      <c r="AN253" s="131"/>
      <c r="AO253" s="131"/>
      <c r="AP253" s="131"/>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3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34"/>
      <c r="AJ254" s="131"/>
      <c r="AK254" s="131"/>
      <c r="AL254" s="131"/>
      <c r="AM254" s="131"/>
      <c r="AN254" s="131"/>
      <c r="AO254" s="131"/>
      <c r="AP254" s="131"/>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3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34"/>
      <c r="AJ255" s="131"/>
      <c r="AK255" s="131"/>
      <c r="AL255" s="131"/>
      <c r="AM255" s="131"/>
      <c r="AN255" s="131"/>
      <c r="AO255" s="131"/>
      <c r="AP255" s="131"/>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3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34"/>
      <c r="AJ256" s="131"/>
      <c r="AK256" s="131"/>
      <c r="AL256" s="131"/>
      <c r="AM256" s="131"/>
      <c r="AN256" s="131"/>
      <c r="AO256" s="131"/>
      <c r="AP256" s="131"/>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3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34"/>
      <c r="AJ257" s="131"/>
      <c r="AK257" s="131"/>
      <c r="AL257" s="131"/>
      <c r="AM257" s="131"/>
      <c r="AN257" s="131"/>
      <c r="AO257" s="131"/>
      <c r="AP257" s="131"/>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3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34"/>
      <c r="AJ258" s="131"/>
      <c r="AK258" s="131"/>
      <c r="AL258" s="131"/>
      <c r="AM258" s="131"/>
      <c r="AN258" s="131"/>
      <c r="AO258" s="131"/>
      <c r="AP258" s="131"/>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3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34"/>
      <c r="AJ259" s="131"/>
      <c r="AK259" s="131"/>
      <c r="AL259" s="131"/>
      <c r="AM259" s="131"/>
      <c r="AN259" s="131"/>
      <c r="AO259" s="131"/>
      <c r="AP259" s="131"/>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3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34"/>
      <c r="AJ260" s="131"/>
      <c r="AK260" s="131"/>
      <c r="AL260" s="131"/>
      <c r="AM260" s="131"/>
      <c r="AN260" s="131"/>
      <c r="AO260" s="131"/>
      <c r="AP260" s="131"/>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3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34"/>
      <c r="AJ261" s="131"/>
      <c r="AK261" s="131"/>
      <c r="AL261" s="131"/>
      <c r="AM261" s="131"/>
      <c r="AN261" s="131"/>
      <c r="AO261" s="131"/>
      <c r="AP261" s="131"/>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3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34"/>
      <c r="AJ262" s="131"/>
      <c r="AK262" s="131"/>
      <c r="AL262" s="131"/>
      <c r="AM262" s="131"/>
      <c r="AN262" s="131"/>
      <c r="AO262" s="131"/>
      <c r="AP262" s="131"/>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3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34"/>
      <c r="AJ263" s="131"/>
      <c r="AK263" s="131"/>
      <c r="AL263" s="131"/>
      <c r="AM263" s="131"/>
      <c r="AN263" s="131"/>
      <c r="AO263" s="131"/>
      <c r="AP263" s="131"/>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3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34"/>
      <c r="AJ264" s="131"/>
      <c r="AK264" s="131"/>
      <c r="AL264" s="131"/>
      <c r="AM264" s="131"/>
      <c r="AN264" s="131"/>
      <c r="AO264" s="131"/>
      <c r="AP264" s="131"/>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3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34"/>
      <c r="AJ265" s="131"/>
      <c r="AK265" s="131"/>
      <c r="AL265" s="131"/>
      <c r="AM265" s="131"/>
      <c r="AN265" s="131"/>
      <c r="AO265" s="131"/>
      <c r="AP265" s="131"/>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3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34"/>
      <c r="AJ266" s="131"/>
      <c r="AK266" s="131"/>
      <c r="AL266" s="131"/>
      <c r="AM266" s="131"/>
      <c r="AN266" s="131"/>
      <c r="AO266" s="131"/>
      <c r="AP266" s="131"/>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3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34"/>
      <c r="AJ267" s="131"/>
      <c r="AK267" s="131"/>
      <c r="AL267" s="131"/>
      <c r="AM267" s="131"/>
      <c r="AN267" s="131"/>
      <c r="AO267" s="131"/>
      <c r="AP267" s="131"/>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3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34"/>
      <c r="AJ268" s="131"/>
      <c r="AK268" s="131"/>
      <c r="AL268" s="131"/>
      <c r="AM268" s="131"/>
      <c r="AN268" s="131"/>
      <c r="AO268" s="131"/>
      <c r="AP268" s="131"/>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3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34"/>
      <c r="AJ269" s="131"/>
      <c r="AK269" s="131"/>
      <c r="AL269" s="131"/>
      <c r="AM269" s="131"/>
      <c r="AN269" s="131"/>
      <c r="AO269" s="131"/>
      <c r="AP269" s="131"/>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3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34"/>
      <c r="AJ270" s="131"/>
      <c r="AK270" s="131"/>
      <c r="AL270" s="131"/>
      <c r="AM270" s="131"/>
      <c r="AN270" s="131"/>
      <c r="AO270" s="131"/>
      <c r="AP270" s="131"/>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3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34"/>
      <c r="AJ271" s="131"/>
      <c r="AK271" s="131"/>
      <c r="AL271" s="131"/>
      <c r="AM271" s="131"/>
      <c r="AN271" s="131"/>
      <c r="AO271" s="131"/>
      <c r="AP271" s="131"/>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3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34"/>
      <c r="AJ272" s="131"/>
      <c r="AK272" s="131"/>
      <c r="AL272" s="131"/>
      <c r="AM272" s="131"/>
      <c r="AN272" s="131"/>
      <c r="AO272" s="131"/>
      <c r="AP272" s="131"/>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3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34"/>
      <c r="AJ273" s="131"/>
      <c r="AK273" s="131"/>
      <c r="AL273" s="131"/>
      <c r="AM273" s="131"/>
      <c r="AN273" s="131"/>
      <c r="AO273" s="131"/>
      <c r="AP273" s="131"/>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3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34"/>
      <c r="AJ274" s="131"/>
      <c r="AK274" s="131"/>
      <c r="AL274" s="131"/>
      <c r="AM274" s="131"/>
      <c r="AN274" s="131"/>
      <c r="AO274" s="131"/>
      <c r="AP274" s="131"/>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3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34"/>
      <c r="AJ275" s="131"/>
      <c r="AK275" s="131"/>
      <c r="AL275" s="131"/>
      <c r="AM275" s="131"/>
      <c r="AN275" s="131"/>
      <c r="AO275" s="131"/>
      <c r="AP275" s="131"/>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3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34"/>
      <c r="AJ276" s="131"/>
      <c r="AK276" s="131"/>
      <c r="AL276" s="131"/>
      <c r="AM276" s="131"/>
      <c r="AN276" s="131"/>
      <c r="AO276" s="131"/>
      <c r="AP276" s="131"/>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3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34"/>
      <c r="AJ277" s="131"/>
      <c r="AK277" s="131"/>
      <c r="AL277" s="131"/>
      <c r="AM277" s="131"/>
      <c r="AN277" s="131"/>
      <c r="AO277" s="131"/>
      <c r="AP277" s="131"/>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3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34"/>
      <c r="AJ278" s="131"/>
      <c r="AK278" s="131"/>
      <c r="AL278" s="131"/>
      <c r="AM278" s="131"/>
      <c r="AN278" s="131"/>
      <c r="AO278" s="131"/>
      <c r="AP278" s="131"/>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3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34"/>
      <c r="AJ279" s="131"/>
      <c r="AK279" s="131"/>
      <c r="AL279" s="131"/>
      <c r="AM279" s="131"/>
      <c r="AN279" s="131"/>
      <c r="AO279" s="131"/>
      <c r="AP279" s="131"/>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3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34"/>
      <c r="AJ280" s="131"/>
      <c r="AK280" s="131"/>
      <c r="AL280" s="131"/>
      <c r="AM280" s="131"/>
      <c r="AN280" s="131"/>
      <c r="AO280" s="131"/>
      <c r="AP280" s="131"/>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3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34"/>
      <c r="AJ281" s="131"/>
      <c r="AK281" s="131"/>
      <c r="AL281" s="131"/>
      <c r="AM281" s="131"/>
      <c r="AN281" s="131"/>
      <c r="AO281" s="131"/>
      <c r="AP281" s="131"/>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3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34"/>
      <c r="AJ282" s="131"/>
      <c r="AK282" s="131"/>
      <c r="AL282" s="131"/>
      <c r="AM282" s="131"/>
      <c r="AN282" s="131"/>
      <c r="AO282" s="131"/>
      <c r="AP282" s="131"/>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3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34"/>
      <c r="AJ283" s="131"/>
      <c r="AK283" s="131"/>
      <c r="AL283" s="131"/>
      <c r="AM283" s="131"/>
      <c r="AN283" s="131"/>
      <c r="AO283" s="131"/>
      <c r="AP283" s="131"/>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3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34"/>
      <c r="AJ284" s="131"/>
      <c r="AK284" s="131"/>
      <c r="AL284" s="131"/>
      <c r="AM284" s="131"/>
      <c r="AN284" s="131"/>
      <c r="AO284" s="131"/>
      <c r="AP284" s="131"/>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3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34"/>
      <c r="AJ285" s="131"/>
      <c r="AK285" s="131"/>
      <c r="AL285" s="131"/>
      <c r="AM285" s="131"/>
      <c r="AN285" s="131"/>
      <c r="AO285" s="131"/>
      <c r="AP285" s="131"/>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3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34"/>
      <c r="AJ286" s="131"/>
      <c r="AK286" s="131"/>
      <c r="AL286" s="131"/>
      <c r="AM286" s="131"/>
      <c r="AN286" s="131"/>
      <c r="AO286" s="131"/>
      <c r="AP286" s="131"/>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3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34"/>
      <c r="AJ287" s="131"/>
      <c r="AK287" s="131"/>
      <c r="AL287" s="131"/>
      <c r="AM287" s="131"/>
      <c r="AN287" s="131"/>
      <c r="AO287" s="131"/>
      <c r="AP287" s="131"/>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3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34"/>
      <c r="AJ288" s="131"/>
      <c r="AK288" s="131"/>
      <c r="AL288" s="131"/>
      <c r="AM288" s="131"/>
      <c r="AN288" s="131"/>
      <c r="AO288" s="131"/>
      <c r="AP288" s="131"/>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3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34"/>
      <c r="AJ289" s="131"/>
      <c r="AK289" s="131"/>
      <c r="AL289" s="131"/>
      <c r="AM289" s="131"/>
      <c r="AN289" s="131"/>
      <c r="AO289" s="131"/>
      <c r="AP289" s="131"/>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3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34"/>
      <c r="AJ290" s="131"/>
      <c r="AK290" s="131"/>
      <c r="AL290" s="131"/>
      <c r="AM290" s="131"/>
      <c r="AN290" s="131"/>
      <c r="AO290" s="131"/>
      <c r="AP290" s="131"/>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3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34"/>
      <c r="AJ291" s="131"/>
      <c r="AK291" s="131"/>
      <c r="AL291" s="131"/>
      <c r="AM291" s="131"/>
      <c r="AN291" s="131"/>
      <c r="AO291" s="131"/>
      <c r="AP291" s="131"/>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3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34"/>
      <c r="AJ292" s="131"/>
      <c r="AK292" s="131"/>
      <c r="AL292" s="131"/>
      <c r="AM292" s="131"/>
      <c r="AN292" s="131"/>
      <c r="AO292" s="131"/>
      <c r="AP292" s="131"/>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3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34"/>
      <c r="AJ293" s="131"/>
      <c r="AK293" s="131"/>
      <c r="AL293" s="131"/>
      <c r="AM293" s="131"/>
      <c r="AN293" s="131"/>
      <c r="AO293" s="131"/>
      <c r="AP293" s="131"/>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3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34"/>
      <c r="AJ294" s="131"/>
      <c r="AK294" s="131"/>
      <c r="AL294" s="131"/>
      <c r="AM294" s="131"/>
      <c r="AN294" s="131"/>
      <c r="AO294" s="131"/>
      <c r="AP294" s="131"/>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3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34"/>
      <c r="AJ295" s="131"/>
      <c r="AK295" s="131"/>
      <c r="AL295" s="131"/>
      <c r="AM295" s="131"/>
      <c r="AN295" s="131"/>
      <c r="AO295" s="131"/>
      <c r="AP295" s="131"/>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3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34"/>
      <c r="AJ296" s="131"/>
      <c r="AK296" s="131"/>
      <c r="AL296" s="131"/>
      <c r="AM296" s="131"/>
      <c r="AN296" s="131"/>
      <c r="AO296" s="131"/>
      <c r="AP296" s="131"/>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3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34"/>
      <c r="AJ297" s="131"/>
      <c r="AK297" s="131"/>
      <c r="AL297" s="131"/>
      <c r="AM297" s="131"/>
      <c r="AN297" s="131"/>
      <c r="AO297" s="131"/>
      <c r="AP297" s="131"/>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3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34"/>
      <c r="AJ298" s="131"/>
      <c r="AK298" s="131"/>
      <c r="AL298" s="131"/>
      <c r="AM298" s="131"/>
      <c r="AN298" s="131"/>
      <c r="AO298" s="131"/>
      <c r="AP298" s="131"/>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3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34"/>
      <c r="AJ299" s="131"/>
      <c r="AK299" s="131"/>
      <c r="AL299" s="131"/>
      <c r="AM299" s="131"/>
      <c r="AN299" s="131"/>
      <c r="AO299" s="131"/>
      <c r="AP299" s="131"/>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3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34"/>
      <c r="AJ300" s="131"/>
      <c r="AK300" s="131"/>
      <c r="AL300" s="131"/>
      <c r="AM300" s="131"/>
      <c r="AN300" s="131"/>
      <c r="AO300" s="131"/>
      <c r="AP300" s="131"/>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3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34"/>
      <c r="AJ301" s="131"/>
      <c r="AK301" s="131"/>
      <c r="AL301" s="131"/>
      <c r="AM301" s="131"/>
      <c r="AN301" s="131"/>
      <c r="AO301" s="131"/>
      <c r="AP301" s="131"/>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3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34"/>
      <c r="AJ302" s="131"/>
      <c r="AK302" s="131"/>
      <c r="AL302" s="131"/>
      <c r="AM302" s="131"/>
      <c r="AN302" s="131"/>
      <c r="AO302" s="131"/>
      <c r="AP302" s="131"/>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3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34"/>
      <c r="AJ303" s="131"/>
      <c r="AK303" s="131"/>
      <c r="AL303" s="131"/>
      <c r="AM303" s="131"/>
      <c r="AN303" s="131"/>
      <c r="AO303" s="131"/>
      <c r="AP303" s="131"/>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3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34"/>
      <c r="AJ304" s="131"/>
      <c r="AK304" s="131"/>
      <c r="AL304" s="131"/>
      <c r="AM304" s="131"/>
      <c r="AN304" s="131"/>
      <c r="AO304" s="131"/>
      <c r="AP304" s="131"/>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3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34"/>
      <c r="AJ305" s="131"/>
      <c r="AK305" s="131"/>
      <c r="AL305" s="131"/>
      <c r="AM305" s="131"/>
      <c r="AN305" s="131"/>
      <c r="AO305" s="131"/>
      <c r="AP305" s="131"/>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3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34"/>
      <c r="AJ306" s="131"/>
      <c r="AK306" s="131"/>
      <c r="AL306" s="131"/>
      <c r="AM306" s="131"/>
      <c r="AN306" s="131"/>
      <c r="AO306" s="131"/>
      <c r="AP306" s="131"/>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3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34"/>
      <c r="AJ307" s="131"/>
      <c r="AK307" s="131"/>
      <c r="AL307" s="131"/>
      <c r="AM307" s="131"/>
      <c r="AN307" s="131"/>
      <c r="AO307" s="131"/>
      <c r="AP307" s="131"/>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3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34"/>
      <c r="AJ308" s="131"/>
      <c r="AK308" s="131"/>
      <c r="AL308" s="131"/>
      <c r="AM308" s="131"/>
      <c r="AN308" s="131"/>
      <c r="AO308" s="131"/>
      <c r="AP308" s="131"/>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3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34"/>
      <c r="AJ309" s="131"/>
      <c r="AK309" s="131"/>
      <c r="AL309" s="131"/>
      <c r="AM309" s="131"/>
      <c r="AN309" s="131"/>
      <c r="AO309" s="131"/>
      <c r="AP309" s="131"/>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3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34"/>
      <c r="AJ310" s="131"/>
      <c r="AK310" s="131"/>
      <c r="AL310" s="131"/>
      <c r="AM310" s="131"/>
      <c r="AN310" s="131"/>
      <c r="AO310" s="131"/>
      <c r="AP310" s="131"/>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3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34"/>
      <c r="AJ311" s="131"/>
      <c r="AK311" s="131"/>
      <c r="AL311" s="131"/>
      <c r="AM311" s="131"/>
      <c r="AN311" s="131"/>
      <c r="AO311" s="131"/>
      <c r="AP311" s="131"/>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3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34"/>
      <c r="AJ312" s="131"/>
      <c r="AK312" s="131"/>
      <c r="AL312" s="131"/>
      <c r="AM312" s="131"/>
      <c r="AN312" s="131"/>
      <c r="AO312" s="131"/>
      <c r="AP312" s="131"/>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3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34"/>
      <c r="AJ313" s="131"/>
      <c r="AK313" s="131"/>
      <c r="AL313" s="131"/>
      <c r="AM313" s="131"/>
      <c r="AN313" s="131"/>
      <c r="AO313" s="131"/>
      <c r="AP313" s="131"/>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3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34"/>
      <c r="AJ314" s="131"/>
      <c r="AK314" s="131"/>
      <c r="AL314" s="131"/>
      <c r="AM314" s="131"/>
      <c r="AN314" s="131"/>
      <c r="AO314" s="131"/>
      <c r="AP314" s="131"/>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3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34"/>
      <c r="AJ315" s="131"/>
      <c r="AK315" s="131"/>
      <c r="AL315" s="131"/>
      <c r="AM315" s="131"/>
      <c r="AN315" s="131"/>
      <c r="AO315" s="131"/>
      <c r="AP315" s="131"/>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3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34"/>
      <c r="AJ316" s="131"/>
      <c r="AK316" s="131"/>
      <c r="AL316" s="131"/>
      <c r="AM316" s="131"/>
      <c r="AN316" s="131"/>
      <c r="AO316" s="131"/>
      <c r="AP316" s="131"/>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3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34"/>
      <c r="AJ317" s="131"/>
      <c r="AK317" s="131"/>
      <c r="AL317" s="131"/>
      <c r="AM317" s="131"/>
      <c r="AN317" s="131"/>
      <c r="AO317" s="131"/>
      <c r="AP317" s="131"/>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3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34"/>
      <c r="AJ318" s="131"/>
      <c r="AK318" s="131"/>
      <c r="AL318" s="131"/>
      <c r="AM318" s="131"/>
      <c r="AN318" s="131"/>
      <c r="AO318" s="131"/>
      <c r="AP318" s="131"/>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3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34"/>
      <c r="AJ319" s="131"/>
      <c r="AK319" s="131"/>
      <c r="AL319" s="131"/>
      <c r="AM319" s="131"/>
      <c r="AN319" s="131"/>
      <c r="AO319" s="131"/>
      <c r="AP319" s="131"/>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3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34"/>
      <c r="AJ320" s="131"/>
      <c r="AK320" s="131"/>
      <c r="AL320" s="131"/>
      <c r="AM320" s="131"/>
      <c r="AN320" s="131"/>
      <c r="AO320" s="131"/>
      <c r="AP320" s="131"/>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3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34"/>
      <c r="AJ321" s="131"/>
      <c r="AK321" s="131"/>
      <c r="AL321" s="131"/>
      <c r="AM321" s="131"/>
      <c r="AN321" s="131"/>
      <c r="AO321" s="131"/>
      <c r="AP321" s="131"/>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3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34"/>
      <c r="AJ322" s="131"/>
      <c r="AK322" s="131"/>
      <c r="AL322" s="131"/>
      <c r="AM322" s="131"/>
      <c r="AN322" s="131"/>
      <c r="AO322" s="131"/>
      <c r="AP322" s="131"/>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3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34"/>
      <c r="AJ323" s="131"/>
      <c r="AK323" s="131"/>
      <c r="AL323" s="131"/>
      <c r="AM323" s="131"/>
      <c r="AN323" s="131"/>
      <c r="AO323" s="131"/>
      <c r="AP323" s="131"/>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3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34"/>
      <c r="AJ324" s="131"/>
      <c r="AK324" s="131"/>
      <c r="AL324" s="131"/>
      <c r="AM324" s="131"/>
      <c r="AN324" s="131"/>
      <c r="AO324" s="131"/>
      <c r="AP324" s="131"/>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3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34"/>
      <c r="AJ325" s="131"/>
      <c r="AK325" s="131"/>
      <c r="AL325" s="131"/>
      <c r="AM325" s="131"/>
      <c r="AN325" s="131"/>
      <c r="AO325" s="131"/>
      <c r="AP325" s="131"/>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3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34"/>
      <c r="AJ326" s="131"/>
      <c r="AK326" s="131"/>
      <c r="AL326" s="131"/>
      <c r="AM326" s="131"/>
      <c r="AN326" s="131"/>
      <c r="AO326" s="131"/>
      <c r="AP326" s="131"/>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3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34"/>
      <c r="AJ327" s="131"/>
      <c r="AK327" s="131"/>
      <c r="AL327" s="131"/>
      <c r="AM327" s="131"/>
      <c r="AN327" s="131"/>
      <c r="AO327" s="131"/>
      <c r="AP327" s="131"/>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3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34"/>
      <c r="AJ328" s="131"/>
      <c r="AK328" s="131"/>
      <c r="AL328" s="131"/>
      <c r="AM328" s="131"/>
      <c r="AN328" s="131"/>
      <c r="AO328" s="131"/>
      <c r="AP328" s="131"/>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3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34"/>
      <c r="AJ329" s="131"/>
      <c r="AK329" s="131"/>
      <c r="AL329" s="131"/>
      <c r="AM329" s="131"/>
      <c r="AN329" s="131"/>
      <c r="AO329" s="131"/>
      <c r="AP329" s="131"/>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3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34"/>
      <c r="AJ330" s="131"/>
      <c r="AK330" s="131"/>
      <c r="AL330" s="131"/>
      <c r="AM330" s="131"/>
      <c r="AN330" s="131"/>
      <c r="AO330" s="131"/>
      <c r="AP330" s="131"/>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3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34"/>
      <c r="AJ331" s="131"/>
      <c r="AK331" s="131"/>
      <c r="AL331" s="131"/>
      <c r="AM331" s="131"/>
      <c r="AN331" s="131"/>
      <c r="AO331" s="131"/>
      <c r="AP331" s="131"/>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3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34"/>
      <c r="AJ332" s="131"/>
      <c r="AK332" s="131"/>
      <c r="AL332" s="131"/>
      <c r="AM332" s="131"/>
      <c r="AN332" s="131"/>
      <c r="AO332" s="131"/>
      <c r="AP332" s="131"/>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3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34"/>
      <c r="AJ333" s="131"/>
      <c r="AK333" s="131"/>
      <c r="AL333" s="131"/>
      <c r="AM333" s="131"/>
      <c r="AN333" s="131"/>
      <c r="AO333" s="131"/>
      <c r="AP333" s="131"/>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3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34"/>
      <c r="AJ334" s="131"/>
      <c r="AK334" s="131"/>
      <c r="AL334" s="131"/>
      <c r="AM334" s="131"/>
      <c r="AN334" s="131"/>
      <c r="AO334" s="131"/>
      <c r="AP334" s="131"/>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3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34"/>
      <c r="AJ335" s="131"/>
      <c r="AK335" s="131"/>
      <c r="AL335" s="131"/>
      <c r="AM335" s="131"/>
      <c r="AN335" s="131"/>
      <c r="AO335" s="131"/>
      <c r="AP335" s="131"/>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3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34"/>
      <c r="AJ336" s="131"/>
      <c r="AK336" s="131"/>
      <c r="AL336" s="131"/>
      <c r="AM336" s="131"/>
      <c r="AN336" s="131"/>
      <c r="AO336" s="131"/>
      <c r="AP336" s="131"/>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3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34"/>
      <c r="AJ337" s="131"/>
      <c r="AK337" s="131"/>
      <c r="AL337" s="131"/>
      <c r="AM337" s="131"/>
      <c r="AN337" s="131"/>
      <c r="AO337" s="131"/>
      <c r="AP337" s="131"/>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3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34"/>
      <c r="AJ338" s="131"/>
      <c r="AK338" s="131"/>
      <c r="AL338" s="131"/>
      <c r="AM338" s="131"/>
      <c r="AN338" s="131"/>
      <c r="AO338" s="131"/>
      <c r="AP338" s="131"/>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3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34"/>
      <c r="AJ339" s="131"/>
      <c r="AK339" s="131"/>
      <c r="AL339" s="131"/>
      <c r="AM339" s="131"/>
      <c r="AN339" s="131"/>
      <c r="AO339" s="131"/>
      <c r="AP339" s="131"/>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3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34"/>
      <c r="AJ340" s="131"/>
      <c r="AK340" s="131"/>
      <c r="AL340" s="131"/>
      <c r="AM340" s="131"/>
      <c r="AN340" s="131"/>
      <c r="AO340" s="131"/>
      <c r="AP340" s="131"/>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3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34"/>
      <c r="AJ341" s="131"/>
      <c r="AK341" s="131"/>
      <c r="AL341" s="131"/>
      <c r="AM341" s="131"/>
      <c r="AN341" s="131"/>
      <c r="AO341" s="131"/>
      <c r="AP341" s="131"/>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3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34"/>
      <c r="AJ342" s="131"/>
      <c r="AK342" s="131"/>
      <c r="AL342" s="131"/>
      <c r="AM342" s="131"/>
      <c r="AN342" s="131"/>
      <c r="AO342" s="131"/>
      <c r="AP342" s="131"/>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3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34"/>
      <c r="AJ343" s="131"/>
      <c r="AK343" s="131"/>
      <c r="AL343" s="131"/>
      <c r="AM343" s="131"/>
      <c r="AN343" s="131"/>
      <c r="AO343" s="131"/>
      <c r="AP343" s="131"/>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3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34"/>
      <c r="AJ344" s="131"/>
      <c r="AK344" s="131"/>
      <c r="AL344" s="131"/>
      <c r="AM344" s="131"/>
      <c r="AN344" s="131"/>
      <c r="AO344" s="131"/>
      <c r="AP344" s="131"/>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3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34"/>
      <c r="AJ345" s="131"/>
      <c r="AK345" s="131"/>
      <c r="AL345" s="131"/>
      <c r="AM345" s="131"/>
      <c r="AN345" s="131"/>
      <c r="AO345" s="131"/>
      <c r="AP345" s="131"/>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3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34"/>
      <c r="AJ346" s="131"/>
      <c r="AK346" s="131"/>
      <c r="AL346" s="131"/>
      <c r="AM346" s="131"/>
      <c r="AN346" s="131"/>
      <c r="AO346" s="131"/>
      <c r="AP346" s="131"/>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3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34"/>
      <c r="X347" s="134"/>
      <c r="Y347" s="134"/>
      <c r="Z347" s="134"/>
      <c r="AA347" s="134"/>
      <c r="AB347" s="134"/>
      <c r="AC347" s="134"/>
      <c r="AD347" s="141"/>
      <c r="AE347" s="141"/>
      <c r="AF347" s="141"/>
      <c r="AG347" s="141"/>
      <c r="AH347" s="141"/>
      <c r="AI347" s="134"/>
      <c r="AJ347" s="131"/>
      <c r="AK347" s="131"/>
      <c r="AL347" s="131"/>
      <c r="AM347" s="131"/>
      <c r="AN347" s="131"/>
      <c r="AO347" s="131"/>
      <c r="AP347" s="131"/>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31"/>
      <c r="B348" s="134"/>
      <c r="C348" s="134"/>
      <c r="D348" s="134"/>
      <c r="E348" s="150"/>
      <c r="F348" s="150"/>
      <c r="G348" s="150"/>
      <c r="H348" s="150"/>
      <c r="I348" s="150"/>
      <c r="J348" s="150"/>
      <c r="K348" s="150"/>
      <c r="L348" s="150"/>
      <c r="M348" s="150"/>
      <c r="N348" s="134"/>
      <c r="O348" s="134"/>
      <c r="P348" s="134"/>
      <c r="Q348" s="134"/>
      <c r="R348" s="134"/>
      <c r="S348" s="134"/>
      <c r="T348" s="134"/>
      <c r="U348" s="134"/>
      <c r="V348" s="134"/>
      <c r="W348" s="134"/>
      <c r="X348" s="134"/>
      <c r="Y348" s="134"/>
      <c r="Z348" s="134"/>
      <c r="AA348" s="134"/>
      <c r="AB348" s="134"/>
      <c r="AC348" s="134"/>
      <c r="AD348" s="134"/>
      <c r="AE348" s="134"/>
      <c r="AF348" s="134"/>
      <c r="AG348" s="134"/>
      <c r="AH348" s="134"/>
      <c r="AI348" s="134"/>
      <c r="AJ348" s="131"/>
      <c r="AK348" s="131"/>
      <c r="AL348" s="131"/>
      <c r="AM348" s="131"/>
      <c r="AN348" s="131"/>
      <c r="AO348" s="131"/>
      <c r="AP348" s="131"/>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31"/>
      <c r="B349" s="134"/>
      <c r="C349" s="134"/>
      <c r="D349" s="134"/>
      <c r="E349" s="150"/>
      <c r="F349" s="150"/>
      <c r="G349" s="150"/>
      <c r="H349" s="150"/>
      <c r="I349" s="150"/>
      <c r="J349" s="150"/>
      <c r="K349" s="150"/>
      <c r="L349" s="150"/>
      <c r="M349" s="150"/>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1"/>
      <c r="AK349" s="131"/>
      <c r="AL349" s="131"/>
      <c r="AM349" s="131"/>
      <c r="AN349" s="131"/>
      <c r="AO349" s="131"/>
      <c r="AP349" s="131"/>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31"/>
      <c r="B350" s="134"/>
      <c r="C350" s="134"/>
      <c r="D350" s="134"/>
      <c r="E350" s="150"/>
      <c r="F350" s="150"/>
      <c r="G350" s="150"/>
      <c r="H350" s="150"/>
      <c r="I350" s="150"/>
      <c r="J350" s="150"/>
      <c r="K350" s="150"/>
      <c r="L350" s="150"/>
      <c r="M350" s="150"/>
      <c r="N350" s="134"/>
      <c r="O350" s="134"/>
      <c r="P350" s="134"/>
      <c r="Q350" s="134"/>
      <c r="R350" s="134"/>
      <c r="S350" s="134"/>
      <c r="T350" s="134"/>
      <c r="U350" s="134"/>
      <c r="V350" s="134"/>
      <c r="W350" s="134"/>
      <c r="X350" s="134"/>
      <c r="Y350" s="134"/>
      <c r="Z350" s="134"/>
      <c r="AA350" s="134"/>
      <c r="AB350" s="134"/>
      <c r="AC350" s="134"/>
      <c r="AD350" s="134"/>
      <c r="AE350" s="134"/>
      <c r="AF350" s="134"/>
      <c r="AG350" s="134"/>
      <c r="AH350" s="134"/>
      <c r="AI350" s="134"/>
      <c r="AJ350" s="131"/>
      <c r="AK350" s="131"/>
      <c r="AL350" s="131"/>
      <c r="AM350" s="131"/>
      <c r="AN350" s="131"/>
      <c r="AO350" s="131"/>
      <c r="AP350" s="131"/>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31"/>
      <c r="B351" s="134"/>
      <c r="C351" s="134"/>
      <c r="D351" s="134"/>
      <c r="E351" s="150"/>
      <c r="F351" s="150"/>
      <c r="G351" s="150"/>
      <c r="H351" s="150"/>
      <c r="I351" s="150"/>
      <c r="J351" s="150"/>
      <c r="K351" s="150"/>
      <c r="L351" s="150"/>
      <c r="M351" s="150"/>
      <c r="N351" s="134"/>
      <c r="O351" s="134"/>
      <c r="P351" s="134"/>
      <c r="Q351" s="134"/>
      <c r="R351" s="134"/>
      <c r="S351" s="134"/>
      <c r="T351" s="134"/>
      <c r="U351" s="134"/>
      <c r="V351" s="134"/>
      <c r="W351" s="134"/>
      <c r="X351" s="134"/>
      <c r="Y351" s="134"/>
      <c r="Z351" s="134"/>
      <c r="AA351" s="134"/>
      <c r="AB351" s="134"/>
      <c r="AC351" s="134"/>
      <c r="AD351" s="134"/>
      <c r="AE351" s="134"/>
      <c r="AF351" s="134"/>
      <c r="AG351" s="134"/>
      <c r="AH351" s="134"/>
      <c r="AI351" s="134"/>
      <c r="AJ351" s="131"/>
      <c r="AK351" s="131"/>
      <c r="AL351" s="131"/>
      <c r="AM351" s="131"/>
      <c r="AN351" s="131"/>
      <c r="AO351" s="131"/>
      <c r="AP351" s="131"/>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31"/>
      <c r="B352" s="134"/>
      <c r="C352" s="134"/>
      <c r="D352" s="134"/>
      <c r="E352" s="150"/>
      <c r="F352" s="150"/>
      <c r="G352" s="150"/>
      <c r="H352" s="150"/>
      <c r="I352" s="150"/>
      <c r="J352" s="150"/>
      <c r="K352" s="150"/>
      <c r="L352" s="150"/>
      <c r="M352" s="150"/>
      <c r="N352" s="134"/>
      <c r="O352" s="134"/>
      <c r="P352" s="134"/>
      <c r="Q352" s="134"/>
      <c r="R352" s="134"/>
      <c r="S352" s="134"/>
      <c r="T352" s="134"/>
      <c r="U352" s="134"/>
      <c r="V352" s="134"/>
      <c r="W352" s="134"/>
      <c r="X352" s="134"/>
      <c r="Y352" s="134"/>
      <c r="Z352" s="134"/>
      <c r="AA352" s="134"/>
      <c r="AB352" s="134"/>
      <c r="AC352" s="134"/>
      <c r="AD352" s="134"/>
      <c r="AE352" s="134"/>
      <c r="AF352" s="134"/>
      <c r="AG352" s="134"/>
      <c r="AH352" s="134"/>
      <c r="AI352" s="134"/>
      <c r="AJ352" s="131"/>
      <c r="AK352" s="131"/>
      <c r="AL352" s="131"/>
      <c r="AM352" s="131"/>
      <c r="AN352" s="131"/>
      <c r="AO352" s="131"/>
      <c r="AP352" s="131"/>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31"/>
      <c r="B353" s="134"/>
      <c r="C353" s="134"/>
      <c r="D353" s="134"/>
      <c r="E353" s="150"/>
      <c r="F353" s="150"/>
      <c r="G353" s="150"/>
      <c r="H353" s="150"/>
      <c r="I353" s="150"/>
      <c r="J353" s="150"/>
      <c r="K353" s="150"/>
      <c r="L353" s="150"/>
      <c r="M353" s="150"/>
      <c r="N353" s="134"/>
      <c r="O353" s="134"/>
      <c r="P353" s="134"/>
      <c r="Q353" s="134"/>
      <c r="R353" s="134"/>
      <c r="S353" s="134"/>
      <c r="T353" s="134"/>
      <c r="U353" s="134"/>
      <c r="V353" s="134"/>
      <c r="W353" s="134"/>
      <c r="X353" s="134"/>
      <c r="Y353" s="134"/>
      <c r="Z353" s="134"/>
      <c r="AA353" s="134"/>
      <c r="AB353" s="134"/>
      <c r="AC353" s="134"/>
      <c r="AD353" s="134"/>
      <c r="AE353" s="134"/>
      <c r="AF353" s="134"/>
      <c r="AG353" s="134"/>
      <c r="AH353" s="134"/>
      <c r="AI353" s="134"/>
      <c r="AJ353" s="131"/>
      <c r="AK353" s="131"/>
      <c r="AL353" s="131"/>
      <c r="AM353" s="131"/>
      <c r="AN353" s="131"/>
      <c r="AO353" s="131"/>
      <c r="AP353" s="131"/>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31"/>
      <c r="B354" s="134"/>
      <c r="C354" s="134"/>
      <c r="D354" s="134"/>
      <c r="E354" s="150"/>
      <c r="F354" s="150"/>
      <c r="G354" s="150"/>
      <c r="H354" s="150"/>
      <c r="I354" s="150"/>
      <c r="J354" s="150"/>
      <c r="K354" s="150"/>
      <c r="L354" s="150"/>
      <c r="M354" s="150"/>
      <c r="N354" s="134"/>
      <c r="O354" s="134"/>
      <c r="P354" s="134"/>
      <c r="Q354" s="134"/>
      <c r="R354" s="134"/>
      <c r="S354" s="134"/>
      <c r="T354" s="134"/>
      <c r="U354" s="134"/>
      <c r="V354" s="134"/>
      <c r="W354" s="134"/>
      <c r="X354" s="134"/>
      <c r="Y354" s="134"/>
      <c r="Z354" s="134"/>
      <c r="AA354" s="134"/>
      <c r="AB354" s="134"/>
      <c r="AC354" s="134"/>
      <c r="AD354" s="134"/>
      <c r="AE354" s="134"/>
      <c r="AF354" s="134"/>
      <c r="AG354" s="134"/>
      <c r="AH354" s="134"/>
      <c r="AI354" s="134"/>
      <c r="AJ354" s="131"/>
      <c r="AK354" s="131"/>
      <c r="AL354" s="131"/>
      <c r="AM354" s="131"/>
      <c r="AN354" s="131"/>
      <c r="AO354" s="131"/>
      <c r="AP354" s="131"/>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31"/>
      <c r="B355" s="134"/>
      <c r="C355" s="134"/>
      <c r="D355" s="134"/>
      <c r="E355" s="150"/>
      <c r="F355" s="150"/>
      <c r="G355" s="150"/>
      <c r="H355" s="150"/>
      <c r="I355" s="150"/>
      <c r="J355" s="150"/>
      <c r="K355" s="150"/>
      <c r="L355" s="150"/>
      <c r="M355" s="150"/>
      <c r="N355" s="134"/>
      <c r="O355" s="134"/>
      <c r="P355" s="134"/>
      <c r="Q355" s="134"/>
      <c r="R355" s="134"/>
      <c r="S355" s="134"/>
      <c r="T355" s="134"/>
      <c r="U355" s="134"/>
      <c r="V355" s="134"/>
      <c r="W355" s="134"/>
      <c r="X355" s="134"/>
      <c r="Y355" s="134"/>
      <c r="Z355" s="134"/>
      <c r="AA355" s="134"/>
      <c r="AB355" s="134"/>
      <c r="AC355" s="134"/>
      <c r="AD355" s="134"/>
      <c r="AE355" s="134"/>
      <c r="AF355" s="134"/>
      <c r="AG355" s="134"/>
      <c r="AH355" s="134"/>
      <c r="AI355" s="134"/>
      <c r="AJ355" s="131"/>
      <c r="AK355" s="131"/>
      <c r="AL355" s="131"/>
      <c r="AM355" s="131"/>
      <c r="AN355" s="131"/>
      <c r="AO355" s="131"/>
      <c r="AP355" s="131"/>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31"/>
      <c r="B356" s="134"/>
      <c r="C356" s="134"/>
      <c r="D356" s="134"/>
      <c r="E356" s="150"/>
      <c r="F356" s="150"/>
      <c r="G356" s="150"/>
      <c r="H356" s="150"/>
      <c r="I356" s="150"/>
      <c r="J356" s="150"/>
      <c r="K356" s="150"/>
      <c r="L356" s="150"/>
      <c r="M356" s="150"/>
      <c r="N356" s="134"/>
      <c r="O356" s="134"/>
      <c r="P356" s="134"/>
      <c r="Q356" s="134"/>
      <c r="R356" s="134"/>
      <c r="S356" s="134"/>
      <c r="T356" s="134"/>
      <c r="U356" s="134"/>
      <c r="V356" s="134"/>
      <c r="W356" s="134"/>
      <c r="X356" s="134"/>
      <c r="Y356" s="134"/>
      <c r="Z356" s="134"/>
      <c r="AA356" s="134"/>
      <c r="AB356" s="134"/>
      <c r="AC356" s="134"/>
      <c r="AD356" s="134"/>
      <c r="AE356" s="134"/>
      <c r="AF356" s="134"/>
      <c r="AG356" s="134"/>
      <c r="AH356" s="134"/>
      <c r="AI356" s="134"/>
      <c r="AJ356" s="131"/>
      <c r="AK356" s="131"/>
      <c r="AL356" s="131"/>
      <c r="AM356" s="131"/>
      <c r="AN356" s="131"/>
      <c r="AO356" s="131"/>
      <c r="AP356" s="131"/>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31"/>
      <c r="B357" s="134"/>
      <c r="C357" s="134"/>
      <c r="D357" s="134"/>
      <c r="E357" s="150"/>
      <c r="F357" s="150"/>
      <c r="G357" s="150"/>
      <c r="H357" s="150"/>
      <c r="I357" s="150"/>
      <c r="J357" s="150"/>
      <c r="K357" s="150"/>
      <c r="L357" s="150"/>
      <c r="M357" s="150"/>
      <c r="N357" s="134"/>
      <c r="O357" s="134"/>
      <c r="P357" s="134"/>
      <c r="Q357" s="134"/>
      <c r="R357" s="134"/>
      <c r="S357" s="134"/>
      <c r="T357" s="134"/>
      <c r="U357" s="134"/>
      <c r="V357" s="134"/>
      <c r="W357" s="134"/>
      <c r="X357" s="134"/>
      <c r="Y357" s="134"/>
      <c r="Z357" s="134"/>
      <c r="AA357" s="134"/>
      <c r="AB357" s="134"/>
      <c r="AC357" s="134"/>
      <c r="AD357" s="134"/>
      <c r="AE357" s="134"/>
      <c r="AF357" s="134"/>
      <c r="AG357" s="134"/>
      <c r="AH357" s="134"/>
      <c r="AI357" s="134"/>
      <c r="AJ357" s="131"/>
      <c r="AK357" s="131"/>
      <c r="AL357" s="131"/>
      <c r="AM357" s="131"/>
      <c r="AN357" s="131"/>
      <c r="AO357" s="131"/>
      <c r="AP357" s="131"/>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31"/>
      <c r="B358" s="134"/>
      <c r="C358" s="134"/>
      <c r="D358" s="134"/>
      <c r="E358" s="150"/>
      <c r="F358" s="150"/>
      <c r="G358" s="150"/>
      <c r="H358" s="150"/>
      <c r="I358" s="150"/>
      <c r="J358" s="150"/>
      <c r="K358" s="150"/>
      <c r="L358" s="150"/>
      <c r="M358" s="150"/>
      <c r="N358" s="134"/>
      <c r="O358" s="134"/>
      <c r="P358" s="134"/>
      <c r="Q358" s="134"/>
      <c r="R358" s="134"/>
      <c r="S358" s="134"/>
      <c r="T358" s="134"/>
      <c r="U358" s="134"/>
      <c r="V358" s="134"/>
      <c r="W358" s="134"/>
      <c r="X358" s="134"/>
      <c r="Y358" s="134"/>
      <c r="Z358" s="134"/>
      <c r="AA358" s="134"/>
      <c r="AB358" s="134"/>
      <c r="AC358" s="134"/>
      <c r="AD358" s="134"/>
      <c r="AE358" s="134"/>
      <c r="AF358" s="134"/>
      <c r="AG358" s="134"/>
      <c r="AH358" s="134"/>
      <c r="AI358" s="134"/>
      <c r="AJ358" s="131"/>
      <c r="AK358" s="131"/>
      <c r="AL358" s="131"/>
      <c r="AM358" s="131"/>
      <c r="AN358" s="131"/>
      <c r="AO358" s="131"/>
      <c r="AP358" s="131"/>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31"/>
      <c r="B359" s="134"/>
      <c r="C359" s="134"/>
      <c r="D359" s="134"/>
      <c r="E359" s="150"/>
      <c r="F359" s="150"/>
      <c r="G359" s="150"/>
      <c r="H359" s="150"/>
      <c r="I359" s="150"/>
      <c r="J359" s="150"/>
      <c r="K359" s="150"/>
      <c r="L359" s="150"/>
      <c r="M359" s="150"/>
      <c r="N359" s="134"/>
      <c r="O359" s="134"/>
      <c r="P359" s="134"/>
      <c r="Q359" s="134"/>
      <c r="R359" s="134"/>
      <c r="S359" s="134"/>
      <c r="T359" s="134"/>
      <c r="U359" s="134"/>
      <c r="V359" s="134"/>
      <c r="W359" s="134"/>
      <c r="X359" s="134"/>
      <c r="Y359" s="134"/>
      <c r="Z359" s="134"/>
      <c r="AA359" s="134"/>
      <c r="AB359" s="134"/>
      <c r="AC359" s="134"/>
      <c r="AD359" s="134"/>
      <c r="AE359" s="134"/>
      <c r="AF359" s="134"/>
      <c r="AG359" s="134"/>
      <c r="AH359" s="134"/>
      <c r="AI359" s="134"/>
      <c r="AJ359" s="131"/>
      <c r="AK359" s="131"/>
      <c r="AL359" s="131"/>
      <c r="AM359" s="131"/>
      <c r="AN359" s="131"/>
      <c r="AO359" s="131"/>
      <c r="AP359" s="131"/>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31"/>
      <c r="B360" s="134"/>
      <c r="C360" s="134"/>
      <c r="D360" s="134"/>
      <c r="E360" s="150"/>
      <c r="F360" s="150"/>
      <c r="G360" s="150"/>
      <c r="H360" s="150"/>
      <c r="I360" s="150"/>
      <c r="J360" s="150"/>
      <c r="K360" s="150"/>
      <c r="L360" s="150"/>
      <c r="M360" s="150"/>
      <c r="N360" s="134"/>
      <c r="O360" s="134"/>
      <c r="P360" s="134"/>
      <c r="Q360" s="134"/>
      <c r="R360" s="134"/>
      <c r="S360" s="134"/>
      <c r="T360" s="134"/>
      <c r="U360" s="134"/>
      <c r="V360" s="134"/>
      <c r="W360" s="134"/>
      <c r="X360" s="134"/>
      <c r="Y360" s="134"/>
      <c r="Z360" s="134"/>
      <c r="AA360" s="134"/>
      <c r="AB360" s="134"/>
      <c r="AC360" s="134"/>
      <c r="AD360" s="134"/>
      <c r="AE360" s="134"/>
      <c r="AF360" s="134"/>
      <c r="AG360" s="134"/>
      <c r="AH360" s="134"/>
      <c r="AI360" s="134"/>
      <c r="AJ360" s="131"/>
      <c r="AK360" s="131"/>
      <c r="AL360" s="131"/>
      <c r="AM360" s="131"/>
      <c r="AN360" s="131"/>
      <c r="AO360" s="131"/>
      <c r="AP360" s="131"/>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31"/>
      <c r="B361" s="134"/>
      <c r="C361" s="134"/>
      <c r="D361" s="134"/>
      <c r="E361" s="150"/>
      <c r="F361" s="150"/>
      <c r="G361" s="150"/>
      <c r="H361" s="150"/>
      <c r="I361" s="150"/>
      <c r="J361" s="150"/>
      <c r="K361" s="150"/>
      <c r="L361" s="150"/>
      <c r="M361" s="150"/>
      <c r="N361" s="134"/>
      <c r="O361" s="134"/>
      <c r="P361" s="134"/>
      <c r="Q361" s="134"/>
      <c r="R361" s="134"/>
      <c r="S361" s="134"/>
      <c r="T361" s="134"/>
      <c r="U361" s="134"/>
      <c r="V361" s="134"/>
      <c r="W361" s="134"/>
      <c r="X361" s="134"/>
      <c r="Y361" s="134"/>
      <c r="Z361" s="134"/>
      <c r="AA361" s="134"/>
      <c r="AB361" s="134"/>
      <c r="AC361" s="134"/>
      <c r="AD361" s="134"/>
      <c r="AE361" s="134"/>
      <c r="AF361" s="134"/>
      <c r="AG361" s="134"/>
      <c r="AH361" s="134"/>
      <c r="AI361" s="134"/>
      <c r="AJ361" s="131"/>
      <c r="AK361" s="131"/>
      <c r="AL361" s="131"/>
      <c r="AM361" s="131"/>
      <c r="AN361" s="131"/>
      <c r="AO361" s="131"/>
      <c r="AP361" s="131"/>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31"/>
      <c r="B362" s="134"/>
      <c r="C362" s="134"/>
      <c r="D362" s="134"/>
      <c r="E362" s="150"/>
      <c r="F362" s="150"/>
      <c r="G362" s="150"/>
      <c r="H362" s="150"/>
      <c r="I362" s="150"/>
      <c r="J362" s="150"/>
      <c r="K362" s="150"/>
      <c r="L362" s="150"/>
      <c r="M362" s="150"/>
      <c r="N362" s="134"/>
      <c r="O362" s="134"/>
      <c r="P362" s="134"/>
      <c r="Q362" s="134"/>
      <c r="R362" s="134"/>
      <c r="S362" s="134"/>
      <c r="T362" s="134"/>
      <c r="U362" s="134"/>
      <c r="V362" s="134"/>
      <c r="W362" s="134"/>
      <c r="X362" s="134"/>
      <c r="Y362" s="134"/>
      <c r="Z362" s="134"/>
      <c r="AA362" s="134"/>
      <c r="AB362" s="134"/>
      <c r="AC362" s="134"/>
      <c r="AD362" s="134"/>
      <c r="AE362" s="134"/>
      <c r="AF362" s="134"/>
      <c r="AG362" s="134"/>
      <c r="AH362" s="134"/>
      <c r="AI362" s="134"/>
      <c r="AJ362" s="131"/>
      <c r="AK362" s="131"/>
      <c r="AL362" s="131"/>
      <c r="AM362" s="131"/>
      <c r="AN362" s="131"/>
      <c r="AO362" s="131"/>
      <c r="AP362" s="131"/>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31"/>
      <c r="B363" s="134"/>
      <c r="C363" s="134"/>
      <c r="D363" s="134"/>
      <c r="E363" s="150"/>
      <c r="F363" s="150"/>
      <c r="G363" s="150"/>
      <c r="H363" s="150"/>
      <c r="I363" s="150"/>
      <c r="J363" s="150"/>
      <c r="K363" s="150"/>
      <c r="L363" s="150"/>
      <c r="M363" s="150"/>
      <c r="N363" s="134"/>
      <c r="O363" s="134"/>
      <c r="P363" s="134"/>
      <c r="Q363" s="134"/>
      <c r="R363" s="134"/>
      <c r="S363" s="134"/>
      <c r="T363" s="134"/>
      <c r="U363" s="134"/>
      <c r="V363" s="134"/>
      <c r="W363" s="134"/>
      <c r="X363" s="134"/>
      <c r="Y363" s="134"/>
      <c r="Z363" s="134"/>
      <c r="AA363" s="134"/>
      <c r="AB363" s="134"/>
      <c r="AC363" s="134"/>
      <c r="AD363" s="134"/>
      <c r="AE363" s="134"/>
      <c r="AF363" s="134"/>
      <c r="AG363" s="134"/>
      <c r="AH363" s="134"/>
      <c r="AI363" s="134"/>
      <c r="AJ363" s="131"/>
      <c r="AK363" s="131"/>
      <c r="AL363" s="131"/>
      <c r="AM363" s="131"/>
      <c r="AN363" s="131"/>
      <c r="AO363" s="131"/>
      <c r="AP363" s="131"/>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31"/>
      <c r="B364" s="134"/>
      <c r="C364" s="134"/>
      <c r="D364" s="134"/>
      <c r="E364" s="150"/>
      <c r="F364" s="150"/>
      <c r="G364" s="150"/>
      <c r="H364" s="150"/>
      <c r="I364" s="150"/>
      <c r="J364" s="150"/>
      <c r="K364" s="150"/>
      <c r="L364" s="150"/>
      <c r="M364" s="150"/>
      <c r="N364" s="134"/>
      <c r="O364" s="134"/>
      <c r="P364" s="134"/>
      <c r="Q364" s="134"/>
      <c r="R364" s="134"/>
      <c r="S364" s="134"/>
      <c r="T364" s="134"/>
      <c r="U364" s="134"/>
      <c r="V364" s="134"/>
      <c r="W364" s="134"/>
      <c r="X364" s="134"/>
      <c r="Y364" s="134"/>
      <c r="Z364" s="134"/>
      <c r="AA364" s="134"/>
      <c r="AB364" s="134"/>
      <c r="AC364" s="134"/>
      <c r="AD364" s="134"/>
      <c r="AE364" s="134"/>
      <c r="AF364" s="134"/>
      <c r="AG364" s="134"/>
      <c r="AH364" s="134"/>
      <c r="AI364" s="134"/>
      <c r="AJ364" s="131"/>
      <c r="AK364" s="131"/>
      <c r="AL364" s="131"/>
      <c r="AM364" s="131"/>
      <c r="AN364" s="131"/>
      <c r="AO364" s="131"/>
      <c r="AP364" s="131"/>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31"/>
      <c r="B365" s="134"/>
      <c r="C365" s="134"/>
      <c r="D365" s="134"/>
      <c r="E365" s="150"/>
      <c r="F365" s="150"/>
      <c r="G365" s="150"/>
      <c r="H365" s="150"/>
      <c r="I365" s="150"/>
      <c r="J365" s="150"/>
      <c r="K365" s="150"/>
      <c r="L365" s="150"/>
      <c r="M365" s="150"/>
      <c r="N365" s="134"/>
      <c r="O365" s="134"/>
      <c r="P365" s="134"/>
      <c r="Q365" s="134"/>
      <c r="R365" s="134"/>
      <c r="S365" s="134"/>
      <c r="T365" s="134"/>
      <c r="U365" s="134"/>
      <c r="V365" s="134"/>
      <c r="W365" s="134"/>
      <c r="X365" s="134"/>
      <c r="Y365" s="134"/>
      <c r="Z365" s="134"/>
      <c r="AA365" s="134"/>
      <c r="AB365" s="134"/>
      <c r="AC365" s="134"/>
      <c r="AD365" s="134"/>
      <c r="AE365" s="134"/>
      <c r="AF365" s="134"/>
      <c r="AG365" s="134"/>
      <c r="AH365" s="134"/>
      <c r="AI365" s="134"/>
      <c r="AJ365" s="131"/>
      <c r="AK365" s="131"/>
      <c r="AL365" s="131"/>
      <c r="AM365" s="131"/>
      <c r="AN365" s="131"/>
      <c r="AO365" s="131"/>
      <c r="AP365" s="131"/>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31"/>
      <c r="B366" s="134"/>
      <c r="C366" s="134"/>
      <c r="D366" s="134"/>
      <c r="E366" s="150"/>
      <c r="F366" s="150"/>
      <c r="G366" s="150"/>
      <c r="H366" s="150"/>
      <c r="I366" s="150"/>
      <c r="J366" s="150"/>
      <c r="K366" s="150"/>
      <c r="L366" s="150"/>
      <c r="M366" s="150"/>
      <c r="N366" s="134"/>
      <c r="O366" s="134"/>
      <c r="P366" s="134"/>
      <c r="Q366" s="134"/>
      <c r="R366" s="134"/>
      <c r="S366" s="134"/>
      <c r="T366" s="134"/>
      <c r="U366" s="134"/>
      <c r="V366" s="134"/>
      <c r="W366" s="134"/>
      <c r="X366" s="134"/>
      <c r="Y366" s="134"/>
      <c r="Z366" s="134"/>
      <c r="AA366" s="134"/>
      <c r="AB366" s="134"/>
      <c r="AC366" s="134"/>
      <c r="AD366" s="134"/>
      <c r="AE366" s="134"/>
      <c r="AF366" s="134"/>
      <c r="AG366" s="134"/>
      <c r="AH366" s="134"/>
      <c r="AI366" s="134"/>
      <c r="AJ366" s="131"/>
      <c r="AK366" s="131"/>
      <c r="AL366" s="131"/>
      <c r="AM366" s="131"/>
      <c r="AN366" s="131"/>
      <c r="AO366" s="131"/>
      <c r="AP366" s="131"/>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31"/>
      <c r="B367" s="134"/>
      <c r="C367" s="134"/>
      <c r="D367" s="134"/>
      <c r="E367" s="150"/>
      <c r="F367" s="150"/>
      <c r="G367" s="150"/>
      <c r="H367" s="150"/>
      <c r="I367" s="150"/>
      <c r="J367" s="150"/>
      <c r="K367" s="150"/>
      <c r="L367" s="150"/>
      <c r="M367" s="150"/>
      <c r="N367" s="134"/>
      <c r="O367" s="134"/>
      <c r="P367" s="134"/>
      <c r="Q367" s="134"/>
      <c r="R367" s="134"/>
      <c r="S367" s="134"/>
      <c r="T367" s="134"/>
      <c r="U367" s="134"/>
      <c r="V367" s="134"/>
      <c r="W367" s="134"/>
      <c r="X367" s="134"/>
      <c r="Y367" s="134"/>
      <c r="Z367" s="134"/>
      <c r="AA367" s="134"/>
      <c r="AB367" s="134"/>
      <c r="AC367" s="134"/>
      <c r="AD367" s="134"/>
      <c r="AE367" s="134"/>
      <c r="AF367" s="134"/>
      <c r="AG367" s="134"/>
      <c r="AH367" s="134"/>
      <c r="AI367" s="134"/>
      <c r="AJ367" s="131"/>
      <c r="AK367" s="131"/>
      <c r="AL367" s="131"/>
      <c r="AM367" s="131"/>
      <c r="AN367" s="131"/>
      <c r="AO367" s="131"/>
      <c r="AP367" s="131"/>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31"/>
      <c r="B368" s="134"/>
      <c r="C368" s="134"/>
      <c r="D368" s="134"/>
      <c r="E368" s="150"/>
      <c r="F368" s="150"/>
      <c r="G368" s="150"/>
      <c r="H368" s="150"/>
      <c r="I368" s="150"/>
      <c r="J368" s="150"/>
      <c r="K368" s="150"/>
      <c r="L368" s="150"/>
      <c r="M368" s="150"/>
      <c r="N368" s="134"/>
      <c r="O368" s="134"/>
      <c r="P368" s="134"/>
      <c r="Q368" s="134"/>
      <c r="R368" s="134"/>
      <c r="S368" s="134"/>
      <c r="T368" s="134"/>
      <c r="U368" s="134"/>
      <c r="V368" s="134"/>
      <c r="W368" s="134"/>
      <c r="X368" s="134"/>
      <c r="Y368" s="134"/>
      <c r="Z368" s="134"/>
      <c r="AA368" s="134"/>
      <c r="AB368" s="134"/>
      <c r="AC368" s="134"/>
      <c r="AD368" s="134"/>
      <c r="AE368" s="134"/>
      <c r="AF368" s="134"/>
      <c r="AG368" s="134"/>
      <c r="AH368" s="134"/>
      <c r="AI368" s="134"/>
      <c r="AJ368" s="131"/>
      <c r="AK368" s="131"/>
      <c r="AL368" s="131"/>
      <c r="AM368" s="131"/>
      <c r="AN368" s="131"/>
      <c r="AO368" s="131"/>
      <c r="AP368" s="131"/>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31"/>
      <c r="B369" s="134"/>
      <c r="C369" s="134"/>
      <c r="D369" s="134"/>
      <c r="E369" s="150"/>
      <c r="F369" s="150"/>
      <c r="G369" s="150"/>
      <c r="H369" s="150"/>
      <c r="I369" s="150"/>
      <c r="J369" s="150"/>
      <c r="K369" s="150"/>
      <c r="L369" s="150"/>
      <c r="M369" s="150"/>
      <c r="N369" s="134"/>
      <c r="O369" s="134"/>
      <c r="P369" s="134"/>
      <c r="Q369" s="134"/>
      <c r="R369" s="134"/>
      <c r="S369" s="134"/>
      <c r="T369" s="134"/>
      <c r="U369" s="134"/>
      <c r="V369" s="134"/>
      <c r="W369" s="134"/>
      <c r="X369" s="134"/>
      <c r="Y369" s="134"/>
      <c r="Z369" s="134"/>
      <c r="AA369" s="134"/>
      <c r="AB369" s="134"/>
      <c r="AC369" s="134"/>
      <c r="AD369" s="134"/>
      <c r="AE369" s="134"/>
      <c r="AF369" s="134"/>
      <c r="AG369" s="134"/>
      <c r="AH369" s="134"/>
      <c r="AI369" s="134"/>
      <c r="AJ369" s="131"/>
      <c r="AK369" s="131"/>
      <c r="AL369" s="131"/>
      <c r="AM369" s="131"/>
      <c r="AN369" s="131"/>
      <c r="AO369" s="131"/>
      <c r="AP369" s="131"/>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31"/>
      <c r="B370" s="134"/>
      <c r="C370" s="134"/>
      <c r="D370" s="134"/>
      <c r="E370" s="150"/>
      <c r="F370" s="150"/>
      <c r="G370" s="150"/>
      <c r="H370" s="150"/>
      <c r="I370" s="150"/>
      <c r="J370" s="150"/>
      <c r="K370" s="150"/>
      <c r="L370" s="150"/>
      <c r="M370" s="150"/>
      <c r="N370" s="134"/>
      <c r="O370" s="134"/>
      <c r="P370" s="134"/>
      <c r="Q370" s="134"/>
      <c r="R370" s="134"/>
      <c r="S370" s="134"/>
      <c r="T370" s="134"/>
      <c r="U370" s="134"/>
      <c r="V370" s="134"/>
      <c r="W370" s="134"/>
      <c r="X370" s="134"/>
      <c r="Y370" s="134"/>
      <c r="Z370" s="134"/>
      <c r="AA370" s="134"/>
      <c r="AB370" s="134"/>
      <c r="AC370" s="134"/>
      <c r="AD370" s="134"/>
      <c r="AE370" s="134"/>
      <c r="AF370" s="134"/>
      <c r="AG370" s="134"/>
      <c r="AH370" s="134"/>
      <c r="AI370" s="134"/>
      <c r="AJ370" s="131"/>
      <c r="AK370" s="131"/>
      <c r="AL370" s="131"/>
      <c r="AM370" s="131"/>
      <c r="AN370" s="131"/>
      <c r="AO370" s="131"/>
      <c r="AP370" s="131"/>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31"/>
      <c r="B371" s="134"/>
      <c r="C371" s="134"/>
      <c r="D371" s="134"/>
      <c r="E371" s="150"/>
      <c r="F371" s="150"/>
      <c r="G371" s="150"/>
      <c r="H371" s="150"/>
      <c r="I371" s="150"/>
      <c r="J371" s="150"/>
      <c r="K371" s="150"/>
      <c r="L371" s="150"/>
      <c r="M371" s="150"/>
      <c r="N371" s="134"/>
      <c r="O371" s="134"/>
      <c r="P371" s="134"/>
      <c r="Q371" s="134"/>
      <c r="R371" s="134"/>
      <c r="S371" s="134"/>
      <c r="T371" s="134"/>
      <c r="U371" s="134"/>
      <c r="V371" s="134"/>
      <c r="W371" s="134"/>
      <c r="X371" s="134"/>
      <c r="Y371" s="134"/>
      <c r="Z371" s="134"/>
      <c r="AA371" s="134"/>
      <c r="AB371" s="134"/>
      <c r="AC371" s="134"/>
      <c r="AD371" s="134"/>
      <c r="AE371" s="134"/>
      <c r="AF371" s="134"/>
      <c r="AG371" s="134"/>
      <c r="AH371" s="134"/>
      <c r="AI371" s="134"/>
      <c r="AJ371" s="131"/>
      <c r="AK371" s="131"/>
      <c r="AL371" s="131"/>
      <c r="AM371" s="131"/>
      <c r="AN371" s="131"/>
      <c r="AO371" s="131"/>
      <c r="AP371" s="131"/>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31"/>
      <c r="B372" s="134"/>
      <c r="C372" s="134"/>
      <c r="D372" s="134"/>
      <c r="E372" s="150"/>
      <c r="F372" s="150"/>
      <c r="G372" s="150"/>
      <c r="H372" s="150"/>
      <c r="I372" s="150"/>
      <c r="J372" s="150"/>
      <c r="K372" s="150"/>
      <c r="L372" s="150"/>
      <c r="M372" s="150"/>
      <c r="N372" s="134"/>
      <c r="O372" s="134"/>
      <c r="P372" s="134"/>
      <c r="Q372" s="134"/>
      <c r="R372" s="134"/>
      <c r="S372" s="134"/>
      <c r="T372" s="134"/>
      <c r="U372" s="134"/>
      <c r="V372" s="134"/>
      <c r="W372" s="134"/>
      <c r="X372" s="134"/>
      <c r="Y372" s="134"/>
      <c r="Z372" s="134"/>
      <c r="AA372" s="134"/>
      <c r="AB372" s="134"/>
      <c r="AC372" s="134"/>
      <c r="AD372" s="134"/>
      <c r="AE372" s="134"/>
      <c r="AF372" s="134"/>
      <c r="AG372" s="134"/>
      <c r="AH372" s="134"/>
      <c r="AI372" s="134"/>
      <c r="AJ372" s="131"/>
      <c r="AK372" s="131"/>
      <c r="AL372" s="131"/>
      <c r="AM372" s="131"/>
      <c r="AN372" s="131"/>
      <c r="AO372" s="131"/>
      <c r="AP372" s="131"/>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31"/>
      <c r="B373" s="134"/>
      <c r="C373" s="134"/>
      <c r="D373" s="134"/>
      <c r="E373" s="150"/>
      <c r="F373" s="150"/>
      <c r="G373" s="150"/>
      <c r="H373" s="150"/>
      <c r="I373" s="150"/>
      <c r="J373" s="150"/>
      <c r="K373" s="150"/>
      <c r="L373" s="150"/>
      <c r="M373" s="150"/>
      <c r="N373" s="134"/>
      <c r="O373" s="134"/>
      <c r="P373" s="134"/>
      <c r="Q373" s="134"/>
      <c r="R373" s="134"/>
      <c r="S373" s="134"/>
      <c r="T373" s="134"/>
      <c r="U373" s="134"/>
      <c r="V373" s="134"/>
      <c r="W373" s="134"/>
      <c r="X373" s="134"/>
      <c r="Y373" s="134"/>
      <c r="Z373" s="134"/>
      <c r="AA373" s="134"/>
      <c r="AB373" s="134"/>
      <c r="AC373" s="134"/>
      <c r="AD373" s="134"/>
      <c r="AE373" s="134"/>
      <c r="AF373" s="134"/>
      <c r="AG373" s="134"/>
      <c r="AH373" s="134"/>
      <c r="AI373" s="134"/>
      <c r="AJ373" s="131"/>
      <c r="AK373" s="131"/>
      <c r="AL373" s="131"/>
      <c r="AM373" s="131"/>
      <c r="AN373" s="131"/>
      <c r="AO373" s="131"/>
      <c r="AP373" s="131"/>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31"/>
      <c r="B374" s="134"/>
      <c r="C374" s="134"/>
      <c r="D374" s="134"/>
      <c r="E374" s="150"/>
      <c r="F374" s="150"/>
      <c r="G374" s="150"/>
      <c r="H374" s="150"/>
      <c r="I374" s="150"/>
      <c r="J374" s="150"/>
      <c r="K374" s="150"/>
      <c r="L374" s="150"/>
      <c r="M374" s="150"/>
      <c r="N374" s="134"/>
      <c r="O374" s="134"/>
      <c r="P374" s="134"/>
      <c r="Q374" s="134"/>
      <c r="R374" s="134"/>
      <c r="S374" s="134"/>
      <c r="T374" s="134"/>
      <c r="U374" s="134"/>
      <c r="V374" s="134"/>
      <c r="W374" s="134"/>
      <c r="X374" s="134"/>
      <c r="Y374" s="134"/>
      <c r="Z374" s="134"/>
      <c r="AA374" s="134"/>
      <c r="AB374" s="134"/>
      <c r="AC374" s="134"/>
      <c r="AD374" s="134"/>
      <c r="AE374" s="134"/>
      <c r="AF374" s="134"/>
      <c r="AG374" s="134"/>
      <c r="AH374" s="134"/>
      <c r="AI374" s="134"/>
      <c r="AJ374" s="131"/>
      <c r="AK374" s="131"/>
      <c r="AL374" s="131"/>
      <c r="AM374" s="131"/>
      <c r="AN374" s="131"/>
      <c r="AO374" s="131"/>
      <c r="AP374" s="131"/>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31"/>
      <c r="B375" s="134"/>
      <c r="C375" s="134"/>
      <c r="D375" s="134"/>
      <c r="E375" s="150"/>
      <c r="F375" s="150"/>
      <c r="G375" s="150"/>
      <c r="H375" s="150"/>
      <c r="I375" s="150"/>
      <c r="J375" s="150"/>
      <c r="K375" s="150"/>
      <c r="L375" s="150"/>
      <c r="M375" s="150"/>
      <c r="N375" s="134"/>
      <c r="O375" s="134"/>
      <c r="P375" s="134"/>
      <c r="Q375" s="134"/>
      <c r="R375" s="134"/>
      <c r="S375" s="134"/>
      <c r="T375" s="134"/>
      <c r="U375" s="134"/>
      <c r="V375" s="134"/>
      <c r="W375" s="134"/>
      <c r="X375" s="134"/>
      <c r="Y375" s="134"/>
      <c r="Z375" s="134"/>
      <c r="AA375" s="134"/>
      <c r="AB375" s="134"/>
      <c r="AC375" s="134"/>
      <c r="AD375" s="134"/>
      <c r="AE375" s="134"/>
      <c r="AF375" s="134"/>
      <c r="AG375" s="134"/>
      <c r="AH375" s="134"/>
      <c r="AI375" s="134"/>
      <c r="AJ375" s="131"/>
      <c r="AK375" s="131"/>
      <c r="AL375" s="131"/>
      <c r="AM375" s="131"/>
      <c r="AN375" s="131"/>
      <c r="AO375" s="131"/>
      <c r="AP375" s="131"/>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31"/>
      <c r="B376" s="134"/>
      <c r="C376" s="134"/>
      <c r="D376" s="134"/>
      <c r="E376" s="150"/>
      <c r="F376" s="150"/>
      <c r="G376" s="150"/>
      <c r="H376" s="150"/>
      <c r="I376" s="150"/>
      <c r="J376" s="150"/>
      <c r="K376" s="150"/>
      <c r="L376" s="150"/>
      <c r="M376" s="150"/>
      <c r="N376" s="134"/>
      <c r="O376" s="134"/>
      <c r="P376" s="134"/>
      <c r="Q376" s="134"/>
      <c r="R376" s="134"/>
      <c r="S376" s="134"/>
      <c r="T376" s="134"/>
      <c r="U376" s="134"/>
      <c r="V376" s="134"/>
      <c r="W376" s="134"/>
      <c r="X376" s="134"/>
      <c r="Y376" s="134"/>
      <c r="Z376" s="134"/>
      <c r="AA376" s="134"/>
      <c r="AB376" s="134"/>
      <c r="AC376" s="134"/>
      <c r="AD376" s="134"/>
      <c r="AE376" s="134"/>
      <c r="AF376" s="134"/>
      <c r="AG376" s="134"/>
      <c r="AH376" s="134"/>
      <c r="AI376" s="134"/>
      <c r="AJ376" s="131"/>
      <c r="AK376" s="131"/>
      <c r="AL376" s="131"/>
      <c r="AM376" s="131"/>
      <c r="AN376" s="131"/>
      <c r="AO376" s="131"/>
      <c r="AP376" s="131"/>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31"/>
      <c r="B377" s="134"/>
      <c r="C377" s="134"/>
      <c r="D377" s="134"/>
      <c r="E377" s="150"/>
      <c r="F377" s="150"/>
      <c r="G377" s="150"/>
      <c r="H377" s="150"/>
      <c r="I377" s="150"/>
      <c r="J377" s="150"/>
      <c r="K377" s="150"/>
      <c r="L377" s="150"/>
      <c r="M377" s="150"/>
      <c r="N377" s="134"/>
      <c r="O377" s="134"/>
      <c r="P377" s="134"/>
      <c r="Q377" s="134"/>
      <c r="R377" s="134"/>
      <c r="S377" s="134"/>
      <c r="T377" s="134"/>
      <c r="U377" s="134"/>
      <c r="V377" s="134"/>
      <c r="W377" s="134"/>
      <c r="X377" s="134"/>
      <c r="Y377" s="134"/>
      <c r="Z377" s="134"/>
      <c r="AA377" s="134"/>
      <c r="AB377" s="134"/>
      <c r="AC377" s="134"/>
      <c r="AD377" s="134"/>
      <c r="AE377" s="134"/>
      <c r="AF377" s="134"/>
      <c r="AG377" s="134"/>
      <c r="AH377" s="134"/>
      <c r="AI377" s="134"/>
      <c r="AJ377" s="131"/>
      <c r="AK377" s="131"/>
      <c r="AL377" s="131"/>
      <c r="AM377" s="131"/>
      <c r="AN377" s="131"/>
      <c r="AO377" s="131"/>
      <c r="AP377" s="131"/>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31"/>
      <c r="B378" s="134"/>
      <c r="C378" s="134"/>
      <c r="D378" s="134"/>
      <c r="E378" s="150"/>
      <c r="F378" s="150"/>
      <c r="G378" s="150"/>
      <c r="H378" s="150"/>
      <c r="I378" s="150"/>
      <c r="J378" s="150"/>
      <c r="K378" s="150"/>
      <c r="L378" s="150"/>
      <c r="M378" s="150"/>
      <c r="N378" s="134"/>
      <c r="O378" s="134"/>
      <c r="P378" s="134"/>
      <c r="Q378" s="134"/>
      <c r="R378" s="134"/>
      <c r="S378" s="134"/>
      <c r="T378" s="134"/>
      <c r="U378" s="134"/>
      <c r="V378" s="134"/>
      <c r="W378" s="134"/>
      <c r="X378" s="134"/>
      <c r="Y378" s="134"/>
      <c r="Z378" s="134"/>
      <c r="AA378" s="134"/>
      <c r="AB378" s="134"/>
      <c r="AC378" s="134"/>
      <c r="AD378" s="134"/>
      <c r="AE378" s="134"/>
      <c r="AF378" s="134"/>
      <c r="AG378" s="134"/>
      <c r="AH378" s="134"/>
      <c r="AI378" s="134"/>
      <c r="AJ378" s="131"/>
      <c r="AK378" s="131"/>
      <c r="AL378" s="131"/>
      <c r="AM378" s="131"/>
      <c r="AN378" s="131"/>
      <c r="AO378" s="131"/>
      <c r="AP378" s="131"/>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31"/>
      <c r="B379" s="134"/>
      <c r="C379" s="134"/>
      <c r="D379" s="134"/>
      <c r="E379" s="150"/>
      <c r="F379" s="150"/>
      <c r="G379" s="150"/>
      <c r="H379" s="150"/>
      <c r="I379" s="150"/>
      <c r="J379" s="150"/>
      <c r="K379" s="150"/>
      <c r="L379" s="150"/>
      <c r="M379" s="150"/>
      <c r="N379" s="134"/>
      <c r="O379" s="134"/>
      <c r="P379" s="134"/>
      <c r="Q379" s="134"/>
      <c r="R379" s="134"/>
      <c r="S379" s="134"/>
      <c r="T379" s="134"/>
      <c r="U379" s="134"/>
      <c r="V379" s="134"/>
      <c r="W379" s="134"/>
      <c r="X379" s="134"/>
      <c r="Y379" s="134"/>
      <c r="Z379" s="134"/>
      <c r="AA379" s="134"/>
      <c r="AB379" s="134"/>
      <c r="AC379" s="134"/>
      <c r="AD379" s="134"/>
      <c r="AE379" s="134"/>
      <c r="AF379" s="134"/>
      <c r="AG379" s="134"/>
      <c r="AH379" s="134"/>
      <c r="AI379" s="134"/>
      <c r="AJ379" s="131"/>
      <c r="AK379" s="131"/>
      <c r="AL379" s="131"/>
      <c r="AM379" s="131"/>
      <c r="AN379" s="131"/>
      <c r="AO379" s="131"/>
      <c r="AP379" s="131"/>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31"/>
      <c r="B380" s="134"/>
      <c r="C380" s="134"/>
      <c r="D380" s="134"/>
      <c r="E380" s="150"/>
      <c r="F380" s="150"/>
      <c r="G380" s="150"/>
      <c r="H380" s="150"/>
      <c r="I380" s="150"/>
      <c r="J380" s="150"/>
      <c r="K380" s="150"/>
      <c r="L380" s="150"/>
      <c r="M380" s="150"/>
      <c r="N380" s="134"/>
      <c r="O380" s="134"/>
      <c r="P380" s="134"/>
      <c r="Q380" s="134"/>
      <c r="R380" s="134"/>
      <c r="S380" s="134"/>
      <c r="T380" s="134"/>
      <c r="U380" s="134"/>
      <c r="V380" s="134"/>
      <c r="W380" s="134"/>
      <c r="X380" s="134"/>
      <c r="Y380" s="134"/>
      <c r="Z380" s="134"/>
      <c r="AA380" s="134"/>
      <c r="AB380" s="134"/>
      <c r="AC380" s="134"/>
      <c r="AD380" s="134"/>
      <c r="AE380" s="134"/>
      <c r="AF380" s="134"/>
      <c r="AG380" s="134"/>
      <c r="AH380" s="134"/>
      <c r="AI380" s="134"/>
      <c r="AJ380" s="131"/>
      <c r="AK380" s="131"/>
      <c r="AL380" s="131"/>
      <c r="AM380" s="131"/>
      <c r="AN380" s="131"/>
      <c r="AO380" s="131"/>
      <c r="AP380" s="131"/>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31"/>
      <c r="B381" s="134"/>
      <c r="C381" s="134"/>
      <c r="D381" s="134"/>
      <c r="E381" s="150"/>
      <c r="F381" s="150"/>
      <c r="G381" s="150"/>
      <c r="H381" s="150"/>
      <c r="I381" s="150"/>
      <c r="J381" s="150"/>
      <c r="K381" s="150"/>
      <c r="L381" s="150"/>
      <c r="M381" s="150"/>
      <c r="N381" s="134"/>
      <c r="O381" s="134"/>
      <c r="P381" s="134"/>
      <c r="Q381" s="134"/>
      <c r="R381" s="134"/>
      <c r="S381" s="134"/>
      <c r="T381" s="134"/>
      <c r="U381" s="134"/>
      <c r="V381" s="134"/>
      <c r="W381" s="134"/>
      <c r="X381" s="134"/>
      <c r="Y381" s="134"/>
      <c r="Z381" s="134"/>
      <c r="AA381" s="134"/>
      <c r="AB381" s="134"/>
      <c r="AC381" s="134"/>
      <c r="AD381" s="134"/>
      <c r="AE381" s="134"/>
      <c r="AF381" s="134"/>
      <c r="AG381" s="134"/>
      <c r="AH381" s="134"/>
      <c r="AI381" s="134"/>
      <c r="AJ381" s="131"/>
      <c r="AK381" s="131"/>
      <c r="AL381" s="131"/>
      <c r="AM381" s="131"/>
      <c r="AN381" s="131"/>
      <c r="AO381" s="131"/>
      <c r="AP381" s="131"/>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31"/>
      <c r="B382" s="134"/>
      <c r="C382" s="134"/>
      <c r="D382" s="134"/>
      <c r="E382" s="150"/>
      <c r="F382" s="150"/>
      <c r="G382" s="150"/>
      <c r="H382" s="150"/>
      <c r="I382" s="150"/>
      <c r="J382" s="150"/>
      <c r="K382" s="150"/>
      <c r="L382" s="150"/>
      <c r="M382" s="150"/>
      <c r="N382" s="134"/>
      <c r="O382" s="134"/>
      <c r="P382" s="134"/>
      <c r="Q382" s="134"/>
      <c r="R382" s="134"/>
      <c r="S382" s="134"/>
      <c r="T382" s="134"/>
      <c r="U382" s="134"/>
      <c r="V382" s="134"/>
      <c r="W382" s="134"/>
      <c r="X382" s="134"/>
      <c r="Y382" s="134"/>
      <c r="Z382" s="134"/>
      <c r="AA382" s="134"/>
      <c r="AB382" s="134"/>
      <c r="AC382" s="134"/>
      <c r="AD382" s="134"/>
      <c r="AE382" s="134"/>
      <c r="AF382" s="134"/>
      <c r="AG382" s="134"/>
      <c r="AH382" s="134"/>
      <c r="AI382" s="134"/>
      <c r="AJ382" s="131"/>
      <c r="AK382" s="131"/>
      <c r="AL382" s="131"/>
      <c r="AM382" s="131"/>
      <c r="AN382" s="131"/>
      <c r="AO382" s="131"/>
      <c r="AP382" s="131"/>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31"/>
      <c r="B383" s="134"/>
      <c r="C383" s="134"/>
      <c r="D383" s="134"/>
      <c r="E383" s="150"/>
      <c r="F383" s="150"/>
      <c r="G383" s="150"/>
      <c r="H383" s="150"/>
      <c r="I383" s="150"/>
      <c r="J383" s="150"/>
      <c r="K383" s="150"/>
      <c r="L383" s="150"/>
      <c r="M383" s="150"/>
      <c r="N383" s="134"/>
      <c r="O383" s="134"/>
      <c r="P383" s="134"/>
      <c r="Q383" s="134"/>
      <c r="R383" s="134"/>
      <c r="S383" s="134"/>
      <c r="T383" s="134"/>
      <c r="U383" s="134"/>
      <c r="V383" s="134"/>
      <c r="W383" s="134"/>
      <c r="X383" s="134"/>
      <c r="Y383" s="134"/>
      <c r="Z383" s="134"/>
      <c r="AA383" s="134"/>
      <c r="AB383" s="134"/>
      <c r="AC383" s="134"/>
      <c r="AD383" s="134"/>
      <c r="AE383" s="134"/>
      <c r="AF383" s="134"/>
      <c r="AG383" s="134"/>
      <c r="AH383" s="134"/>
      <c r="AI383" s="134"/>
      <c r="AJ383" s="131"/>
      <c r="AK383" s="131"/>
      <c r="AL383" s="131"/>
      <c r="AM383" s="131"/>
      <c r="AN383" s="131"/>
      <c r="AO383" s="131"/>
      <c r="AP383" s="131"/>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31"/>
      <c r="B384" s="134"/>
      <c r="C384" s="134"/>
      <c r="D384" s="134"/>
      <c r="E384" s="150"/>
      <c r="F384" s="150"/>
      <c r="G384" s="150"/>
      <c r="H384" s="150"/>
      <c r="I384" s="150"/>
      <c r="J384" s="150"/>
      <c r="K384" s="150"/>
      <c r="L384" s="150"/>
      <c r="M384" s="150"/>
      <c r="N384" s="134"/>
      <c r="O384" s="134"/>
      <c r="P384" s="134"/>
      <c r="Q384" s="134"/>
      <c r="R384" s="134"/>
      <c r="S384" s="134"/>
      <c r="T384" s="134"/>
      <c r="U384" s="134"/>
      <c r="V384" s="134"/>
      <c r="W384" s="134"/>
      <c r="X384" s="134"/>
      <c r="Y384" s="134"/>
      <c r="Z384" s="134"/>
      <c r="AA384" s="134"/>
      <c r="AB384" s="134"/>
      <c r="AC384" s="134"/>
      <c r="AD384" s="134"/>
      <c r="AE384" s="134"/>
      <c r="AF384" s="134"/>
      <c r="AG384" s="134"/>
      <c r="AH384" s="134"/>
      <c r="AI384" s="134"/>
      <c r="AJ384" s="131"/>
      <c r="AK384" s="131"/>
      <c r="AL384" s="131"/>
      <c r="AM384" s="131"/>
      <c r="AN384" s="131"/>
      <c r="AO384" s="131"/>
      <c r="AP384" s="131"/>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31"/>
      <c r="B385" s="134"/>
      <c r="C385" s="134"/>
      <c r="D385" s="134"/>
      <c r="E385" s="150"/>
      <c r="F385" s="150"/>
      <c r="G385" s="150"/>
      <c r="H385" s="150"/>
      <c r="I385" s="150"/>
      <c r="J385" s="150"/>
      <c r="K385" s="150"/>
      <c r="L385" s="150"/>
      <c r="M385" s="150"/>
      <c r="N385" s="134"/>
      <c r="O385" s="134"/>
      <c r="P385" s="134"/>
      <c r="Q385" s="134"/>
      <c r="R385" s="134"/>
      <c r="S385" s="134"/>
      <c r="T385" s="134"/>
      <c r="U385" s="134"/>
      <c r="V385" s="134"/>
      <c r="W385" s="134"/>
      <c r="X385" s="134"/>
      <c r="Y385" s="134"/>
      <c r="Z385" s="134"/>
      <c r="AA385" s="134"/>
      <c r="AB385" s="134"/>
      <c r="AC385" s="134"/>
      <c r="AD385" s="134"/>
      <c r="AE385" s="134"/>
      <c r="AF385" s="134"/>
      <c r="AG385" s="134"/>
      <c r="AH385" s="134"/>
      <c r="AI385" s="134"/>
      <c r="AJ385" s="131"/>
      <c r="AK385" s="131"/>
      <c r="AL385" s="131"/>
      <c r="AM385" s="131"/>
      <c r="AN385" s="131"/>
      <c r="AO385" s="131"/>
      <c r="AP385" s="131"/>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31"/>
      <c r="B386" s="134"/>
      <c r="C386" s="134"/>
      <c r="D386" s="134"/>
      <c r="E386" s="150"/>
      <c r="F386" s="150"/>
      <c r="G386" s="150"/>
      <c r="H386" s="150"/>
      <c r="I386" s="150"/>
      <c r="J386" s="150"/>
      <c r="K386" s="150"/>
      <c r="L386" s="150"/>
      <c r="M386" s="150"/>
      <c r="N386" s="134"/>
      <c r="O386" s="134"/>
      <c r="P386" s="134"/>
      <c r="Q386" s="134"/>
      <c r="R386" s="134"/>
      <c r="S386" s="134"/>
      <c r="T386" s="134"/>
      <c r="U386" s="134"/>
      <c r="V386" s="134"/>
      <c r="W386" s="134"/>
      <c r="X386" s="134"/>
      <c r="Y386" s="134"/>
      <c r="Z386" s="134"/>
      <c r="AA386" s="134"/>
      <c r="AB386" s="134"/>
      <c r="AC386" s="134"/>
      <c r="AD386" s="134"/>
      <c r="AE386" s="134"/>
      <c r="AF386" s="134"/>
      <c r="AG386" s="134"/>
      <c r="AH386" s="134"/>
      <c r="AI386" s="134"/>
      <c r="AJ386" s="131"/>
      <c r="AK386" s="131"/>
      <c r="AL386" s="131"/>
      <c r="AM386" s="131"/>
      <c r="AN386" s="131"/>
      <c r="AO386" s="131"/>
      <c r="AP386" s="131"/>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31"/>
      <c r="B387" s="134"/>
      <c r="C387" s="134"/>
      <c r="D387" s="134"/>
      <c r="E387" s="150"/>
      <c r="F387" s="150"/>
      <c r="G387" s="150"/>
      <c r="H387" s="150"/>
      <c r="I387" s="150"/>
      <c r="J387" s="150"/>
      <c r="K387" s="150"/>
      <c r="L387" s="150"/>
      <c r="M387" s="150"/>
      <c r="N387" s="134"/>
      <c r="O387" s="134"/>
      <c r="P387" s="134"/>
      <c r="Q387" s="134"/>
      <c r="R387" s="134"/>
      <c r="S387" s="134"/>
      <c r="T387" s="134"/>
      <c r="U387" s="134"/>
      <c r="V387" s="134"/>
      <c r="W387" s="134"/>
      <c r="X387" s="134"/>
      <c r="Y387" s="134"/>
      <c r="Z387" s="134"/>
      <c r="AA387" s="134"/>
      <c r="AB387" s="134"/>
      <c r="AC387" s="134"/>
      <c r="AD387" s="134"/>
      <c r="AE387" s="134"/>
      <c r="AF387" s="134"/>
      <c r="AG387" s="134"/>
      <c r="AH387" s="134"/>
      <c r="AI387" s="134"/>
      <c r="AJ387" s="131"/>
      <c r="AK387" s="131"/>
      <c r="AL387" s="131"/>
      <c r="AM387" s="131"/>
      <c r="AN387" s="131"/>
      <c r="AO387" s="131"/>
      <c r="AP387" s="131"/>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31"/>
      <c r="B388" s="134"/>
      <c r="C388" s="134"/>
      <c r="D388" s="134"/>
      <c r="E388" s="150"/>
      <c r="F388" s="150"/>
      <c r="G388" s="150"/>
      <c r="H388" s="150"/>
      <c r="I388" s="150"/>
      <c r="J388" s="150"/>
      <c r="K388" s="150"/>
      <c r="L388" s="150"/>
      <c r="M388" s="150"/>
      <c r="N388" s="134"/>
      <c r="O388" s="134"/>
      <c r="P388" s="134"/>
      <c r="Q388" s="134"/>
      <c r="R388" s="134"/>
      <c r="S388" s="134"/>
      <c r="T388" s="134"/>
      <c r="U388" s="134"/>
      <c r="V388" s="134"/>
      <c r="W388" s="134"/>
      <c r="X388" s="134"/>
      <c r="Y388" s="134"/>
      <c r="Z388" s="134"/>
      <c r="AA388" s="134"/>
      <c r="AB388" s="134"/>
      <c r="AC388" s="134"/>
      <c r="AD388" s="134"/>
      <c r="AE388" s="134"/>
      <c r="AF388" s="134"/>
      <c r="AG388" s="134"/>
      <c r="AH388" s="134"/>
      <c r="AI388" s="134"/>
      <c r="AJ388" s="131"/>
      <c r="AK388" s="131"/>
      <c r="AL388" s="131"/>
      <c r="AM388" s="131"/>
      <c r="AN388" s="131"/>
      <c r="AO388" s="131"/>
      <c r="AP388" s="131"/>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31"/>
      <c r="B389" s="134"/>
      <c r="C389" s="134"/>
      <c r="D389" s="134"/>
      <c r="E389" s="150"/>
      <c r="F389" s="150"/>
      <c r="G389" s="150"/>
      <c r="H389" s="150"/>
      <c r="I389" s="150"/>
      <c r="J389" s="150"/>
      <c r="K389" s="150"/>
      <c r="L389" s="150"/>
      <c r="M389" s="150"/>
      <c r="N389" s="134"/>
      <c r="O389" s="134"/>
      <c r="P389" s="134"/>
      <c r="Q389" s="134"/>
      <c r="R389" s="134"/>
      <c r="S389" s="134"/>
      <c r="T389" s="134"/>
      <c r="U389" s="134"/>
      <c r="V389" s="134"/>
      <c r="W389" s="134"/>
      <c r="X389" s="134"/>
      <c r="Y389" s="134"/>
      <c r="Z389" s="134"/>
      <c r="AA389" s="134"/>
      <c r="AB389" s="134"/>
      <c r="AC389" s="134"/>
      <c r="AD389" s="134"/>
      <c r="AE389" s="134"/>
      <c r="AF389" s="134"/>
      <c r="AG389" s="134"/>
      <c r="AH389" s="134"/>
      <c r="AI389" s="134"/>
      <c r="AJ389" s="131"/>
      <c r="AK389" s="131"/>
      <c r="AL389" s="131"/>
      <c r="AM389" s="131"/>
      <c r="AN389" s="131"/>
      <c r="AO389" s="131"/>
      <c r="AP389" s="131"/>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31"/>
      <c r="B390" s="134"/>
      <c r="C390" s="134"/>
      <c r="D390" s="134"/>
      <c r="E390" s="150"/>
      <c r="F390" s="150"/>
      <c r="G390" s="150"/>
      <c r="H390" s="150"/>
      <c r="I390" s="150"/>
      <c r="J390" s="150"/>
      <c r="K390" s="150"/>
      <c r="L390" s="150"/>
      <c r="M390" s="150"/>
      <c r="N390" s="134"/>
      <c r="O390" s="134"/>
      <c r="P390" s="134"/>
      <c r="Q390" s="134"/>
      <c r="R390" s="134"/>
      <c r="S390" s="134"/>
      <c r="T390" s="134"/>
      <c r="U390" s="134"/>
      <c r="V390" s="134"/>
      <c r="W390" s="134"/>
      <c r="X390" s="134"/>
      <c r="Y390" s="134"/>
      <c r="Z390" s="134"/>
      <c r="AA390" s="134"/>
      <c r="AB390" s="134"/>
      <c r="AC390" s="134"/>
      <c r="AD390" s="134"/>
      <c r="AE390" s="134"/>
      <c r="AF390" s="134"/>
      <c r="AG390" s="134"/>
      <c r="AH390" s="134"/>
      <c r="AI390" s="134"/>
      <c r="AJ390" s="131"/>
      <c r="AK390" s="131"/>
      <c r="AL390" s="131"/>
      <c r="AM390" s="131"/>
      <c r="AN390" s="131"/>
      <c r="AO390" s="131"/>
      <c r="AP390" s="131"/>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31"/>
      <c r="B391" s="134"/>
      <c r="C391" s="134"/>
      <c r="D391" s="134"/>
      <c r="E391" s="150"/>
      <c r="F391" s="150"/>
      <c r="G391" s="150"/>
      <c r="H391" s="150"/>
      <c r="I391" s="150"/>
      <c r="J391" s="150"/>
      <c r="K391" s="150"/>
      <c r="L391" s="150"/>
      <c r="M391" s="150"/>
      <c r="N391" s="134"/>
      <c r="O391" s="134"/>
      <c r="P391" s="134"/>
      <c r="Q391" s="134"/>
      <c r="R391" s="134"/>
      <c r="S391" s="134"/>
      <c r="T391" s="134"/>
      <c r="U391" s="134"/>
      <c r="V391" s="134"/>
      <c r="W391" s="134"/>
      <c r="X391" s="134"/>
      <c r="Y391" s="134"/>
      <c r="Z391" s="134"/>
      <c r="AA391" s="134"/>
      <c r="AB391" s="134"/>
      <c r="AC391" s="134"/>
      <c r="AD391" s="134"/>
      <c r="AE391" s="134"/>
      <c r="AF391" s="134"/>
      <c r="AG391" s="134"/>
      <c r="AH391" s="134"/>
      <c r="AI391" s="134"/>
      <c r="AJ391" s="131"/>
      <c r="AK391" s="131"/>
      <c r="AL391" s="131"/>
      <c r="AM391" s="131"/>
      <c r="AN391" s="131"/>
      <c r="AO391" s="131"/>
      <c r="AP391" s="131"/>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31"/>
      <c r="B392" s="134"/>
      <c r="C392" s="134"/>
      <c r="D392" s="134"/>
      <c r="E392" s="150"/>
      <c r="F392" s="150"/>
      <c r="G392" s="150"/>
      <c r="H392" s="150"/>
      <c r="I392" s="150"/>
      <c r="J392" s="150"/>
      <c r="K392" s="150"/>
      <c r="L392" s="150"/>
      <c r="M392" s="150"/>
      <c r="N392" s="134"/>
      <c r="O392" s="134"/>
      <c r="P392" s="134"/>
      <c r="Q392" s="134"/>
      <c r="R392" s="134"/>
      <c r="S392" s="134"/>
      <c r="T392" s="134"/>
      <c r="U392" s="134"/>
      <c r="V392" s="134"/>
      <c r="W392" s="134"/>
      <c r="X392" s="134"/>
      <c r="Y392" s="134"/>
      <c r="Z392" s="134"/>
      <c r="AA392" s="134"/>
      <c r="AB392" s="134"/>
      <c r="AC392" s="134"/>
      <c r="AD392" s="134"/>
      <c r="AE392" s="134"/>
      <c r="AF392" s="134"/>
      <c r="AG392" s="134"/>
      <c r="AH392" s="134"/>
      <c r="AI392" s="134"/>
      <c r="AJ392" s="131"/>
      <c r="AK392" s="131"/>
      <c r="AL392" s="131"/>
      <c r="AM392" s="131"/>
      <c r="AN392" s="131"/>
      <c r="AO392" s="131"/>
      <c r="AP392" s="131"/>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31"/>
      <c r="B393" s="134"/>
      <c r="C393" s="134"/>
      <c r="D393" s="134"/>
      <c r="E393" s="150"/>
      <c r="F393" s="150"/>
      <c r="G393" s="150"/>
      <c r="H393" s="150"/>
      <c r="I393" s="150"/>
      <c r="J393" s="150"/>
      <c r="K393" s="150"/>
      <c r="L393" s="150"/>
      <c r="M393" s="150"/>
      <c r="N393" s="134"/>
      <c r="O393" s="134"/>
      <c r="P393" s="134"/>
      <c r="Q393" s="134"/>
      <c r="R393" s="134"/>
      <c r="S393" s="134"/>
      <c r="T393" s="134"/>
      <c r="U393" s="134"/>
      <c r="V393" s="134"/>
      <c r="W393" s="134"/>
      <c r="X393" s="134"/>
      <c r="Y393" s="134"/>
      <c r="Z393" s="134"/>
      <c r="AA393" s="134"/>
      <c r="AB393" s="134"/>
      <c r="AC393" s="134"/>
      <c r="AD393" s="134"/>
      <c r="AE393" s="134"/>
      <c r="AF393" s="134"/>
      <c r="AG393" s="134"/>
      <c r="AH393" s="134"/>
      <c r="AI393" s="134"/>
      <c r="AJ393" s="131"/>
      <c r="AK393" s="131"/>
      <c r="AL393" s="131"/>
      <c r="AM393" s="131"/>
      <c r="AN393" s="131"/>
      <c r="AO393" s="131"/>
      <c r="AP393" s="131"/>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31"/>
      <c r="B394" s="134"/>
      <c r="C394" s="134"/>
      <c r="D394" s="134"/>
      <c r="E394" s="150"/>
      <c r="F394" s="150"/>
      <c r="G394" s="150"/>
      <c r="H394" s="150"/>
      <c r="I394" s="150"/>
      <c r="J394" s="150"/>
      <c r="K394" s="150"/>
      <c r="L394" s="150"/>
      <c r="M394" s="150"/>
      <c r="N394" s="134"/>
      <c r="O394" s="134"/>
      <c r="P394" s="134"/>
      <c r="Q394" s="134"/>
      <c r="R394" s="134"/>
      <c r="S394" s="134"/>
      <c r="T394" s="134"/>
      <c r="U394" s="134"/>
      <c r="V394" s="134"/>
      <c r="W394" s="134"/>
      <c r="X394" s="134"/>
      <c r="Y394" s="134"/>
      <c r="Z394" s="134"/>
      <c r="AA394" s="134"/>
      <c r="AB394" s="134"/>
      <c r="AC394" s="134"/>
      <c r="AD394" s="134"/>
      <c r="AE394" s="134"/>
      <c r="AF394" s="134"/>
      <c r="AG394" s="134"/>
      <c r="AH394" s="134"/>
      <c r="AI394" s="134"/>
      <c r="AJ394" s="131"/>
      <c r="AK394" s="131"/>
      <c r="AL394" s="131"/>
      <c r="AM394" s="131"/>
      <c r="AN394" s="131"/>
      <c r="AO394" s="131"/>
      <c r="AP394" s="131"/>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31"/>
      <c r="B395" s="134"/>
      <c r="C395" s="134"/>
      <c r="D395" s="134"/>
      <c r="E395" s="150"/>
      <c r="F395" s="150"/>
      <c r="G395" s="150"/>
      <c r="H395" s="150"/>
      <c r="I395" s="150"/>
      <c r="J395" s="150"/>
      <c r="K395" s="150"/>
      <c r="L395" s="150"/>
      <c r="M395" s="150"/>
      <c r="N395" s="134"/>
      <c r="O395" s="134"/>
      <c r="P395" s="134"/>
      <c r="Q395" s="134"/>
      <c r="R395" s="134"/>
      <c r="S395" s="134"/>
      <c r="T395" s="134"/>
      <c r="U395" s="134"/>
      <c r="V395" s="134"/>
      <c r="W395" s="134"/>
      <c r="X395" s="134"/>
      <c r="Y395" s="134"/>
      <c r="Z395" s="134"/>
      <c r="AA395" s="134"/>
      <c r="AB395" s="134"/>
      <c r="AC395" s="134"/>
      <c r="AD395" s="134"/>
      <c r="AE395" s="134"/>
      <c r="AF395" s="134"/>
      <c r="AG395" s="134"/>
      <c r="AH395" s="134"/>
      <c r="AI395" s="134"/>
      <c r="AJ395" s="131"/>
      <c r="AK395" s="131"/>
      <c r="AL395" s="131"/>
      <c r="AM395" s="131"/>
      <c r="AN395" s="131"/>
      <c r="AO395" s="131"/>
      <c r="AP395" s="131"/>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31"/>
      <c r="B396" s="134"/>
      <c r="C396" s="134"/>
      <c r="D396" s="134"/>
      <c r="E396" s="150"/>
      <c r="F396" s="150"/>
      <c r="G396" s="150"/>
      <c r="H396" s="150"/>
      <c r="I396" s="150"/>
      <c r="J396" s="150"/>
      <c r="K396" s="150"/>
      <c r="L396" s="150"/>
      <c r="M396" s="150"/>
      <c r="N396" s="134"/>
      <c r="O396" s="134"/>
      <c r="P396" s="134"/>
      <c r="Q396" s="134"/>
      <c r="R396" s="134"/>
      <c r="S396" s="134"/>
      <c r="T396" s="134"/>
      <c r="U396" s="134"/>
      <c r="V396" s="134"/>
      <c r="W396" s="134"/>
      <c r="X396" s="134"/>
      <c r="Y396" s="134"/>
      <c r="Z396" s="134"/>
      <c r="AA396" s="134"/>
      <c r="AB396" s="134"/>
      <c r="AC396" s="134"/>
      <c r="AD396" s="134"/>
      <c r="AE396" s="134"/>
      <c r="AF396" s="134"/>
      <c r="AG396" s="134"/>
      <c r="AH396" s="134"/>
      <c r="AI396" s="134"/>
      <c r="AJ396" s="131"/>
      <c r="AK396" s="131"/>
      <c r="AL396" s="131"/>
      <c r="AM396" s="131"/>
      <c r="AN396" s="131"/>
      <c r="AO396" s="131"/>
      <c r="AP396" s="131"/>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31"/>
      <c r="B397" s="134"/>
      <c r="C397" s="134"/>
      <c r="D397" s="134"/>
      <c r="E397" s="150"/>
      <c r="F397" s="150"/>
      <c r="G397" s="150"/>
      <c r="H397" s="150"/>
      <c r="I397" s="150"/>
      <c r="J397" s="150"/>
      <c r="K397" s="150"/>
      <c r="L397" s="150"/>
      <c r="M397" s="150"/>
      <c r="N397" s="134"/>
      <c r="O397" s="134"/>
      <c r="P397" s="134"/>
      <c r="Q397" s="134"/>
      <c r="R397" s="134"/>
      <c r="S397" s="134"/>
      <c r="T397" s="134"/>
      <c r="U397" s="134"/>
      <c r="V397" s="134"/>
      <c r="W397" s="134"/>
      <c r="X397" s="134"/>
      <c r="Y397" s="134"/>
      <c r="Z397" s="134"/>
      <c r="AA397" s="134"/>
      <c r="AB397" s="134"/>
      <c r="AC397" s="134"/>
      <c r="AD397" s="134"/>
      <c r="AE397" s="134"/>
      <c r="AF397" s="134"/>
      <c r="AG397" s="134"/>
      <c r="AH397" s="134"/>
      <c r="AI397" s="134"/>
      <c r="AJ397" s="131"/>
      <c r="AK397" s="131"/>
      <c r="AL397" s="131"/>
      <c r="AM397" s="131"/>
      <c r="AN397" s="131"/>
      <c r="AO397" s="131"/>
      <c r="AP397" s="131"/>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31"/>
      <c r="B398" s="134"/>
      <c r="C398" s="134"/>
      <c r="D398" s="134"/>
      <c r="E398" s="150"/>
      <c r="F398" s="150"/>
      <c r="G398" s="150"/>
      <c r="H398" s="150"/>
      <c r="I398" s="150"/>
      <c r="J398" s="150"/>
      <c r="K398" s="150"/>
      <c r="L398" s="150"/>
      <c r="M398" s="150"/>
      <c r="N398" s="134"/>
      <c r="O398" s="134"/>
      <c r="P398" s="134"/>
      <c r="Q398" s="134"/>
      <c r="R398" s="134"/>
      <c r="S398" s="134"/>
      <c r="T398" s="134"/>
      <c r="U398" s="134"/>
      <c r="V398" s="134"/>
      <c r="W398" s="134"/>
      <c r="X398" s="134"/>
      <c r="Y398" s="134"/>
      <c r="Z398" s="134"/>
      <c r="AA398" s="134"/>
      <c r="AB398" s="134"/>
      <c r="AC398" s="134"/>
      <c r="AD398" s="134"/>
      <c r="AE398" s="134"/>
      <c r="AF398" s="134"/>
      <c r="AG398" s="134"/>
      <c r="AH398" s="134"/>
      <c r="AI398" s="134"/>
      <c r="AJ398" s="131"/>
      <c r="AK398" s="131"/>
      <c r="AL398" s="131"/>
      <c r="AM398" s="131"/>
      <c r="AN398" s="131"/>
      <c r="AO398" s="131"/>
      <c r="AP398" s="131"/>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31"/>
      <c r="B399" s="134"/>
      <c r="C399" s="134"/>
      <c r="D399" s="134"/>
      <c r="E399" s="150"/>
      <c r="F399" s="150"/>
      <c r="G399" s="150"/>
      <c r="H399" s="150"/>
      <c r="I399" s="150"/>
      <c r="J399" s="150"/>
      <c r="K399" s="150"/>
      <c r="L399" s="150"/>
      <c r="M399" s="150"/>
      <c r="N399" s="134"/>
      <c r="O399" s="134"/>
      <c r="P399" s="134"/>
      <c r="Q399" s="134"/>
      <c r="R399" s="134"/>
      <c r="S399" s="134"/>
      <c r="T399" s="134"/>
      <c r="U399" s="134"/>
      <c r="V399" s="134"/>
      <c r="W399" s="134"/>
      <c r="X399" s="134"/>
      <c r="Y399" s="134"/>
      <c r="Z399" s="134"/>
      <c r="AA399" s="134"/>
      <c r="AB399" s="134"/>
      <c r="AC399" s="134"/>
      <c r="AD399" s="134"/>
      <c r="AE399" s="134"/>
      <c r="AF399" s="134"/>
      <c r="AG399" s="134"/>
      <c r="AH399" s="134"/>
      <c r="AI399" s="134"/>
      <c r="AJ399" s="131"/>
      <c r="AK399" s="131"/>
      <c r="AL399" s="131"/>
      <c r="AM399" s="131"/>
      <c r="AN399" s="131"/>
      <c r="AO399" s="131"/>
      <c r="AP399" s="131"/>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31"/>
      <c r="B400" s="134"/>
      <c r="C400" s="134"/>
      <c r="D400" s="134"/>
      <c r="E400" s="150"/>
      <c r="F400" s="150"/>
      <c r="G400" s="150"/>
      <c r="H400" s="150"/>
      <c r="I400" s="150"/>
      <c r="J400" s="150"/>
      <c r="K400" s="150"/>
      <c r="L400" s="150"/>
      <c r="M400" s="150"/>
      <c r="N400" s="134"/>
      <c r="O400" s="134"/>
      <c r="P400" s="134"/>
      <c r="Q400" s="134"/>
      <c r="R400" s="134"/>
      <c r="S400" s="134"/>
      <c r="T400" s="134"/>
      <c r="U400" s="134"/>
      <c r="V400" s="134"/>
      <c r="W400" s="134"/>
      <c r="X400" s="134"/>
      <c r="Y400" s="134"/>
      <c r="Z400" s="134"/>
      <c r="AA400" s="134"/>
      <c r="AB400" s="134"/>
      <c r="AC400" s="134"/>
      <c r="AD400" s="134"/>
      <c r="AE400" s="134"/>
      <c r="AF400" s="134"/>
      <c r="AG400" s="134"/>
      <c r="AH400" s="134"/>
      <c r="AI400" s="134"/>
      <c r="AJ400" s="131"/>
      <c r="AK400" s="131"/>
      <c r="AL400" s="131"/>
      <c r="AM400" s="131"/>
      <c r="AN400" s="131"/>
      <c r="AO400" s="131"/>
      <c r="AP400" s="131"/>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31"/>
      <c r="B401" s="134"/>
      <c r="C401" s="134"/>
      <c r="D401" s="134"/>
      <c r="E401" s="150"/>
      <c r="F401" s="150"/>
      <c r="G401" s="150"/>
      <c r="H401" s="150"/>
      <c r="I401" s="150"/>
      <c r="J401" s="150"/>
      <c r="K401" s="150"/>
      <c r="L401" s="150"/>
      <c r="M401" s="150"/>
      <c r="N401" s="134"/>
      <c r="O401" s="134"/>
      <c r="P401" s="134"/>
      <c r="Q401" s="134"/>
      <c r="R401" s="134"/>
      <c r="S401" s="134"/>
      <c r="T401" s="134"/>
      <c r="U401" s="134"/>
      <c r="V401" s="134"/>
      <c r="W401" s="134"/>
      <c r="X401" s="134"/>
      <c r="Y401" s="134"/>
      <c r="Z401" s="134"/>
      <c r="AA401" s="134"/>
      <c r="AB401" s="134"/>
      <c r="AC401" s="134"/>
      <c r="AD401" s="134"/>
      <c r="AE401" s="134"/>
      <c r="AF401" s="134"/>
      <c r="AG401" s="134"/>
      <c r="AH401" s="134"/>
      <c r="AI401" s="134"/>
      <c r="AJ401" s="131"/>
      <c r="AK401" s="131"/>
      <c r="AL401" s="131"/>
      <c r="AM401" s="131"/>
      <c r="AN401" s="131"/>
      <c r="AO401" s="131"/>
      <c r="AP401" s="131"/>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31"/>
      <c r="B402" s="134"/>
      <c r="C402" s="134"/>
      <c r="D402" s="134"/>
      <c r="E402" s="150"/>
      <c r="F402" s="150"/>
      <c r="G402" s="150"/>
      <c r="H402" s="150"/>
      <c r="I402" s="150"/>
      <c r="J402" s="150"/>
      <c r="K402" s="150"/>
      <c r="L402" s="150"/>
      <c r="M402" s="150"/>
      <c r="N402" s="134"/>
      <c r="O402" s="134"/>
      <c r="P402" s="134"/>
      <c r="Q402" s="134"/>
      <c r="R402" s="134"/>
      <c r="S402" s="134"/>
      <c r="T402" s="134"/>
      <c r="U402" s="134"/>
      <c r="V402" s="134"/>
      <c r="W402" s="134"/>
      <c r="X402" s="134"/>
      <c r="Y402" s="134"/>
      <c r="Z402" s="134"/>
      <c r="AA402" s="134"/>
      <c r="AB402" s="134"/>
      <c r="AC402" s="134"/>
      <c r="AD402" s="134"/>
      <c r="AE402" s="134"/>
      <c r="AF402" s="134"/>
      <c r="AG402" s="134"/>
      <c r="AH402" s="134"/>
      <c r="AI402" s="134"/>
      <c r="AJ402" s="131"/>
      <c r="AK402" s="131"/>
      <c r="AL402" s="131"/>
      <c r="AM402" s="131"/>
      <c r="AN402" s="131"/>
      <c r="AO402" s="131"/>
      <c r="AP402" s="131"/>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31"/>
      <c r="B403" s="134"/>
      <c r="C403" s="134"/>
      <c r="D403" s="134"/>
      <c r="E403" s="150"/>
      <c r="F403" s="150"/>
      <c r="G403" s="150"/>
      <c r="H403" s="150"/>
      <c r="I403" s="150"/>
      <c r="J403" s="150"/>
      <c r="K403" s="150"/>
      <c r="L403" s="150"/>
      <c r="M403" s="150"/>
      <c r="N403" s="134"/>
      <c r="O403" s="134"/>
      <c r="P403" s="134"/>
      <c r="Q403" s="134"/>
      <c r="R403" s="134"/>
      <c r="S403" s="134"/>
      <c r="T403" s="134"/>
      <c r="U403" s="134"/>
      <c r="V403" s="134"/>
      <c r="W403" s="134"/>
      <c r="X403" s="134"/>
      <c r="Y403" s="134"/>
      <c r="Z403" s="134"/>
      <c r="AA403" s="134"/>
      <c r="AB403" s="134"/>
      <c r="AC403" s="134"/>
      <c r="AD403" s="134"/>
      <c r="AE403" s="134"/>
      <c r="AF403" s="134"/>
      <c r="AG403" s="134"/>
      <c r="AH403" s="134"/>
      <c r="AI403" s="134"/>
      <c r="AJ403" s="131"/>
      <c r="AK403" s="131"/>
      <c r="AL403" s="131"/>
      <c r="AM403" s="131"/>
      <c r="AN403" s="131"/>
      <c r="AO403" s="131"/>
      <c r="AP403" s="131"/>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31"/>
      <c r="B404" s="134"/>
      <c r="C404" s="134"/>
      <c r="D404" s="134"/>
      <c r="E404" s="150"/>
      <c r="F404" s="150"/>
      <c r="G404" s="150"/>
      <c r="H404" s="150"/>
      <c r="I404" s="150"/>
      <c r="J404" s="150"/>
      <c r="K404" s="150"/>
      <c r="L404" s="150"/>
      <c r="M404" s="150"/>
      <c r="N404" s="134"/>
      <c r="O404" s="134"/>
      <c r="P404" s="134"/>
      <c r="Q404" s="134"/>
      <c r="R404" s="134"/>
      <c r="S404" s="134"/>
      <c r="T404" s="134"/>
      <c r="U404" s="134"/>
      <c r="V404" s="134"/>
      <c r="W404" s="134"/>
      <c r="X404" s="134"/>
      <c r="Y404" s="134"/>
      <c r="Z404" s="134"/>
      <c r="AA404" s="134"/>
      <c r="AB404" s="134"/>
      <c r="AC404" s="134"/>
      <c r="AD404" s="134"/>
      <c r="AE404" s="134"/>
      <c r="AF404" s="134"/>
      <c r="AG404" s="134"/>
      <c r="AH404" s="134"/>
      <c r="AI404" s="134"/>
      <c r="AJ404" s="131"/>
      <c r="AK404" s="131"/>
      <c r="AL404" s="131"/>
      <c r="AM404" s="131"/>
      <c r="AN404" s="131"/>
      <c r="AO404" s="131"/>
      <c r="AP404" s="131"/>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31"/>
      <c r="B405" s="134"/>
      <c r="C405" s="134"/>
      <c r="D405" s="134"/>
      <c r="E405" s="150"/>
      <c r="F405" s="150"/>
      <c r="G405" s="150"/>
      <c r="H405" s="150"/>
      <c r="I405" s="150"/>
      <c r="J405" s="150"/>
      <c r="K405" s="150"/>
      <c r="L405" s="150"/>
      <c r="M405" s="150"/>
      <c r="N405" s="134"/>
      <c r="O405" s="134"/>
      <c r="P405" s="134"/>
      <c r="Q405" s="134"/>
      <c r="R405" s="134"/>
      <c r="S405" s="134"/>
      <c r="T405" s="134"/>
      <c r="U405" s="134"/>
      <c r="V405" s="134"/>
      <c r="W405" s="134"/>
      <c r="X405" s="134"/>
      <c r="Y405" s="134"/>
      <c r="Z405" s="134"/>
      <c r="AA405" s="134"/>
      <c r="AB405" s="134"/>
      <c r="AC405" s="134"/>
      <c r="AD405" s="134"/>
      <c r="AE405" s="134"/>
      <c r="AF405" s="134"/>
      <c r="AG405" s="134"/>
      <c r="AH405" s="134"/>
      <c r="AI405" s="134"/>
      <c r="AJ405" s="131"/>
      <c r="AK405" s="131"/>
      <c r="AL405" s="131"/>
      <c r="AM405" s="131"/>
      <c r="AN405" s="131"/>
      <c r="AO405" s="131"/>
      <c r="AP405" s="131"/>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31"/>
      <c r="B406" s="134"/>
      <c r="C406" s="134"/>
      <c r="D406" s="134"/>
      <c r="E406" s="150"/>
      <c r="F406" s="150"/>
      <c r="G406" s="150"/>
      <c r="H406" s="150"/>
      <c r="I406" s="150"/>
      <c r="J406" s="150"/>
      <c r="K406" s="150"/>
      <c r="L406" s="150"/>
      <c r="M406" s="150"/>
      <c r="N406" s="134"/>
      <c r="O406" s="134"/>
      <c r="P406" s="134"/>
      <c r="Q406" s="134"/>
      <c r="R406" s="134"/>
      <c r="S406" s="134"/>
      <c r="T406" s="134"/>
      <c r="U406" s="134"/>
      <c r="V406" s="134"/>
      <c r="W406" s="134"/>
      <c r="X406" s="134"/>
      <c r="Y406" s="134"/>
      <c r="Z406" s="134"/>
      <c r="AA406" s="134"/>
      <c r="AB406" s="134"/>
      <c r="AC406" s="134"/>
      <c r="AD406" s="134"/>
      <c r="AE406" s="134"/>
      <c r="AF406" s="134"/>
      <c r="AG406" s="134"/>
      <c r="AH406" s="134"/>
      <c r="AI406" s="134"/>
      <c r="AJ406" s="131"/>
      <c r="AK406" s="131"/>
      <c r="AL406" s="131"/>
      <c r="AM406" s="131"/>
      <c r="AN406" s="131"/>
      <c r="AO406" s="131"/>
      <c r="AP406" s="131"/>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31"/>
      <c r="B407" s="134"/>
      <c r="C407" s="134"/>
      <c r="D407" s="134"/>
      <c r="E407" s="150"/>
      <c r="F407" s="150"/>
      <c r="G407" s="150"/>
      <c r="H407" s="150"/>
      <c r="I407" s="150"/>
      <c r="J407" s="150"/>
      <c r="K407" s="150"/>
      <c r="L407" s="150"/>
      <c r="M407" s="150"/>
      <c r="N407" s="134"/>
      <c r="O407" s="134"/>
      <c r="P407" s="134"/>
      <c r="Q407" s="134"/>
      <c r="R407" s="134"/>
      <c r="S407" s="134"/>
      <c r="T407" s="134"/>
      <c r="U407" s="134"/>
      <c r="V407" s="134"/>
      <c r="W407" s="134"/>
      <c r="X407" s="134"/>
      <c r="Y407" s="134"/>
      <c r="Z407" s="134"/>
      <c r="AA407" s="134"/>
      <c r="AB407" s="134"/>
      <c r="AC407" s="134"/>
      <c r="AD407" s="134"/>
      <c r="AE407" s="134"/>
      <c r="AF407" s="134"/>
      <c r="AG407" s="134"/>
      <c r="AH407" s="134"/>
      <c r="AI407" s="134"/>
      <c r="AJ407" s="131"/>
      <c r="AK407" s="131"/>
      <c r="AL407" s="131"/>
      <c r="AM407" s="131"/>
      <c r="AN407" s="131"/>
      <c r="AO407" s="131"/>
      <c r="AP407" s="131"/>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31"/>
      <c r="B408" s="134"/>
      <c r="C408" s="134"/>
      <c r="D408" s="134"/>
      <c r="E408" s="150"/>
      <c r="F408" s="150"/>
      <c r="G408" s="150"/>
      <c r="H408" s="150"/>
      <c r="I408" s="150"/>
      <c r="J408" s="150"/>
      <c r="K408" s="150"/>
      <c r="L408" s="150"/>
      <c r="M408" s="150"/>
      <c r="N408" s="134"/>
      <c r="O408" s="134"/>
      <c r="P408" s="134"/>
      <c r="Q408" s="134"/>
      <c r="R408" s="134"/>
      <c r="S408" s="134"/>
      <c r="T408" s="134"/>
      <c r="U408" s="134"/>
      <c r="V408" s="134"/>
      <c r="W408" s="134"/>
      <c r="X408" s="134"/>
      <c r="Y408" s="134"/>
      <c r="Z408" s="134"/>
      <c r="AA408" s="134"/>
      <c r="AB408" s="134"/>
      <c r="AC408" s="134"/>
      <c r="AD408" s="134"/>
      <c r="AE408" s="134"/>
      <c r="AF408" s="134"/>
      <c r="AG408" s="134"/>
      <c r="AH408" s="134"/>
      <c r="AI408" s="134"/>
      <c r="AJ408" s="131"/>
      <c r="AK408" s="131"/>
      <c r="AL408" s="131"/>
      <c r="AM408" s="131"/>
      <c r="AN408" s="131"/>
      <c r="AO408" s="131"/>
      <c r="AP408" s="131"/>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31"/>
      <c r="B409" s="134"/>
      <c r="C409" s="134"/>
      <c r="D409" s="134"/>
      <c r="E409" s="150"/>
      <c r="F409" s="150"/>
      <c r="G409" s="150"/>
      <c r="H409" s="150"/>
      <c r="I409" s="150"/>
      <c r="J409" s="150"/>
      <c r="K409" s="150"/>
      <c r="L409" s="150"/>
      <c r="M409" s="150"/>
      <c r="N409" s="134"/>
      <c r="O409" s="134"/>
      <c r="P409" s="134"/>
      <c r="Q409" s="134"/>
      <c r="R409" s="134"/>
      <c r="S409" s="134"/>
      <c r="T409" s="134"/>
      <c r="U409" s="134"/>
      <c r="V409" s="134"/>
      <c r="W409" s="134"/>
      <c r="X409" s="134"/>
      <c r="Y409" s="134"/>
      <c r="Z409" s="134"/>
      <c r="AA409" s="134"/>
      <c r="AB409" s="134"/>
      <c r="AC409" s="134"/>
      <c r="AD409" s="134"/>
      <c r="AE409" s="134"/>
      <c r="AF409" s="134"/>
      <c r="AG409" s="134"/>
      <c r="AH409" s="134"/>
      <c r="AI409" s="134"/>
      <c r="AJ409" s="131"/>
      <c r="AK409" s="131"/>
      <c r="AL409" s="131"/>
      <c r="AM409" s="131"/>
      <c r="AN409" s="131"/>
      <c r="AO409" s="131"/>
      <c r="AP409" s="131"/>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31"/>
      <c r="B410" s="134"/>
      <c r="C410" s="134"/>
      <c r="D410" s="134"/>
      <c r="E410" s="150"/>
      <c r="F410" s="150"/>
      <c r="G410" s="150"/>
      <c r="H410" s="150"/>
      <c r="I410" s="150"/>
      <c r="J410" s="150"/>
      <c r="K410" s="150"/>
      <c r="L410" s="150"/>
      <c r="M410" s="150"/>
      <c r="N410" s="134"/>
      <c r="O410" s="134"/>
      <c r="P410" s="134"/>
      <c r="Q410" s="134"/>
      <c r="R410" s="134"/>
      <c r="S410" s="134"/>
      <c r="T410" s="134"/>
      <c r="U410" s="134"/>
      <c r="V410" s="134"/>
      <c r="W410" s="134"/>
      <c r="X410" s="134"/>
      <c r="Y410" s="134"/>
      <c r="Z410" s="134"/>
      <c r="AA410" s="134"/>
      <c r="AB410" s="134"/>
      <c r="AC410" s="134"/>
      <c r="AD410" s="134"/>
      <c r="AE410" s="134"/>
      <c r="AF410" s="134"/>
      <c r="AG410" s="134"/>
      <c r="AH410" s="134"/>
      <c r="AI410" s="134"/>
      <c r="AJ410" s="131"/>
      <c r="AK410" s="131"/>
      <c r="AL410" s="131"/>
      <c r="AM410" s="131"/>
      <c r="AN410" s="131"/>
      <c r="AO410" s="131"/>
      <c r="AP410" s="131"/>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31"/>
      <c r="B411" s="134"/>
      <c r="C411" s="134"/>
      <c r="D411" s="134"/>
      <c r="E411" s="150"/>
      <c r="F411" s="150"/>
      <c r="G411" s="150"/>
      <c r="H411" s="150"/>
      <c r="I411" s="150"/>
      <c r="J411" s="150"/>
      <c r="K411" s="150"/>
      <c r="L411" s="150"/>
      <c r="M411" s="150"/>
      <c r="N411" s="134"/>
      <c r="O411" s="134"/>
      <c r="P411" s="134"/>
      <c r="Q411" s="134"/>
      <c r="R411" s="134"/>
      <c r="S411" s="134"/>
      <c r="T411" s="134"/>
      <c r="U411" s="134"/>
      <c r="V411" s="134"/>
      <c r="W411" s="134"/>
      <c r="X411" s="134"/>
      <c r="Y411" s="134"/>
      <c r="Z411" s="134"/>
      <c r="AA411" s="134"/>
      <c r="AB411" s="134"/>
      <c r="AC411" s="134"/>
      <c r="AD411" s="134"/>
      <c r="AE411" s="134"/>
      <c r="AF411" s="134"/>
      <c r="AG411" s="134"/>
      <c r="AH411" s="134"/>
      <c r="AI411" s="134"/>
      <c r="AJ411" s="131"/>
      <c r="AK411" s="131"/>
      <c r="AL411" s="131"/>
      <c r="AM411" s="131"/>
      <c r="AN411" s="131"/>
      <c r="AO411" s="131"/>
      <c r="AP411" s="131"/>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31"/>
      <c r="B412" s="134"/>
      <c r="C412" s="134"/>
      <c r="D412" s="134"/>
      <c r="E412" s="150"/>
      <c r="F412" s="150"/>
      <c r="G412" s="150"/>
      <c r="H412" s="150"/>
      <c r="I412" s="150"/>
      <c r="J412" s="150"/>
      <c r="K412" s="150"/>
      <c r="L412" s="150"/>
      <c r="M412" s="150"/>
      <c r="N412" s="134"/>
      <c r="O412" s="134"/>
      <c r="P412" s="134"/>
      <c r="Q412" s="134"/>
      <c r="R412" s="134"/>
      <c r="S412" s="134"/>
      <c r="T412" s="134"/>
      <c r="U412" s="134"/>
      <c r="V412" s="134"/>
      <c r="W412" s="134"/>
      <c r="X412" s="134"/>
      <c r="Y412" s="134"/>
      <c r="Z412" s="134"/>
      <c r="AA412" s="134"/>
      <c r="AB412" s="134"/>
      <c r="AC412" s="134"/>
      <c r="AD412" s="134"/>
      <c r="AE412" s="134"/>
      <c r="AF412" s="134"/>
      <c r="AG412" s="134"/>
      <c r="AH412" s="134"/>
      <c r="AI412" s="134"/>
      <c r="AJ412" s="131"/>
      <c r="AK412" s="131"/>
      <c r="AL412" s="131"/>
      <c r="AM412" s="131"/>
      <c r="AN412" s="131"/>
      <c r="AO412" s="131"/>
      <c r="AP412" s="131"/>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31"/>
      <c r="B413" s="134"/>
      <c r="C413" s="134"/>
      <c r="D413" s="134"/>
      <c r="E413" s="150"/>
      <c r="F413" s="150"/>
      <c r="G413" s="150"/>
      <c r="H413" s="150"/>
      <c r="I413" s="150"/>
      <c r="J413" s="150"/>
      <c r="K413" s="150"/>
      <c r="L413" s="150"/>
      <c r="M413" s="150"/>
      <c r="N413" s="134"/>
      <c r="O413" s="134"/>
      <c r="P413" s="134"/>
      <c r="Q413" s="134"/>
      <c r="R413" s="134"/>
      <c r="S413" s="134"/>
      <c r="T413" s="134"/>
      <c r="U413" s="134"/>
      <c r="V413" s="134"/>
      <c r="W413" s="134"/>
      <c r="X413" s="134"/>
      <c r="Y413" s="134"/>
      <c r="Z413" s="134"/>
      <c r="AA413" s="134"/>
      <c r="AB413" s="134"/>
      <c r="AC413" s="134"/>
      <c r="AD413" s="134"/>
      <c r="AE413" s="134"/>
      <c r="AF413" s="134"/>
      <c r="AG413" s="134"/>
      <c r="AH413" s="134"/>
      <c r="AI413" s="134"/>
      <c r="AJ413" s="131"/>
      <c r="AK413" s="131"/>
      <c r="AL413" s="131"/>
      <c r="AM413" s="131"/>
      <c r="AN413" s="131"/>
      <c r="AO413" s="131"/>
      <c r="AP413" s="131"/>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31"/>
      <c r="B414" s="134"/>
      <c r="C414" s="134"/>
      <c r="D414" s="134"/>
      <c r="E414" s="150"/>
      <c r="F414" s="150"/>
      <c r="G414" s="150"/>
      <c r="H414" s="150"/>
      <c r="I414" s="150"/>
      <c r="J414" s="150"/>
      <c r="K414" s="150"/>
      <c r="L414" s="150"/>
      <c r="M414" s="150"/>
      <c r="N414" s="134"/>
      <c r="O414" s="134"/>
      <c r="P414" s="134"/>
      <c r="Q414" s="134"/>
      <c r="R414" s="134"/>
      <c r="S414" s="134"/>
      <c r="T414" s="134"/>
      <c r="U414" s="134"/>
      <c r="V414" s="134"/>
      <c r="W414" s="134"/>
      <c r="X414" s="134"/>
      <c r="Y414" s="134"/>
      <c r="Z414" s="134"/>
      <c r="AA414" s="134"/>
      <c r="AB414" s="134"/>
      <c r="AC414" s="134"/>
      <c r="AD414" s="134"/>
      <c r="AE414" s="134"/>
      <c r="AF414" s="134"/>
      <c r="AG414" s="134"/>
      <c r="AH414" s="134"/>
      <c r="AI414" s="134"/>
      <c r="AJ414" s="131"/>
      <c r="AK414" s="131"/>
      <c r="AL414" s="131"/>
      <c r="AM414" s="131"/>
      <c r="AN414" s="131"/>
      <c r="AO414" s="131"/>
      <c r="AP414" s="131"/>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31"/>
      <c r="B415" s="134"/>
      <c r="C415" s="134"/>
      <c r="D415" s="134"/>
      <c r="E415" s="150"/>
      <c r="F415" s="150"/>
      <c r="G415" s="150"/>
      <c r="H415" s="150"/>
      <c r="I415" s="150"/>
      <c r="J415" s="150"/>
      <c r="K415" s="150"/>
      <c r="L415" s="150"/>
      <c r="M415" s="150"/>
      <c r="N415" s="134"/>
      <c r="O415" s="134"/>
      <c r="P415" s="134"/>
      <c r="Q415" s="134"/>
      <c r="R415" s="134"/>
      <c r="S415" s="134"/>
      <c r="T415" s="134"/>
      <c r="U415" s="134"/>
      <c r="V415" s="134"/>
      <c r="W415" s="134"/>
      <c r="X415" s="134"/>
      <c r="Y415" s="134"/>
      <c r="Z415" s="134"/>
      <c r="AA415" s="134"/>
      <c r="AB415" s="134"/>
      <c r="AC415" s="134"/>
      <c r="AD415" s="134"/>
      <c r="AE415" s="134"/>
      <c r="AF415" s="134"/>
      <c r="AG415" s="134"/>
      <c r="AH415" s="134"/>
      <c r="AI415" s="134"/>
      <c r="AJ415" s="131"/>
      <c r="AK415" s="131"/>
      <c r="AL415" s="131"/>
      <c r="AM415" s="131"/>
      <c r="AN415" s="131"/>
      <c r="AO415" s="131"/>
      <c r="AP415" s="131"/>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31"/>
      <c r="B416" s="134"/>
      <c r="C416" s="134"/>
      <c r="D416" s="134"/>
      <c r="E416" s="150"/>
      <c r="F416" s="150"/>
      <c r="G416" s="150"/>
      <c r="H416" s="150"/>
      <c r="I416" s="150"/>
      <c r="J416" s="150"/>
      <c r="K416" s="150"/>
      <c r="L416" s="150"/>
      <c r="M416" s="150"/>
      <c r="N416" s="134"/>
      <c r="O416" s="134"/>
      <c r="P416" s="134"/>
      <c r="Q416" s="134"/>
      <c r="R416" s="134"/>
      <c r="S416" s="134"/>
      <c r="T416" s="134"/>
      <c r="U416" s="134"/>
      <c r="V416" s="134"/>
      <c r="W416" s="134"/>
      <c r="X416" s="134"/>
      <c r="Y416" s="134"/>
      <c r="Z416" s="134"/>
      <c r="AA416" s="134"/>
      <c r="AB416" s="134"/>
      <c r="AC416" s="134"/>
      <c r="AD416" s="134"/>
      <c r="AE416" s="134"/>
      <c r="AF416" s="134"/>
      <c r="AG416" s="134"/>
      <c r="AH416" s="134"/>
      <c r="AI416" s="134"/>
      <c r="AJ416" s="131"/>
      <c r="AK416" s="131"/>
      <c r="AL416" s="131"/>
      <c r="AM416" s="131"/>
      <c r="AN416" s="131"/>
      <c r="AO416" s="131"/>
      <c r="AP416" s="131"/>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31"/>
      <c r="B417" s="134"/>
      <c r="C417" s="134"/>
      <c r="D417" s="134"/>
      <c r="E417" s="150"/>
      <c r="F417" s="150"/>
      <c r="G417" s="150"/>
      <c r="H417" s="150"/>
      <c r="I417" s="150"/>
      <c r="J417" s="150"/>
      <c r="K417" s="150"/>
      <c r="L417" s="150"/>
      <c r="M417" s="150"/>
      <c r="N417" s="134"/>
      <c r="O417" s="134"/>
      <c r="P417" s="134"/>
      <c r="Q417" s="134"/>
      <c r="R417" s="134"/>
      <c r="S417" s="134"/>
      <c r="T417" s="134"/>
      <c r="U417" s="134"/>
      <c r="V417" s="134"/>
      <c r="W417" s="134"/>
      <c r="X417" s="134"/>
      <c r="Y417" s="134"/>
      <c r="Z417" s="134"/>
      <c r="AA417" s="134"/>
      <c r="AB417" s="134"/>
      <c r="AC417" s="134"/>
      <c r="AD417" s="134"/>
      <c r="AE417" s="134"/>
      <c r="AF417" s="134"/>
      <c r="AG417" s="134"/>
      <c r="AH417" s="134"/>
      <c r="AI417" s="134"/>
      <c r="AJ417" s="131"/>
      <c r="AK417" s="131"/>
      <c r="AL417" s="131"/>
      <c r="AM417" s="131"/>
      <c r="AN417" s="131"/>
      <c r="AO417" s="131"/>
      <c r="AP417" s="131"/>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31"/>
      <c r="B418" s="134"/>
      <c r="C418" s="134"/>
      <c r="D418" s="134"/>
      <c r="E418" s="150"/>
      <c r="F418" s="150"/>
      <c r="G418" s="150"/>
      <c r="H418" s="150"/>
      <c r="I418" s="150"/>
      <c r="J418" s="150"/>
      <c r="K418" s="150"/>
      <c r="L418" s="150"/>
      <c r="M418" s="150"/>
      <c r="N418" s="134"/>
      <c r="O418" s="134"/>
      <c r="P418" s="134"/>
      <c r="Q418" s="134"/>
      <c r="R418" s="134"/>
      <c r="S418" s="134"/>
      <c r="T418" s="134"/>
      <c r="U418" s="134"/>
      <c r="V418" s="134"/>
      <c r="W418" s="134"/>
      <c r="X418" s="134"/>
      <c r="Y418" s="134"/>
      <c r="Z418" s="134"/>
      <c r="AA418" s="134"/>
      <c r="AB418" s="134"/>
      <c r="AC418" s="134"/>
      <c r="AD418" s="134"/>
      <c r="AE418" s="134"/>
      <c r="AF418" s="134"/>
      <c r="AG418" s="134"/>
      <c r="AH418" s="134"/>
      <c r="AI418" s="134"/>
      <c r="AJ418" s="131"/>
      <c r="AK418" s="131"/>
      <c r="AL418" s="131"/>
      <c r="AM418" s="131"/>
      <c r="AN418" s="131"/>
      <c r="AO418" s="131"/>
      <c r="AP418" s="131"/>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31"/>
      <c r="B419" s="134"/>
      <c r="C419" s="134"/>
      <c r="D419" s="134"/>
      <c r="E419" s="150"/>
      <c r="F419" s="150"/>
      <c r="G419" s="150"/>
      <c r="H419" s="150"/>
      <c r="I419" s="150"/>
      <c r="J419" s="150"/>
      <c r="K419" s="150"/>
      <c r="L419" s="150"/>
      <c r="M419" s="150"/>
      <c r="N419" s="134"/>
      <c r="O419" s="134"/>
      <c r="P419" s="134"/>
      <c r="Q419" s="134"/>
      <c r="R419" s="134"/>
      <c r="S419" s="134"/>
      <c r="T419" s="134"/>
      <c r="U419" s="134"/>
      <c r="V419" s="134"/>
      <c r="W419" s="134"/>
      <c r="X419" s="134"/>
      <c r="Y419" s="134"/>
      <c r="Z419" s="134"/>
      <c r="AA419" s="134"/>
      <c r="AB419" s="134"/>
      <c r="AC419" s="134"/>
      <c r="AD419" s="134"/>
      <c r="AE419" s="134"/>
      <c r="AF419" s="134"/>
      <c r="AG419" s="134"/>
      <c r="AH419" s="134"/>
      <c r="AI419" s="134"/>
      <c r="AJ419" s="131"/>
      <c r="AK419" s="131"/>
      <c r="AL419" s="131"/>
      <c r="AM419" s="131"/>
      <c r="AN419" s="131"/>
      <c r="AO419" s="131"/>
      <c r="AP419" s="131"/>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31"/>
      <c r="B420" s="134"/>
      <c r="C420" s="134"/>
      <c r="D420" s="134"/>
      <c r="E420" s="150"/>
      <c r="F420" s="150"/>
      <c r="G420" s="150"/>
      <c r="H420" s="150"/>
      <c r="I420" s="150"/>
      <c r="J420" s="150"/>
      <c r="K420" s="150"/>
      <c r="L420" s="150"/>
      <c r="M420" s="150"/>
      <c r="N420" s="134"/>
      <c r="O420" s="134"/>
      <c r="P420" s="134"/>
      <c r="Q420" s="134"/>
      <c r="R420" s="134"/>
      <c r="S420" s="134"/>
      <c r="T420" s="134"/>
      <c r="U420" s="134"/>
      <c r="V420" s="134"/>
      <c r="W420" s="134"/>
      <c r="X420" s="134"/>
      <c r="Y420" s="134"/>
      <c r="Z420" s="134"/>
      <c r="AA420" s="134"/>
      <c r="AB420" s="134"/>
      <c r="AC420" s="134"/>
      <c r="AD420" s="134"/>
      <c r="AE420" s="134"/>
      <c r="AF420" s="134"/>
      <c r="AG420" s="134"/>
      <c r="AH420" s="134"/>
      <c r="AI420" s="134"/>
      <c r="AJ420" s="131"/>
      <c r="AK420" s="131"/>
      <c r="AL420" s="131"/>
      <c r="AM420" s="131"/>
      <c r="AN420" s="131"/>
      <c r="AO420" s="131"/>
      <c r="AP420" s="131"/>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31"/>
      <c r="B421" s="134"/>
      <c r="C421" s="134"/>
      <c r="D421" s="134"/>
      <c r="E421" s="150"/>
      <c r="F421" s="150"/>
      <c r="G421" s="150"/>
      <c r="H421" s="150"/>
      <c r="I421" s="150"/>
      <c r="J421" s="150"/>
      <c r="K421" s="150"/>
      <c r="L421" s="150"/>
      <c r="M421" s="150"/>
      <c r="N421" s="134"/>
      <c r="O421" s="134"/>
      <c r="P421" s="134"/>
      <c r="Q421" s="134"/>
      <c r="R421" s="134"/>
      <c r="S421" s="134"/>
      <c r="T421" s="134"/>
      <c r="U421" s="134"/>
      <c r="V421" s="134"/>
      <c r="W421" s="134"/>
      <c r="X421" s="134"/>
      <c r="Y421" s="134"/>
      <c r="Z421" s="134"/>
      <c r="AA421" s="134"/>
      <c r="AB421" s="134"/>
      <c r="AC421" s="134"/>
      <c r="AD421" s="134"/>
      <c r="AE421" s="134"/>
      <c r="AF421" s="134"/>
      <c r="AG421" s="134"/>
      <c r="AH421" s="134"/>
      <c r="AI421" s="134"/>
      <c r="AJ421" s="131"/>
      <c r="AK421" s="131"/>
      <c r="AL421" s="131"/>
      <c r="AM421" s="131"/>
      <c r="AN421" s="131"/>
      <c r="AO421" s="131"/>
      <c r="AP421" s="131"/>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31"/>
      <c r="B422" s="134"/>
      <c r="C422" s="134"/>
      <c r="D422" s="134"/>
      <c r="E422" s="150"/>
      <c r="F422" s="150"/>
      <c r="G422" s="150"/>
      <c r="H422" s="150"/>
      <c r="I422" s="150"/>
      <c r="J422" s="150"/>
      <c r="K422" s="150"/>
      <c r="L422" s="150"/>
      <c r="M422" s="150"/>
      <c r="N422" s="134"/>
      <c r="O422" s="134"/>
      <c r="P422" s="134"/>
      <c r="Q422" s="134"/>
      <c r="R422" s="134"/>
      <c r="S422" s="134"/>
      <c r="T422" s="134"/>
      <c r="U422" s="134"/>
      <c r="V422" s="134"/>
      <c r="W422" s="134"/>
      <c r="X422" s="134"/>
      <c r="Y422" s="134"/>
      <c r="Z422" s="134"/>
      <c r="AA422" s="134"/>
      <c r="AB422" s="134"/>
      <c r="AC422" s="134"/>
      <c r="AD422" s="134"/>
      <c r="AE422" s="134"/>
      <c r="AF422" s="134"/>
      <c r="AG422" s="134"/>
      <c r="AH422" s="134"/>
      <c r="AI422" s="134"/>
      <c r="AJ422" s="131"/>
      <c r="AK422" s="131"/>
      <c r="AL422" s="131"/>
      <c r="AM422" s="131"/>
      <c r="AN422" s="131"/>
      <c r="AO422" s="131"/>
      <c r="AP422" s="131"/>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31"/>
      <c r="B423" s="134"/>
      <c r="C423" s="134"/>
      <c r="D423" s="134"/>
      <c r="E423" s="150"/>
      <c r="F423" s="150"/>
      <c r="G423" s="150"/>
      <c r="H423" s="150"/>
      <c r="I423" s="150"/>
      <c r="J423" s="150"/>
      <c r="K423" s="150"/>
      <c r="L423" s="150"/>
      <c r="M423" s="150"/>
      <c r="N423" s="134"/>
      <c r="O423" s="134"/>
      <c r="P423" s="134"/>
      <c r="Q423" s="134"/>
      <c r="R423" s="134"/>
      <c r="S423" s="134"/>
      <c r="T423" s="134"/>
      <c r="U423" s="134"/>
      <c r="V423" s="134"/>
      <c r="W423" s="134"/>
      <c r="X423" s="134"/>
      <c r="Y423" s="134"/>
      <c r="Z423" s="134"/>
      <c r="AA423" s="134"/>
      <c r="AB423" s="134"/>
      <c r="AC423" s="134"/>
      <c r="AD423" s="134"/>
      <c r="AE423" s="134"/>
      <c r="AF423" s="134"/>
      <c r="AG423" s="134"/>
      <c r="AH423" s="134"/>
      <c r="AI423" s="134"/>
      <c r="AJ423" s="131"/>
      <c r="AK423" s="131"/>
      <c r="AL423" s="131"/>
      <c r="AM423" s="131"/>
      <c r="AN423" s="131"/>
      <c r="AO423" s="131"/>
      <c r="AP423" s="131"/>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31"/>
      <c r="B424" s="134"/>
      <c r="C424" s="134"/>
      <c r="D424" s="134"/>
      <c r="E424" s="150"/>
      <c r="F424" s="150"/>
      <c r="G424" s="150"/>
      <c r="H424" s="150"/>
      <c r="I424" s="150"/>
      <c r="J424" s="150"/>
      <c r="K424" s="150"/>
      <c r="L424" s="150"/>
      <c r="M424" s="150"/>
      <c r="N424" s="134"/>
      <c r="O424" s="134"/>
      <c r="P424" s="134"/>
      <c r="Q424" s="134"/>
      <c r="R424" s="134"/>
      <c r="S424" s="134"/>
      <c r="T424" s="134"/>
      <c r="U424" s="134"/>
      <c r="V424" s="134"/>
      <c r="W424" s="134"/>
      <c r="X424" s="134"/>
      <c r="Y424" s="134"/>
      <c r="Z424" s="134"/>
      <c r="AA424" s="134"/>
      <c r="AB424" s="134"/>
      <c r="AC424" s="134"/>
      <c r="AD424" s="134"/>
      <c r="AE424" s="134"/>
      <c r="AF424" s="134"/>
      <c r="AG424" s="134"/>
      <c r="AH424" s="134"/>
      <c r="AI424" s="134"/>
      <c r="AJ424" s="131"/>
      <c r="AK424" s="131"/>
      <c r="AL424" s="131"/>
      <c r="AM424" s="131"/>
      <c r="AN424" s="131"/>
      <c r="AO424" s="131"/>
      <c r="AP424" s="131"/>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31"/>
      <c r="B425" s="134"/>
      <c r="C425" s="134"/>
      <c r="D425" s="134"/>
      <c r="E425" s="150"/>
      <c r="F425" s="150"/>
      <c r="G425" s="150"/>
      <c r="H425" s="150"/>
      <c r="I425" s="150"/>
      <c r="J425" s="150"/>
      <c r="K425" s="150"/>
      <c r="L425" s="150"/>
      <c r="M425" s="150"/>
      <c r="N425" s="134"/>
      <c r="O425" s="134"/>
      <c r="P425" s="134"/>
      <c r="Q425" s="134"/>
      <c r="R425" s="134"/>
      <c r="S425" s="134"/>
      <c r="T425" s="134"/>
      <c r="U425" s="134"/>
      <c r="V425" s="134"/>
      <c r="W425" s="134"/>
      <c r="X425" s="134"/>
      <c r="Y425" s="134"/>
      <c r="Z425" s="134"/>
      <c r="AA425" s="134"/>
      <c r="AB425" s="134"/>
      <c r="AC425" s="134"/>
      <c r="AD425" s="134"/>
      <c r="AE425" s="134"/>
      <c r="AF425" s="134"/>
      <c r="AG425" s="134"/>
      <c r="AH425" s="134"/>
      <c r="AI425" s="134"/>
      <c r="AJ425" s="131"/>
      <c r="AK425" s="131"/>
      <c r="AL425" s="131"/>
      <c r="AM425" s="131"/>
      <c r="AN425" s="131"/>
      <c r="AO425" s="131"/>
      <c r="AP425" s="131"/>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31"/>
      <c r="B426" s="134"/>
      <c r="C426" s="134"/>
      <c r="D426" s="134"/>
      <c r="E426" s="150"/>
      <c r="F426" s="150"/>
      <c r="G426" s="150"/>
      <c r="H426" s="150"/>
      <c r="I426" s="150"/>
      <c r="J426" s="150"/>
      <c r="K426" s="150"/>
      <c r="L426" s="150"/>
      <c r="M426" s="150"/>
      <c r="N426" s="134"/>
      <c r="O426" s="134"/>
      <c r="P426" s="134"/>
      <c r="Q426" s="134"/>
      <c r="R426" s="134"/>
      <c r="S426" s="134"/>
      <c r="T426" s="134"/>
      <c r="U426" s="134"/>
      <c r="V426" s="134"/>
      <c r="W426" s="134"/>
      <c r="X426" s="134"/>
      <c r="Y426" s="134"/>
      <c r="Z426" s="134"/>
      <c r="AA426" s="134"/>
      <c r="AB426" s="134"/>
      <c r="AC426" s="134"/>
      <c r="AD426" s="134"/>
      <c r="AE426" s="134"/>
      <c r="AF426" s="134"/>
      <c r="AG426" s="134"/>
      <c r="AH426" s="134"/>
      <c r="AI426" s="134"/>
      <c r="AJ426" s="131"/>
      <c r="AK426" s="131"/>
      <c r="AL426" s="131"/>
      <c r="AM426" s="131"/>
      <c r="AN426" s="131"/>
      <c r="AO426" s="131"/>
      <c r="AP426" s="131"/>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31"/>
      <c r="B427" s="134"/>
      <c r="C427" s="134"/>
      <c r="D427" s="134"/>
      <c r="E427" s="150"/>
      <c r="F427" s="150"/>
      <c r="G427" s="150"/>
      <c r="H427" s="150"/>
      <c r="I427" s="150"/>
      <c r="J427" s="150"/>
      <c r="K427" s="150"/>
      <c r="L427" s="150"/>
      <c r="M427" s="150"/>
      <c r="N427" s="134"/>
      <c r="O427" s="134"/>
      <c r="P427" s="134"/>
      <c r="Q427" s="134"/>
      <c r="R427" s="134"/>
      <c r="S427" s="134"/>
      <c r="T427" s="134"/>
      <c r="U427" s="134"/>
      <c r="V427" s="134"/>
      <c r="W427" s="134"/>
      <c r="X427" s="134"/>
      <c r="Y427" s="134"/>
      <c r="Z427" s="134"/>
      <c r="AA427" s="134"/>
      <c r="AB427" s="134"/>
      <c r="AC427" s="134"/>
      <c r="AD427" s="134"/>
      <c r="AE427" s="134"/>
      <c r="AF427" s="134"/>
      <c r="AG427" s="134"/>
      <c r="AH427" s="134"/>
      <c r="AI427" s="134"/>
      <c r="AJ427" s="131"/>
      <c r="AK427" s="131"/>
      <c r="AL427" s="131"/>
      <c r="AM427" s="131"/>
      <c r="AN427" s="131"/>
      <c r="AO427" s="131"/>
      <c r="AP427" s="131"/>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31"/>
      <c r="B428" s="134"/>
      <c r="C428" s="134"/>
      <c r="D428" s="134"/>
      <c r="E428" s="150"/>
      <c r="F428" s="150"/>
      <c r="G428" s="150"/>
      <c r="H428" s="150"/>
      <c r="I428" s="150"/>
      <c r="J428" s="150"/>
      <c r="K428" s="150"/>
      <c r="L428" s="150"/>
      <c r="M428" s="150"/>
      <c r="N428" s="134"/>
      <c r="O428" s="134"/>
      <c r="P428" s="134"/>
      <c r="Q428" s="134"/>
      <c r="R428" s="134"/>
      <c r="S428" s="134"/>
      <c r="T428" s="134"/>
      <c r="U428" s="134"/>
      <c r="V428" s="134"/>
      <c r="W428" s="134"/>
      <c r="X428" s="134"/>
      <c r="Y428" s="134"/>
      <c r="Z428" s="134"/>
      <c r="AA428" s="134"/>
      <c r="AB428" s="134"/>
      <c r="AC428" s="134"/>
      <c r="AD428" s="134"/>
      <c r="AE428" s="134"/>
      <c r="AF428" s="134"/>
      <c r="AG428" s="134"/>
      <c r="AH428" s="134"/>
      <c r="AI428" s="134"/>
      <c r="AJ428" s="131"/>
      <c r="AK428" s="131"/>
      <c r="AL428" s="131"/>
      <c r="AM428" s="131"/>
      <c r="AN428" s="131"/>
      <c r="AO428" s="131"/>
      <c r="AP428" s="131"/>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31"/>
      <c r="B429" s="134"/>
      <c r="C429" s="134"/>
      <c r="D429" s="134"/>
      <c r="E429" s="150"/>
      <c r="F429" s="150"/>
      <c r="G429" s="150"/>
      <c r="H429" s="150"/>
      <c r="I429" s="150"/>
      <c r="J429" s="150"/>
      <c r="K429" s="150"/>
      <c r="L429" s="150"/>
      <c r="M429" s="150"/>
      <c r="N429" s="134"/>
      <c r="O429" s="134"/>
      <c r="P429" s="134"/>
      <c r="Q429" s="134"/>
      <c r="R429" s="134"/>
      <c r="S429" s="134"/>
      <c r="T429" s="134"/>
      <c r="U429" s="134"/>
      <c r="V429" s="134"/>
      <c r="W429" s="134"/>
      <c r="X429" s="134"/>
      <c r="Y429" s="134"/>
      <c r="Z429" s="134"/>
      <c r="AA429" s="134"/>
      <c r="AB429" s="134"/>
      <c r="AC429" s="134"/>
      <c r="AD429" s="134"/>
      <c r="AE429" s="134"/>
      <c r="AF429" s="134"/>
      <c r="AG429" s="134"/>
      <c r="AH429" s="134"/>
      <c r="AI429" s="134"/>
      <c r="AJ429" s="131"/>
      <c r="AK429" s="131"/>
      <c r="AL429" s="131"/>
      <c r="AM429" s="131"/>
      <c r="AN429" s="131"/>
      <c r="AO429" s="131"/>
      <c r="AP429" s="131"/>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31"/>
      <c r="B430" s="134"/>
      <c r="C430" s="134"/>
      <c r="D430" s="134"/>
      <c r="E430" s="150"/>
      <c r="F430" s="150"/>
      <c r="G430" s="150"/>
      <c r="H430" s="150"/>
      <c r="I430" s="150"/>
      <c r="J430" s="150"/>
      <c r="K430" s="150"/>
      <c r="L430" s="150"/>
      <c r="M430" s="150"/>
      <c r="N430" s="134"/>
      <c r="O430" s="134"/>
      <c r="P430" s="134"/>
      <c r="Q430" s="134"/>
      <c r="R430" s="134"/>
      <c r="S430" s="134"/>
      <c r="T430" s="134"/>
      <c r="U430" s="134"/>
      <c r="V430" s="134"/>
      <c r="W430" s="134"/>
      <c r="X430" s="134"/>
      <c r="Y430" s="134"/>
      <c r="Z430" s="134"/>
      <c r="AA430" s="134"/>
      <c r="AB430" s="134"/>
      <c r="AC430" s="134"/>
      <c r="AD430" s="134"/>
      <c r="AE430" s="134"/>
      <c r="AF430" s="134"/>
      <c r="AG430" s="134"/>
      <c r="AH430" s="134"/>
      <c r="AI430" s="134"/>
      <c r="AJ430" s="131"/>
      <c r="AK430" s="131"/>
      <c r="AL430" s="131"/>
      <c r="AM430" s="131"/>
      <c r="AN430" s="131"/>
      <c r="AO430" s="131"/>
      <c r="AP430" s="131"/>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31"/>
      <c r="B431" s="134"/>
      <c r="C431" s="134"/>
      <c r="D431" s="134"/>
      <c r="E431" s="150"/>
      <c r="F431" s="150"/>
      <c r="G431" s="150"/>
      <c r="H431" s="150"/>
      <c r="I431" s="150"/>
      <c r="J431" s="150"/>
      <c r="K431" s="150"/>
      <c r="L431" s="150"/>
      <c r="M431" s="150"/>
      <c r="N431" s="134"/>
      <c r="O431" s="134"/>
      <c r="P431" s="134"/>
      <c r="Q431" s="134"/>
      <c r="R431" s="134"/>
      <c r="S431" s="134"/>
      <c r="T431" s="134"/>
      <c r="U431" s="134"/>
      <c r="V431" s="134"/>
      <c r="W431" s="134"/>
      <c r="X431" s="134"/>
      <c r="Y431" s="134"/>
      <c r="Z431" s="134"/>
      <c r="AA431" s="134"/>
      <c r="AB431" s="134"/>
      <c r="AC431" s="134"/>
      <c r="AD431" s="134"/>
      <c r="AE431" s="134"/>
      <c r="AF431" s="134"/>
      <c r="AG431" s="134"/>
      <c r="AH431" s="134"/>
      <c r="AI431" s="134"/>
      <c r="AJ431" s="131"/>
      <c r="AK431" s="131"/>
      <c r="AL431" s="131"/>
      <c r="AM431" s="131"/>
      <c r="AN431" s="131"/>
      <c r="AO431" s="131"/>
      <c r="AP431" s="131"/>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31"/>
      <c r="B432" s="150"/>
      <c r="C432" s="134"/>
      <c r="D432" s="134"/>
      <c r="E432" s="134"/>
      <c r="F432" s="134"/>
      <c r="G432" s="134"/>
      <c r="H432" s="134"/>
      <c r="I432" s="134"/>
      <c r="J432" s="134"/>
      <c r="K432" s="134"/>
      <c r="L432" s="134"/>
      <c r="M432" s="134"/>
      <c r="N432" s="134"/>
      <c r="O432" s="134"/>
      <c r="P432" s="134"/>
      <c r="Q432" s="134"/>
      <c r="R432" s="134"/>
      <c r="S432" s="134"/>
      <c r="T432" s="134"/>
      <c r="U432" s="134"/>
      <c r="V432" s="134"/>
      <c r="W432" s="134"/>
      <c r="X432" s="131"/>
      <c r="Y432" s="131"/>
      <c r="Z432" s="131"/>
      <c r="AA432" s="131"/>
      <c r="AB432" s="131"/>
      <c r="AC432" s="131"/>
      <c r="AD432" s="134"/>
      <c r="AE432" s="134"/>
      <c r="AF432" s="134"/>
      <c r="AG432" s="134"/>
      <c r="AH432" s="131"/>
      <c r="AI432" s="131"/>
      <c r="AJ432" s="131"/>
      <c r="AK432" s="131"/>
      <c r="AL432" s="131"/>
      <c r="AM432" s="131"/>
      <c r="AN432" s="131"/>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31"/>
      <c r="B433" s="150"/>
      <c r="C433" s="134"/>
      <c r="D433" s="134"/>
      <c r="E433" s="134"/>
      <c r="F433" s="134"/>
      <c r="G433" s="134"/>
      <c r="H433" s="134"/>
      <c r="I433" s="134"/>
      <c r="J433" s="134"/>
      <c r="K433" s="134"/>
      <c r="L433" s="134"/>
      <c r="M433" s="134"/>
      <c r="N433" s="134"/>
      <c r="O433" s="134"/>
      <c r="P433" s="134"/>
      <c r="Q433" s="134"/>
      <c r="R433" s="134"/>
      <c r="S433" s="134"/>
      <c r="T433" s="134"/>
      <c r="U433" s="134"/>
      <c r="V433" s="134"/>
      <c r="W433" s="134"/>
      <c r="X433" s="131"/>
      <c r="Y433" s="131"/>
      <c r="Z433" s="131"/>
      <c r="AA433" s="131"/>
      <c r="AB433" s="131"/>
      <c r="AC433" s="131"/>
      <c r="AD433" s="131"/>
      <c r="AE433" s="131"/>
      <c r="AF433" s="131"/>
      <c r="AG433" s="131"/>
      <c r="AH433" s="131"/>
      <c r="AI433" s="131"/>
      <c r="AJ433" s="131"/>
      <c r="AK433" s="131"/>
      <c r="AL433" s="131"/>
      <c r="AM433" s="131"/>
      <c r="AN433" s="131"/>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31"/>
      <c r="B434" s="150"/>
      <c r="C434" s="134"/>
      <c r="D434" s="134"/>
      <c r="E434" s="134"/>
      <c r="F434" s="134"/>
      <c r="G434" s="134"/>
      <c r="H434" s="134"/>
      <c r="I434" s="134"/>
      <c r="J434" s="134"/>
      <c r="K434" s="134"/>
      <c r="L434" s="134"/>
      <c r="M434" s="134"/>
      <c r="N434" s="134"/>
      <c r="O434" s="134"/>
      <c r="P434" s="134"/>
      <c r="Q434" s="134"/>
      <c r="R434" s="134"/>
      <c r="S434" s="134"/>
      <c r="T434" s="134"/>
      <c r="U434" s="134"/>
      <c r="V434" s="134"/>
      <c r="W434" s="134"/>
      <c r="X434" s="131"/>
      <c r="Y434" s="131"/>
      <c r="Z434" s="131"/>
      <c r="AA434" s="131"/>
      <c r="AB434" s="131"/>
      <c r="AC434" s="131"/>
      <c r="AD434" s="131"/>
      <c r="AE434" s="131"/>
      <c r="AF434" s="131"/>
      <c r="AG434" s="131"/>
      <c r="AH434" s="131"/>
      <c r="AI434" s="131"/>
      <c r="AJ434" s="131"/>
      <c r="AK434" s="131"/>
      <c r="AL434" s="131"/>
      <c r="AM434" s="131"/>
      <c r="AN434" s="131"/>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31"/>
      <c r="B435" s="150"/>
      <c r="C435" s="134"/>
      <c r="D435" s="134"/>
      <c r="E435" s="134"/>
      <c r="F435" s="134"/>
      <c r="G435" s="134"/>
      <c r="H435" s="134"/>
      <c r="I435" s="134"/>
      <c r="J435" s="134"/>
      <c r="K435" s="134"/>
      <c r="L435" s="134"/>
      <c r="M435" s="134"/>
      <c r="N435" s="134"/>
      <c r="O435" s="134"/>
      <c r="P435" s="134"/>
      <c r="Q435" s="134"/>
      <c r="R435" s="134"/>
      <c r="S435" s="134"/>
      <c r="T435" s="134"/>
      <c r="U435" s="134"/>
      <c r="V435" s="134"/>
      <c r="W435" s="134"/>
      <c r="X435" s="131"/>
      <c r="Y435" s="131"/>
      <c r="Z435" s="131"/>
      <c r="AA435" s="131"/>
      <c r="AB435" s="131"/>
      <c r="AC435" s="131"/>
      <c r="AD435" s="131"/>
      <c r="AE435" s="131"/>
      <c r="AF435" s="131"/>
      <c r="AG435" s="131"/>
      <c r="AH435" s="131"/>
      <c r="AI435" s="131"/>
      <c r="AJ435" s="131"/>
      <c r="AK435" s="131"/>
      <c r="AL435" s="131"/>
      <c r="AM435" s="131"/>
      <c r="AN435" s="131"/>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31"/>
      <c r="B436" s="150"/>
      <c r="C436" s="134"/>
      <c r="D436" s="134"/>
      <c r="E436" s="134"/>
      <c r="F436" s="134"/>
      <c r="G436" s="134"/>
      <c r="H436" s="134"/>
      <c r="I436" s="134"/>
      <c r="J436" s="134"/>
      <c r="K436" s="134"/>
      <c r="L436" s="134"/>
      <c r="M436" s="134"/>
      <c r="N436" s="134"/>
      <c r="O436" s="134"/>
      <c r="P436" s="134"/>
      <c r="Q436" s="134"/>
      <c r="R436" s="134"/>
      <c r="S436" s="134"/>
      <c r="T436" s="134"/>
      <c r="U436" s="134"/>
      <c r="V436" s="134"/>
      <c r="W436" s="134"/>
      <c r="X436" s="131"/>
      <c r="Y436" s="131"/>
      <c r="Z436" s="131"/>
      <c r="AA436" s="131"/>
      <c r="AB436" s="131"/>
      <c r="AC436" s="131"/>
      <c r="AD436" s="131"/>
      <c r="AE436" s="131"/>
      <c r="AF436" s="131"/>
      <c r="AG436" s="131"/>
      <c r="AH436" s="131"/>
      <c r="AI436" s="131"/>
      <c r="AJ436" s="131"/>
      <c r="AK436" s="131"/>
      <c r="AL436" s="131"/>
      <c r="AM436" s="131"/>
      <c r="AN436" s="131"/>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31"/>
      <c r="B437" s="150"/>
      <c r="C437" s="134"/>
      <c r="D437" s="134"/>
      <c r="E437" s="134"/>
      <c r="F437" s="134"/>
      <c r="G437" s="134"/>
      <c r="H437" s="134"/>
      <c r="I437" s="134"/>
      <c r="J437" s="134"/>
      <c r="K437" s="134"/>
      <c r="L437" s="134"/>
      <c r="M437" s="134"/>
      <c r="N437" s="134"/>
      <c r="O437" s="134"/>
      <c r="P437" s="134"/>
      <c r="Q437" s="134"/>
      <c r="R437" s="134"/>
      <c r="S437" s="134"/>
      <c r="T437" s="134"/>
      <c r="U437" s="134"/>
      <c r="V437" s="134"/>
      <c r="W437" s="134"/>
      <c r="X437" s="131"/>
      <c r="Y437" s="131"/>
      <c r="Z437" s="131"/>
      <c r="AA437" s="131"/>
      <c r="AB437" s="131"/>
      <c r="AC437" s="131"/>
      <c r="AD437" s="131"/>
      <c r="AE437" s="131"/>
      <c r="AF437" s="131"/>
      <c r="AG437" s="131"/>
      <c r="AH437" s="131"/>
      <c r="AI437" s="131"/>
      <c r="AJ437" s="131"/>
      <c r="AK437" s="131"/>
      <c r="AL437" s="131"/>
      <c r="AM437" s="131"/>
      <c r="AN437" s="131"/>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31"/>
      <c r="B438" s="150"/>
      <c r="C438" s="134"/>
      <c r="D438" s="134"/>
      <c r="E438" s="134"/>
      <c r="F438" s="134"/>
      <c r="G438" s="134"/>
      <c r="H438" s="134"/>
      <c r="I438" s="134"/>
      <c r="J438" s="134"/>
      <c r="K438" s="134"/>
      <c r="L438" s="134"/>
      <c r="M438" s="134"/>
      <c r="N438" s="134"/>
      <c r="O438" s="134"/>
      <c r="P438" s="134"/>
      <c r="Q438" s="134"/>
      <c r="R438" s="134"/>
      <c r="S438" s="134"/>
      <c r="T438" s="134"/>
      <c r="U438" s="134"/>
      <c r="V438" s="134"/>
      <c r="W438" s="134"/>
      <c r="X438" s="131"/>
      <c r="Y438" s="131"/>
      <c r="Z438" s="131"/>
      <c r="AA438" s="131"/>
      <c r="AB438" s="131"/>
      <c r="AC438" s="131"/>
      <c r="AD438" s="131"/>
      <c r="AE438" s="131"/>
      <c r="AF438" s="131"/>
      <c r="AG438" s="131"/>
      <c r="AH438" s="131"/>
      <c r="AI438" s="131"/>
      <c r="AJ438" s="131"/>
      <c r="AK438" s="131"/>
      <c r="AL438" s="131"/>
      <c r="AM438" s="131"/>
      <c r="AN438" s="131"/>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31"/>
      <c r="B439" s="150"/>
      <c r="C439" s="134"/>
      <c r="D439" s="134"/>
      <c r="E439" s="134"/>
      <c r="F439" s="134"/>
      <c r="G439" s="134"/>
      <c r="H439" s="134"/>
      <c r="I439" s="134"/>
      <c r="J439" s="134"/>
      <c r="K439" s="134"/>
      <c r="L439" s="134"/>
      <c r="M439" s="134"/>
      <c r="N439" s="134"/>
      <c r="O439" s="134"/>
      <c r="P439" s="134"/>
      <c r="Q439" s="134"/>
      <c r="R439" s="134"/>
      <c r="S439" s="134"/>
      <c r="T439" s="134"/>
      <c r="U439" s="134"/>
      <c r="V439" s="134"/>
      <c r="W439" s="134"/>
      <c r="X439" s="131"/>
      <c r="Y439" s="131"/>
      <c r="Z439" s="131"/>
      <c r="AA439" s="131"/>
      <c r="AB439" s="131"/>
      <c r="AC439" s="131"/>
      <c r="AD439" s="131"/>
      <c r="AE439" s="131"/>
      <c r="AF439" s="131"/>
      <c r="AG439" s="131"/>
      <c r="AH439" s="131"/>
      <c r="AI439" s="131"/>
      <c r="AJ439" s="131"/>
      <c r="AK439" s="131"/>
      <c r="AL439" s="131"/>
      <c r="AM439" s="131"/>
      <c r="AN439" s="131"/>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31"/>
      <c r="B440" s="150"/>
      <c r="C440" s="134"/>
      <c r="D440" s="134"/>
      <c r="E440" s="134"/>
      <c r="F440" s="134"/>
      <c r="G440" s="134"/>
      <c r="H440" s="134"/>
      <c r="I440" s="134"/>
      <c r="J440" s="134"/>
      <c r="K440" s="134"/>
      <c r="L440" s="134"/>
      <c r="M440" s="134"/>
      <c r="N440" s="134"/>
      <c r="O440" s="134"/>
      <c r="P440" s="134"/>
      <c r="Q440" s="134"/>
      <c r="R440" s="134"/>
      <c r="S440" s="134"/>
      <c r="T440" s="134"/>
      <c r="U440" s="134"/>
      <c r="V440" s="134"/>
      <c r="W440" s="134"/>
      <c r="X440" s="131"/>
      <c r="Y440" s="131"/>
      <c r="Z440" s="131"/>
      <c r="AA440" s="131"/>
      <c r="AB440" s="131"/>
      <c r="AC440" s="131"/>
      <c r="AD440" s="131"/>
      <c r="AE440" s="131"/>
      <c r="AF440" s="131"/>
      <c r="AG440" s="131"/>
      <c r="AH440" s="131"/>
      <c r="AI440" s="131"/>
      <c r="AJ440" s="131"/>
      <c r="AK440" s="131"/>
      <c r="AL440" s="131"/>
      <c r="AM440" s="131"/>
      <c r="AN440" s="131"/>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31"/>
      <c r="B441" s="150"/>
      <c r="C441" s="134"/>
      <c r="D441" s="134"/>
      <c r="E441" s="134"/>
      <c r="F441" s="134"/>
      <c r="G441" s="134"/>
      <c r="H441" s="134"/>
      <c r="I441" s="134"/>
      <c r="J441" s="134"/>
      <c r="K441" s="134"/>
      <c r="L441" s="134"/>
      <c r="M441" s="134"/>
      <c r="N441" s="134"/>
      <c r="O441" s="134"/>
      <c r="P441" s="134"/>
      <c r="Q441" s="134"/>
      <c r="R441" s="134"/>
      <c r="S441" s="134"/>
      <c r="T441" s="134"/>
      <c r="U441" s="134"/>
      <c r="V441" s="134"/>
      <c r="W441" s="134"/>
      <c r="X441" s="131"/>
      <c r="Y441" s="131"/>
      <c r="Z441" s="131"/>
      <c r="AA441" s="131"/>
      <c r="AB441" s="131"/>
      <c r="AC441" s="131"/>
      <c r="AD441" s="131"/>
      <c r="AE441" s="131"/>
      <c r="AF441" s="131"/>
      <c r="AG441" s="131"/>
      <c r="AH441" s="131"/>
      <c r="AI441" s="131"/>
      <c r="AJ441" s="131"/>
      <c r="AK441" s="131"/>
      <c r="AL441" s="131"/>
      <c r="AM441" s="131"/>
      <c r="AN441" s="131"/>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31"/>
      <c r="B442" s="150"/>
      <c r="C442" s="134"/>
      <c r="D442" s="134"/>
      <c r="E442" s="134"/>
      <c r="F442" s="134"/>
      <c r="G442" s="134"/>
      <c r="H442" s="134"/>
      <c r="I442" s="134"/>
      <c r="J442" s="134"/>
      <c r="K442" s="134"/>
      <c r="L442" s="134"/>
      <c r="M442" s="134"/>
      <c r="N442" s="134"/>
      <c r="O442" s="134"/>
      <c r="P442" s="134"/>
      <c r="Q442" s="134"/>
      <c r="R442" s="134"/>
      <c r="S442" s="134"/>
      <c r="T442" s="134"/>
      <c r="U442" s="134"/>
      <c r="V442" s="134"/>
      <c r="W442" s="134"/>
      <c r="X442" s="131"/>
      <c r="Y442" s="131"/>
      <c r="Z442" s="131"/>
      <c r="AA442" s="131"/>
      <c r="AB442" s="131"/>
      <c r="AC442" s="131"/>
      <c r="AD442" s="131"/>
      <c r="AE442" s="131"/>
      <c r="AF442" s="131"/>
      <c r="AG442" s="131"/>
      <c r="AH442" s="131"/>
      <c r="AI442" s="131"/>
      <c r="AJ442" s="131"/>
      <c r="AK442" s="131"/>
      <c r="AL442" s="131"/>
      <c r="AM442" s="131"/>
      <c r="AN442" s="131"/>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31"/>
      <c r="B443" s="150"/>
      <c r="C443" s="134"/>
      <c r="D443" s="134"/>
      <c r="E443" s="134"/>
      <c r="F443" s="134"/>
      <c r="G443" s="134"/>
      <c r="H443" s="134"/>
      <c r="I443" s="134"/>
      <c r="J443" s="134"/>
      <c r="K443" s="134"/>
      <c r="L443" s="134"/>
      <c r="M443" s="134"/>
      <c r="N443" s="134"/>
      <c r="O443" s="134"/>
      <c r="P443" s="134"/>
      <c r="Q443" s="134"/>
      <c r="R443" s="134"/>
      <c r="S443" s="134"/>
      <c r="T443" s="134"/>
      <c r="U443" s="134"/>
      <c r="V443" s="134"/>
      <c r="W443" s="134"/>
      <c r="X443" s="131"/>
      <c r="Y443" s="131"/>
      <c r="Z443" s="131"/>
      <c r="AA443" s="131"/>
      <c r="AB443" s="131"/>
      <c r="AC443" s="131"/>
      <c r="AD443" s="131"/>
      <c r="AE443" s="131"/>
      <c r="AF443" s="131"/>
      <c r="AG443" s="131"/>
      <c r="AH443" s="131"/>
      <c r="AI443" s="131"/>
      <c r="AJ443" s="131"/>
      <c r="AK443" s="131"/>
      <c r="AL443" s="131"/>
      <c r="AM443" s="131"/>
      <c r="AN443" s="131"/>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31"/>
      <c r="B444" s="150"/>
      <c r="C444" s="134"/>
      <c r="D444" s="134"/>
      <c r="E444" s="134"/>
      <c r="F444" s="134"/>
      <c r="G444" s="134"/>
      <c r="H444" s="134"/>
      <c r="I444" s="134"/>
      <c r="J444" s="134"/>
      <c r="K444" s="134"/>
      <c r="L444" s="134"/>
      <c r="M444" s="134"/>
      <c r="N444" s="134"/>
      <c r="O444" s="134"/>
      <c r="P444" s="134"/>
      <c r="Q444" s="134"/>
      <c r="R444" s="134"/>
      <c r="S444" s="134"/>
      <c r="T444" s="134"/>
      <c r="U444" s="134"/>
      <c r="V444" s="134"/>
      <c r="W444" s="134"/>
      <c r="X444" s="131"/>
      <c r="Y444" s="131"/>
      <c r="Z444" s="131"/>
      <c r="AA444" s="131"/>
      <c r="AB444" s="131"/>
      <c r="AC444" s="131"/>
      <c r="AD444" s="131"/>
      <c r="AE444" s="131"/>
      <c r="AF444" s="131"/>
      <c r="AG444" s="131"/>
      <c r="AH444" s="131"/>
      <c r="AI444" s="131"/>
      <c r="AJ444" s="131"/>
      <c r="AK444" s="131"/>
      <c r="AL444" s="131"/>
      <c r="AM444" s="131"/>
      <c r="AN444" s="131"/>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31"/>
      <c r="B445" s="150"/>
      <c r="C445" s="134"/>
      <c r="D445" s="134"/>
      <c r="E445" s="134"/>
      <c r="F445" s="134"/>
      <c r="G445" s="134"/>
      <c r="H445" s="134"/>
      <c r="I445" s="134"/>
      <c r="J445" s="134"/>
      <c r="K445" s="134"/>
      <c r="L445" s="134"/>
      <c r="M445" s="134"/>
      <c r="N445" s="134"/>
      <c r="O445" s="134"/>
      <c r="P445" s="134"/>
      <c r="Q445" s="134"/>
      <c r="R445" s="134"/>
      <c r="S445" s="134"/>
      <c r="T445" s="134"/>
      <c r="U445" s="134"/>
      <c r="V445" s="134"/>
      <c r="W445" s="134"/>
      <c r="X445" s="131"/>
      <c r="Y445" s="131"/>
      <c r="Z445" s="131"/>
      <c r="AA445" s="131"/>
      <c r="AB445" s="131"/>
      <c r="AC445" s="131"/>
      <c r="AD445" s="131"/>
      <c r="AE445" s="131"/>
      <c r="AF445" s="131"/>
      <c r="AG445" s="131"/>
      <c r="AH445" s="131"/>
      <c r="AI445" s="131"/>
      <c r="AJ445" s="131"/>
      <c r="AK445" s="131"/>
      <c r="AL445" s="131"/>
      <c r="AM445" s="131"/>
      <c r="AN445" s="131"/>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31"/>
      <c r="B446" s="150"/>
      <c r="C446" s="134"/>
      <c r="D446" s="134"/>
      <c r="E446" s="134"/>
      <c r="F446" s="134"/>
      <c r="G446" s="134"/>
      <c r="H446" s="134"/>
      <c r="I446" s="134"/>
      <c r="J446" s="134"/>
      <c r="K446" s="134"/>
      <c r="L446" s="134"/>
      <c r="M446" s="134"/>
      <c r="N446" s="134"/>
      <c r="O446" s="134"/>
      <c r="P446" s="134"/>
      <c r="Q446" s="134"/>
      <c r="R446" s="134"/>
      <c r="S446" s="134"/>
      <c r="T446" s="134"/>
      <c r="U446" s="134"/>
      <c r="V446" s="134"/>
      <c r="W446" s="134"/>
      <c r="X446" s="131"/>
      <c r="Y446" s="131"/>
      <c r="Z446" s="131"/>
      <c r="AA446" s="131"/>
      <c r="AB446" s="131"/>
      <c r="AC446" s="131"/>
      <c r="AD446" s="131"/>
      <c r="AE446" s="131"/>
      <c r="AF446" s="131"/>
      <c r="AG446" s="131"/>
      <c r="AH446" s="131"/>
      <c r="AI446" s="131"/>
      <c r="AJ446" s="131"/>
      <c r="AK446" s="131"/>
      <c r="AL446" s="131"/>
      <c r="AM446" s="131"/>
      <c r="AN446" s="131"/>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31"/>
      <c r="B447" s="150"/>
      <c r="C447" s="134"/>
      <c r="D447" s="134"/>
      <c r="E447" s="134"/>
      <c r="F447" s="134"/>
      <c r="G447" s="134"/>
      <c r="H447" s="134"/>
      <c r="I447" s="134"/>
      <c r="J447" s="134"/>
      <c r="K447" s="134"/>
      <c r="L447" s="134"/>
      <c r="M447" s="134"/>
      <c r="N447" s="134"/>
      <c r="O447" s="134"/>
      <c r="P447" s="134"/>
      <c r="Q447" s="134"/>
      <c r="R447" s="134"/>
      <c r="S447" s="134"/>
      <c r="T447" s="134"/>
      <c r="U447" s="134"/>
      <c r="V447" s="134"/>
      <c r="W447" s="131"/>
      <c r="X447" s="131"/>
      <c r="Y447" s="131"/>
      <c r="Z447" s="131"/>
      <c r="AA447" s="131"/>
      <c r="AB447" s="131"/>
      <c r="AC447" s="131"/>
      <c r="AD447" s="131"/>
      <c r="AE447" s="131"/>
      <c r="AF447" s="131"/>
      <c r="AG447" s="131"/>
      <c r="AH447" s="131"/>
      <c r="AI447" s="131"/>
      <c r="AJ447" s="131"/>
      <c r="AK447" s="131"/>
      <c r="AL447" s="131"/>
      <c r="AM447" s="131"/>
      <c r="AN447" s="131"/>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31"/>
      <c r="B448" s="15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c r="AA448" s="131"/>
      <c r="AB448" s="131"/>
      <c r="AC448" s="131"/>
      <c r="AD448" s="131"/>
      <c r="AE448" s="131"/>
      <c r="AF448" s="131"/>
      <c r="AG448" s="131"/>
      <c r="AH448" s="131"/>
      <c r="AI448" s="131"/>
      <c r="AJ448" s="131"/>
      <c r="AK448" s="131"/>
      <c r="AL448" s="131"/>
      <c r="AM448" s="131"/>
      <c r="AN448" s="131"/>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31"/>
      <c r="B449" s="15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c r="AA449" s="131"/>
      <c r="AB449" s="131"/>
      <c r="AC449" s="131"/>
      <c r="AD449" s="131"/>
      <c r="AE449" s="131"/>
      <c r="AF449" s="131"/>
      <c r="AG449" s="131"/>
      <c r="AH449" s="131"/>
      <c r="AI449" s="131"/>
      <c r="AJ449" s="131"/>
      <c r="AK449" s="131"/>
      <c r="AL449" s="131"/>
      <c r="AM449" s="131"/>
      <c r="AN449" s="131"/>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31"/>
      <c r="B450" s="15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c r="AA450" s="131"/>
      <c r="AB450" s="131"/>
      <c r="AC450" s="131"/>
      <c r="AD450" s="131"/>
      <c r="AE450" s="131"/>
      <c r="AF450" s="131"/>
      <c r="AG450" s="131"/>
      <c r="AH450" s="131"/>
      <c r="AI450" s="131"/>
      <c r="AJ450" s="131"/>
      <c r="AK450" s="131"/>
      <c r="AL450" s="131"/>
      <c r="AM450" s="131"/>
      <c r="AN450" s="131"/>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31"/>
      <c r="B451" s="15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c r="AA451" s="131"/>
      <c r="AB451" s="131"/>
      <c r="AC451" s="131"/>
      <c r="AD451" s="131"/>
      <c r="AE451" s="131"/>
      <c r="AF451" s="131"/>
      <c r="AG451" s="131"/>
      <c r="AH451" s="131"/>
      <c r="AI451" s="131"/>
      <c r="AJ451" s="131"/>
      <c r="AK451" s="131"/>
      <c r="AL451" s="131"/>
      <c r="AM451" s="131"/>
      <c r="AN451" s="131"/>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31"/>
      <c r="B452" s="15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c r="AA452" s="131"/>
      <c r="AB452" s="131"/>
      <c r="AC452" s="131"/>
      <c r="AD452" s="131"/>
      <c r="AE452" s="131"/>
      <c r="AF452" s="131"/>
      <c r="AG452" s="131"/>
      <c r="AH452" s="131"/>
      <c r="AI452" s="131"/>
      <c r="AJ452" s="131"/>
      <c r="AK452" s="131"/>
      <c r="AL452" s="131"/>
      <c r="AM452" s="131"/>
      <c r="AN452" s="131"/>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31"/>
      <c r="B453" s="15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c r="AA453" s="131"/>
      <c r="AB453" s="131"/>
      <c r="AC453" s="131"/>
      <c r="AD453" s="131"/>
      <c r="AE453" s="131"/>
      <c r="AF453" s="131"/>
      <c r="AG453" s="131"/>
      <c r="AH453" s="131"/>
      <c r="AI453" s="131"/>
      <c r="AJ453" s="131"/>
      <c r="AK453" s="131"/>
      <c r="AL453" s="131"/>
      <c r="AM453" s="131"/>
      <c r="AN453" s="131"/>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31"/>
      <c r="B454" s="15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c r="AA454" s="131"/>
      <c r="AB454" s="131"/>
      <c r="AC454" s="131"/>
      <c r="AD454" s="131"/>
      <c r="AE454" s="131"/>
      <c r="AF454" s="131"/>
      <c r="AG454" s="131"/>
      <c r="AH454" s="131"/>
      <c r="AI454" s="131"/>
      <c r="AJ454" s="131"/>
      <c r="AK454" s="131"/>
      <c r="AL454" s="131"/>
      <c r="AM454" s="131"/>
      <c r="AN454" s="131"/>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31"/>
      <c r="B455" s="15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c r="AA455" s="131"/>
      <c r="AB455" s="131"/>
      <c r="AC455" s="131"/>
      <c r="AD455" s="131"/>
      <c r="AE455" s="131"/>
      <c r="AF455" s="131"/>
      <c r="AG455" s="131"/>
      <c r="AH455" s="131"/>
      <c r="AI455" s="131"/>
      <c r="AJ455" s="131"/>
      <c r="AK455" s="131"/>
      <c r="AL455" s="131"/>
      <c r="AM455" s="131"/>
      <c r="AN455" s="131"/>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31"/>
      <c r="B456" s="15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c r="AA456" s="131"/>
      <c r="AB456" s="131"/>
      <c r="AC456" s="131"/>
      <c r="AD456" s="131"/>
      <c r="AE456" s="131"/>
      <c r="AF456" s="131"/>
      <c r="AG456" s="131"/>
      <c r="AH456" s="131"/>
      <c r="AI456" s="131"/>
      <c r="AJ456" s="131"/>
      <c r="AK456" s="131"/>
      <c r="AL456" s="131"/>
      <c r="AM456" s="131"/>
      <c r="AN456" s="131"/>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31"/>
      <c r="B457" s="15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c r="AA457" s="131"/>
      <c r="AB457" s="131"/>
      <c r="AC457" s="131"/>
      <c r="AD457" s="131"/>
      <c r="AE457" s="131"/>
      <c r="AF457" s="131"/>
      <c r="AG457" s="131"/>
      <c r="AH457" s="131"/>
      <c r="AI457" s="131"/>
      <c r="AJ457" s="131"/>
      <c r="AK457" s="131"/>
      <c r="AL457" s="131"/>
      <c r="AM457" s="131"/>
      <c r="AN457" s="131"/>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31"/>
      <c r="B458" s="15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c r="AA458" s="131"/>
      <c r="AB458" s="131"/>
      <c r="AC458" s="131"/>
      <c r="AD458" s="131"/>
      <c r="AE458" s="131"/>
      <c r="AF458" s="131"/>
      <c r="AG458" s="131"/>
      <c r="AH458" s="131"/>
      <c r="AI458" s="131"/>
      <c r="AJ458" s="131"/>
      <c r="AK458" s="131"/>
      <c r="AL458" s="131"/>
      <c r="AM458" s="131"/>
      <c r="AN458" s="131"/>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31"/>
      <c r="B459" s="15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c r="AA459" s="131"/>
      <c r="AB459" s="131"/>
      <c r="AC459" s="131"/>
      <c r="AD459" s="131"/>
      <c r="AE459" s="131"/>
      <c r="AF459" s="131"/>
      <c r="AG459" s="131"/>
      <c r="AH459" s="131"/>
      <c r="AI459" s="131"/>
      <c r="AJ459" s="131"/>
      <c r="AK459" s="131"/>
      <c r="AL459" s="131"/>
      <c r="AM459" s="131"/>
      <c r="AN459" s="131"/>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31"/>
      <c r="B460" s="15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c r="AA460" s="131"/>
      <c r="AB460" s="131"/>
      <c r="AC460" s="131"/>
      <c r="AD460" s="131"/>
      <c r="AE460" s="131"/>
      <c r="AF460" s="131"/>
      <c r="AG460" s="131"/>
      <c r="AH460" s="131"/>
      <c r="AI460" s="131"/>
      <c r="AJ460" s="131"/>
      <c r="AK460" s="131"/>
      <c r="AL460" s="131"/>
      <c r="AM460" s="131"/>
      <c r="AN460" s="131"/>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31"/>
      <c r="B461" s="15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c r="AA461" s="131"/>
      <c r="AB461" s="131"/>
      <c r="AC461" s="131"/>
      <c r="AD461" s="131"/>
      <c r="AE461" s="131"/>
      <c r="AF461" s="131"/>
      <c r="AG461" s="131"/>
      <c r="AH461" s="131"/>
      <c r="AI461" s="131"/>
      <c r="AJ461" s="131"/>
      <c r="AK461" s="131"/>
      <c r="AL461" s="131"/>
      <c r="AM461" s="131"/>
      <c r="AN461" s="131"/>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31"/>
      <c r="B462" s="15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31"/>
      <c r="B463" s="15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c r="AA463" s="131"/>
      <c r="AB463" s="131"/>
      <c r="AC463" s="131"/>
      <c r="AD463" s="131"/>
      <c r="AE463" s="131"/>
      <c r="AF463" s="131"/>
      <c r="AG463" s="131"/>
      <c r="AH463" s="131"/>
      <c r="AI463" s="131"/>
      <c r="AJ463" s="131"/>
      <c r="AK463" s="131"/>
      <c r="AL463" s="131"/>
      <c r="AM463" s="131"/>
      <c r="AN463" s="131"/>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31"/>
      <c r="B464" s="15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c r="AA464" s="131"/>
      <c r="AB464" s="131"/>
      <c r="AC464" s="131"/>
      <c r="AD464" s="131"/>
      <c r="AE464" s="131"/>
      <c r="AF464" s="131"/>
      <c r="AG464" s="131"/>
      <c r="AH464" s="131"/>
      <c r="AI464" s="131"/>
      <c r="AJ464" s="131"/>
      <c r="AK464" s="131"/>
      <c r="AL464" s="131"/>
      <c r="AM464" s="131"/>
      <c r="AN464" s="131"/>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31"/>
      <c r="B465" s="15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c r="AA465" s="131"/>
      <c r="AB465" s="131"/>
      <c r="AC465" s="131"/>
      <c r="AD465" s="131"/>
      <c r="AE465" s="131"/>
      <c r="AF465" s="131"/>
      <c r="AG465" s="131"/>
      <c r="AH465" s="131"/>
      <c r="AI465" s="131"/>
      <c r="AJ465" s="131"/>
      <c r="AK465" s="131"/>
      <c r="AL465" s="131"/>
      <c r="AM465" s="131"/>
      <c r="AN465" s="131"/>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31"/>
      <c r="B466" s="15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c r="AA466" s="131"/>
      <c r="AB466" s="131"/>
      <c r="AC466" s="131"/>
      <c r="AD466" s="131"/>
      <c r="AE466" s="131"/>
      <c r="AF466" s="131"/>
      <c r="AG466" s="131"/>
      <c r="AH466" s="131"/>
      <c r="AI466" s="131"/>
      <c r="AJ466" s="131"/>
      <c r="AK466" s="131"/>
      <c r="AL466" s="131"/>
      <c r="AM466" s="131"/>
      <c r="AN466" s="131"/>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31"/>
      <c r="B467" s="15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c r="AA467" s="131"/>
      <c r="AB467" s="131"/>
      <c r="AC467" s="131"/>
      <c r="AD467" s="131"/>
      <c r="AE467" s="131"/>
      <c r="AF467" s="131"/>
      <c r="AG467" s="131"/>
      <c r="AH467" s="131"/>
      <c r="AI467" s="131"/>
      <c r="AJ467" s="131"/>
      <c r="AK467" s="131"/>
      <c r="AL467" s="131"/>
      <c r="AM467" s="131"/>
      <c r="AN467" s="131"/>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31"/>
      <c r="B468" s="15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c r="AA468" s="131"/>
      <c r="AB468" s="131"/>
      <c r="AC468" s="131"/>
      <c r="AD468" s="131"/>
      <c r="AE468" s="131"/>
      <c r="AF468" s="131"/>
      <c r="AG468" s="131"/>
      <c r="AH468" s="131"/>
      <c r="AI468" s="131"/>
      <c r="AJ468" s="131"/>
      <c r="AK468" s="131"/>
      <c r="AL468" s="131"/>
      <c r="AM468" s="131"/>
      <c r="AN468" s="131"/>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31"/>
      <c r="B469" s="15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c r="AA469" s="131"/>
      <c r="AB469" s="131"/>
      <c r="AC469" s="131"/>
      <c r="AD469" s="131"/>
      <c r="AE469" s="131"/>
      <c r="AF469" s="131"/>
      <c r="AG469" s="131"/>
      <c r="AH469" s="131"/>
      <c r="AI469" s="131"/>
      <c r="AJ469" s="131"/>
      <c r="AK469" s="131"/>
      <c r="AL469" s="131"/>
      <c r="AM469" s="131"/>
      <c r="AN469" s="131"/>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31"/>
      <c r="B470" s="15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c r="AA470" s="131"/>
      <c r="AB470" s="131"/>
      <c r="AC470" s="131"/>
      <c r="AD470" s="131"/>
      <c r="AE470" s="131"/>
      <c r="AF470" s="131"/>
      <c r="AG470" s="131"/>
      <c r="AH470" s="131"/>
      <c r="AI470" s="131"/>
      <c r="AJ470" s="131"/>
      <c r="AK470" s="131"/>
      <c r="AL470" s="131"/>
      <c r="AM470" s="131"/>
      <c r="AN470" s="131"/>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31"/>
      <c r="B471" s="15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c r="AA471" s="131"/>
      <c r="AB471" s="131"/>
      <c r="AC471" s="131"/>
      <c r="AD471" s="131"/>
      <c r="AE471" s="131"/>
      <c r="AF471" s="131"/>
      <c r="AG471" s="131"/>
      <c r="AH471" s="131"/>
      <c r="AI471" s="131"/>
      <c r="AJ471" s="131"/>
      <c r="AK471" s="131"/>
      <c r="AL471" s="131"/>
      <c r="AM471" s="131"/>
      <c r="AN471" s="131"/>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31"/>
      <c r="B472" s="15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c r="AA472" s="131"/>
      <c r="AB472" s="131"/>
      <c r="AC472" s="131"/>
      <c r="AD472" s="131"/>
      <c r="AE472" s="131"/>
      <c r="AF472" s="131"/>
      <c r="AG472" s="131"/>
      <c r="AH472" s="131"/>
      <c r="AI472" s="131"/>
      <c r="AJ472" s="131"/>
      <c r="AK472" s="131"/>
      <c r="AL472" s="131"/>
      <c r="AM472" s="131"/>
      <c r="AN472" s="131"/>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31"/>
      <c r="B473" s="15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c r="AA473" s="131"/>
      <c r="AB473" s="131"/>
      <c r="AC473" s="131"/>
      <c r="AD473" s="131"/>
      <c r="AE473" s="131"/>
      <c r="AF473" s="131"/>
      <c r="AG473" s="131"/>
      <c r="AH473" s="131"/>
      <c r="AI473" s="131"/>
      <c r="AJ473" s="131"/>
      <c r="AK473" s="131"/>
      <c r="AL473" s="131"/>
      <c r="AM473" s="131"/>
      <c r="AN473" s="131"/>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31"/>
      <c r="B474" s="15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c r="AA474" s="131"/>
      <c r="AB474" s="131"/>
      <c r="AC474" s="131"/>
      <c r="AD474" s="131"/>
      <c r="AE474" s="131"/>
      <c r="AF474" s="131"/>
      <c r="AG474" s="131"/>
      <c r="AH474" s="131"/>
      <c r="AI474" s="131"/>
      <c r="AJ474" s="131"/>
      <c r="AK474" s="131"/>
      <c r="AL474" s="131"/>
      <c r="AM474" s="131"/>
      <c r="AN474" s="131"/>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31"/>
      <c r="B475" s="15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c r="AA475" s="131"/>
      <c r="AB475" s="131"/>
      <c r="AC475" s="131"/>
      <c r="AD475" s="131"/>
      <c r="AE475" s="131"/>
      <c r="AF475" s="131"/>
      <c r="AG475" s="131"/>
      <c r="AH475" s="131"/>
      <c r="AI475" s="131"/>
      <c r="AJ475" s="131"/>
      <c r="AK475" s="131"/>
      <c r="AL475" s="131"/>
      <c r="AM475" s="131"/>
      <c r="AN475" s="131"/>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31"/>
      <c r="B476" s="15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c r="AA476" s="131"/>
      <c r="AB476" s="131"/>
      <c r="AC476" s="131"/>
      <c r="AD476" s="131"/>
      <c r="AE476" s="131"/>
      <c r="AF476" s="131"/>
      <c r="AG476" s="131"/>
      <c r="AH476" s="131"/>
      <c r="AI476" s="131"/>
      <c r="AJ476" s="131"/>
      <c r="AK476" s="131"/>
      <c r="AL476" s="131"/>
      <c r="AM476" s="131"/>
      <c r="AN476" s="131"/>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31"/>
      <c r="B477" s="15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c r="AA477" s="131"/>
      <c r="AB477" s="131"/>
      <c r="AC477" s="131"/>
      <c r="AD477" s="131"/>
      <c r="AE477" s="131"/>
      <c r="AF477" s="131"/>
      <c r="AG477" s="131"/>
      <c r="AH477" s="131"/>
      <c r="AI477" s="131"/>
      <c r="AJ477" s="131"/>
      <c r="AK477" s="131"/>
      <c r="AL477" s="131"/>
      <c r="AM477" s="131"/>
      <c r="AN477" s="131"/>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31"/>
      <c r="B478" s="15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c r="AA478" s="131"/>
      <c r="AB478" s="131"/>
      <c r="AC478" s="131"/>
      <c r="AD478" s="131"/>
      <c r="AE478" s="131"/>
      <c r="AF478" s="131"/>
      <c r="AG478" s="131"/>
      <c r="AH478" s="131"/>
      <c r="AI478" s="131"/>
      <c r="AJ478" s="131"/>
      <c r="AK478" s="131"/>
      <c r="AL478" s="131"/>
      <c r="AM478" s="131"/>
      <c r="AN478" s="131"/>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31"/>
      <c r="B479" s="15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31"/>
      <c r="B480" s="15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c r="AA480" s="131"/>
      <c r="AB480" s="131"/>
      <c r="AC480" s="131"/>
      <c r="AD480" s="131"/>
      <c r="AE480" s="131"/>
      <c r="AF480" s="131"/>
      <c r="AG480" s="131"/>
      <c r="AH480" s="131"/>
      <c r="AI480" s="131"/>
      <c r="AJ480" s="131"/>
      <c r="AK480" s="131"/>
      <c r="AL480" s="131"/>
      <c r="AM480" s="131"/>
      <c r="AN480" s="131"/>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31"/>
      <c r="B481" s="15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c r="AA481" s="131"/>
      <c r="AB481" s="131"/>
      <c r="AC481" s="131"/>
      <c r="AD481" s="131"/>
      <c r="AE481" s="131"/>
      <c r="AF481" s="131"/>
      <c r="AG481" s="131"/>
      <c r="AH481" s="131"/>
      <c r="AI481" s="131"/>
      <c r="AJ481" s="131"/>
      <c r="AK481" s="131"/>
      <c r="AL481" s="131"/>
      <c r="AM481" s="131"/>
      <c r="AN481" s="131"/>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31"/>
      <c r="B482" s="15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c r="AA482" s="131"/>
      <c r="AB482" s="131"/>
      <c r="AC482" s="131"/>
      <c r="AD482" s="131"/>
      <c r="AE482" s="131"/>
      <c r="AF482" s="131"/>
      <c r="AG482" s="131"/>
      <c r="AH482" s="131"/>
      <c r="AI482" s="131"/>
      <c r="AJ482" s="131"/>
      <c r="AK482" s="131"/>
      <c r="AL482" s="131"/>
      <c r="AM482" s="131"/>
      <c r="AN482" s="131"/>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31"/>
      <c r="B483" s="15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c r="AA483" s="131"/>
      <c r="AB483" s="131"/>
      <c r="AC483" s="131"/>
      <c r="AD483" s="131"/>
      <c r="AE483" s="131"/>
      <c r="AF483" s="131"/>
      <c r="AG483" s="131"/>
      <c r="AH483" s="131"/>
      <c r="AI483" s="131"/>
      <c r="AJ483" s="131"/>
      <c r="AK483" s="131"/>
      <c r="AL483" s="131"/>
      <c r="AM483" s="131"/>
      <c r="AN483" s="131"/>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31"/>
      <c r="B484" s="15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c r="AA484" s="131"/>
      <c r="AB484" s="131"/>
      <c r="AC484" s="131"/>
      <c r="AD484" s="131"/>
      <c r="AE484" s="131"/>
      <c r="AF484" s="131"/>
      <c r="AG484" s="131"/>
      <c r="AH484" s="131"/>
      <c r="AI484" s="131"/>
      <c r="AJ484" s="131"/>
      <c r="AK484" s="131"/>
      <c r="AL484" s="131"/>
      <c r="AM484" s="131"/>
      <c r="AN484" s="131"/>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31"/>
      <c r="B485" s="15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c r="AA485" s="131"/>
      <c r="AB485" s="131"/>
      <c r="AC485" s="131"/>
      <c r="AD485" s="131"/>
      <c r="AE485" s="131"/>
      <c r="AF485" s="131"/>
      <c r="AG485" s="131"/>
      <c r="AH485" s="131"/>
      <c r="AI485" s="131"/>
      <c r="AJ485" s="131"/>
      <c r="AK485" s="131"/>
      <c r="AL485" s="131"/>
      <c r="AM485" s="131"/>
      <c r="AN485" s="131"/>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31"/>
      <c r="B486" s="15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c r="AA486" s="131"/>
      <c r="AB486" s="131"/>
      <c r="AC486" s="131"/>
      <c r="AD486" s="131"/>
      <c r="AE486" s="131"/>
      <c r="AF486" s="131"/>
      <c r="AG486" s="131"/>
      <c r="AH486" s="131"/>
      <c r="AI486" s="131"/>
      <c r="AJ486" s="131"/>
      <c r="AK486" s="131"/>
      <c r="AL486" s="131"/>
      <c r="AM486" s="131"/>
      <c r="AN486" s="131"/>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31"/>
      <c r="B487" s="15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c r="AA487" s="131"/>
      <c r="AB487" s="131"/>
      <c r="AC487" s="131"/>
      <c r="AD487" s="131"/>
      <c r="AE487" s="131"/>
      <c r="AF487" s="131"/>
      <c r="AG487" s="131"/>
      <c r="AH487" s="131"/>
      <c r="AI487" s="131"/>
      <c r="AJ487" s="131"/>
      <c r="AK487" s="131"/>
      <c r="AL487" s="131"/>
      <c r="AM487" s="131"/>
      <c r="AN487" s="131"/>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31"/>
      <c r="B488" s="15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c r="AA488" s="131"/>
      <c r="AB488" s="131"/>
      <c r="AC488" s="131"/>
      <c r="AD488" s="131"/>
      <c r="AE488" s="131"/>
      <c r="AF488" s="131"/>
      <c r="AG488" s="131"/>
      <c r="AH488" s="131"/>
      <c r="AI488" s="131"/>
      <c r="AJ488" s="131"/>
      <c r="AK488" s="131"/>
      <c r="AL488" s="131"/>
      <c r="AM488" s="131"/>
      <c r="AN488" s="131"/>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31"/>
      <c r="B489" s="15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c r="AA489" s="131"/>
      <c r="AB489" s="131"/>
      <c r="AC489" s="131"/>
      <c r="AD489" s="131"/>
      <c r="AE489" s="131"/>
      <c r="AF489" s="131"/>
      <c r="AG489" s="131"/>
      <c r="AH489" s="131"/>
      <c r="AI489" s="131"/>
      <c r="AJ489" s="131"/>
      <c r="AK489" s="131"/>
      <c r="AL489" s="131"/>
      <c r="AM489" s="131"/>
      <c r="AN489" s="131"/>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31"/>
      <c r="B490" s="15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c r="AA490" s="131"/>
      <c r="AB490" s="131"/>
      <c r="AC490" s="131"/>
      <c r="AD490" s="131"/>
      <c r="AE490" s="131"/>
      <c r="AF490" s="131"/>
      <c r="AG490" s="131"/>
      <c r="AH490" s="131"/>
      <c r="AI490" s="131"/>
      <c r="AJ490" s="131"/>
      <c r="AK490" s="131"/>
      <c r="AL490" s="131"/>
      <c r="AM490" s="131"/>
      <c r="AN490" s="131"/>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31"/>
      <c r="B491" s="15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c r="AA491" s="131"/>
      <c r="AB491" s="131"/>
      <c r="AC491" s="131"/>
      <c r="AD491" s="131"/>
      <c r="AE491" s="131"/>
      <c r="AF491" s="131"/>
      <c r="AG491" s="131"/>
      <c r="AH491" s="131"/>
      <c r="AI491" s="131"/>
      <c r="AJ491" s="131"/>
      <c r="AK491" s="131"/>
      <c r="AL491" s="131"/>
      <c r="AM491" s="131"/>
      <c r="AN491" s="131"/>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31"/>
      <c r="B492" s="15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c r="AA492" s="131"/>
      <c r="AB492" s="131"/>
      <c r="AC492" s="131"/>
      <c r="AD492" s="131"/>
      <c r="AE492" s="131"/>
      <c r="AF492" s="131"/>
      <c r="AG492" s="131"/>
      <c r="AH492" s="131"/>
      <c r="AI492" s="131"/>
      <c r="AJ492" s="131"/>
      <c r="AK492" s="131"/>
      <c r="AL492" s="131"/>
      <c r="AM492" s="131"/>
      <c r="AN492" s="131"/>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31"/>
      <c r="B493" s="15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c r="AA493" s="131"/>
      <c r="AB493" s="131"/>
      <c r="AC493" s="131"/>
      <c r="AD493" s="131"/>
      <c r="AE493" s="131"/>
      <c r="AF493" s="131"/>
      <c r="AG493" s="131"/>
      <c r="AH493" s="131"/>
      <c r="AI493" s="131"/>
      <c r="AJ493" s="131"/>
      <c r="AK493" s="131"/>
      <c r="AL493" s="131"/>
      <c r="AM493" s="131"/>
      <c r="AN493" s="131"/>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31"/>
      <c r="B494" s="15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c r="AA494" s="131"/>
      <c r="AB494" s="131"/>
      <c r="AC494" s="131"/>
      <c r="AD494" s="131"/>
      <c r="AE494" s="131"/>
      <c r="AF494" s="131"/>
      <c r="AG494" s="131"/>
      <c r="AH494" s="131"/>
      <c r="AI494" s="131"/>
      <c r="AJ494" s="131"/>
      <c r="AK494" s="131"/>
      <c r="AL494" s="131"/>
      <c r="AM494" s="131"/>
      <c r="AN494" s="131"/>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31"/>
      <c r="B495" s="15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c r="AA495" s="131"/>
      <c r="AB495" s="131"/>
      <c r="AC495" s="131"/>
      <c r="AD495" s="131"/>
      <c r="AE495" s="131"/>
      <c r="AF495" s="131"/>
      <c r="AG495" s="131"/>
      <c r="AH495" s="131"/>
      <c r="AI495" s="131"/>
      <c r="AJ495" s="131"/>
      <c r="AK495" s="131"/>
      <c r="AL495" s="131"/>
      <c r="AM495" s="131"/>
      <c r="AN495" s="131"/>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31"/>
      <c r="B496" s="15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31"/>
      <c r="B497" s="15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c r="AA497" s="131"/>
      <c r="AB497" s="131"/>
      <c r="AC497" s="131"/>
      <c r="AD497" s="131"/>
      <c r="AE497" s="131"/>
      <c r="AF497" s="131"/>
      <c r="AG497" s="131"/>
      <c r="AH497" s="131"/>
      <c r="AI497" s="131"/>
      <c r="AJ497" s="131"/>
      <c r="AK497" s="131"/>
      <c r="AL497" s="131"/>
      <c r="AM497" s="131"/>
      <c r="AN497" s="131"/>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31"/>
      <c r="B498" s="15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c r="AA498" s="131"/>
      <c r="AB498" s="131"/>
      <c r="AC498" s="131"/>
      <c r="AD498" s="131"/>
      <c r="AE498" s="131"/>
      <c r="AF498" s="131"/>
      <c r="AG498" s="131"/>
      <c r="AH498" s="131"/>
      <c r="AI498" s="131"/>
      <c r="AJ498" s="131"/>
      <c r="AK498" s="131"/>
      <c r="AL498" s="131"/>
      <c r="AM498" s="131"/>
      <c r="AN498" s="131"/>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31"/>
      <c r="B499" s="15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c r="AA499" s="131"/>
      <c r="AB499" s="131"/>
      <c r="AC499" s="131"/>
      <c r="AD499" s="131"/>
      <c r="AE499" s="131"/>
      <c r="AF499" s="131"/>
      <c r="AG499" s="131"/>
      <c r="AH499" s="131"/>
      <c r="AI499" s="131"/>
      <c r="AJ499" s="131"/>
      <c r="AK499" s="131"/>
      <c r="AL499" s="131"/>
      <c r="AM499" s="131"/>
      <c r="AN499" s="131"/>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31"/>
      <c r="B500" s="15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c r="AA500" s="131"/>
      <c r="AB500" s="131"/>
      <c r="AC500" s="131"/>
      <c r="AD500" s="131"/>
      <c r="AE500" s="131"/>
      <c r="AF500" s="131"/>
      <c r="AG500" s="131"/>
      <c r="AH500" s="131"/>
      <c r="AI500" s="131"/>
      <c r="AJ500" s="131"/>
      <c r="AK500" s="131"/>
      <c r="AL500" s="131"/>
      <c r="AM500" s="131"/>
      <c r="AN500" s="131"/>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31"/>
      <c r="B501" s="15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c r="AA501" s="131"/>
      <c r="AB501" s="131"/>
      <c r="AC501" s="131"/>
      <c r="AD501" s="131"/>
      <c r="AE501" s="131"/>
      <c r="AF501" s="131"/>
      <c r="AG501" s="131"/>
      <c r="AH501" s="131"/>
      <c r="AI501" s="131"/>
      <c r="AJ501" s="131"/>
      <c r="AK501" s="131"/>
      <c r="AL501" s="131"/>
      <c r="AM501" s="131"/>
      <c r="AN501" s="131"/>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31"/>
      <c r="B502" s="15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c r="AA502" s="131"/>
      <c r="AB502" s="131"/>
      <c r="AC502" s="131"/>
      <c r="AD502" s="131"/>
      <c r="AE502" s="131"/>
      <c r="AF502" s="131"/>
      <c r="AG502" s="131"/>
      <c r="AH502" s="131"/>
      <c r="AI502" s="131"/>
      <c r="AJ502" s="131"/>
      <c r="AK502" s="131"/>
      <c r="AL502" s="131"/>
      <c r="AM502" s="131"/>
      <c r="AN502" s="131"/>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31"/>
      <c r="B503" s="15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c r="AA503" s="131"/>
      <c r="AB503" s="131"/>
      <c r="AC503" s="131"/>
      <c r="AD503" s="131"/>
      <c r="AE503" s="131"/>
      <c r="AF503" s="131"/>
      <c r="AG503" s="131"/>
      <c r="AH503" s="131"/>
      <c r="AI503" s="131"/>
      <c r="AJ503" s="131"/>
      <c r="AK503" s="131"/>
      <c r="AL503" s="131"/>
      <c r="AM503" s="131"/>
      <c r="AN503" s="131"/>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31"/>
      <c r="B504" s="15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c r="AA504" s="131"/>
      <c r="AB504" s="131"/>
      <c r="AC504" s="131"/>
      <c r="AD504" s="131"/>
      <c r="AE504" s="131"/>
      <c r="AF504" s="131"/>
      <c r="AG504" s="131"/>
      <c r="AH504" s="131"/>
      <c r="AI504" s="131"/>
      <c r="AJ504" s="131"/>
      <c r="AK504" s="131"/>
      <c r="AL504" s="131"/>
      <c r="AM504" s="131"/>
      <c r="AN504" s="131"/>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31"/>
      <c r="B505" s="15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c r="AA505" s="131"/>
      <c r="AB505" s="131"/>
      <c r="AC505" s="131"/>
      <c r="AD505" s="131"/>
      <c r="AE505" s="131"/>
      <c r="AF505" s="131"/>
      <c r="AG505" s="131"/>
      <c r="AH505" s="131"/>
      <c r="AI505" s="131"/>
      <c r="AJ505" s="131"/>
      <c r="AK505" s="131"/>
      <c r="AL505" s="131"/>
      <c r="AM505" s="131"/>
      <c r="AN505" s="131"/>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31"/>
      <c r="B506" s="15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c r="AA506" s="131"/>
      <c r="AB506" s="131"/>
      <c r="AC506" s="131"/>
      <c r="AD506" s="131"/>
      <c r="AE506" s="131"/>
      <c r="AF506" s="131"/>
      <c r="AG506" s="131"/>
      <c r="AH506" s="131"/>
      <c r="AI506" s="131"/>
      <c r="AJ506" s="131"/>
      <c r="AK506" s="131"/>
      <c r="AL506" s="131"/>
      <c r="AM506" s="131"/>
      <c r="AN506" s="131"/>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31"/>
      <c r="B507" s="15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c r="AA507" s="131"/>
      <c r="AB507" s="131"/>
      <c r="AC507" s="131"/>
      <c r="AD507" s="131"/>
      <c r="AE507" s="131"/>
      <c r="AF507" s="131"/>
      <c r="AG507" s="131"/>
      <c r="AH507" s="131"/>
      <c r="AI507" s="131"/>
      <c r="AJ507" s="131"/>
      <c r="AK507" s="131"/>
      <c r="AL507" s="131"/>
      <c r="AM507" s="131"/>
      <c r="AN507" s="131"/>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31"/>
      <c r="B508" s="15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c r="AA508" s="131"/>
      <c r="AB508" s="131"/>
      <c r="AC508" s="131"/>
      <c r="AD508" s="131"/>
      <c r="AE508" s="131"/>
      <c r="AF508" s="131"/>
      <c r="AG508" s="131"/>
      <c r="AH508" s="131"/>
      <c r="AI508" s="131"/>
      <c r="AJ508" s="131"/>
      <c r="AK508" s="131"/>
      <c r="AL508" s="131"/>
      <c r="AM508" s="131"/>
      <c r="AN508" s="131"/>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31"/>
      <c r="B509" s="15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c r="AA509" s="131"/>
      <c r="AB509" s="131"/>
      <c r="AC509" s="131"/>
      <c r="AD509" s="131"/>
      <c r="AE509" s="131"/>
      <c r="AF509" s="131"/>
      <c r="AG509" s="131"/>
      <c r="AH509" s="131"/>
      <c r="AI509" s="131"/>
      <c r="AJ509" s="131"/>
      <c r="AK509" s="131"/>
      <c r="AL509" s="131"/>
      <c r="AM509" s="131"/>
      <c r="AN509" s="131"/>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52"/>
      <c r="B510" s="15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c r="AA510" s="131"/>
      <c r="AB510" s="131"/>
      <c r="AC510" s="131"/>
      <c r="AD510" s="131"/>
      <c r="AE510" s="131"/>
      <c r="AF510" s="131"/>
      <c r="AG510" s="131"/>
      <c r="AH510" s="131"/>
      <c r="AI510" s="131"/>
      <c r="AJ510" s="131"/>
      <c r="AK510" s="131"/>
      <c r="AL510" s="131"/>
      <c r="AM510" s="131"/>
      <c r="AN510" s="131"/>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52"/>
      <c r="B511" s="15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c r="AA511" s="131"/>
      <c r="AB511" s="131"/>
      <c r="AC511" s="131"/>
      <c r="AD511" s="131"/>
      <c r="AE511" s="131"/>
      <c r="AF511" s="131"/>
      <c r="AG511" s="131"/>
      <c r="AH511" s="131"/>
      <c r="AI511" s="131"/>
      <c r="AJ511" s="131"/>
      <c r="AK511" s="131"/>
      <c r="AL511" s="131"/>
      <c r="AM511" s="131"/>
      <c r="AN511" s="131"/>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52"/>
      <c r="B512" s="15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c r="AA512" s="131"/>
      <c r="AB512" s="131"/>
      <c r="AC512" s="131"/>
      <c r="AD512" s="131"/>
      <c r="AE512" s="131"/>
      <c r="AF512" s="131"/>
      <c r="AG512" s="131"/>
      <c r="AH512" s="131"/>
      <c r="AI512" s="131"/>
      <c r="AJ512" s="131"/>
      <c r="AK512" s="131"/>
      <c r="AL512" s="131"/>
      <c r="AM512" s="131"/>
      <c r="AN512" s="131"/>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52"/>
      <c r="B513" s="15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52"/>
      <c r="B514" s="15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c r="AA514" s="131"/>
      <c r="AB514" s="131"/>
      <c r="AC514" s="131"/>
      <c r="AD514" s="131"/>
      <c r="AE514" s="131"/>
      <c r="AF514" s="131"/>
      <c r="AG514" s="131"/>
      <c r="AH514" s="131"/>
      <c r="AI514" s="131"/>
      <c r="AJ514" s="131"/>
      <c r="AK514" s="131"/>
      <c r="AL514" s="131"/>
      <c r="AM514" s="131"/>
      <c r="AN514" s="131"/>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52"/>
      <c r="B515" s="15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c r="AA515" s="131"/>
      <c r="AB515" s="131"/>
      <c r="AC515" s="131"/>
      <c r="AD515" s="131"/>
      <c r="AE515" s="131"/>
      <c r="AF515" s="131"/>
      <c r="AG515" s="131"/>
      <c r="AH515" s="131"/>
      <c r="AI515" s="131"/>
      <c r="AJ515" s="131"/>
      <c r="AK515" s="131"/>
      <c r="AL515" s="131"/>
      <c r="AM515" s="131"/>
      <c r="AN515" s="131"/>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52"/>
      <c r="B516" s="15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c r="AA516" s="131"/>
      <c r="AB516" s="131"/>
      <c r="AC516" s="131"/>
      <c r="AD516" s="131"/>
      <c r="AE516" s="131"/>
      <c r="AF516" s="131"/>
      <c r="AG516" s="131"/>
      <c r="AH516" s="131"/>
      <c r="AI516" s="131"/>
      <c r="AJ516" s="131"/>
      <c r="AK516" s="131"/>
      <c r="AL516" s="131"/>
      <c r="AM516" s="131"/>
      <c r="AN516" s="131"/>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52"/>
      <c r="B517" s="15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c r="AA517" s="131"/>
      <c r="AB517" s="131"/>
      <c r="AC517" s="131"/>
      <c r="AD517" s="131"/>
      <c r="AE517" s="131"/>
      <c r="AF517" s="131"/>
      <c r="AG517" s="131"/>
      <c r="AH517" s="131"/>
      <c r="AI517" s="131"/>
      <c r="AJ517" s="131"/>
      <c r="AK517" s="131"/>
      <c r="AL517" s="131"/>
      <c r="AM517" s="131"/>
      <c r="AN517" s="131"/>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52"/>
      <c r="B518" s="15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c r="AA518" s="131"/>
      <c r="AB518" s="131"/>
      <c r="AC518" s="131"/>
      <c r="AD518" s="131"/>
      <c r="AE518" s="131"/>
      <c r="AF518" s="131"/>
      <c r="AG518" s="131"/>
      <c r="AH518" s="131"/>
      <c r="AI518" s="131"/>
      <c r="AJ518" s="131"/>
      <c r="AK518" s="131"/>
      <c r="AL518" s="131"/>
      <c r="AM518" s="131"/>
      <c r="AN518" s="131"/>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52"/>
      <c r="B519" s="15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c r="AA519" s="131"/>
      <c r="AB519" s="131"/>
      <c r="AC519" s="131"/>
      <c r="AD519" s="131"/>
      <c r="AE519" s="131"/>
      <c r="AF519" s="131"/>
      <c r="AG519" s="131"/>
      <c r="AH519" s="131"/>
      <c r="AI519" s="131"/>
      <c r="AJ519" s="131"/>
      <c r="AK519" s="131"/>
      <c r="AL519" s="131"/>
      <c r="AM519" s="131"/>
      <c r="AN519" s="131"/>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52"/>
      <c r="B520" s="15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c r="AA520" s="131"/>
      <c r="AB520" s="131"/>
      <c r="AC520" s="131"/>
      <c r="AD520" s="131"/>
      <c r="AE520" s="131"/>
      <c r="AF520" s="131"/>
      <c r="AG520" s="131"/>
      <c r="AH520" s="131"/>
      <c r="AI520" s="131"/>
      <c r="AJ520" s="131"/>
      <c r="AK520" s="131"/>
      <c r="AL520" s="131"/>
      <c r="AM520" s="131"/>
      <c r="AN520" s="131"/>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52"/>
      <c r="B521" s="15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c r="AA521" s="131"/>
      <c r="AB521" s="131"/>
      <c r="AC521" s="131"/>
      <c r="AD521" s="131"/>
      <c r="AE521" s="131"/>
      <c r="AF521" s="131"/>
      <c r="AG521" s="131"/>
      <c r="AH521" s="131"/>
      <c r="AI521" s="131"/>
      <c r="AJ521" s="131"/>
      <c r="AK521" s="131"/>
      <c r="AL521" s="131"/>
      <c r="AM521" s="131"/>
      <c r="AN521" s="131"/>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52"/>
      <c r="B522" s="15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c r="AA522" s="131"/>
      <c r="AB522" s="131"/>
      <c r="AC522" s="131"/>
      <c r="AD522" s="131"/>
      <c r="AE522" s="131"/>
      <c r="AF522" s="131"/>
      <c r="AG522" s="131"/>
      <c r="AH522" s="131"/>
      <c r="AI522" s="131"/>
      <c r="AJ522" s="131"/>
      <c r="AK522" s="131"/>
      <c r="AL522" s="131"/>
      <c r="AM522" s="131"/>
      <c r="AN522" s="131"/>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52"/>
      <c r="B523" s="15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c r="AA523" s="131"/>
      <c r="AB523" s="131"/>
      <c r="AC523" s="131"/>
      <c r="AD523" s="131"/>
      <c r="AE523" s="131"/>
      <c r="AF523" s="131"/>
      <c r="AG523" s="131"/>
      <c r="AH523" s="131"/>
      <c r="AI523" s="131"/>
      <c r="AJ523" s="131"/>
      <c r="AK523" s="131"/>
      <c r="AL523" s="131"/>
      <c r="AM523" s="131"/>
      <c r="AN523" s="131"/>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52"/>
      <c r="B524" s="15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c r="AA524" s="131"/>
      <c r="AB524" s="131"/>
      <c r="AC524" s="131"/>
      <c r="AD524" s="131"/>
      <c r="AE524" s="131"/>
      <c r="AF524" s="131"/>
      <c r="AG524" s="131"/>
      <c r="AH524" s="131"/>
      <c r="AI524" s="131"/>
      <c r="AJ524" s="131"/>
      <c r="AK524" s="131"/>
      <c r="AL524" s="131"/>
      <c r="AM524" s="131"/>
      <c r="AN524" s="131"/>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52"/>
      <c r="B525" s="15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c r="AA525" s="131"/>
      <c r="AB525" s="131"/>
      <c r="AC525" s="131"/>
      <c r="AD525" s="131"/>
      <c r="AE525" s="131"/>
      <c r="AF525" s="131"/>
      <c r="AG525" s="131"/>
      <c r="AH525" s="131"/>
      <c r="AI525" s="131"/>
      <c r="AJ525" s="131"/>
      <c r="AK525" s="131"/>
      <c r="AL525" s="131"/>
      <c r="AM525" s="131"/>
      <c r="AN525" s="131"/>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52"/>
      <c r="B526" s="15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c r="AA526" s="131"/>
      <c r="AB526" s="131"/>
      <c r="AC526" s="131"/>
      <c r="AD526" s="131"/>
      <c r="AE526" s="131"/>
      <c r="AF526" s="131"/>
      <c r="AG526" s="131"/>
      <c r="AH526" s="131"/>
      <c r="AI526" s="131"/>
      <c r="AJ526" s="131"/>
      <c r="AK526" s="131"/>
      <c r="AL526" s="131"/>
      <c r="AM526" s="131"/>
      <c r="AN526" s="131"/>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52"/>
      <c r="B527" s="15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c r="AA527" s="131"/>
      <c r="AB527" s="131"/>
      <c r="AC527" s="131"/>
      <c r="AD527" s="131"/>
      <c r="AE527" s="131"/>
      <c r="AF527" s="131"/>
      <c r="AG527" s="131"/>
      <c r="AH527" s="131"/>
      <c r="AI527" s="131"/>
      <c r="AJ527" s="131"/>
      <c r="AK527" s="131"/>
      <c r="AL527" s="131"/>
      <c r="AM527" s="131"/>
      <c r="AN527" s="131"/>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52"/>
      <c r="B528" s="15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c r="AA528" s="131"/>
      <c r="AB528" s="131"/>
      <c r="AC528" s="131"/>
      <c r="AD528" s="131"/>
      <c r="AE528" s="131"/>
      <c r="AF528" s="131"/>
      <c r="AG528" s="131"/>
      <c r="AH528" s="131"/>
      <c r="AI528" s="131"/>
      <c r="AJ528" s="131"/>
      <c r="AK528" s="131"/>
      <c r="AL528" s="131"/>
      <c r="AM528" s="131"/>
      <c r="AN528" s="131"/>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52"/>
      <c r="B529" s="15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c r="AA529" s="131"/>
      <c r="AB529" s="131"/>
      <c r="AC529" s="131"/>
      <c r="AD529" s="131"/>
      <c r="AE529" s="131"/>
      <c r="AF529" s="131"/>
      <c r="AG529" s="131"/>
      <c r="AH529" s="131"/>
      <c r="AI529" s="131"/>
      <c r="AJ529" s="131"/>
      <c r="AK529" s="131"/>
      <c r="AL529" s="131"/>
      <c r="AM529" s="131"/>
      <c r="AN529" s="131"/>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52"/>
      <c r="B530" s="15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52"/>
      <c r="B531" s="15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c r="AA531" s="131"/>
      <c r="AB531" s="131"/>
      <c r="AC531" s="131"/>
      <c r="AD531" s="131"/>
      <c r="AE531" s="131"/>
      <c r="AF531" s="131"/>
      <c r="AG531" s="131"/>
      <c r="AH531" s="131"/>
      <c r="AI531" s="131"/>
      <c r="AJ531" s="131"/>
      <c r="AK531" s="131"/>
      <c r="AL531" s="131"/>
      <c r="AM531" s="131"/>
      <c r="AN531" s="131"/>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52"/>
      <c r="B532" s="15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c r="AA532" s="131"/>
      <c r="AB532" s="131"/>
      <c r="AC532" s="131"/>
      <c r="AD532" s="131"/>
      <c r="AE532" s="131"/>
      <c r="AF532" s="131"/>
      <c r="AG532" s="131"/>
      <c r="AH532" s="131"/>
      <c r="AI532" s="131"/>
      <c r="AJ532" s="131"/>
      <c r="AK532" s="131"/>
      <c r="AL532" s="131"/>
      <c r="AM532" s="131"/>
      <c r="AN532" s="131"/>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51"/>
      <c r="C533" s="131"/>
      <c r="D533" s="131"/>
      <c r="E533" s="131"/>
      <c r="F533" s="131"/>
      <c r="G533" s="131"/>
      <c r="H533" s="131"/>
      <c r="I533" s="131"/>
      <c r="J533" s="131"/>
      <c r="K533" s="131"/>
      <c r="L533" s="131"/>
      <c r="M533" s="131"/>
      <c r="N533" s="131"/>
      <c r="O533" s="131"/>
      <c r="P533" s="131"/>
      <c r="Q533" s="131"/>
      <c r="R533" s="131"/>
      <c r="S533" s="131"/>
      <c r="T533" s="131"/>
      <c r="U533" s="131"/>
      <c r="V533" s="131"/>
      <c r="W533" s="33"/>
      <c r="X533" s="33"/>
      <c r="Y533" s="33"/>
      <c r="Z533" s="33"/>
      <c r="AA533" s="33"/>
      <c r="AB533" s="33"/>
      <c r="AC533" s="33"/>
      <c r="AD533" s="131"/>
      <c r="AE533" s="131"/>
      <c r="AF533" s="131"/>
      <c r="AG533" s="131"/>
      <c r="AH533" s="131"/>
      <c r="AI533" s="131"/>
      <c r="AJ533" s="131"/>
      <c r="AK533" s="131"/>
      <c r="AL533" s="131"/>
      <c r="AM533" s="131"/>
      <c r="AN533" s="131"/>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5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5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5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5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5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5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5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5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5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5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5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5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5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5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5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5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5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5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5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5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5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5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5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5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5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5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5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5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5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5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5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5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5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5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5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5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5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5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5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5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5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5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5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5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5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5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5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5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5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5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5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5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5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5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5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5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5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5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5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5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5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5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5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5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5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5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5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5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5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5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5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5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5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5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5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5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5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5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5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5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5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5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5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5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5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5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5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5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5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5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5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5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53"/>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54"/>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54"/>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54"/>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54"/>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54"/>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54"/>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54"/>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54"/>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54"/>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54"/>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54"/>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54"/>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54"/>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54"/>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54"/>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54"/>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54"/>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54"/>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54"/>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54"/>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54"/>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54"/>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54"/>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54"/>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54"/>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54"/>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54"/>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54"/>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54"/>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54"/>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54"/>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54"/>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54"/>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54"/>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54"/>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54"/>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54"/>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54"/>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54"/>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54"/>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54"/>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54"/>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54"/>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54"/>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54"/>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54"/>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54"/>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54"/>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54"/>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54"/>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54"/>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54"/>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54"/>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54"/>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54"/>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54"/>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54"/>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54"/>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54"/>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54"/>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54"/>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54"/>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54"/>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54"/>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54"/>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54"/>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54"/>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54"/>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54"/>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54"/>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54"/>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54"/>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54"/>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54"/>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54"/>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54"/>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54"/>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54"/>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topLeftCell="A10" workbookViewId="0">
      <selection activeCell="D17" sqref="D17"/>
    </sheetView>
  </sheetViews>
  <sheetFormatPr baseColWidth="10" defaultColWidth="10.83203125" defaultRowHeight="12" x14ac:dyDescent="0"/>
  <cols>
    <col min="1" max="1" width="10.83203125" style="396"/>
    <col min="2" max="2" width="15.1640625" style="396" customWidth="1"/>
    <col min="3" max="3" width="32.5" style="396" customWidth="1"/>
    <col min="4" max="4" width="10.83203125" style="396"/>
    <col min="5" max="5" width="6.1640625" style="396" bestFit="1" customWidth="1"/>
    <col min="6" max="9" width="15.5" style="396" customWidth="1"/>
    <col min="10" max="10" width="14.6640625" style="396" customWidth="1"/>
    <col min="11" max="17" width="15.5" style="396" customWidth="1"/>
    <col min="18" max="18" width="15" style="396" customWidth="1"/>
    <col min="19" max="19" width="15.33203125" style="396" customWidth="1"/>
    <col min="20" max="20" width="7.1640625" style="396" customWidth="1"/>
    <col min="21" max="21" width="47.33203125" style="396" customWidth="1"/>
    <col min="22" max="23" width="20.33203125" style="396" customWidth="1"/>
    <col min="24" max="16384" width="10.83203125" style="396"/>
  </cols>
  <sheetData>
    <row r="2" spans="2:19" ht="32">
      <c r="B2" s="475" t="s">
        <v>330</v>
      </c>
    </row>
    <row r="5" spans="2:19" ht="18" customHeight="1">
      <c r="B5" s="476" t="s">
        <v>331</v>
      </c>
      <c r="C5" s="477" t="s">
        <v>332</v>
      </c>
      <c r="H5" s="478"/>
    </row>
    <row r="6" spans="2:19" ht="18">
      <c r="E6" s="476" t="str">
        <f>C5 &amp; " Scenario"</f>
        <v>Full Everywhere Scenario</v>
      </c>
    </row>
    <row r="7" spans="2:19" ht="27" thickBot="1">
      <c r="B7" s="476" t="s">
        <v>333</v>
      </c>
      <c r="C7" s="479"/>
      <c r="F7" s="585" t="s">
        <v>125</v>
      </c>
      <c r="G7" s="586"/>
      <c r="H7" s="586"/>
      <c r="I7" s="587"/>
      <c r="J7" s="585" t="s">
        <v>126</v>
      </c>
      <c r="K7" s="586"/>
      <c r="L7" s="586"/>
      <c r="M7" s="587"/>
      <c r="N7" s="585" t="s">
        <v>127</v>
      </c>
      <c r="O7" s="586"/>
      <c r="P7" s="586"/>
      <c r="Q7" s="587"/>
    </row>
    <row r="8" spans="2:19" ht="50" customHeight="1" thickTop="1" thickBot="1">
      <c r="B8" s="480" t="s">
        <v>129</v>
      </c>
      <c r="C8" s="481" t="s">
        <v>334</v>
      </c>
      <c r="E8" s="482" t="s">
        <v>314</v>
      </c>
      <c r="F8" s="482" t="s">
        <v>335</v>
      </c>
      <c r="G8" s="483" t="s">
        <v>336</v>
      </c>
      <c r="H8" s="483" t="s">
        <v>337</v>
      </c>
      <c r="I8" s="484" t="s">
        <v>338</v>
      </c>
      <c r="J8" s="482" t="s">
        <v>335</v>
      </c>
      <c r="K8" s="483" t="s">
        <v>336</v>
      </c>
      <c r="L8" s="483" t="s">
        <v>337</v>
      </c>
      <c r="M8" s="484" t="s">
        <v>338</v>
      </c>
      <c r="N8" s="482" t="s">
        <v>335</v>
      </c>
      <c r="O8" s="483" t="s">
        <v>336</v>
      </c>
      <c r="P8" s="483" t="s">
        <v>337</v>
      </c>
      <c r="Q8" s="484" t="s">
        <v>338</v>
      </c>
      <c r="R8" s="482" t="s">
        <v>339</v>
      </c>
      <c r="S8" s="484" t="s">
        <v>340</v>
      </c>
    </row>
    <row r="9" spans="2:19" ht="18">
      <c r="B9" s="485" t="s">
        <v>130</v>
      </c>
      <c r="C9" s="486" t="b">
        <v>1</v>
      </c>
      <c r="E9" s="487" t="s">
        <v>211</v>
      </c>
      <c r="F9" s="488" t="s">
        <v>341</v>
      </c>
      <c r="G9" s="489" t="s">
        <v>341</v>
      </c>
      <c r="H9" s="489">
        <v>0</v>
      </c>
      <c r="I9" s="490">
        <v>0</v>
      </c>
      <c r="J9" s="488" t="s">
        <v>341</v>
      </c>
      <c r="K9" s="489" t="s">
        <v>341</v>
      </c>
      <c r="L9" s="489">
        <v>0</v>
      </c>
      <c r="M9" s="491">
        <v>0</v>
      </c>
      <c r="N9" s="492" t="s">
        <v>341</v>
      </c>
      <c r="O9" s="489" t="s">
        <v>341</v>
      </c>
      <c r="P9" s="489">
        <v>0</v>
      </c>
      <c r="Q9" s="491">
        <v>0</v>
      </c>
      <c r="R9" s="493">
        <v>2014</v>
      </c>
      <c r="S9" s="494">
        <v>2050</v>
      </c>
    </row>
    <row r="10" spans="2:19" ht="18">
      <c r="B10" s="495" t="s">
        <v>131</v>
      </c>
      <c r="C10" s="496" t="b">
        <v>1</v>
      </c>
      <c r="E10" s="497" t="s">
        <v>210</v>
      </c>
      <c r="F10" s="498" t="s">
        <v>341</v>
      </c>
      <c r="G10" s="499" t="s">
        <v>341</v>
      </c>
      <c r="H10" s="499">
        <v>0</v>
      </c>
      <c r="I10" s="500">
        <v>0</v>
      </c>
      <c r="J10" s="498" t="s">
        <v>341</v>
      </c>
      <c r="K10" s="499" t="s">
        <v>341</v>
      </c>
      <c r="L10" s="499">
        <v>0</v>
      </c>
      <c r="M10" s="501">
        <v>0</v>
      </c>
      <c r="N10" s="502" t="s">
        <v>341</v>
      </c>
      <c r="O10" s="499" t="s">
        <v>341</v>
      </c>
      <c r="P10" s="499">
        <v>0</v>
      </c>
      <c r="Q10" s="501">
        <v>0</v>
      </c>
      <c r="R10" s="503">
        <v>2014</v>
      </c>
      <c r="S10" s="504">
        <v>2050</v>
      </c>
    </row>
    <row r="11" spans="2:19" ht="18">
      <c r="B11" s="495" t="s">
        <v>358</v>
      </c>
      <c r="C11" s="496" t="b">
        <v>1</v>
      </c>
      <c r="E11" s="497" t="s">
        <v>213</v>
      </c>
      <c r="F11" s="498" t="s">
        <v>341</v>
      </c>
      <c r="G11" s="499" t="s">
        <v>341</v>
      </c>
      <c r="H11" s="499">
        <v>0</v>
      </c>
      <c r="I11" s="500">
        <v>0</v>
      </c>
      <c r="J11" s="498" t="s">
        <v>341</v>
      </c>
      <c r="K11" s="499" t="s">
        <v>341</v>
      </c>
      <c r="L11" s="499">
        <v>0</v>
      </c>
      <c r="M11" s="501">
        <v>0</v>
      </c>
      <c r="N11" s="502" t="s">
        <v>341</v>
      </c>
      <c r="O11" s="499" t="s">
        <v>341</v>
      </c>
      <c r="P11" s="499">
        <v>0</v>
      </c>
      <c r="Q11" s="501">
        <v>0</v>
      </c>
      <c r="R11" s="503">
        <v>2014</v>
      </c>
      <c r="S11" s="504">
        <v>2050</v>
      </c>
    </row>
    <row r="12" spans="2:19" ht="19" thickBot="1">
      <c r="B12" s="505" t="s">
        <v>152</v>
      </c>
      <c r="C12" s="506" t="b">
        <v>1</v>
      </c>
      <c r="E12" s="497" t="s">
        <v>212</v>
      </c>
      <c r="F12" s="498" t="s">
        <v>341</v>
      </c>
      <c r="G12" s="499" t="s">
        <v>341</v>
      </c>
      <c r="H12" s="499">
        <v>0</v>
      </c>
      <c r="I12" s="500">
        <v>0</v>
      </c>
      <c r="J12" s="498" t="s">
        <v>341</v>
      </c>
      <c r="K12" s="499" t="s">
        <v>341</v>
      </c>
      <c r="L12" s="499">
        <v>0</v>
      </c>
      <c r="M12" s="501">
        <v>0</v>
      </c>
      <c r="N12" s="502" t="s">
        <v>341</v>
      </c>
      <c r="O12" s="499" t="s">
        <v>341</v>
      </c>
      <c r="P12" s="499">
        <v>0</v>
      </c>
      <c r="Q12" s="501">
        <v>0</v>
      </c>
      <c r="R12" s="503">
        <v>2014</v>
      </c>
      <c r="S12" s="504">
        <v>2050</v>
      </c>
    </row>
    <row r="13" spans="2:19" ht="13" thickTop="1">
      <c r="E13" s="497" t="s">
        <v>214</v>
      </c>
      <c r="F13" s="498" t="s">
        <v>341</v>
      </c>
      <c r="G13" s="499" t="s">
        <v>341</v>
      </c>
      <c r="H13" s="499">
        <v>0</v>
      </c>
      <c r="I13" s="500">
        <v>0</v>
      </c>
      <c r="J13" s="498" t="s">
        <v>341</v>
      </c>
      <c r="K13" s="499" t="s">
        <v>341</v>
      </c>
      <c r="L13" s="499">
        <v>0</v>
      </c>
      <c r="M13" s="501">
        <v>0</v>
      </c>
      <c r="N13" s="502" t="s">
        <v>341</v>
      </c>
      <c r="O13" s="499" t="s">
        <v>341</v>
      </c>
      <c r="P13" s="499">
        <v>0</v>
      </c>
      <c r="Q13" s="501">
        <v>0</v>
      </c>
      <c r="R13" s="503">
        <v>2014</v>
      </c>
      <c r="S13" s="504">
        <v>2050</v>
      </c>
    </row>
    <row r="14" spans="2:19" ht="12" customHeight="1">
      <c r="B14" s="588" t="s">
        <v>342</v>
      </c>
      <c r="C14" s="588"/>
      <c r="E14" s="497" t="s">
        <v>215</v>
      </c>
      <c r="F14" s="498" t="s">
        <v>341</v>
      </c>
      <c r="G14" s="499" t="s">
        <v>341</v>
      </c>
      <c r="H14" s="499">
        <v>0</v>
      </c>
      <c r="I14" s="500">
        <v>0</v>
      </c>
      <c r="J14" s="498" t="s">
        <v>341</v>
      </c>
      <c r="K14" s="499" t="s">
        <v>341</v>
      </c>
      <c r="L14" s="499">
        <v>0</v>
      </c>
      <c r="M14" s="501">
        <v>0</v>
      </c>
      <c r="N14" s="502" t="s">
        <v>341</v>
      </c>
      <c r="O14" s="499" t="s">
        <v>341</v>
      </c>
      <c r="P14" s="499">
        <v>0</v>
      </c>
      <c r="Q14" s="501">
        <v>0</v>
      </c>
      <c r="R14" s="503">
        <v>2014</v>
      </c>
      <c r="S14" s="504">
        <v>2050</v>
      </c>
    </row>
    <row r="15" spans="2:19" ht="12" customHeight="1">
      <c r="B15" s="588"/>
      <c r="C15" s="588"/>
      <c r="E15" s="497" t="s">
        <v>216</v>
      </c>
      <c r="F15" s="498" t="s">
        <v>341</v>
      </c>
      <c r="G15" s="499" t="s">
        <v>341</v>
      </c>
      <c r="H15" s="499">
        <v>0</v>
      </c>
      <c r="I15" s="500">
        <v>0</v>
      </c>
      <c r="J15" s="498" t="s">
        <v>341</v>
      </c>
      <c r="K15" s="499" t="s">
        <v>341</v>
      </c>
      <c r="L15" s="499">
        <v>0</v>
      </c>
      <c r="M15" s="501">
        <v>0</v>
      </c>
      <c r="N15" s="502" t="s">
        <v>341</v>
      </c>
      <c r="O15" s="499" t="s">
        <v>341</v>
      </c>
      <c r="P15" s="499">
        <v>0</v>
      </c>
      <c r="Q15" s="501">
        <v>0</v>
      </c>
      <c r="R15" s="503">
        <v>2014</v>
      </c>
      <c r="S15" s="504">
        <v>2050</v>
      </c>
    </row>
    <row r="16" spans="2:19" ht="12" customHeight="1">
      <c r="B16" s="588"/>
      <c r="C16" s="588"/>
      <c r="E16" s="497" t="s">
        <v>11</v>
      </c>
      <c r="F16" s="498" t="s">
        <v>341</v>
      </c>
      <c r="G16" s="499" t="s">
        <v>341</v>
      </c>
      <c r="H16" s="499">
        <v>0</v>
      </c>
      <c r="I16" s="500">
        <v>0</v>
      </c>
      <c r="J16" s="498" t="s">
        <v>341</v>
      </c>
      <c r="K16" s="499" t="s">
        <v>341</v>
      </c>
      <c r="L16" s="499">
        <v>0</v>
      </c>
      <c r="M16" s="501">
        <v>0</v>
      </c>
      <c r="N16" s="502" t="s">
        <v>341</v>
      </c>
      <c r="O16" s="499" t="s">
        <v>341</v>
      </c>
      <c r="P16" s="499">
        <v>0</v>
      </c>
      <c r="Q16" s="501">
        <v>0</v>
      </c>
      <c r="R16" s="503">
        <v>2014</v>
      </c>
      <c r="S16" s="504">
        <v>2050</v>
      </c>
    </row>
    <row r="17" spans="2:19" ht="12" customHeight="1">
      <c r="B17" s="588"/>
      <c r="C17" s="588"/>
      <c r="E17" s="497" t="s">
        <v>217</v>
      </c>
      <c r="F17" s="498" t="s">
        <v>341</v>
      </c>
      <c r="G17" s="499" t="s">
        <v>341</v>
      </c>
      <c r="H17" s="499">
        <v>0</v>
      </c>
      <c r="I17" s="500">
        <v>0</v>
      </c>
      <c r="J17" s="498" t="s">
        <v>341</v>
      </c>
      <c r="K17" s="499" t="s">
        <v>341</v>
      </c>
      <c r="L17" s="499">
        <v>0</v>
      </c>
      <c r="M17" s="501">
        <v>0</v>
      </c>
      <c r="N17" s="502" t="s">
        <v>341</v>
      </c>
      <c r="O17" s="499" t="s">
        <v>341</v>
      </c>
      <c r="P17" s="499">
        <v>0</v>
      </c>
      <c r="Q17" s="501">
        <v>0</v>
      </c>
      <c r="R17" s="503">
        <v>2014</v>
      </c>
      <c r="S17" s="504">
        <v>2050</v>
      </c>
    </row>
    <row r="18" spans="2:19" ht="13" customHeight="1">
      <c r="B18" s="588"/>
      <c r="C18" s="588"/>
      <c r="E18" s="497" t="s">
        <v>218</v>
      </c>
      <c r="F18" s="498" t="s">
        <v>341</v>
      </c>
      <c r="G18" s="499" t="s">
        <v>341</v>
      </c>
      <c r="H18" s="499">
        <v>0</v>
      </c>
      <c r="I18" s="500">
        <v>0</v>
      </c>
      <c r="J18" s="498" t="s">
        <v>341</v>
      </c>
      <c r="K18" s="499" t="s">
        <v>341</v>
      </c>
      <c r="L18" s="499">
        <v>0</v>
      </c>
      <c r="M18" s="501">
        <v>0</v>
      </c>
      <c r="N18" s="502" t="s">
        <v>341</v>
      </c>
      <c r="O18" s="499" t="s">
        <v>341</v>
      </c>
      <c r="P18" s="499">
        <v>0</v>
      </c>
      <c r="Q18" s="501">
        <v>0</v>
      </c>
      <c r="R18" s="503">
        <v>2014</v>
      </c>
      <c r="S18" s="504">
        <v>2050</v>
      </c>
    </row>
    <row r="19" spans="2:19" ht="12" customHeight="1">
      <c r="B19" s="588"/>
      <c r="C19" s="588"/>
      <c r="E19" s="497" t="s">
        <v>219</v>
      </c>
      <c r="F19" s="498" t="s">
        <v>341</v>
      </c>
      <c r="G19" s="499" t="s">
        <v>341</v>
      </c>
      <c r="H19" s="499">
        <v>0</v>
      </c>
      <c r="I19" s="500">
        <v>0</v>
      </c>
      <c r="J19" s="498" t="s">
        <v>341</v>
      </c>
      <c r="K19" s="499" t="s">
        <v>341</v>
      </c>
      <c r="L19" s="499">
        <v>0</v>
      </c>
      <c r="M19" s="501">
        <v>0</v>
      </c>
      <c r="N19" s="502" t="s">
        <v>341</v>
      </c>
      <c r="O19" s="499" t="s">
        <v>341</v>
      </c>
      <c r="P19" s="499">
        <v>0</v>
      </c>
      <c r="Q19" s="501">
        <v>0</v>
      </c>
      <c r="R19" s="503">
        <v>2014</v>
      </c>
      <c r="S19" s="504">
        <v>2050</v>
      </c>
    </row>
    <row r="20" spans="2:19" ht="12" customHeight="1">
      <c r="B20" s="588"/>
      <c r="C20" s="588"/>
      <c r="E20" s="497" t="s">
        <v>220</v>
      </c>
      <c r="F20" s="498" t="s">
        <v>341</v>
      </c>
      <c r="G20" s="499" t="s">
        <v>341</v>
      </c>
      <c r="H20" s="499">
        <v>0</v>
      </c>
      <c r="I20" s="500">
        <v>0</v>
      </c>
      <c r="J20" s="498" t="s">
        <v>341</v>
      </c>
      <c r="K20" s="499" t="s">
        <v>341</v>
      </c>
      <c r="L20" s="499">
        <v>0</v>
      </c>
      <c r="M20" s="501">
        <v>0</v>
      </c>
      <c r="N20" s="502" t="s">
        <v>341</v>
      </c>
      <c r="O20" s="499" t="s">
        <v>341</v>
      </c>
      <c r="P20" s="499">
        <v>0</v>
      </c>
      <c r="Q20" s="501">
        <v>0</v>
      </c>
      <c r="R20" s="503">
        <v>2014</v>
      </c>
      <c r="S20" s="504">
        <v>2050</v>
      </c>
    </row>
    <row r="21" spans="2:19" ht="12" customHeight="1">
      <c r="B21" s="588"/>
      <c r="C21" s="588"/>
      <c r="E21" s="497" t="s">
        <v>224</v>
      </c>
      <c r="F21" s="498" t="s">
        <v>341</v>
      </c>
      <c r="G21" s="499" t="s">
        <v>341</v>
      </c>
      <c r="H21" s="499">
        <v>0</v>
      </c>
      <c r="I21" s="500">
        <v>0</v>
      </c>
      <c r="J21" s="498" t="s">
        <v>341</v>
      </c>
      <c r="K21" s="499" t="s">
        <v>341</v>
      </c>
      <c r="L21" s="499">
        <v>0</v>
      </c>
      <c r="M21" s="501">
        <v>0</v>
      </c>
      <c r="N21" s="502" t="s">
        <v>341</v>
      </c>
      <c r="O21" s="499" t="s">
        <v>341</v>
      </c>
      <c r="P21" s="499">
        <v>0</v>
      </c>
      <c r="Q21" s="501">
        <v>0</v>
      </c>
      <c r="R21" s="503">
        <v>2014</v>
      </c>
      <c r="S21" s="504">
        <v>2050</v>
      </c>
    </row>
    <row r="22" spans="2:19" ht="12" customHeight="1">
      <c r="B22" s="588"/>
      <c r="C22" s="588"/>
      <c r="E22" s="497" t="s">
        <v>221</v>
      </c>
      <c r="F22" s="498" t="s">
        <v>341</v>
      </c>
      <c r="G22" s="499" t="s">
        <v>341</v>
      </c>
      <c r="H22" s="499">
        <v>0</v>
      </c>
      <c r="I22" s="500">
        <v>0</v>
      </c>
      <c r="J22" s="498" t="s">
        <v>341</v>
      </c>
      <c r="K22" s="499" t="s">
        <v>341</v>
      </c>
      <c r="L22" s="499">
        <v>0</v>
      </c>
      <c r="M22" s="501">
        <v>0</v>
      </c>
      <c r="N22" s="502" t="s">
        <v>341</v>
      </c>
      <c r="O22" s="499" t="s">
        <v>341</v>
      </c>
      <c r="P22" s="499">
        <v>0</v>
      </c>
      <c r="Q22" s="501">
        <v>0</v>
      </c>
      <c r="R22" s="503">
        <v>2014</v>
      </c>
      <c r="S22" s="504">
        <v>2050</v>
      </c>
    </row>
    <row r="23" spans="2:19" ht="12" customHeight="1">
      <c r="B23" s="588"/>
      <c r="C23" s="588"/>
      <c r="E23" s="497" t="s">
        <v>222</v>
      </c>
      <c r="F23" s="498" t="s">
        <v>341</v>
      </c>
      <c r="G23" s="499" t="s">
        <v>341</v>
      </c>
      <c r="H23" s="499">
        <v>0</v>
      </c>
      <c r="I23" s="500">
        <v>0</v>
      </c>
      <c r="J23" s="498" t="s">
        <v>341</v>
      </c>
      <c r="K23" s="499" t="s">
        <v>341</v>
      </c>
      <c r="L23" s="499">
        <v>0</v>
      </c>
      <c r="M23" s="501">
        <v>0</v>
      </c>
      <c r="N23" s="502" t="s">
        <v>341</v>
      </c>
      <c r="O23" s="499" t="s">
        <v>341</v>
      </c>
      <c r="P23" s="499">
        <v>0</v>
      </c>
      <c r="Q23" s="501">
        <v>0</v>
      </c>
      <c r="R23" s="503">
        <v>2014</v>
      </c>
      <c r="S23" s="504">
        <v>2050</v>
      </c>
    </row>
    <row r="24" spans="2:19" ht="12" customHeight="1">
      <c r="B24" s="588"/>
      <c r="C24" s="588"/>
      <c r="E24" s="497" t="s">
        <v>223</v>
      </c>
      <c r="F24" s="498" t="s">
        <v>341</v>
      </c>
      <c r="G24" s="499" t="s">
        <v>341</v>
      </c>
      <c r="H24" s="499">
        <v>0</v>
      </c>
      <c r="I24" s="500">
        <v>0</v>
      </c>
      <c r="J24" s="498" t="s">
        <v>341</v>
      </c>
      <c r="K24" s="499" t="s">
        <v>341</v>
      </c>
      <c r="L24" s="499">
        <v>0</v>
      </c>
      <c r="M24" s="501">
        <v>0</v>
      </c>
      <c r="N24" s="502" t="s">
        <v>341</v>
      </c>
      <c r="O24" s="499" t="s">
        <v>341</v>
      </c>
      <c r="P24" s="499">
        <v>0</v>
      </c>
      <c r="Q24" s="501">
        <v>0</v>
      </c>
      <c r="R24" s="503">
        <v>2014</v>
      </c>
      <c r="S24" s="504">
        <v>2050</v>
      </c>
    </row>
    <row r="25" spans="2:19" ht="12" customHeight="1">
      <c r="B25" s="588"/>
      <c r="C25" s="588"/>
      <c r="E25" s="497" t="s">
        <v>225</v>
      </c>
      <c r="F25" s="498" t="s">
        <v>341</v>
      </c>
      <c r="G25" s="499" t="s">
        <v>341</v>
      </c>
      <c r="H25" s="499">
        <v>0</v>
      </c>
      <c r="I25" s="500">
        <v>0</v>
      </c>
      <c r="J25" s="498" t="s">
        <v>341</v>
      </c>
      <c r="K25" s="499" t="s">
        <v>341</v>
      </c>
      <c r="L25" s="499">
        <v>0</v>
      </c>
      <c r="M25" s="501">
        <v>0</v>
      </c>
      <c r="N25" s="502" t="s">
        <v>341</v>
      </c>
      <c r="O25" s="499" t="s">
        <v>341</v>
      </c>
      <c r="P25" s="499">
        <v>0</v>
      </c>
      <c r="Q25" s="501">
        <v>0</v>
      </c>
      <c r="R25" s="503">
        <v>2014</v>
      </c>
      <c r="S25" s="504">
        <v>2050</v>
      </c>
    </row>
    <row r="26" spans="2:19" ht="12" customHeight="1">
      <c r="B26" s="588"/>
      <c r="C26" s="588"/>
      <c r="E26" s="497" t="s">
        <v>226</v>
      </c>
      <c r="F26" s="498" t="s">
        <v>341</v>
      </c>
      <c r="G26" s="499" t="s">
        <v>341</v>
      </c>
      <c r="H26" s="499">
        <v>0</v>
      </c>
      <c r="I26" s="500">
        <v>0</v>
      </c>
      <c r="J26" s="498" t="s">
        <v>341</v>
      </c>
      <c r="K26" s="499" t="s">
        <v>341</v>
      </c>
      <c r="L26" s="499">
        <v>0</v>
      </c>
      <c r="M26" s="501">
        <v>0</v>
      </c>
      <c r="N26" s="502" t="s">
        <v>341</v>
      </c>
      <c r="O26" s="499" t="s">
        <v>341</v>
      </c>
      <c r="P26" s="499">
        <v>0</v>
      </c>
      <c r="Q26" s="501">
        <v>0</v>
      </c>
      <c r="R26" s="503">
        <v>2014</v>
      </c>
      <c r="S26" s="504">
        <v>2050</v>
      </c>
    </row>
    <row r="27" spans="2:19" ht="12" customHeight="1">
      <c r="B27" s="588"/>
      <c r="C27" s="588"/>
      <c r="E27" s="497" t="s">
        <v>227</v>
      </c>
      <c r="F27" s="498" t="s">
        <v>341</v>
      </c>
      <c r="G27" s="499" t="s">
        <v>341</v>
      </c>
      <c r="H27" s="499">
        <v>0</v>
      </c>
      <c r="I27" s="500">
        <v>0</v>
      </c>
      <c r="J27" s="498" t="s">
        <v>341</v>
      </c>
      <c r="K27" s="499" t="s">
        <v>341</v>
      </c>
      <c r="L27" s="499">
        <v>0</v>
      </c>
      <c r="M27" s="501">
        <v>0</v>
      </c>
      <c r="N27" s="502" t="s">
        <v>341</v>
      </c>
      <c r="O27" s="499" t="s">
        <v>341</v>
      </c>
      <c r="P27" s="499">
        <v>0</v>
      </c>
      <c r="Q27" s="501">
        <v>0</v>
      </c>
      <c r="R27" s="503">
        <v>2014</v>
      </c>
      <c r="S27" s="504">
        <v>2050</v>
      </c>
    </row>
    <row r="28" spans="2:19" ht="12" customHeight="1">
      <c r="B28" s="588"/>
      <c r="C28" s="588"/>
      <c r="E28" s="497" t="s">
        <v>230</v>
      </c>
      <c r="F28" s="498" t="s">
        <v>341</v>
      </c>
      <c r="G28" s="499" t="s">
        <v>341</v>
      </c>
      <c r="H28" s="499">
        <v>0</v>
      </c>
      <c r="I28" s="500">
        <v>0</v>
      </c>
      <c r="J28" s="498" t="s">
        <v>341</v>
      </c>
      <c r="K28" s="499" t="s">
        <v>341</v>
      </c>
      <c r="L28" s="499">
        <v>0</v>
      </c>
      <c r="M28" s="501">
        <v>0</v>
      </c>
      <c r="N28" s="502" t="s">
        <v>341</v>
      </c>
      <c r="O28" s="499" t="s">
        <v>341</v>
      </c>
      <c r="P28" s="499">
        <v>0</v>
      </c>
      <c r="Q28" s="501">
        <v>0</v>
      </c>
      <c r="R28" s="503">
        <v>2014</v>
      </c>
      <c r="S28" s="504">
        <v>2050</v>
      </c>
    </row>
    <row r="29" spans="2:19" ht="12" customHeight="1">
      <c r="B29" s="588"/>
      <c r="C29" s="588"/>
      <c r="E29" s="497" t="s">
        <v>229</v>
      </c>
      <c r="F29" s="498" t="s">
        <v>341</v>
      </c>
      <c r="G29" s="499" t="s">
        <v>341</v>
      </c>
      <c r="H29" s="499">
        <v>0</v>
      </c>
      <c r="I29" s="500">
        <v>0</v>
      </c>
      <c r="J29" s="498" t="s">
        <v>341</v>
      </c>
      <c r="K29" s="499" t="s">
        <v>341</v>
      </c>
      <c r="L29" s="499">
        <v>0</v>
      </c>
      <c r="M29" s="501">
        <v>0</v>
      </c>
      <c r="N29" s="502" t="s">
        <v>341</v>
      </c>
      <c r="O29" s="499" t="s">
        <v>341</v>
      </c>
      <c r="P29" s="499">
        <v>0</v>
      </c>
      <c r="Q29" s="501">
        <v>0</v>
      </c>
      <c r="R29" s="503">
        <v>2014</v>
      </c>
      <c r="S29" s="504">
        <v>2050</v>
      </c>
    </row>
    <row r="30" spans="2:19" ht="12" customHeight="1">
      <c r="B30" s="588"/>
      <c r="C30" s="588"/>
      <c r="E30" s="497" t="s">
        <v>228</v>
      </c>
      <c r="F30" s="498" t="s">
        <v>341</v>
      </c>
      <c r="G30" s="499" t="s">
        <v>341</v>
      </c>
      <c r="H30" s="499">
        <v>0</v>
      </c>
      <c r="I30" s="500">
        <v>0</v>
      </c>
      <c r="J30" s="498" t="s">
        <v>341</v>
      </c>
      <c r="K30" s="499" t="s">
        <v>341</v>
      </c>
      <c r="L30" s="499">
        <v>0</v>
      </c>
      <c r="M30" s="501">
        <v>0</v>
      </c>
      <c r="N30" s="502" t="s">
        <v>341</v>
      </c>
      <c r="O30" s="499" t="s">
        <v>341</v>
      </c>
      <c r="P30" s="499">
        <v>0</v>
      </c>
      <c r="Q30" s="501">
        <v>0</v>
      </c>
      <c r="R30" s="503">
        <v>2014</v>
      </c>
      <c r="S30" s="504">
        <v>2050</v>
      </c>
    </row>
    <row r="31" spans="2:19" ht="12" customHeight="1">
      <c r="B31" s="588"/>
      <c r="C31" s="588"/>
      <c r="E31" s="497" t="s">
        <v>231</v>
      </c>
      <c r="F31" s="498" t="s">
        <v>341</v>
      </c>
      <c r="G31" s="499" t="s">
        <v>341</v>
      </c>
      <c r="H31" s="499">
        <v>0</v>
      </c>
      <c r="I31" s="500">
        <v>0</v>
      </c>
      <c r="J31" s="498" t="s">
        <v>341</v>
      </c>
      <c r="K31" s="499" t="s">
        <v>341</v>
      </c>
      <c r="L31" s="499">
        <v>0</v>
      </c>
      <c r="M31" s="501">
        <v>0</v>
      </c>
      <c r="N31" s="502" t="s">
        <v>341</v>
      </c>
      <c r="O31" s="499" t="s">
        <v>341</v>
      </c>
      <c r="P31" s="499">
        <v>0</v>
      </c>
      <c r="Q31" s="501">
        <v>0</v>
      </c>
      <c r="R31" s="503">
        <v>2014</v>
      </c>
      <c r="S31" s="504">
        <v>2050</v>
      </c>
    </row>
    <row r="32" spans="2:19" ht="12" customHeight="1">
      <c r="B32" s="588"/>
      <c r="C32" s="588"/>
      <c r="E32" s="497" t="s">
        <v>232</v>
      </c>
      <c r="F32" s="498" t="s">
        <v>341</v>
      </c>
      <c r="G32" s="499" t="s">
        <v>341</v>
      </c>
      <c r="H32" s="499">
        <v>0</v>
      </c>
      <c r="I32" s="500">
        <v>0</v>
      </c>
      <c r="J32" s="498" t="s">
        <v>341</v>
      </c>
      <c r="K32" s="499" t="s">
        <v>341</v>
      </c>
      <c r="L32" s="499">
        <v>0</v>
      </c>
      <c r="M32" s="501">
        <v>0</v>
      </c>
      <c r="N32" s="502" t="s">
        <v>341</v>
      </c>
      <c r="O32" s="499" t="s">
        <v>341</v>
      </c>
      <c r="P32" s="499">
        <v>0</v>
      </c>
      <c r="Q32" s="501">
        <v>0</v>
      </c>
      <c r="R32" s="503">
        <v>2014</v>
      </c>
      <c r="S32" s="504">
        <v>2050</v>
      </c>
    </row>
    <row r="33" spans="2:19" ht="12" customHeight="1">
      <c r="B33" s="588"/>
      <c r="C33" s="588"/>
      <c r="E33" s="497" t="s">
        <v>234</v>
      </c>
      <c r="F33" s="498" t="s">
        <v>341</v>
      </c>
      <c r="G33" s="499" t="s">
        <v>341</v>
      </c>
      <c r="H33" s="499">
        <v>0</v>
      </c>
      <c r="I33" s="500">
        <v>0</v>
      </c>
      <c r="J33" s="498" t="s">
        <v>341</v>
      </c>
      <c r="K33" s="499" t="s">
        <v>341</v>
      </c>
      <c r="L33" s="499">
        <v>0</v>
      </c>
      <c r="M33" s="501">
        <v>0</v>
      </c>
      <c r="N33" s="502" t="s">
        <v>341</v>
      </c>
      <c r="O33" s="499" t="s">
        <v>341</v>
      </c>
      <c r="P33" s="499">
        <v>0</v>
      </c>
      <c r="Q33" s="501">
        <v>0</v>
      </c>
      <c r="R33" s="503">
        <v>2014</v>
      </c>
      <c r="S33" s="504">
        <v>2050</v>
      </c>
    </row>
    <row r="34" spans="2:19" ht="12" customHeight="1">
      <c r="B34" s="588"/>
      <c r="C34" s="588"/>
      <c r="E34" s="497" t="s">
        <v>233</v>
      </c>
      <c r="F34" s="498" t="s">
        <v>341</v>
      </c>
      <c r="G34" s="499" t="s">
        <v>341</v>
      </c>
      <c r="H34" s="499">
        <v>0</v>
      </c>
      <c r="I34" s="500">
        <v>0</v>
      </c>
      <c r="J34" s="498" t="s">
        <v>341</v>
      </c>
      <c r="K34" s="499" t="s">
        <v>341</v>
      </c>
      <c r="L34" s="499">
        <v>0</v>
      </c>
      <c r="M34" s="501">
        <v>0</v>
      </c>
      <c r="N34" s="502" t="s">
        <v>341</v>
      </c>
      <c r="O34" s="499" t="s">
        <v>341</v>
      </c>
      <c r="P34" s="499">
        <v>0</v>
      </c>
      <c r="Q34" s="501">
        <v>0</v>
      </c>
      <c r="R34" s="503">
        <v>2014</v>
      </c>
      <c r="S34" s="504">
        <v>2050</v>
      </c>
    </row>
    <row r="35" spans="2:19" ht="12" customHeight="1">
      <c r="B35" s="588"/>
      <c r="C35" s="588"/>
      <c r="E35" s="497" t="s">
        <v>235</v>
      </c>
      <c r="F35" s="498" t="s">
        <v>341</v>
      </c>
      <c r="G35" s="499" t="s">
        <v>341</v>
      </c>
      <c r="H35" s="499">
        <v>0</v>
      </c>
      <c r="I35" s="500">
        <v>0</v>
      </c>
      <c r="J35" s="498" t="s">
        <v>341</v>
      </c>
      <c r="K35" s="499" t="s">
        <v>341</v>
      </c>
      <c r="L35" s="499">
        <v>0</v>
      </c>
      <c r="M35" s="501">
        <v>0</v>
      </c>
      <c r="N35" s="502" t="s">
        <v>341</v>
      </c>
      <c r="O35" s="499" t="s">
        <v>341</v>
      </c>
      <c r="P35" s="499">
        <v>0</v>
      </c>
      <c r="Q35" s="501">
        <v>0</v>
      </c>
      <c r="R35" s="503">
        <v>2014</v>
      </c>
      <c r="S35" s="504">
        <v>2050</v>
      </c>
    </row>
    <row r="36" spans="2:19" ht="12" customHeight="1">
      <c r="B36" s="588"/>
      <c r="C36" s="588"/>
      <c r="E36" s="497" t="s">
        <v>242</v>
      </c>
      <c r="F36" s="498" t="s">
        <v>341</v>
      </c>
      <c r="G36" s="499" t="s">
        <v>341</v>
      </c>
      <c r="H36" s="499">
        <v>0</v>
      </c>
      <c r="I36" s="500">
        <v>0</v>
      </c>
      <c r="J36" s="498" t="s">
        <v>341</v>
      </c>
      <c r="K36" s="499" t="s">
        <v>341</v>
      </c>
      <c r="L36" s="499">
        <v>0</v>
      </c>
      <c r="M36" s="501">
        <v>0</v>
      </c>
      <c r="N36" s="502" t="s">
        <v>341</v>
      </c>
      <c r="O36" s="499" t="s">
        <v>341</v>
      </c>
      <c r="P36" s="499">
        <v>0</v>
      </c>
      <c r="Q36" s="501">
        <v>0</v>
      </c>
      <c r="R36" s="503">
        <v>2014</v>
      </c>
      <c r="S36" s="504">
        <v>2050</v>
      </c>
    </row>
    <row r="37" spans="2:19" ht="12" customHeight="1">
      <c r="B37" s="588"/>
      <c r="C37" s="588"/>
      <c r="E37" s="497" t="s">
        <v>243</v>
      </c>
      <c r="F37" s="498" t="s">
        <v>341</v>
      </c>
      <c r="G37" s="499" t="s">
        <v>341</v>
      </c>
      <c r="H37" s="499">
        <v>0</v>
      </c>
      <c r="I37" s="500">
        <v>0</v>
      </c>
      <c r="J37" s="498" t="s">
        <v>341</v>
      </c>
      <c r="K37" s="499" t="s">
        <v>341</v>
      </c>
      <c r="L37" s="499">
        <v>0</v>
      </c>
      <c r="M37" s="501">
        <v>0</v>
      </c>
      <c r="N37" s="502" t="s">
        <v>341</v>
      </c>
      <c r="O37" s="499" t="s">
        <v>341</v>
      </c>
      <c r="P37" s="499">
        <v>0</v>
      </c>
      <c r="Q37" s="501">
        <v>0</v>
      </c>
      <c r="R37" s="503">
        <v>2014</v>
      </c>
      <c r="S37" s="504">
        <v>2050</v>
      </c>
    </row>
    <row r="38" spans="2:19" ht="12" customHeight="1">
      <c r="B38" s="588"/>
      <c r="C38" s="588"/>
      <c r="E38" s="497" t="s">
        <v>236</v>
      </c>
      <c r="F38" s="498" t="s">
        <v>341</v>
      </c>
      <c r="G38" s="499" t="s">
        <v>341</v>
      </c>
      <c r="H38" s="499">
        <v>0</v>
      </c>
      <c r="I38" s="500">
        <v>0</v>
      </c>
      <c r="J38" s="498" t="s">
        <v>341</v>
      </c>
      <c r="K38" s="499" t="s">
        <v>341</v>
      </c>
      <c r="L38" s="499">
        <v>0</v>
      </c>
      <c r="M38" s="501">
        <v>0</v>
      </c>
      <c r="N38" s="502" t="s">
        <v>341</v>
      </c>
      <c r="O38" s="499" t="s">
        <v>341</v>
      </c>
      <c r="P38" s="499">
        <v>0</v>
      </c>
      <c r="Q38" s="501">
        <v>0</v>
      </c>
      <c r="R38" s="503">
        <v>2014</v>
      </c>
      <c r="S38" s="504">
        <v>2050</v>
      </c>
    </row>
    <row r="39" spans="2:19">
      <c r="B39" s="588"/>
      <c r="C39" s="588"/>
      <c r="E39" s="497" t="s">
        <v>238</v>
      </c>
      <c r="F39" s="498" t="s">
        <v>341</v>
      </c>
      <c r="G39" s="499" t="s">
        <v>341</v>
      </c>
      <c r="H39" s="499">
        <v>0</v>
      </c>
      <c r="I39" s="500">
        <v>0</v>
      </c>
      <c r="J39" s="498" t="s">
        <v>341</v>
      </c>
      <c r="K39" s="499" t="s">
        <v>341</v>
      </c>
      <c r="L39" s="499">
        <v>0</v>
      </c>
      <c r="M39" s="501">
        <v>0</v>
      </c>
      <c r="N39" s="502" t="s">
        <v>341</v>
      </c>
      <c r="O39" s="499" t="s">
        <v>341</v>
      </c>
      <c r="P39" s="499">
        <v>0</v>
      </c>
      <c r="Q39" s="501">
        <v>0</v>
      </c>
      <c r="R39" s="503">
        <v>2014</v>
      </c>
      <c r="S39" s="504">
        <v>2050</v>
      </c>
    </row>
    <row r="40" spans="2:19">
      <c r="B40" s="588"/>
      <c r="C40" s="588"/>
      <c r="E40" s="497" t="s">
        <v>239</v>
      </c>
      <c r="F40" s="498" t="s">
        <v>341</v>
      </c>
      <c r="G40" s="499" t="s">
        <v>341</v>
      </c>
      <c r="H40" s="499">
        <v>0</v>
      </c>
      <c r="I40" s="500">
        <v>0</v>
      </c>
      <c r="J40" s="498" t="s">
        <v>341</v>
      </c>
      <c r="K40" s="499" t="s">
        <v>341</v>
      </c>
      <c r="L40" s="499">
        <v>0</v>
      </c>
      <c r="M40" s="501">
        <v>0</v>
      </c>
      <c r="N40" s="502" t="s">
        <v>341</v>
      </c>
      <c r="O40" s="499" t="s">
        <v>341</v>
      </c>
      <c r="P40" s="499">
        <v>0</v>
      </c>
      <c r="Q40" s="501">
        <v>0</v>
      </c>
      <c r="R40" s="503">
        <v>2014</v>
      </c>
      <c r="S40" s="504">
        <v>2050</v>
      </c>
    </row>
    <row r="41" spans="2:19">
      <c r="B41" s="588"/>
      <c r="C41" s="588"/>
      <c r="E41" s="497" t="s">
        <v>240</v>
      </c>
      <c r="F41" s="498" t="s">
        <v>341</v>
      </c>
      <c r="G41" s="499" t="s">
        <v>341</v>
      </c>
      <c r="H41" s="499">
        <v>0</v>
      </c>
      <c r="I41" s="500">
        <v>0</v>
      </c>
      <c r="J41" s="498" t="s">
        <v>341</v>
      </c>
      <c r="K41" s="499" t="s">
        <v>341</v>
      </c>
      <c r="L41" s="499">
        <v>0</v>
      </c>
      <c r="M41" s="501">
        <v>0</v>
      </c>
      <c r="N41" s="502" t="s">
        <v>341</v>
      </c>
      <c r="O41" s="499" t="s">
        <v>341</v>
      </c>
      <c r="P41" s="499">
        <v>0</v>
      </c>
      <c r="Q41" s="501">
        <v>0</v>
      </c>
      <c r="R41" s="503">
        <v>2014</v>
      </c>
      <c r="S41" s="504">
        <v>2050</v>
      </c>
    </row>
    <row r="42" spans="2:19">
      <c r="B42" s="588"/>
      <c r="C42" s="588"/>
      <c r="E42" s="497" t="s">
        <v>237</v>
      </c>
      <c r="F42" s="498" t="s">
        <v>341</v>
      </c>
      <c r="G42" s="499" t="s">
        <v>341</v>
      </c>
      <c r="H42" s="499">
        <v>0</v>
      </c>
      <c r="I42" s="500">
        <v>0</v>
      </c>
      <c r="J42" s="498" t="s">
        <v>341</v>
      </c>
      <c r="K42" s="499" t="s">
        <v>341</v>
      </c>
      <c r="L42" s="499">
        <v>0</v>
      </c>
      <c r="M42" s="501">
        <v>0</v>
      </c>
      <c r="N42" s="502" t="s">
        <v>341</v>
      </c>
      <c r="O42" s="499" t="s">
        <v>341</v>
      </c>
      <c r="P42" s="499">
        <v>0</v>
      </c>
      <c r="Q42" s="501">
        <v>0</v>
      </c>
      <c r="R42" s="503">
        <v>2014</v>
      </c>
      <c r="S42" s="504">
        <v>2050</v>
      </c>
    </row>
    <row r="43" spans="2:19">
      <c r="B43" s="588"/>
      <c r="C43" s="588"/>
      <c r="E43" s="497" t="s">
        <v>241</v>
      </c>
      <c r="F43" s="498" t="s">
        <v>341</v>
      </c>
      <c r="G43" s="499" t="s">
        <v>341</v>
      </c>
      <c r="H43" s="499">
        <v>0</v>
      </c>
      <c r="I43" s="500">
        <v>0</v>
      </c>
      <c r="J43" s="498" t="s">
        <v>341</v>
      </c>
      <c r="K43" s="499" t="s">
        <v>341</v>
      </c>
      <c r="L43" s="499">
        <v>0</v>
      </c>
      <c r="M43" s="501">
        <v>0</v>
      </c>
      <c r="N43" s="502" t="s">
        <v>341</v>
      </c>
      <c r="O43" s="499" t="s">
        <v>341</v>
      </c>
      <c r="P43" s="499">
        <v>0</v>
      </c>
      <c r="Q43" s="501">
        <v>0</v>
      </c>
      <c r="R43" s="503">
        <v>2014</v>
      </c>
      <c r="S43" s="504">
        <v>2050</v>
      </c>
    </row>
    <row r="44" spans="2:19">
      <c r="B44" s="588"/>
      <c r="C44" s="588"/>
      <c r="E44" s="497" t="s">
        <v>244</v>
      </c>
      <c r="F44" s="498" t="s">
        <v>341</v>
      </c>
      <c r="G44" s="499" t="s">
        <v>341</v>
      </c>
      <c r="H44" s="499">
        <v>0</v>
      </c>
      <c r="I44" s="500">
        <v>0</v>
      </c>
      <c r="J44" s="498" t="s">
        <v>341</v>
      </c>
      <c r="K44" s="499" t="s">
        <v>341</v>
      </c>
      <c r="L44" s="499">
        <v>0</v>
      </c>
      <c r="M44" s="501">
        <v>0</v>
      </c>
      <c r="N44" s="502" t="s">
        <v>341</v>
      </c>
      <c r="O44" s="499" t="s">
        <v>341</v>
      </c>
      <c r="P44" s="499">
        <v>0</v>
      </c>
      <c r="Q44" s="501">
        <v>0</v>
      </c>
      <c r="R44" s="503">
        <v>2014</v>
      </c>
      <c r="S44" s="504">
        <v>2050</v>
      </c>
    </row>
    <row r="45" spans="2:19">
      <c r="B45" s="588"/>
      <c r="C45" s="588"/>
      <c r="E45" s="497" t="s">
        <v>245</v>
      </c>
      <c r="F45" s="498" t="s">
        <v>341</v>
      </c>
      <c r="G45" s="499" t="s">
        <v>341</v>
      </c>
      <c r="H45" s="499">
        <v>0</v>
      </c>
      <c r="I45" s="500">
        <v>0</v>
      </c>
      <c r="J45" s="498" t="s">
        <v>341</v>
      </c>
      <c r="K45" s="499" t="s">
        <v>341</v>
      </c>
      <c r="L45" s="499">
        <v>0</v>
      </c>
      <c r="M45" s="501">
        <v>0</v>
      </c>
      <c r="N45" s="502" t="s">
        <v>341</v>
      </c>
      <c r="O45" s="499" t="s">
        <v>341</v>
      </c>
      <c r="P45" s="499">
        <v>0</v>
      </c>
      <c r="Q45" s="501">
        <v>0</v>
      </c>
      <c r="R45" s="503">
        <v>2014</v>
      </c>
      <c r="S45" s="504">
        <v>2050</v>
      </c>
    </row>
    <row r="46" spans="2:19">
      <c r="B46" s="588"/>
      <c r="C46" s="588"/>
      <c r="E46" s="497" t="s">
        <v>246</v>
      </c>
      <c r="F46" s="498" t="s">
        <v>341</v>
      </c>
      <c r="G46" s="499" t="s">
        <v>341</v>
      </c>
      <c r="H46" s="499">
        <v>0</v>
      </c>
      <c r="I46" s="500">
        <v>0</v>
      </c>
      <c r="J46" s="498" t="s">
        <v>341</v>
      </c>
      <c r="K46" s="499" t="s">
        <v>341</v>
      </c>
      <c r="L46" s="499">
        <v>0</v>
      </c>
      <c r="M46" s="501">
        <v>0</v>
      </c>
      <c r="N46" s="502" t="s">
        <v>341</v>
      </c>
      <c r="O46" s="499" t="s">
        <v>341</v>
      </c>
      <c r="P46" s="499">
        <v>0</v>
      </c>
      <c r="Q46" s="501">
        <v>0</v>
      </c>
      <c r="R46" s="503">
        <v>2014</v>
      </c>
      <c r="S46" s="504">
        <v>2050</v>
      </c>
    </row>
    <row r="47" spans="2:19">
      <c r="B47" s="588"/>
      <c r="C47" s="588"/>
      <c r="E47" s="497" t="s">
        <v>247</v>
      </c>
      <c r="F47" s="498" t="s">
        <v>341</v>
      </c>
      <c r="G47" s="499" t="s">
        <v>341</v>
      </c>
      <c r="H47" s="499">
        <v>0</v>
      </c>
      <c r="I47" s="500">
        <v>0</v>
      </c>
      <c r="J47" s="498" t="s">
        <v>341</v>
      </c>
      <c r="K47" s="499" t="s">
        <v>341</v>
      </c>
      <c r="L47" s="499">
        <v>0</v>
      </c>
      <c r="M47" s="501">
        <v>0</v>
      </c>
      <c r="N47" s="502" t="s">
        <v>341</v>
      </c>
      <c r="O47" s="499" t="s">
        <v>341</v>
      </c>
      <c r="P47" s="499">
        <v>0</v>
      </c>
      <c r="Q47" s="501">
        <v>0</v>
      </c>
      <c r="R47" s="503">
        <v>2014</v>
      </c>
      <c r="S47" s="504">
        <v>2050</v>
      </c>
    </row>
    <row r="48" spans="2:19">
      <c r="B48" s="588"/>
      <c r="C48" s="588"/>
      <c r="E48" s="497" t="s">
        <v>248</v>
      </c>
      <c r="F48" s="498" t="s">
        <v>341</v>
      </c>
      <c r="G48" s="499" t="s">
        <v>341</v>
      </c>
      <c r="H48" s="499">
        <v>0</v>
      </c>
      <c r="I48" s="500">
        <v>0</v>
      </c>
      <c r="J48" s="498" t="s">
        <v>341</v>
      </c>
      <c r="K48" s="499" t="s">
        <v>341</v>
      </c>
      <c r="L48" s="499">
        <v>0</v>
      </c>
      <c r="M48" s="501">
        <v>0</v>
      </c>
      <c r="N48" s="502" t="s">
        <v>341</v>
      </c>
      <c r="O48" s="499" t="s">
        <v>341</v>
      </c>
      <c r="P48" s="499">
        <v>0</v>
      </c>
      <c r="Q48" s="501">
        <v>0</v>
      </c>
      <c r="R48" s="503">
        <v>2014</v>
      </c>
      <c r="S48" s="504">
        <v>2050</v>
      </c>
    </row>
    <row r="49" spans="2:19">
      <c r="B49" s="588"/>
      <c r="C49" s="588"/>
      <c r="E49" s="497" t="s">
        <v>249</v>
      </c>
      <c r="F49" s="498" t="s">
        <v>341</v>
      </c>
      <c r="G49" s="499" t="s">
        <v>341</v>
      </c>
      <c r="H49" s="499">
        <v>0</v>
      </c>
      <c r="I49" s="500">
        <v>0</v>
      </c>
      <c r="J49" s="498" t="s">
        <v>341</v>
      </c>
      <c r="K49" s="499" t="s">
        <v>341</v>
      </c>
      <c r="L49" s="499">
        <v>0</v>
      </c>
      <c r="M49" s="501">
        <v>0</v>
      </c>
      <c r="N49" s="502" t="s">
        <v>341</v>
      </c>
      <c r="O49" s="499" t="s">
        <v>341</v>
      </c>
      <c r="P49" s="499">
        <v>0</v>
      </c>
      <c r="Q49" s="501">
        <v>0</v>
      </c>
      <c r="R49" s="503">
        <v>2014</v>
      </c>
      <c r="S49" s="504">
        <v>2050</v>
      </c>
    </row>
    <row r="50" spans="2:19">
      <c r="B50" s="588"/>
      <c r="C50" s="588"/>
      <c r="E50" s="497" t="s">
        <v>250</v>
      </c>
      <c r="F50" s="498" t="s">
        <v>341</v>
      </c>
      <c r="G50" s="499" t="s">
        <v>341</v>
      </c>
      <c r="H50" s="499">
        <v>0</v>
      </c>
      <c r="I50" s="500">
        <v>0</v>
      </c>
      <c r="J50" s="498" t="s">
        <v>341</v>
      </c>
      <c r="K50" s="499" t="s">
        <v>341</v>
      </c>
      <c r="L50" s="499">
        <v>0</v>
      </c>
      <c r="M50" s="501">
        <v>0</v>
      </c>
      <c r="N50" s="502" t="s">
        <v>341</v>
      </c>
      <c r="O50" s="499" t="s">
        <v>341</v>
      </c>
      <c r="P50" s="499">
        <v>0</v>
      </c>
      <c r="Q50" s="501">
        <v>0</v>
      </c>
      <c r="R50" s="503">
        <v>2014</v>
      </c>
      <c r="S50" s="504">
        <v>2050</v>
      </c>
    </row>
    <row r="51" spans="2:19">
      <c r="B51" s="588"/>
      <c r="C51" s="588"/>
      <c r="E51" s="497" t="s">
        <v>251</v>
      </c>
      <c r="F51" s="498" t="s">
        <v>341</v>
      </c>
      <c r="G51" s="499" t="s">
        <v>341</v>
      </c>
      <c r="H51" s="499">
        <v>0</v>
      </c>
      <c r="I51" s="500">
        <v>0</v>
      </c>
      <c r="J51" s="498" t="s">
        <v>341</v>
      </c>
      <c r="K51" s="499" t="s">
        <v>341</v>
      </c>
      <c r="L51" s="499">
        <v>0</v>
      </c>
      <c r="M51" s="501">
        <v>0</v>
      </c>
      <c r="N51" s="502" t="s">
        <v>341</v>
      </c>
      <c r="O51" s="499" t="s">
        <v>341</v>
      </c>
      <c r="P51" s="499">
        <v>0</v>
      </c>
      <c r="Q51" s="501">
        <v>0</v>
      </c>
      <c r="R51" s="503">
        <v>2014</v>
      </c>
      <c r="S51" s="504">
        <v>2050</v>
      </c>
    </row>
    <row r="52" spans="2:19">
      <c r="E52" s="497" t="s">
        <v>252</v>
      </c>
      <c r="F52" s="498" t="s">
        <v>341</v>
      </c>
      <c r="G52" s="499" t="s">
        <v>341</v>
      </c>
      <c r="H52" s="499">
        <v>0</v>
      </c>
      <c r="I52" s="500">
        <v>0</v>
      </c>
      <c r="J52" s="498" t="s">
        <v>341</v>
      </c>
      <c r="K52" s="499" t="s">
        <v>341</v>
      </c>
      <c r="L52" s="499">
        <v>0</v>
      </c>
      <c r="M52" s="501">
        <v>0</v>
      </c>
      <c r="N52" s="502" t="s">
        <v>341</v>
      </c>
      <c r="O52" s="499" t="s">
        <v>341</v>
      </c>
      <c r="P52" s="499">
        <v>0</v>
      </c>
      <c r="Q52" s="501">
        <v>0</v>
      </c>
      <c r="R52" s="503">
        <v>2014</v>
      </c>
      <c r="S52" s="504">
        <v>2050</v>
      </c>
    </row>
    <row r="53" spans="2:19">
      <c r="B53" s="589" t="s">
        <v>343</v>
      </c>
      <c r="C53" s="589"/>
      <c r="E53" s="497" t="s">
        <v>253</v>
      </c>
      <c r="F53" s="498" t="s">
        <v>341</v>
      </c>
      <c r="G53" s="499" t="s">
        <v>341</v>
      </c>
      <c r="H53" s="499">
        <v>0</v>
      </c>
      <c r="I53" s="500">
        <v>0</v>
      </c>
      <c r="J53" s="498" t="s">
        <v>341</v>
      </c>
      <c r="K53" s="499" t="s">
        <v>341</v>
      </c>
      <c r="L53" s="499">
        <v>0</v>
      </c>
      <c r="M53" s="501">
        <v>0</v>
      </c>
      <c r="N53" s="502" t="s">
        <v>341</v>
      </c>
      <c r="O53" s="499" t="s">
        <v>341</v>
      </c>
      <c r="P53" s="499">
        <v>0</v>
      </c>
      <c r="Q53" s="501">
        <v>0</v>
      </c>
      <c r="R53" s="503">
        <v>2014</v>
      </c>
      <c r="S53" s="504">
        <v>2050</v>
      </c>
    </row>
    <row r="54" spans="2:19">
      <c r="B54" s="589"/>
      <c r="C54" s="589"/>
      <c r="E54" s="497" t="s">
        <v>255</v>
      </c>
      <c r="F54" s="498" t="s">
        <v>341</v>
      </c>
      <c r="G54" s="499" t="s">
        <v>341</v>
      </c>
      <c r="H54" s="499">
        <v>0</v>
      </c>
      <c r="I54" s="500">
        <v>0</v>
      </c>
      <c r="J54" s="498" t="s">
        <v>341</v>
      </c>
      <c r="K54" s="499" t="s">
        <v>341</v>
      </c>
      <c r="L54" s="499">
        <v>0</v>
      </c>
      <c r="M54" s="501">
        <v>0</v>
      </c>
      <c r="N54" s="502" t="s">
        <v>341</v>
      </c>
      <c r="O54" s="499" t="s">
        <v>341</v>
      </c>
      <c r="P54" s="499">
        <v>0</v>
      </c>
      <c r="Q54" s="501">
        <v>0</v>
      </c>
      <c r="R54" s="503">
        <v>2014</v>
      </c>
      <c r="S54" s="504">
        <v>2050</v>
      </c>
    </row>
    <row r="55" spans="2:19">
      <c r="B55" s="589"/>
      <c r="C55" s="589"/>
      <c r="E55" s="497" t="s">
        <v>254</v>
      </c>
      <c r="F55" s="498" t="s">
        <v>341</v>
      </c>
      <c r="G55" s="499" t="s">
        <v>341</v>
      </c>
      <c r="H55" s="499">
        <v>0</v>
      </c>
      <c r="I55" s="500">
        <v>0</v>
      </c>
      <c r="J55" s="498" t="s">
        <v>341</v>
      </c>
      <c r="K55" s="499" t="s">
        <v>341</v>
      </c>
      <c r="L55" s="499">
        <v>0</v>
      </c>
      <c r="M55" s="501">
        <v>0</v>
      </c>
      <c r="N55" s="502" t="s">
        <v>341</v>
      </c>
      <c r="O55" s="499" t="s">
        <v>341</v>
      </c>
      <c r="P55" s="499">
        <v>0</v>
      </c>
      <c r="Q55" s="501">
        <v>0</v>
      </c>
      <c r="R55" s="503">
        <v>2014</v>
      </c>
      <c r="S55" s="504">
        <v>2050</v>
      </c>
    </row>
    <row r="56" spans="2:19">
      <c r="E56" s="497" t="s">
        <v>256</v>
      </c>
      <c r="F56" s="498" t="s">
        <v>341</v>
      </c>
      <c r="G56" s="499" t="s">
        <v>341</v>
      </c>
      <c r="H56" s="499">
        <v>0</v>
      </c>
      <c r="I56" s="500">
        <v>0</v>
      </c>
      <c r="J56" s="498" t="s">
        <v>341</v>
      </c>
      <c r="K56" s="499" t="s">
        <v>341</v>
      </c>
      <c r="L56" s="499">
        <v>0</v>
      </c>
      <c r="M56" s="501">
        <v>0</v>
      </c>
      <c r="N56" s="502" t="s">
        <v>341</v>
      </c>
      <c r="O56" s="499" t="s">
        <v>341</v>
      </c>
      <c r="P56" s="499">
        <v>0</v>
      </c>
      <c r="Q56" s="501">
        <v>0</v>
      </c>
      <c r="R56" s="503">
        <v>2014</v>
      </c>
      <c r="S56" s="504">
        <v>2050</v>
      </c>
    </row>
    <row r="57" spans="2:19">
      <c r="B57" s="584" t="s">
        <v>344</v>
      </c>
      <c r="C57" s="584"/>
      <c r="E57" s="497" t="s">
        <v>258</v>
      </c>
      <c r="F57" s="498" t="s">
        <v>341</v>
      </c>
      <c r="G57" s="499" t="s">
        <v>341</v>
      </c>
      <c r="H57" s="499">
        <v>0</v>
      </c>
      <c r="I57" s="500">
        <v>0</v>
      </c>
      <c r="J57" s="498" t="s">
        <v>341</v>
      </c>
      <c r="K57" s="499" t="s">
        <v>341</v>
      </c>
      <c r="L57" s="499">
        <v>0</v>
      </c>
      <c r="M57" s="501">
        <v>0</v>
      </c>
      <c r="N57" s="502" t="s">
        <v>341</v>
      </c>
      <c r="O57" s="499" t="s">
        <v>341</v>
      </c>
      <c r="P57" s="499">
        <v>0</v>
      </c>
      <c r="Q57" s="501">
        <v>0</v>
      </c>
      <c r="R57" s="503">
        <v>2014</v>
      </c>
      <c r="S57" s="504">
        <v>2050</v>
      </c>
    </row>
    <row r="58" spans="2:19">
      <c r="B58" s="584"/>
      <c r="C58" s="584"/>
      <c r="E58" s="497" t="s">
        <v>257</v>
      </c>
      <c r="F58" s="498" t="s">
        <v>341</v>
      </c>
      <c r="G58" s="499" t="s">
        <v>341</v>
      </c>
      <c r="H58" s="499">
        <v>0</v>
      </c>
      <c r="I58" s="500">
        <v>0</v>
      </c>
      <c r="J58" s="498" t="s">
        <v>341</v>
      </c>
      <c r="K58" s="499" t="s">
        <v>341</v>
      </c>
      <c r="L58" s="499">
        <v>0</v>
      </c>
      <c r="M58" s="501">
        <v>0</v>
      </c>
      <c r="N58" s="502" t="s">
        <v>341</v>
      </c>
      <c r="O58" s="499" t="s">
        <v>341</v>
      </c>
      <c r="P58" s="499">
        <v>0</v>
      </c>
      <c r="Q58" s="501">
        <v>0</v>
      </c>
      <c r="R58" s="503">
        <v>2014</v>
      </c>
      <c r="S58" s="504">
        <v>2050</v>
      </c>
    </row>
    <row r="59" spans="2:19" ht="13" thickBot="1">
      <c r="B59" s="584"/>
      <c r="C59" s="584"/>
      <c r="E59" s="507" t="s">
        <v>259</v>
      </c>
      <c r="F59" s="508" t="s">
        <v>341</v>
      </c>
      <c r="G59" s="509" t="s">
        <v>341</v>
      </c>
      <c r="H59" s="509">
        <v>0</v>
      </c>
      <c r="I59" s="510">
        <v>0</v>
      </c>
      <c r="J59" s="508" t="s">
        <v>341</v>
      </c>
      <c r="K59" s="509" t="s">
        <v>341</v>
      </c>
      <c r="L59" s="509">
        <v>0</v>
      </c>
      <c r="M59" s="511">
        <v>0</v>
      </c>
      <c r="N59" s="512" t="s">
        <v>341</v>
      </c>
      <c r="O59" s="509" t="s">
        <v>341</v>
      </c>
      <c r="P59" s="509">
        <v>0</v>
      </c>
      <c r="Q59" s="511">
        <v>0</v>
      </c>
      <c r="R59" s="513">
        <v>2014</v>
      </c>
      <c r="S59" s="514">
        <v>2050</v>
      </c>
    </row>
    <row r="60" spans="2:19">
      <c r="B60" s="584"/>
      <c r="C60" s="584"/>
      <c r="M60" s="478"/>
    </row>
    <row r="125" spans="2:2">
      <c r="B125" s="515" t="s">
        <v>345</v>
      </c>
    </row>
    <row r="126" spans="2:2">
      <c r="B126" s="515" t="s">
        <v>332</v>
      </c>
    </row>
    <row r="127" spans="2:2">
      <c r="B127" s="515" t="s">
        <v>346</v>
      </c>
    </row>
    <row r="128" spans="2:2">
      <c r="B128" s="515" t="s">
        <v>347</v>
      </c>
    </row>
    <row r="129" spans="2:2">
      <c r="B129" s="515" t="s">
        <v>348</v>
      </c>
    </row>
    <row r="132" spans="2:2">
      <c r="B132" s="516">
        <v>2014</v>
      </c>
    </row>
    <row r="133" spans="2:2">
      <c r="B133" s="516">
        <v>2016</v>
      </c>
    </row>
    <row r="134" spans="2:2">
      <c r="B134" s="516">
        <v>2018</v>
      </c>
    </row>
    <row r="135" spans="2:2">
      <c r="B135" s="516">
        <v>2020</v>
      </c>
    </row>
    <row r="136" spans="2:2">
      <c r="B136" s="516">
        <v>2022</v>
      </c>
    </row>
    <row r="137" spans="2:2">
      <c r="B137" s="516">
        <v>2024</v>
      </c>
    </row>
    <row r="138" spans="2:2">
      <c r="B138" s="516">
        <v>2026</v>
      </c>
    </row>
    <row r="139" spans="2:2">
      <c r="B139" s="516">
        <v>2028</v>
      </c>
    </row>
    <row r="140" spans="2:2">
      <c r="B140" s="516">
        <v>2030</v>
      </c>
    </row>
    <row r="141" spans="2:2">
      <c r="B141" s="516">
        <v>2032</v>
      </c>
    </row>
    <row r="142" spans="2:2">
      <c r="B142" s="516">
        <v>2034</v>
      </c>
    </row>
    <row r="143" spans="2:2">
      <c r="B143" s="516">
        <v>2036</v>
      </c>
    </row>
    <row r="144" spans="2:2">
      <c r="B144" s="516">
        <v>2038</v>
      </c>
    </row>
    <row r="145" spans="2:2">
      <c r="B145" s="516">
        <v>2040</v>
      </c>
    </row>
    <row r="146" spans="2:2">
      <c r="B146" s="516">
        <v>2042</v>
      </c>
    </row>
    <row r="147" spans="2:2">
      <c r="B147" s="516">
        <v>2044</v>
      </c>
    </row>
    <row r="148" spans="2:2">
      <c r="B148" s="516">
        <v>2046</v>
      </c>
    </row>
    <row r="149" spans="2:2">
      <c r="B149" s="516">
        <v>2048</v>
      </c>
    </row>
    <row r="150" spans="2:2">
      <c r="B150" s="516">
        <v>2050</v>
      </c>
    </row>
    <row r="153" spans="2:2">
      <c r="B153" s="517" t="b">
        <v>1</v>
      </c>
    </row>
    <row r="154" spans="2:2">
      <c r="B154" s="517" t="b">
        <v>0</v>
      </c>
    </row>
    <row r="166" spans="1:4">
      <c r="A166" s="516"/>
      <c r="B166" s="516" t="s">
        <v>349</v>
      </c>
      <c r="C166" s="516" t="s">
        <v>350</v>
      </c>
      <c r="D166" s="516" t="s">
        <v>351</v>
      </c>
    </row>
    <row r="167" spans="1:4">
      <c r="A167" s="516" t="s">
        <v>211</v>
      </c>
      <c r="B167" s="516">
        <v>25</v>
      </c>
      <c r="C167" s="516">
        <v>25</v>
      </c>
      <c r="D167" s="516">
        <v>25</v>
      </c>
    </row>
    <row r="168" spans="1:4">
      <c r="A168" s="516" t="s">
        <v>210</v>
      </c>
      <c r="B168" s="516">
        <v>0</v>
      </c>
      <c r="C168" s="516">
        <v>0</v>
      </c>
      <c r="D168" s="516">
        <v>0</v>
      </c>
    </row>
    <row r="169" spans="1:4">
      <c r="A169" s="516" t="s">
        <v>213</v>
      </c>
      <c r="B169" s="516">
        <v>25</v>
      </c>
      <c r="C169" s="516">
        <v>300</v>
      </c>
      <c r="D169" s="516">
        <v>300</v>
      </c>
    </row>
    <row r="170" spans="1:4">
      <c r="A170" s="516" t="s">
        <v>212</v>
      </c>
      <c r="B170" s="516" t="s">
        <v>341</v>
      </c>
      <c r="C170" s="516" t="s">
        <v>341</v>
      </c>
      <c r="D170" s="516" t="s">
        <v>341</v>
      </c>
    </row>
    <row r="171" spans="1:4">
      <c r="A171" s="516" t="s">
        <v>214</v>
      </c>
      <c r="B171" s="516">
        <v>1000</v>
      </c>
      <c r="C171" s="516">
        <v>1000</v>
      </c>
      <c r="D171" s="516">
        <v>1000</v>
      </c>
    </row>
    <row r="172" spans="1:4">
      <c r="A172" s="516" t="s">
        <v>215</v>
      </c>
      <c r="B172" s="516" t="s">
        <v>341</v>
      </c>
      <c r="C172" s="516" t="s">
        <v>341</v>
      </c>
      <c r="D172" s="516" t="s">
        <v>341</v>
      </c>
    </row>
    <row r="173" spans="1:4">
      <c r="A173" s="516" t="s">
        <v>216</v>
      </c>
      <c r="B173" s="516">
        <v>2000</v>
      </c>
      <c r="C173" s="516">
        <v>2000</v>
      </c>
      <c r="D173" s="516">
        <v>2000</v>
      </c>
    </row>
    <row r="174" spans="1:4">
      <c r="A174" s="516" t="s">
        <v>11</v>
      </c>
      <c r="B174" s="516">
        <v>1000</v>
      </c>
      <c r="C174" s="516">
        <v>1000</v>
      </c>
      <c r="D174" s="516">
        <v>0</v>
      </c>
    </row>
    <row r="175" spans="1:4">
      <c r="A175" s="516" t="s">
        <v>217</v>
      </c>
      <c r="B175" s="516">
        <v>25</v>
      </c>
      <c r="C175" s="516">
        <v>2000</v>
      </c>
      <c r="D175" s="516">
        <v>2000</v>
      </c>
    </row>
    <row r="176" spans="1:4">
      <c r="A176" s="516" t="s">
        <v>218</v>
      </c>
      <c r="B176" s="516">
        <v>2000</v>
      </c>
      <c r="C176" s="516">
        <v>2000</v>
      </c>
      <c r="D176" s="516">
        <v>2000</v>
      </c>
    </row>
    <row r="177" spans="1:4">
      <c r="A177" s="516" t="s">
        <v>219</v>
      </c>
      <c r="B177" s="516">
        <v>10</v>
      </c>
      <c r="C177" s="516">
        <v>100</v>
      </c>
      <c r="D177" s="516">
        <v>100</v>
      </c>
    </row>
    <row r="178" spans="1:4">
      <c r="A178" s="516" t="s">
        <v>220</v>
      </c>
      <c r="B178" s="516">
        <v>100</v>
      </c>
      <c r="C178" s="516">
        <v>100</v>
      </c>
      <c r="D178" s="516">
        <v>100</v>
      </c>
    </row>
    <row r="179" spans="1:4">
      <c r="A179" s="516" t="s">
        <v>224</v>
      </c>
      <c r="B179" s="516">
        <v>500</v>
      </c>
      <c r="C179" s="516">
        <v>500</v>
      </c>
      <c r="D179" s="516">
        <v>500</v>
      </c>
    </row>
    <row r="180" spans="1:4">
      <c r="A180" s="516" t="s">
        <v>221</v>
      </c>
      <c r="B180" s="516">
        <v>0</v>
      </c>
      <c r="C180" s="516">
        <v>0</v>
      </c>
      <c r="D180" s="516">
        <v>0</v>
      </c>
    </row>
    <row r="181" spans="1:4">
      <c r="A181" s="516" t="s">
        <v>222</v>
      </c>
      <c r="B181" s="516">
        <v>40</v>
      </c>
      <c r="C181" s="516">
        <v>40</v>
      </c>
      <c r="D181" s="516">
        <v>40</v>
      </c>
    </row>
    <row r="182" spans="1:4">
      <c r="A182" s="516" t="s">
        <v>223</v>
      </c>
      <c r="B182" s="516">
        <v>1000</v>
      </c>
      <c r="C182" s="516">
        <v>1000</v>
      </c>
      <c r="D182" s="516">
        <v>1000</v>
      </c>
    </row>
    <row r="183" spans="1:4">
      <c r="A183" s="516" t="s">
        <v>225</v>
      </c>
      <c r="B183" s="516">
        <v>25</v>
      </c>
      <c r="C183" s="516">
        <v>200</v>
      </c>
      <c r="D183" s="516">
        <v>200</v>
      </c>
    </row>
    <row r="184" spans="1:4">
      <c r="A184" s="516" t="s">
        <v>226</v>
      </c>
      <c r="B184" s="516">
        <v>30</v>
      </c>
      <c r="C184" s="516">
        <v>30</v>
      </c>
      <c r="D184" s="516">
        <v>30</v>
      </c>
    </row>
    <row r="185" spans="1:4">
      <c r="A185" s="516" t="s">
        <v>227</v>
      </c>
      <c r="B185" s="516">
        <v>25</v>
      </c>
      <c r="C185" s="516">
        <v>300</v>
      </c>
      <c r="D185" s="516">
        <v>0</v>
      </c>
    </row>
    <row r="186" spans="1:4">
      <c r="A186" s="516" t="s">
        <v>230</v>
      </c>
      <c r="B186" s="516">
        <v>2000</v>
      </c>
      <c r="C186" s="516">
        <v>2000</v>
      </c>
      <c r="D186" s="516">
        <v>2000</v>
      </c>
    </row>
    <row r="187" spans="1:4">
      <c r="A187" s="516" t="s">
        <v>229</v>
      </c>
      <c r="B187" s="516">
        <v>2000</v>
      </c>
      <c r="C187" s="516">
        <v>2000</v>
      </c>
      <c r="D187" s="516">
        <v>2000</v>
      </c>
    </row>
    <row r="188" spans="1:4">
      <c r="A188" s="516" t="s">
        <v>228</v>
      </c>
      <c r="B188" s="516">
        <v>660</v>
      </c>
      <c r="C188" s="516">
        <v>660</v>
      </c>
      <c r="D188" s="516">
        <v>660</v>
      </c>
    </row>
    <row r="189" spans="1:4">
      <c r="A189" s="516" t="s">
        <v>231</v>
      </c>
      <c r="B189" s="516">
        <v>150</v>
      </c>
      <c r="C189" s="516">
        <v>150</v>
      </c>
      <c r="D189" s="516">
        <v>150</v>
      </c>
    </row>
    <row r="190" spans="1:4">
      <c r="A190" s="516" t="s">
        <v>232</v>
      </c>
      <c r="B190" s="516">
        <v>1000</v>
      </c>
      <c r="C190" s="516">
        <v>1000</v>
      </c>
      <c r="D190" s="516">
        <v>1000</v>
      </c>
    </row>
    <row r="191" spans="1:4">
      <c r="A191" s="516" t="s">
        <v>234</v>
      </c>
      <c r="B191" s="516">
        <v>100</v>
      </c>
      <c r="C191" s="516">
        <v>100</v>
      </c>
      <c r="D191" s="516">
        <v>100</v>
      </c>
    </row>
    <row r="192" spans="1:4">
      <c r="A192" s="516" t="s">
        <v>233</v>
      </c>
      <c r="B192" s="516">
        <v>0</v>
      </c>
      <c r="C192" s="516">
        <v>0</v>
      </c>
      <c r="D192" s="516">
        <v>0</v>
      </c>
    </row>
    <row r="193" spans="1:4">
      <c r="A193" s="516" t="s">
        <v>235</v>
      </c>
      <c r="B193" s="516">
        <v>50</v>
      </c>
      <c r="C193" s="516">
        <v>50</v>
      </c>
      <c r="D193" s="516">
        <v>50</v>
      </c>
    </row>
    <row r="194" spans="1:4">
      <c r="A194" s="516" t="s">
        <v>242</v>
      </c>
      <c r="B194" s="516">
        <v>1000</v>
      </c>
      <c r="C194" s="516">
        <v>1000</v>
      </c>
      <c r="D194" s="516">
        <v>1000</v>
      </c>
    </row>
    <row r="195" spans="1:4">
      <c r="A195" s="516" t="s">
        <v>243</v>
      </c>
      <c r="B195" s="516">
        <v>100</v>
      </c>
      <c r="C195" s="516">
        <v>100</v>
      </c>
      <c r="D195" s="516">
        <v>100</v>
      </c>
    </row>
    <row r="196" spans="1:4">
      <c r="A196" s="516" t="s">
        <v>236</v>
      </c>
      <c r="B196" s="516">
        <v>25</v>
      </c>
      <c r="C196" s="516">
        <v>25</v>
      </c>
      <c r="D196" s="516">
        <v>25</v>
      </c>
    </row>
    <row r="197" spans="1:4">
      <c r="A197" s="516" t="s">
        <v>238</v>
      </c>
      <c r="B197" s="516">
        <v>100</v>
      </c>
      <c r="C197" s="516">
        <v>100</v>
      </c>
      <c r="D197" s="516">
        <v>100</v>
      </c>
    </row>
    <row r="198" spans="1:4">
      <c r="A198" s="516" t="s">
        <v>239</v>
      </c>
      <c r="B198" s="516" t="s">
        <v>341</v>
      </c>
      <c r="C198" s="516" t="s">
        <v>341</v>
      </c>
      <c r="D198" s="516" t="s">
        <v>341</v>
      </c>
    </row>
    <row r="199" spans="1:4">
      <c r="A199" s="516" t="s">
        <v>240</v>
      </c>
      <c r="B199" s="516">
        <v>80000</v>
      </c>
      <c r="C199" s="516">
        <v>80000</v>
      </c>
      <c r="D199" s="516">
        <v>80000</v>
      </c>
    </row>
    <row r="200" spans="1:4">
      <c r="A200" s="516" t="s">
        <v>237</v>
      </c>
      <c r="B200" s="516">
        <v>1000</v>
      </c>
      <c r="C200" s="516">
        <v>1000</v>
      </c>
      <c r="D200" s="516">
        <v>1000</v>
      </c>
    </row>
    <row r="201" spans="1:4">
      <c r="A201" s="516" t="s">
        <v>241</v>
      </c>
      <c r="B201" s="516">
        <v>25</v>
      </c>
      <c r="C201" s="516">
        <v>2000</v>
      </c>
      <c r="D201" s="516">
        <v>2000</v>
      </c>
    </row>
    <row r="202" spans="1:4">
      <c r="A202" s="516" t="s">
        <v>244</v>
      </c>
      <c r="B202" s="516" t="s">
        <v>341</v>
      </c>
      <c r="C202" s="516" t="s">
        <v>341</v>
      </c>
      <c r="D202" s="516" t="s">
        <v>341</v>
      </c>
    </row>
    <row r="203" spans="1:4">
      <c r="A203" s="516" t="s">
        <v>245</v>
      </c>
      <c r="B203" s="516">
        <v>15</v>
      </c>
      <c r="C203" s="516">
        <v>15</v>
      </c>
      <c r="D203" s="516">
        <v>15</v>
      </c>
    </row>
    <row r="204" spans="1:4">
      <c r="A204" s="516" t="s">
        <v>246</v>
      </c>
      <c r="B204" s="516">
        <v>25</v>
      </c>
      <c r="C204" s="516">
        <v>2000</v>
      </c>
      <c r="D204" s="516">
        <v>2000</v>
      </c>
    </row>
    <row r="205" spans="1:4">
      <c r="A205" s="516" t="s">
        <v>247</v>
      </c>
      <c r="B205" s="516">
        <v>50</v>
      </c>
      <c r="C205" s="516">
        <v>3000</v>
      </c>
      <c r="D205" s="516">
        <v>3000</v>
      </c>
    </row>
    <row r="206" spans="1:4">
      <c r="A206" s="516" t="s">
        <v>248</v>
      </c>
      <c r="B206" s="516">
        <v>5000</v>
      </c>
      <c r="C206" s="516">
        <v>5000</v>
      </c>
      <c r="D206" s="516">
        <v>5000</v>
      </c>
    </row>
    <row r="207" spans="1:4">
      <c r="A207" s="516" t="s">
        <v>249</v>
      </c>
      <c r="B207" s="516">
        <v>20</v>
      </c>
      <c r="C207" s="516">
        <v>100</v>
      </c>
      <c r="D207" s="516">
        <v>100</v>
      </c>
    </row>
    <row r="208" spans="1:4">
      <c r="A208" s="516" t="s">
        <v>250</v>
      </c>
      <c r="B208" s="516">
        <v>0</v>
      </c>
      <c r="C208" s="516">
        <v>0</v>
      </c>
      <c r="D208" s="516">
        <v>0</v>
      </c>
    </row>
    <row r="209" spans="1:4">
      <c r="A209" s="516" t="s">
        <v>251</v>
      </c>
      <c r="B209" s="516">
        <v>0</v>
      </c>
      <c r="C209" s="516">
        <v>0</v>
      </c>
      <c r="D209" s="516">
        <v>0</v>
      </c>
    </row>
    <row r="210" spans="1:4">
      <c r="A210" s="516" t="s">
        <v>252</v>
      </c>
      <c r="B210" s="516">
        <v>0</v>
      </c>
      <c r="C210" s="516">
        <v>0</v>
      </c>
      <c r="D210" s="516">
        <v>0</v>
      </c>
    </row>
    <row r="211" spans="1:4">
      <c r="A211" s="516" t="s">
        <v>253</v>
      </c>
      <c r="B211" s="516">
        <v>25</v>
      </c>
      <c r="C211" s="516">
        <v>2000</v>
      </c>
      <c r="D211" s="516">
        <v>2000</v>
      </c>
    </row>
    <row r="212" spans="1:4">
      <c r="A212" s="516" t="s">
        <v>255</v>
      </c>
      <c r="B212" s="516">
        <v>10</v>
      </c>
      <c r="C212" s="516">
        <v>500</v>
      </c>
      <c r="D212" s="516">
        <v>500</v>
      </c>
    </row>
    <row r="213" spans="1:4">
      <c r="A213" s="516" t="s">
        <v>254</v>
      </c>
      <c r="B213" s="516">
        <v>500</v>
      </c>
      <c r="C213" s="516">
        <v>500</v>
      </c>
      <c r="D213" s="516">
        <v>500</v>
      </c>
    </row>
    <row r="214" spans="1:4">
      <c r="A214" s="516" t="s">
        <v>256</v>
      </c>
      <c r="B214" s="516">
        <v>100</v>
      </c>
      <c r="C214" s="516">
        <v>100</v>
      </c>
      <c r="D214" s="516">
        <v>100</v>
      </c>
    </row>
    <row r="215" spans="1:4">
      <c r="A215" s="516" t="s">
        <v>258</v>
      </c>
      <c r="B215" s="516">
        <v>100</v>
      </c>
      <c r="C215" s="516">
        <v>100</v>
      </c>
      <c r="D215" s="516">
        <v>100</v>
      </c>
    </row>
    <row r="216" spans="1:4">
      <c r="A216" s="516" t="s">
        <v>257</v>
      </c>
      <c r="B216" s="516">
        <v>25</v>
      </c>
      <c r="C216" s="516">
        <v>500</v>
      </c>
      <c r="D216" s="516">
        <v>2000</v>
      </c>
    </row>
    <row r="217" spans="1:4">
      <c r="A217" s="516" t="s">
        <v>259</v>
      </c>
      <c r="B217" s="516">
        <v>25</v>
      </c>
      <c r="C217" s="516">
        <v>25</v>
      </c>
      <c r="D217" s="516">
        <v>25</v>
      </c>
    </row>
    <row r="218" spans="1:4">
      <c r="B218" s="518"/>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Wind Cost</vt:lpstr>
      <vt:lpstr>Wind Performance</vt:lpstr>
      <vt:lpstr>Turbine Siting</vt:lpstr>
      <vt:lpstr>Finance</vt:lpstr>
      <vt:lpstr>Market Projections</vt:lpstr>
      <vt:lpstr>Wind Policies</vt:lpstr>
      <vt:lpstr>Net Metering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2015-02-26T18:54:19Z</dcterms:modified>
</cp:coreProperties>
</file>