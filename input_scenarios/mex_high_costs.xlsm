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input_scenarios/"/>
    </mc:Choice>
  </mc:AlternateContent>
  <bookViews>
    <workbookView xWindow="80" yWindow="1280" windowWidth="24140" windowHeight="16120" tabRatio="5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Financing!$B$28:$I$48</definedName>
    <definedName name="financial_trajectories">Financing!$B$5:$U$23</definedName>
    <definedName name="market_projections">'Market Projections'!$C$5:$U$10</definedName>
    <definedName name="pv_trajectories">Solar!$B$5:$Q$41</definedName>
    <definedName name="scenario_options_main">Main!$E$3:$E$18</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6" i="5" l="1"/>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4" authorId="0">
      <text>
        <r>
          <rPr>
            <b/>
            <sz val="9"/>
            <color indexed="81"/>
            <rFont val="Tahoma"/>
            <family val="2"/>
          </rPr>
          <t>Ben Sigrin - NREL:</t>
        </r>
        <r>
          <rPr>
            <sz val="9"/>
            <color indexed="81"/>
            <rFont val="Tahoma"/>
            <family val="2"/>
          </rPr>
          <t xml:space="preserve">
Select the final year to model. Maximum of 2050</t>
        </r>
      </text>
    </comment>
    <comment ref="D5" authorId="1">
      <text>
        <r>
          <rPr>
            <b/>
            <sz val="8"/>
            <color indexed="81"/>
            <rFont val="Tahoma"/>
            <family val="2"/>
          </rPr>
          <t xml:space="preserve">bsigrin:
</t>
        </r>
        <r>
          <rPr>
            <sz val="8"/>
            <color indexed="81"/>
            <rFont val="Tahoma"/>
            <family val="2"/>
          </rPr>
          <t>The user can choose to run all sectors or each individually.</t>
        </r>
      </text>
    </comment>
    <comment ref="D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7" authorId="1">
      <text>
        <r>
          <rPr>
            <b/>
            <sz val="8"/>
            <color indexed="81"/>
            <rFont val="Tahoma"/>
            <family val="2"/>
          </rPr>
          <t>edrury:</t>
        </r>
        <r>
          <rPr>
            <sz val="8"/>
            <color indexed="81"/>
            <rFont val="Tahoma"/>
            <family val="2"/>
          </rPr>
          <t xml:space="preserve">
Residential electricity rate structures</t>
        </r>
      </text>
    </comment>
    <comment ref="D8" authorId="1">
      <text>
        <r>
          <rPr>
            <b/>
            <sz val="8"/>
            <color indexed="81"/>
            <rFont val="Tahoma"/>
            <family val="2"/>
          </rPr>
          <t>edrury:</t>
        </r>
        <r>
          <rPr>
            <sz val="8"/>
            <color indexed="81"/>
            <rFont val="Tahoma"/>
            <family val="2"/>
          </rPr>
          <t xml:space="preserve">
Commercial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Escalation of Residential Electricity Rates</t>
        </r>
      </text>
    </comment>
    <comment ref="D11" authorId="1">
      <text>
        <r>
          <rPr>
            <b/>
            <sz val="8"/>
            <color indexed="81"/>
            <rFont val="Tahoma"/>
            <family val="2"/>
          </rPr>
          <t>edrury:</t>
        </r>
        <r>
          <rPr>
            <sz val="8"/>
            <color indexed="81"/>
            <rFont val="Tahoma"/>
            <family val="2"/>
          </rPr>
          <t xml:space="preserve">
Escalation of Commercial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<sst xmlns="http://schemas.openxmlformats.org/spreadsheetml/2006/main" count="168" uniqueCount="95">
  <si>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</si>
  <si>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</si>
  <si>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</si>
  <si>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</si>
  <si>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</si>
  <si>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</si>
  <si>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</si>
  <si>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</si>
  <si>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</si>
  <si>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</si>
  <si>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</si>
  <si>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</si>
  <si>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</si>
  <si>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</si>
  <si>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</si>
  <si>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</si>
  <si>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</si>
  <si>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</si>
  <si>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</si>
  <si>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</si>
  <si>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</si>
  <si>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</si>
  <si>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</si>
  <si>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</si>
  <si>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</si>
  <si>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</si>
  <si>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</si>
  <si>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</si>
  <si>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</si>
  <si>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</si>
  <si>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</si>
  <si>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</si>
  <si>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</si>
  <si>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</si>
  <si>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Loan Rate</t>
  </si>
  <si>
    <t>Down Payment</t>
  </si>
  <si>
    <t>Real Discount</t>
  </si>
  <si>
    <t>Tax Rate</t>
  </si>
  <si>
    <t>Sector</t>
  </si>
  <si>
    <t>Year 0</t>
  </si>
  <si>
    <t>Year 1</t>
  </si>
  <si>
    <t>Year 2</t>
  </si>
  <si>
    <t>Year 3</t>
  </si>
  <si>
    <t>Year 4</t>
  </si>
  <si>
    <t>Year 5</t>
  </si>
  <si>
    <t>com</t>
  </si>
  <si>
    <t>ind</t>
  </si>
  <si>
    <t>res</t>
  </si>
  <si>
    <t>Financing</t>
  </si>
  <si>
    <t>Depreciation</t>
  </si>
  <si>
    <t>Residential Rate Escalations</t>
  </si>
  <si>
    <t>Commercial Rate Escalations</t>
  </si>
  <si>
    <t>Industrial Rate Escalations</t>
  </si>
  <si>
    <t>Net Metering Scenario</t>
  </si>
  <si>
    <t>Solar ITC</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</si>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</sst>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8">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0" fillId="0" borderId="0" xfId="0" applyBorder="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9" fontId="25" fillId="0" borderId="12" xfId="1" applyNumberFormat="1" applyFont="1" applyFill="1" applyBorder="1" applyAlignment="1">
      <alignment horizontal="center" vertical="center"/>
    </xf>
    <xf numFmtId="9" fontId="25" fillId="0" borderId="13" xfId="1" applyNumberFormat="1"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9" fontId="24" fillId="0" borderId="0" xfId="0" applyNumberFormat="1" applyFont="1" applyFill="1" applyBorder="1" applyAlignment="1">
      <alignment horizontal="center" vertical="center"/>
    </xf>
    <xf numFmtId="9" fontId="25" fillId="0" borderId="0" xfId="1" applyNumberFormat="1" applyFont="1" applyFill="1" applyBorder="1" applyAlignment="1">
      <alignment horizontal="center" vertical="center"/>
    </xf>
    <xf numFmtId="9" fontId="25" fillId="0" borderId="15" xfId="1" applyNumberFormat="1"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9" fontId="25" fillId="0" borderId="17" xfId="1" applyNumberFormat="1" applyFont="1" applyFill="1" applyBorder="1" applyAlignment="1">
      <alignment horizontal="center" vertical="center"/>
    </xf>
    <xf numFmtId="9" fontId="25" fillId="0" borderId="18" xfId="1" applyNumberFormat="1"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0" fillId="4" borderId="31" xfId="3" applyFont="1" applyFill="1" applyBorder="1" applyAlignment="1" applyProtection="1">
      <alignment horizontal="left"/>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abSelected="1" topLeftCell="B1" workbookViewId="0">
      <selection activeCell="E18" sqref="E18"/>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2" t="s">
        <v>0</v>
      </c>
      <c r="E2" s="23" t="s">
        <v>1</v>
      </c>
      <c r="F2" s="3"/>
      <c r="G2" s="3"/>
      <c r="H2" s="3"/>
      <c r="I2" s="3"/>
      <c r="J2" s="3"/>
      <c r="K2" s="3"/>
      <c r="L2" s="3"/>
      <c r="M2" s="3"/>
    </row>
    <row r="3" spans="1:13" x14ac:dyDescent="0.2">
      <c r="A3" s="3"/>
      <c r="B3" s="3"/>
      <c r="C3" s="3"/>
      <c r="D3" s="39" t="s">
        <v>92</v>
      </c>
      <c r="E3" s="40" t="s">
        <v>2</v>
      </c>
      <c r="F3" s="3" t="s">
        <v>88</v>
      </c>
      <c r="G3" s="3"/>
      <c r="H3" s="3"/>
      <c r="I3" s="3"/>
      <c r="J3" s="3"/>
      <c r="K3" s="3"/>
      <c r="L3" s="3"/>
      <c r="M3" s="3"/>
    </row>
    <row r="4" spans="1:13" x14ac:dyDescent="0.2">
      <c r="A4" s="3"/>
      <c r="B4" s="3"/>
      <c r="C4" s="3"/>
      <c r="D4" s="19" t="s">
        <v>4</v>
      </c>
      <c r="E4" s="41">
        <v>2050</v>
      </c>
      <c r="F4" s="3"/>
      <c r="G4" s="3"/>
      <c r="H4" s="3"/>
      <c r="I4" s="3"/>
      <c r="J4" s="3"/>
      <c r="K4" s="3"/>
      <c r="L4" s="3"/>
      <c r="M4" s="3"/>
    </row>
    <row r="5" spans="1:13" x14ac:dyDescent="0.2">
      <c r="A5" s="3"/>
      <c r="B5" s="3"/>
      <c r="C5" s="3"/>
      <c r="D5" s="19" t="s">
        <v>5</v>
      </c>
      <c r="E5" s="41" t="s">
        <v>6</v>
      </c>
      <c r="F5" s="3"/>
      <c r="G5" s="3"/>
      <c r="H5" s="3"/>
      <c r="I5" s="3"/>
      <c r="J5" s="3"/>
      <c r="K5" s="3"/>
      <c r="L5" s="3"/>
      <c r="M5" s="3"/>
    </row>
    <row r="6" spans="1:13" x14ac:dyDescent="0.2">
      <c r="A6" s="3"/>
      <c r="B6" s="3"/>
      <c r="C6" s="3"/>
      <c r="D6" s="20" t="s">
        <v>7</v>
      </c>
      <c r="E6" s="41" t="s">
        <v>8</v>
      </c>
      <c r="F6" s="3"/>
      <c r="G6" s="3"/>
      <c r="H6" s="3"/>
      <c r="I6" s="3"/>
      <c r="J6" s="3"/>
      <c r="K6" s="3"/>
      <c r="L6" s="3"/>
      <c r="M6" s="3"/>
    </row>
    <row r="7" spans="1:13" x14ac:dyDescent="0.2">
      <c r="A7" s="3"/>
      <c r="B7" s="3"/>
      <c r="C7" s="3"/>
      <c r="D7" s="20" t="s">
        <v>9</v>
      </c>
      <c r="E7" s="41" t="s">
        <v>10</v>
      </c>
      <c r="F7" s="3"/>
      <c r="G7" s="3"/>
      <c r="H7" s="3"/>
      <c r="I7" s="3"/>
      <c r="J7" s="3"/>
      <c r="K7" s="3"/>
      <c r="L7" s="3"/>
      <c r="M7" s="3"/>
    </row>
    <row r="8" spans="1:13" x14ac:dyDescent="0.2">
      <c r="A8" s="3"/>
      <c r="B8" s="3"/>
      <c r="C8" s="3"/>
      <c r="D8" s="20" t="s">
        <v>11</v>
      </c>
      <c r="E8" s="41" t="s">
        <v>10</v>
      </c>
      <c r="F8" s="3"/>
      <c r="G8" s="3"/>
      <c r="H8" s="3"/>
      <c r="I8" s="3"/>
      <c r="J8" s="3"/>
      <c r="K8" s="3"/>
      <c r="L8" s="3"/>
      <c r="M8" s="3"/>
    </row>
    <row r="9" spans="1:13" x14ac:dyDescent="0.2">
      <c r="A9" s="3"/>
      <c r="B9" s="3"/>
      <c r="C9" s="3"/>
      <c r="D9" s="20" t="s">
        <v>12</v>
      </c>
      <c r="E9" s="41" t="s">
        <v>10</v>
      </c>
      <c r="F9" s="3"/>
      <c r="G9" s="3"/>
      <c r="H9" s="3"/>
      <c r="I9" s="3"/>
      <c r="J9" s="3"/>
      <c r="K9" s="3"/>
      <c r="L9" s="3"/>
      <c r="M9" s="3"/>
    </row>
    <row r="10" spans="1:13" x14ac:dyDescent="0.2">
      <c r="A10" s="3"/>
      <c r="B10" s="3"/>
      <c r="C10" s="3"/>
      <c r="D10" s="20" t="s">
        <v>13</v>
      </c>
      <c r="E10" s="41" t="s">
        <v>72</v>
      </c>
      <c r="F10" s="3"/>
      <c r="G10" s="3"/>
      <c r="H10" s="3"/>
      <c r="I10" s="3"/>
      <c r="J10" s="3"/>
      <c r="K10" s="3"/>
      <c r="L10" s="3"/>
      <c r="M10" s="3"/>
    </row>
    <row r="11" spans="1:13" x14ac:dyDescent="0.2">
      <c r="A11" s="3"/>
      <c r="B11" s="3"/>
      <c r="C11" s="3"/>
      <c r="D11" s="20" t="s">
        <v>14</v>
      </c>
      <c r="E11" s="41" t="s">
        <v>8</v>
      </c>
      <c r="F11" s="3"/>
      <c r="G11" s="3"/>
      <c r="H11" s="3"/>
      <c r="I11" s="3"/>
      <c r="J11" s="3"/>
      <c r="K11" s="3"/>
      <c r="L11" s="3"/>
      <c r="M11" s="3"/>
    </row>
    <row r="12" spans="1:13" x14ac:dyDescent="0.2">
      <c r="A12" s="3"/>
      <c r="B12" s="3"/>
      <c r="C12" s="3"/>
      <c r="D12" s="21" t="s">
        <v>15</v>
      </c>
      <c r="E12" s="41" t="s">
        <v>8</v>
      </c>
      <c r="F12" s="3"/>
      <c r="G12" s="3"/>
      <c r="H12" s="3"/>
      <c r="I12" s="3"/>
      <c r="J12" s="3"/>
      <c r="K12" s="3"/>
      <c r="L12" s="3"/>
      <c r="M12" s="3"/>
    </row>
    <row r="13" spans="1:13" x14ac:dyDescent="0.2">
      <c r="A13" s="3"/>
      <c r="B13" s="3"/>
      <c r="C13" s="3"/>
      <c r="D13" s="21" t="s">
        <v>16</v>
      </c>
      <c r="E13" s="41" t="s">
        <v>17</v>
      </c>
      <c r="F13" s="3"/>
      <c r="G13" s="3"/>
      <c r="H13" s="3"/>
      <c r="I13" s="3"/>
      <c r="J13" s="3"/>
      <c r="K13" s="3"/>
      <c r="L13" s="3"/>
      <c r="M13" s="3"/>
    </row>
    <row r="14" spans="1:13" x14ac:dyDescent="0.2">
      <c r="A14" s="3"/>
      <c r="B14" s="3"/>
      <c r="C14" s="3"/>
      <c r="D14" s="21" t="s">
        <v>18</v>
      </c>
      <c r="E14" s="41" t="s">
        <v>19</v>
      </c>
      <c r="F14" s="3"/>
      <c r="G14" s="3"/>
      <c r="H14" s="3"/>
      <c r="I14" s="3"/>
      <c r="J14" s="3"/>
      <c r="K14" s="3"/>
      <c r="L14" s="3"/>
      <c r="M14" s="3"/>
    </row>
    <row r="15" spans="1:13" x14ac:dyDescent="0.2">
      <c r="A15" s="3"/>
      <c r="B15" s="3"/>
      <c r="C15" s="3"/>
      <c r="D15" s="21" t="s">
        <v>20</v>
      </c>
      <c r="E15" s="41" t="s">
        <v>19</v>
      </c>
      <c r="F15" s="3"/>
      <c r="G15" s="3"/>
      <c r="H15" s="3"/>
      <c r="I15" s="3"/>
      <c r="J15" s="3"/>
      <c r="K15" s="3"/>
      <c r="L15" s="3"/>
      <c r="M15" s="3"/>
    </row>
    <row r="16" spans="1:13" x14ac:dyDescent="0.2">
      <c r="A16" s="3"/>
      <c r="B16" s="3"/>
      <c r="C16" s="3"/>
      <c r="D16" s="20" t="s">
        <v>21</v>
      </c>
      <c r="E16" s="41" t="s">
        <v>22</v>
      </c>
      <c r="F16" s="3"/>
      <c r="G16" s="3"/>
      <c r="H16" s="3"/>
      <c r="I16" s="3"/>
      <c r="J16" s="3"/>
      <c r="K16" s="3"/>
      <c r="L16" s="3"/>
      <c r="M16" s="3"/>
    </row>
    <row r="17" spans="1:13" x14ac:dyDescent="0.2">
      <c r="A17" s="3"/>
      <c r="B17" s="3"/>
      <c r="C17" s="3"/>
      <c r="D17" s="117" t="s">
        <v>53</v>
      </c>
      <c r="E17" s="41" t="s">
        <v>23</v>
      </c>
      <c r="F17" s="3"/>
      <c r="G17" s="3"/>
      <c r="H17" s="3"/>
      <c r="I17" s="3"/>
      <c r="J17" s="3"/>
      <c r="K17" s="3"/>
      <c r="L17" s="3"/>
      <c r="M17" s="3"/>
    </row>
    <row r="18" spans="1:13" ht="17" thickBot="1" x14ac:dyDescent="0.25">
      <c r="A18" s="3"/>
      <c r="B18" s="3"/>
      <c r="C18" s="3"/>
      <c r="D18" s="107" t="s">
        <v>94</v>
      </c>
      <c r="E18" s="42"/>
      <c r="F18" s="3" t="s">
        <v>93</v>
      </c>
      <c r="G18" s="3"/>
      <c r="H18" s="3"/>
      <c r="I18" s="3"/>
      <c r="J18" s="3"/>
      <c r="K18" s="3"/>
      <c r="L18" s="3"/>
      <c r="M18" s="3"/>
    </row>
    <row r="19" spans="1:13" x14ac:dyDescent="0.2">
      <c r="A19" s="3"/>
      <c r="B19" s="3"/>
      <c r="C19" s="3"/>
      <c r="D19" s="3"/>
      <c r="E19" s="3"/>
      <c r="F19" s="3"/>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8" customFormat="1" x14ac:dyDescent="0.2">
      <c r="A26"/>
      <c r="B26" s="3"/>
      <c r="C26" s="3"/>
      <c r="D26" s="3"/>
      <c r="E26" s="3"/>
      <c r="F26" s="3"/>
      <c r="G26" s="3"/>
      <c r="H26" s="3"/>
      <c r="I26" s="3"/>
      <c r="J26" s="3"/>
      <c r="K26" s="3"/>
      <c r="L26" s="3"/>
      <c r="M26" s="3"/>
    </row>
    <row r="27" spans="1:13" x14ac:dyDescent="0.2">
      <c r="A27" s="3"/>
    </row>
  </sheetData>
  <hyperlinks>
    <hyperlink ref="D16" location="Carbon!A1" display="Carbon Price"/>
    <hyperlink ref="D12" location="'Rate Escalation'!A85" display="Com Rate Escalation"/>
    <hyperlink ref="D8" location="'Rate Escalation'!A91" display="Com Rate Structure"/>
    <hyperlink ref="D11" location="'Rate Escalation'!A85" display="Com Rate Escalation"/>
    <hyperlink ref="D10" location="'Rate Escalation'!A5" display="Res Rate Escalation"/>
    <hyperlink ref="D7"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E4</xm:sqref>
        </x14:dataValidation>
        <x14:dataValidation type="list" allowBlank="1" showInputMessage="1" showErrorMessage="1">
          <x14:formula1>
            <xm:f>Sheet1!$A$11:$A$14</xm:f>
          </x14:formula1>
          <xm:sqref>E5</xm:sqref>
        </x14:dataValidation>
        <x14:dataValidation type="list" allowBlank="1" showInputMessage="1" showErrorMessage="1">
          <x14:formula1>
            <xm:f>Sheet1!$A$6:$A$8</xm:f>
          </x14:formula1>
          <xm:sqref>E6 E10:E12</xm:sqref>
        </x14:dataValidation>
        <x14:dataValidation type="list" allowBlank="1" showInputMessage="1" showErrorMessage="1">
          <x14:formula1>
            <xm:f>Sheet1!$A$2</xm:f>
          </x14:formula1>
          <xm:sqref>E7:E9</xm:sqref>
        </x14:dataValidation>
        <x14:dataValidation type="list" allowBlank="1" showInputMessage="1" showErrorMessage="1">
          <x14:formula1>
            <xm:f>Sheet1!$A$24:$A$27</xm:f>
          </x14:formula1>
          <xm:sqref>E13:E15</xm:sqref>
        </x14:dataValidation>
        <x14:dataValidation type="list" allowBlank="1" showInputMessage="1" showErrorMessage="1">
          <x14:formula1>
            <xm:f>Sheet1!$A$30:$A$32</xm:f>
          </x14:formula1>
          <xm:sqref>E16</xm:sqref>
        </x14:dataValidation>
        <x14:dataValidation type="list" allowBlank="1" showInputMessage="1" showErrorMessage="1">
          <x14:formula1>
            <xm:f>Sheet1!$A$35:$A$37</xm:f>
          </x14:formula1>
          <xm:sqref>E17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106" t="s">
        <v>69</v>
      </c>
      <c r="F1" t="s">
        <v>87</v>
      </c>
    </row>
    <row r="2" spans="1:6" x14ac:dyDescent="0.2">
      <c r="A2" t="s">
        <v>10</v>
      </c>
      <c r="B2" t="s">
        <v>70</v>
      </c>
      <c r="F2">
        <v>2016</v>
      </c>
    </row>
    <row r="3" spans="1:6" x14ac:dyDescent="0.2">
      <c r="B3" t="s">
        <v>71</v>
      </c>
      <c r="F3">
        <v>2018</v>
      </c>
    </row>
    <row r="4" spans="1:6" x14ac:dyDescent="0.2">
      <c r="F4">
        <v>2020</v>
      </c>
    </row>
    <row r="5" spans="1:6" x14ac:dyDescent="0.2">
      <c r="A5" s="106" t="s">
        <v>80</v>
      </c>
      <c r="F5">
        <v>2022</v>
      </c>
    </row>
    <row r="6" spans="1:6" x14ac:dyDescent="0.2">
      <c r="A6" t="s">
        <v>8</v>
      </c>
      <c r="F6">
        <v>2024</v>
      </c>
    </row>
    <row r="7" spans="1:6" x14ac:dyDescent="0.2">
      <c r="A7" t="s">
        <v>72</v>
      </c>
      <c r="F7">
        <v>2026</v>
      </c>
    </row>
    <row r="8" spans="1:6" x14ac:dyDescent="0.2">
      <c r="A8" t="s">
        <v>73</v>
      </c>
      <c r="F8">
        <v>2028</v>
      </c>
    </row>
    <row r="9" spans="1:6" x14ac:dyDescent="0.2">
      <c r="F9">
        <v>2030</v>
      </c>
    </row>
    <row r="10" spans="1:6" x14ac:dyDescent="0.2">
      <c r="A10" s="106" t="s">
        <v>74</v>
      </c>
      <c r="F10">
        <v>2032</v>
      </c>
    </row>
    <row r="11" spans="1:6" x14ac:dyDescent="0.2">
      <c r="A11" t="s">
        <v>75</v>
      </c>
      <c r="F11">
        <v>2034</v>
      </c>
    </row>
    <row r="12" spans="1:6" x14ac:dyDescent="0.2">
      <c r="A12" t="s">
        <v>76</v>
      </c>
      <c r="F12">
        <v>2036</v>
      </c>
    </row>
    <row r="13" spans="1:6" x14ac:dyDescent="0.2">
      <c r="A13" t="s">
        <v>77</v>
      </c>
      <c r="F13">
        <v>2038</v>
      </c>
    </row>
    <row r="14" spans="1:6" x14ac:dyDescent="0.2">
      <c r="A14" t="s">
        <v>6</v>
      </c>
      <c r="F14">
        <v>2040</v>
      </c>
    </row>
    <row r="15" spans="1:6" x14ac:dyDescent="0.2">
      <c r="F15">
        <v>2042</v>
      </c>
    </row>
    <row r="16" spans="1:6" x14ac:dyDescent="0.2">
      <c r="A16" s="106" t="s">
        <v>78</v>
      </c>
      <c r="F16">
        <v>2044</v>
      </c>
    </row>
    <row r="17" spans="1:6" x14ac:dyDescent="0.2">
      <c r="A17" t="s">
        <v>3</v>
      </c>
      <c r="F17">
        <v>2046</v>
      </c>
    </row>
    <row r="18" spans="1:6" x14ac:dyDescent="0.2">
      <c r="F18">
        <v>2048</v>
      </c>
    </row>
    <row r="19" spans="1:6" x14ac:dyDescent="0.2">
      <c r="A19" s="106" t="s">
        <v>79</v>
      </c>
      <c r="F19">
        <v>2050</v>
      </c>
    </row>
    <row r="20" spans="1:6" x14ac:dyDescent="0.2">
      <c r="A20" t="b">
        <v>1</v>
      </c>
    </row>
    <row r="21" spans="1:6" x14ac:dyDescent="0.2">
      <c r="A21" t="b">
        <v>0</v>
      </c>
    </row>
    <row r="23" spans="1:6" x14ac:dyDescent="0.2">
      <c r="A23" s="106" t="s">
        <v>81</v>
      </c>
    </row>
    <row r="24" spans="1:6" x14ac:dyDescent="0.2">
      <c r="A24" t="s">
        <v>82</v>
      </c>
    </row>
    <row r="25" spans="1:6" x14ac:dyDescent="0.2">
      <c r="A25" t="s">
        <v>19</v>
      </c>
    </row>
    <row r="26" spans="1:6" x14ac:dyDescent="0.2">
      <c r="A26" t="s">
        <v>83</v>
      </c>
    </row>
    <row r="27" spans="1:6" x14ac:dyDescent="0.2">
      <c r="A27" t="s">
        <v>17</v>
      </c>
    </row>
    <row r="29" spans="1:6" x14ac:dyDescent="0.2">
      <c r="A29" s="106" t="s">
        <v>84</v>
      </c>
    </row>
    <row r="30" spans="1:6" x14ac:dyDescent="0.2">
      <c r="A30" t="s">
        <v>22</v>
      </c>
    </row>
    <row r="31" spans="1:6" x14ac:dyDescent="0.2">
      <c r="A31" t="s">
        <v>85</v>
      </c>
    </row>
    <row r="32" spans="1:6" x14ac:dyDescent="0.2">
      <c r="A32" t="s">
        <v>86</v>
      </c>
    </row>
    <row r="34" spans="1:1" x14ac:dyDescent="0.2">
      <c r="A34" s="106" t="s">
        <v>89</v>
      </c>
    </row>
    <row r="35" spans="1:1" x14ac:dyDescent="0.2">
      <c r="A35" t="s">
        <v>23</v>
      </c>
    </row>
    <row r="36" spans="1:1" x14ac:dyDescent="0.2">
      <c r="A36" t="s">
        <v>90</v>
      </c>
    </row>
    <row r="37" spans="1:1" x14ac:dyDescent="0.2">
      <c r="A37" t="s">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8" t="s">
        <v>25</v>
      </c>
      <c r="C3" s="65">
        <v>3.4000000000000002E-2</v>
      </c>
      <c r="D3" s="4"/>
      <c r="E3" s="5"/>
      <c r="F3" s="5"/>
      <c r="G3" s="5"/>
      <c r="H3" s="1"/>
      <c r="I3" s="1"/>
      <c r="J3" s="6"/>
      <c r="K3" s="5"/>
      <c r="L3" s="5"/>
      <c r="M3" s="5"/>
      <c r="N3" s="5"/>
      <c r="O3" s="5"/>
      <c r="P3" s="5"/>
      <c r="Q3" s="5"/>
      <c r="R3" s="5"/>
      <c r="S3" s="5"/>
      <c r="T3" s="5"/>
      <c r="U3" s="5"/>
      <c r="V3" s="5"/>
    </row>
    <row r="4" spans="1:22" ht="21" thickBot="1" x14ac:dyDescent="0.25">
      <c r="A4" s="3"/>
      <c r="B4" s="17"/>
      <c r="C4" s="5"/>
      <c r="D4" s="5"/>
      <c r="E4" s="5"/>
      <c r="F4" s="5"/>
      <c r="G4" s="5"/>
      <c r="H4" s="5"/>
      <c r="I4" s="5"/>
      <c r="J4" s="5"/>
      <c r="K4" s="5"/>
      <c r="L4" s="5"/>
      <c r="M4" s="5"/>
      <c r="N4" s="5"/>
      <c r="O4" s="5"/>
      <c r="P4" s="5"/>
      <c r="Q4" s="5"/>
      <c r="R4" s="5"/>
      <c r="S4" s="5"/>
      <c r="T4" s="5"/>
      <c r="U4" s="5"/>
      <c r="V4" s="7"/>
    </row>
    <row r="5" spans="1:22" x14ac:dyDescent="0.2">
      <c r="A5" s="3"/>
      <c r="B5" s="5"/>
      <c r="C5" s="68">
        <v>2015</v>
      </c>
      <c r="D5" s="69">
        <v>2016</v>
      </c>
      <c r="E5" s="69">
        <v>2018</v>
      </c>
      <c r="F5" s="69">
        <v>2020</v>
      </c>
      <c r="G5" s="69">
        <v>2022</v>
      </c>
      <c r="H5" s="69">
        <v>2024</v>
      </c>
      <c r="I5" s="69">
        <v>2026</v>
      </c>
      <c r="J5" s="69">
        <v>2028</v>
      </c>
      <c r="K5" s="69">
        <v>2030</v>
      </c>
      <c r="L5" s="69">
        <v>2032</v>
      </c>
      <c r="M5" s="69">
        <v>2034</v>
      </c>
      <c r="N5" s="69">
        <v>2036</v>
      </c>
      <c r="O5" s="69">
        <v>2038</v>
      </c>
      <c r="P5" s="69">
        <v>2040</v>
      </c>
      <c r="Q5" s="69">
        <v>2042</v>
      </c>
      <c r="R5" s="69">
        <v>2044</v>
      </c>
      <c r="S5" s="69">
        <v>2046</v>
      </c>
      <c r="T5" s="69">
        <v>2048</v>
      </c>
      <c r="U5" s="70">
        <v>2050</v>
      </c>
      <c r="V5" s="7"/>
    </row>
    <row r="6" spans="1:22" x14ac:dyDescent="0.2">
      <c r="A6" s="3"/>
      <c r="B6" s="66" t="s">
        <v>26</v>
      </c>
      <c r="C6" s="71">
        <v>0</v>
      </c>
      <c r="D6" s="24">
        <v>0</v>
      </c>
      <c r="E6" s="24">
        <v>0</v>
      </c>
      <c r="F6" s="24">
        <v>0</v>
      </c>
      <c r="G6" s="24">
        <v>20</v>
      </c>
      <c r="H6" s="24">
        <v>20</v>
      </c>
      <c r="I6" s="24">
        <v>20</v>
      </c>
      <c r="J6" s="24">
        <v>20</v>
      </c>
      <c r="K6" s="24">
        <v>30</v>
      </c>
      <c r="L6" s="24">
        <v>30</v>
      </c>
      <c r="M6" s="24">
        <v>30</v>
      </c>
      <c r="N6" s="24">
        <v>30</v>
      </c>
      <c r="O6" s="24">
        <v>40</v>
      </c>
      <c r="P6" s="24">
        <v>40</v>
      </c>
      <c r="Q6" s="24">
        <v>40</v>
      </c>
      <c r="R6" s="24">
        <v>40</v>
      </c>
      <c r="S6" s="24">
        <v>50</v>
      </c>
      <c r="T6" s="24">
        <v>50</v>
      </c>
      <c r="U6" s="72">
        <v>50</v>
      </c>
      <c r="V6" s="7"/>
    </row>
    <row r="7" spans="1:22" x14ac:dyDescent="0.2">
      <c r="A7" s="3"/>
      <c r="B7" s="66" t="s">
        <v>50</v>
      </c>
      <c r="C7" s="73">
        <v>1</v>
      </c>
      <c r="D7" s="25">
        <v>1.0249999999999999</v>
      </c>
      <c r="E7" s="25">
        <v>1.0506249999999999</v>
      </c>
      <c r="F7" s="25">
        <v>1.0768906249999999</v>
      </c>
      <c r="G7" s="25">
        <v>1.1038128906249998</v>
      </c>
      <c r="H7" s="25">
        <v>1.1314082128906247</v>
      </c>
      <c r="I7" s="25">
        <v>1.1596934182128902</v>
      </c>
      <c r="J7" s="25">
        <v>1.1886857536682123</v>
      </c>
      <c r="K7" s="25">
        <v>1.2184028975099175</v>
      </c>
      <c r="L7" s="25">
        <v>1.2488629699476652</v>
      </c>
      <c r="M7" s="25">
        <v>1.2800845441963566</v>
      </c>
      <c r="N7" s="25">
        <v>1.3120866578012655</v>
      </c>
      <c r="O7" s="25">
        <v>1.3448888242462971</v>
      </c>
      <c r="P7" s="25">
        <v>1.3785110448524545</v>
      </c>
      <c r="Q7" s="25">
        <v>1.4129738209737657</v>
      </c>
      <c r="R7" s="25">
        <v>1.4482981664981096</v>
      </c>
      <c r="S7" s="25">
        <v>1.4845056206605622</v>
      </c>
      <c r="T7" s="25">
        <v>1.5216182611770761</v>
      </c>
      <c r="U7" s="74">
        <v>1.5596587177065029</v>
      </c>
      <c r="V7" s="7"/>
    </row>
    <row r="8" spans="1:22" x14ac:dyDescent="0.2">
      <c r="A8" s="3"/>
      <c r="B8" s="66" t="s">
        <v>51</v>
      </c>
      <c r="C8" s="73">
        <v>1</v>
      </c>
      <c r="D8" s="25">
        <v>1.0249999999999999</v>
      </c>
      <c r="E8" s="25">
        <v>1.0506249999999999</v>
      </c>
      <c r="F8" s="25">
        <v>1.0768906249999999</v>
      </c>
      <c r="G8" s="25">
        <v>1.1038128906249998</v>
      </c>
      <c r="H8" s="25">
        <v>1.1314082128906247</v>
      </c>
      <c r="I8" s="25">
        <v>1.1596934182128902</v>
      </c>
      <c r="J8" s="25">
        <v>1.1886857536682123</v>
      </c>
      <c r="K8" s="25">
        <v>1.2184028975099175</v>
      </c>
      <c r="L8" s="25">
        <v>1.2488629699476652</v>
      </c>
      <c r="M8" s="25">
        <v>1.2800845441963566</v>
      </c>
      <c r="N8" s="25">
        <v>1.3120866578012655</v>
      </c>
      <c r="O8" s="25">
        <v>1.3448888242462971</v>
      </c>
      <c r="P8" s="25">
        <v>1.3785110448524545</v>
      </c>
      <c r="Q8" s="25">
        <v>1.4129738209737657</v>
      </c>
      <c r="R8" s="25">
        <v>1.4482981664981096</v>
      </c>
      <c r="S8" s="25">
        <v>1.4845056206605622</v>
      </c>
      <c r="T8" s="25">
        <v>1.5216182611770761</v>
      </c>
      <c r="U8" s="74">
        <v>1.5596587177065029</v>
      </c>
      <c r="V8" s="7"/>
    </row>
    <row r="9" spans="1:22" x14ac:dyDescent="0.2">
      <c r="A9" s="3"/>
      <c r="B9" s="66" t="s">
        <v>52</v>
      </c>
      <c r="C9" s="75">
        <v>1</v>
      </c>
      <c r="D9" s="25">
        <v>1.0249999999999999</v>
      </c>
      <c r="E9" s="25">
        <v>1.0506249999999999</v>
      </c>
      <c r="F9" s="25">
        <v>1.0768906249999999</v>
      </c>
      <c r="G9" s="25">
        <v>1.1038128906249998</v>
      </c>
      <c r="H9" s="25">
        <v>1.1314082128906247</v>
      </c>
      <c r="I9" s="25">
        <v>1.1596934182128902</v>
      </c>
      <c r="J9" s="25">
        <v>1.1886857536682123</v>
      </c>
      <c r="K9" s="25">
        <v>1.2184028975099175</v>
      </c>
      <c r="L9" s="25">
        <v>1.2488629699476652</v>
      </c>
      <c r="M9" s="25">
        <v>1.2800845441963566</v>
      </c>
      <c r="N9" s="25">
        <v>1.3120866578012655</v>
      </c>
      <c r="O9" s="25">
        <v>1.3448888242462971</v>
      </c>
      <c r="P9" s="25">
        <v>1.3785110448524545</v>
      </c>
      <c r="Q9" s="25">
        <v>1.4129738209737657</v>
      </c>
      <c r="R9" s="25">
        <v>1.4482981664981096</v>
      </c>
      <c r="S9" s="25">
        <v>1.4845056206605622</v>
      </c>
      <c r="T9" s="25">
        <v>1.5216182611770761</v>
      </c>
      <c r="U9" s="74">
        <v>1.5596587177065029</v>
      </c>
      <c r="V9" s="7"/>
    </row>
    <row r="10" spans="1:22" ht="17" thickBot="1" x14ac:dyDescent="0.25">
      <c r="A10" s="3"/>
      <c r="B10" s="67" t="s">
        <v>27</v>
      </c>
      <c r="C10" s="76">
        <v>1.0249999999999999</v>
      </c>
      <c r="D10" s="77">
        <v>1.0249999999999999</v>
      </c>
      <c r="E10" s="77">
        <v>1.0249999999999999</v>
      </c>
      <c r="F10" s="77">
        <v>1.0249999999999999</v>
      </c>
      <c r="G10" s="77">
        <v>1.0249999999999999</v>
      </c>
      <c r="H10" s="77">
        <v>1.0249999999999999</v>
      </c>
      <c r="I10" s="77">
        <v>1.0249999999999999</v>
      </c>
      <c r="J10" s="77">
        <v>1.0249999999999999</v>
      </c>
      <c r="K10" s="77">
        <v>1.0249999999999999</v>
      </c>
      <c r="L10" s="77">
        <v>1.0249999999999999</v>
      </c>
      <c r="M10" s="77">
        <v>1.0249999999999999</v>
      </c>
      <c r="N10" s="77">
        <v>1.0249999999999999</v>
      </c>
      <c r="O10" s="77">
        <v>1.0249999999999999</v>
      </c>
      <c r="P10" s="77">
        <v>1.0249999999999999</v>
      </c>
      <c r="Q10" s="77">
        <v>1.0249999999999999</v>
      </c>
      <c r="R10" s="77">
        <v>1.0249999999999999</v>
      </c>
      <c r="S10" s="77">
        <v>1.0249999999999999</v>
      </c>
      <c r="T10" s="77">
        <v>1.0249999999999999</v>
      </c>
      <c r="U10" s="78">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opLeftCell="A15" workbookViewId="0">
      <selection activeCell="N40" sqref="N40"/>
    </sheetView>
  </sheetViews>
  <sheetFormatPr baseColWidth="10" defaultRowHeight="16" x14ac:dyDescent="0.2"/>
  <cols>
    <col min="3" max="3" width="16" bestFit="1" customWidth="1"/>
    <col min="4" max="4" width="14.5" bestFit="1" customWidth="1"/>
    <col min="5" max="5" width="9.1640625" bestFit="1" customWidth="1"/>
    <col min="6" max="6" width="13.5" bestFit="1" customWidth="1"/>
    <col min="7" max="7" width="12.1640625" bestFit="1" customWidth="1"/>
    <col min="8" max="8" width="12.1640625" customWidth="1"/>
    <col min="9" max="9" width="8.1640625" bestFit="1" customWidth="1"/>
    <col min="10" max="10" width="14.5" bestFit="1" customWidth="1"/>
    <col min="11" max="11" width="9.1640625" bestFit="1" customWidth="1"/>
    <col min="12" max="12" width="13.5" bestFit="1" customWidth="1"/>
    <col min="13" max="13" width="12.1640625" bestFit="1" customWidth="1"/>
    <col min="14" max="14" width="12.1640625" customWidth="1"/>
    <col min="15" max="15" width="8" bestFit="1" customWidth="1"/>
    <col min="16" max="16" width="14.5" bestFit="1" customWidth="1"/>
    <col min="17" max="17" width="9.1640625" bestFit="1" customWidth="1"/>
    <col min="18" max="18" width="13.5" bestFit="1" customWidth="1"/>
    <col min="19" max="19" width="12.1640625" bestFit="1" customWidth="1"/>
    <col min="20" max="20" width="12.1640625" customWidth="1"/>
    <col min="21" max="21" width="8" bestFit="1" customWidth="1"/>
  </cols>
  <sheetData>
    <row r="1" spans="1:22" ht="30" x14ac:dyDescent="0.3">
      <c r="A1" s="10" t="s">
        <v>48</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8" t="s">
        <v>32</v>
      </c>
      <c r="D3" s="110" t="s">
        <v>29</v>
      </c>
      <c r="E3" s="111"/>
      <c r="F3" s="111"/>
      <c r="G3" s="111"/>
      <c r="H3" s="111"/>
      <c r="I3" s="112"/>
      <c r="J3" s="110" t="s">
        <v>30</v>
      </c>
      <c r="K3" s="111"/>
      <c r="L3" s="111"/>
      <c r="M3" s="111"/>
      <c r="N3" s="111"/>
      <c r="O3" s="112"/>
      <c r="P3" s="110" t="s">
        <v>31</v>
      </c>
      <c r="Q3" s="111"/>
      <c r="R3" s="111"/>
      <c r="S3" s="111"/>
      <c r="T3" s="111"/>
      <c r="U3" s="112"/>
      <c r="V3" s="1"/>
    </row>
    <row r="4" spans="1:22" ht="17" customHeight="1" thickBot="1" x14ac:dyDescent="0.25">
      <c r="A4" s="1"/>
      <c r="B4" s="16"/>
      <c r="C4" s="109"/>
      <c r="D4" s="12" t="s">
        <v>33</v>
      </c>
      <c r="E4" s="13" t="s">
        <v>34</v>
      </c>
      <c r="F4" s="13" t="s">
        <v>35</v>
      </c>
      <c r="G4" s="13" t="s">
        <v>36</v>
      </c>
      <c r="H4" s="29" t="s">
        <v>37</v>
      </c>
      <c r="I4" s="29" t="s">
        <v>54</v>
      </c>
      <c r="J4" s="12" t="s">
        <v>33</v>
      </c>
      <c r="K4" s="13" t="s">
        <v>34</v>
      </c>
      <c r="L4" s="13" t="s">
        <v>35</v>
      </c>
      <c r="M4" s="13" t="s">
        <v>36</v>
      </c>
      <c r="N4" s="13" t="s">
        <v>37</v>
      </c>
      <c r="O4" s="29" t="s">
        <v>54</v>
      </c>
      <c r="P4" s="12" t="s">
        <v>33</v>
      </c>
      <c r="Q4" s="13" t="s">
        <v>34</v>
      </c>
      <c r="R4" s="13" t="s">
        <v>35</v>
      </c>
      <c r="S4" s="13" t="s">
        <v>36</v>
      </c>
      <c r="T4" s="13" t="s">
        <v>37</v>
      </c>
      <c r="U4" s="29" t="s">
        <v>54</v>
      </c>
      <c r="V4" s="1"/>
    </row>
    <row r="5" spans="1:22" x14ac:dyDescent="0.2">
      <c r="A5" s="3"/>
      <c r="B5" s="82">
        <v>2014</v>
      </c>
      <c r="C5" s="83">
        <v>20</v>
      </c>
      <c r="D5" s="83">
        <v>20</v>
      </c>
      <c r="E5" s="83">
        <v>5.3999999999999999E-2</v>
      </c>
      <c r="F5" s="83">
        <v>0.4</v>
      </c>
      <c r="G5" s="83">
        <v>0.1</v>
      </c>
      <c r="H5" s="83">
        <v>0.4</v>
      </c>
      <c r="I5" s="84">
        <v>0.3</v>
      </c>
      <c r="J5" s="83">
        <v>20</v>
      </c>
      <c r="K5" s="83">
        <v>5.3999999999999999E-2</v>
      </c>
      <c r="L5" s="83">
        <v>0.4</v>
      </c>
      <c r="M5" s="83">
        <v>0.1</v>
      </c>
      <c r="N5" s="83">
        <v>0.4</v>
      </c>
      <c r="O5" s="84">
        <v>0.3</v>
      </c>
      <c r="P5" s="83">
        <v>20</v>
      </c>
      <c r="Q5" s="83">
        <v>5.3999999999999999E-2</v>
      </c>
      <c r="R5" s="83">
        <v>0.4</v>
      </c>
      <c r="S5" s="83">
        <v>0.1</v>
      </c>
      <c r="T5" s="83">
        <v>0.4</v>
      </c>
      <c r="U5" s="85">
        <v>0.3</v>
      </c>
      <c r="V5" s="1"/>
    </row>
    <row r="6" spans="1:22" x14ac:dyDescent="0.2">
      <c r="A6" s="3"/>
      <c r="B6" s="86">
        <v>2016</v>
      </c>
      <c r="C6" s="87">
        <v>20</v>
      </c>
      <c r="D6" s="87">
        <v>20</v>
      </c>
      <c r="E6" s="87">
        <v>5.3999999999999999E-2</v>
      </c>
      <c r="F6" s="87">
        <v>0.4</v>
      </c>
      <c r="G6" s="87">
        <v>0.1</v>
      </c>
      <c r="H6" s="87">
        <v>0.4</v>
      </c>
      <c r="I6" s="88">
        <v>0.3</v>
      </c>
      <c r="J6" s="87">
        <v>20</v>
      </c>
      <c r="K6" s="87">
        <v>5.3999999999999999E-2</v>
      </c>
      <c r="L6" s="87">
        <v>0.4</v>
      </c>
      <c r="M6" s="87">
        <v>0.1</v>
      </c>
      <c r="N6" s="87">
        <v>0.4</v>
      </c>
      <c r="O6" s="89">
        <v>0.3</v>
      </c>
      <c r="P6" s="87">
        <v>20</v>
      </c>
      <c r="Q6" s="87">
        <v>5.3999999999999999E-2</v>
      </c>
      <c r="R6" s="87">
        <v>0.4</v>
      </c>
      <c r="S6" s="87">
        <v>0.1</v>
      </c>
      <c r="T6" s="87">
        <v>0.4</v>
      </c>
      <c r="U6" s="90">
        <v>0.3</v>
      </c>
      <c r="V6" s="1"/>
    </row>
    <row r="7" spans="1:22" x14ac:dyDescent="0.2">
      <c r="A7" s="3"/>
      <c r="B7" s="86">
        <v>2018</v>
      </c>
      <c r="C7" s="87">
        <v>20</v>
      </c>
      <c r="D7" s="87">
        <v>20</v>
      </c>
      <c r="E7" s="87">
        <v>5.3999999999999999E-2</v>
      </c>
      <c r="F7" s="87">
        <v>0.4</v>
      </c>
      <c r="G7" s="87">
        <v>0.1</v>
      </c>
      <c r="H7" s="87">
        <v>0.4</v>
      </c>
      <c r="I7" s="88">
        <v>0.3</v>
      </c>
      <c r="J7" s="87">
        <v>20</v>
      </c>
      <c r="K7" s="87">
        <v>5.3999999999999999E-2</v>
      </c>
      <c r="L7" s="87">
        <v>0.4</v>
      </c>
      <c r="M7" s="87">
        <v>0.1</v>
      </c>
      <c r="N7" s="87">
        <v>0.4</v>
      </c>
      <c r="O7" s="89">
        <v>0.3</v>
      </c>
      <c r="P7" s="87">
        <v>20</v>
      </c>
      <c r="Q7" s="87">
        <v>5.3999999999999999E-2</v>
      </c>
      <c r="R7" s="87">
        <v>0.4</v>
      </c>
      <c r="S7" s="87">
        <v>0.1</v>
      </c>
      <c r="T7" s="87">
        <v>0.4</v>
      </c>
      <c r="U7" s="90">
        <v>0.3</v>
      </c>
      <c r="V7" s="1"/>
    </row>
    <row r="8" spans="1:22" x14ac:dyDescent="0.2">
      <c r="A8" s="3"/>
      <c r="B8" s="86">
        <v>2020</v>
      </c>
      <c r="C8" s="87">
        <v>20</v>
      </c>
      <c r="D8" s="87">
        <v>20</v>
      </c>
      <c r="E8" s="87">
        <v>5.3999999999999999E-2</v>
      </c>
      <c r="F8" s="87">
        <v>0.4</v>
      </c>
      <c r="G8" s="87">
        <v>0.1</v>
      </c>
      <c r="H8" s="87">
        <v>0.4</v>
      </c>
      <c r="I8" s="88">
        <v>0.28000000000000003</v>
      </c>
      <c r="J8" s="87">
        <v>20</v>
      </c>
      <c r="K8" s="87">
        <v>5.3999999999999999E-2</v>
      </c>
      <c r="L8" s="87">
        <v>0.4</v>
      </c>
      <c r="M8" s="87">
        <v>0.1</v>
      </c>
      <c r="N8" s="87">
        <v>0.4</v>
      </c>
      <c r="O8" s="89">
        <v>0.28000000000000003</v>
      </c>
      <c r="P8" s="87">
        <v>20</v>
      </c>
      <c r="Q8" s="87">
        <v>5.3999999999999999E-2</v>
      </c>
      <c r="R8" s="87">
        <v>0.4</v>
      </c>
      <c r="S8" s="87">
        <v>0.1</v>
      </c>
      <c r="T8" s="87">
        <v>0.4</v>
      </c>
      <c r="U8" s="90">
        <v>0.28000000000000003</v>
      </c>
      <c r="V8" s="1"/>
    </row>
    <row r="9" spans="1:22" x14ac:dyDescent="0.2">
      <c r="A9" s="3"/>
      <c r="B9" s="86">
        <v>2022</v>
      </c>
      <c r="C9" s="87">
        <v>20</v>
      </c>
      <c r="D9" s="87">
        <v>20</v>
      </c>
      <c r="E9" s="87">
        <v>5.3999999999999999E-2</v>
      </c>
      <c r="F9" s="87">
        <v>0.4</v>
      </c>
      <c r="G9" s="87">
        <v>0.1</v>
      </c>
      <c r="H9" s="87">
        <v>0.4</v>
      </c>
      <c r="I9" s="88">
        <v>0.11</v>
      </c>
      <c r="J9" s="87">
        <v>20</v>
      </c>
      <c r="K9" s="87">
        <v>5.3999999999999999E-2</v>
      </c>
      <c r="L9" s="87">
        <v>0.4</v>
      </c>
      <c r="M9" s="87">
        <v>0.1</v>
      </c>
      <c r="N9" s="87">
        <v>0.4</v>
      </c>
      <c r="O9" s="89">
        <v>0.16</v>
      </c>
      <c r="P9" s="87">
        <v>20</v>
      </c>
      <c r="Q9" s="87">
        <v>5.3999999999999999E-2</v>
      </c>
      <c r="R9" s="87">
        <v>0.4</v>
      </c>
      <c r="S9" s="87">
        <v>0.1</v>
      </c>
      <c r="T9" s="87">
        <v>0.4</v>
      </c>
      <c r="U9" s="90">
        <v>0.16</v>
      </c>
      <c r="V9" s="1"/>
    </row>
    <row r="10" spans="1:22" x14ac:dyDescent="0.2">
      <c r="A10" s="3"/>
      <c r="B10" s="86">
        <v>2024</v>
      </c>
      <c r="C10" s="87">
        <v>20</v>
      </c>
      <c r="D10" s="87">
        <v>20</v>
      </c>
      <c r="E10" s="87">
        <v>5.3999999999999999E-2</v>
      </c>
      <c r="F10" s="87">
        <v>0.4</v>
      </c>
      <c r="G10" s="87">
        <v>0.1</v>
      </c>
      <c r="H10" s="87">
        <v>0.4</v>
      </c>
      <c r="I10" s="88">
        <v>0</v>
      </c>
      <c r="J10" s="87">
        <v>20</v>
      </c>
      <c r="K10" s="87">
        <v>5.3999999999999999E-2</v>
      </c>
      <c r="L10" s="87">
        <v>0.4</v>
      </c>
      <c r="M10" s="87">
        <v>0.1</v>
      </c>
      <c r="N10" s="87">
        <v>0.4</v>
      </c>
      <c r="O10" s="89">
        <v>0.1</v>
      </c>
      <c r="P10" s="87">
        <v>20</v>
      </c>
      <c r="Q10" s="87">
        <v>5.3999999999999999E-2</v>
      </c>
      <c r="R10" s="87">
        <v>0.4</v>
      </c>
      <c r="S10" s="87">
        <v>0.1</v>
      </c>
      <c r="T10" s="87">
        <v>0.4</v>
      </c>
      <c r="U10" s="90">
        <v>0.1</v>
      </c>
      <c r="V10" s="1"/>
    </row>
    <row r="11" spans="1:22" x14ac:dyDescent="0.2">
      <c r="A11" s="3"/>
      <c r="B11" s="86">
        <v>2026</v>
      </c>
      <c r="C11" s="87">
        <v>20</v>
      </c>
      <c r="D11" s="87">
        <v>20</v>
      </c>
      <c r="E11" s="87">
        <v>5.3999999999999999E-2</v>
      </c>
      <c r="F11" s="87">
        <v>0.4</v>
      </c>
      <c r="G11" s="87">
        <v>0.1</v>
      </c>
      <c r="H11" s="87">
        <v>0.4</v>
      </c>
      <c r="I11" s="88">
        <v>0</v>
      </c>
      <c r="J11" s="87">
        <v>20</v>
      </c>
      <c r="K11" s="87">
        <v>5.3999999999999999E-2</v>
      </c>
      <c r="L11" s="87">
        <v>0.4</v>
      </c>
      <c r="M11" s="87">
        <v>0.1</v>
      </c>
      <c r="N11" s="87">
        <v>0.4</v>
      </c>
      <c r="O11" s="89">
        <v>0.1</v>
      </c>
      <c r="P11" s="87">
        <v>20</v>
      </c>
      <c r="Q11" s="87">
        <v>5.3999999999999999E-2</v>
      </c>
      <c r="R11" s="87">
        <v>0.4</v>
      </c>
      <c r="S11" s="87">
        <v>0.1</v>
      </c>
      <c r="T11" s="87">
        <v>0.4</v>
      </c>
      <c r="U11" s="90">
        <v>0.1</v>
      </c>
      <c r="V11" s="1"/>
    </row>
    <row r="12" spans="1:22" x14ac:dyDescent="0.2">
      <c r="A12" s="3"/>
      <c r="B12" s="86">
        <v>2028</v>
      </c>
      <c r="C12" s="87">
        <v>20</v>
      </c>
      <c r="D12" s="87">
        <v>20</v>
      </c>
      <c r="E12" s="87">
        <v>5.3999999999999999E-2</v>
      </c>
      <c r="F12" s="87">
        <v>0.4</v>
      </c>
      <c r="G12" s="87">
        <v>0.1</v>
      </c>
      <c r="H12" s="87">
        <v>0.4</v>
      </c>
      <c r="I12" s="88">
        <v>0</v>
      </c>
      <c r="J12" s="87">
        <v>20</v>
      </c>
      <c r="K12" s="87">
        <v>5.3999999999999999E-2</v>
      </c>
      <c r="L12" s="87">
        <v>0.4</v>
      </c>
      <c r="M12" s="87">
        <v>0.1</v>
      </c>
      <c r="N12" s="87">
        <v>0.4</v>
      </c>
      <c r="O12" s="89">
        <v>0.1</v>
      </c>
      <c r="P12" s="87">
        <v>20</v>
      </c>
      <c r="Q12" s="87">
        <v>5.3999999999999999E-2</v>
      </c>
      <c r="R12" s="87">
        <v>0.4</v>
      </c>
      <c r="S12" s="87">
        <v>0.1</v>
      </c>
      <c r="T12" s="87">
        <v>0.4</v>
      </c>
      <c r="U12" s="90">
        <v>0.1</v>
      </c>
      <c r="V12" s="1"/>
    </row>
    <row r="13" spans="1:22" x14ac:dyDescent="0.2">
      <c r="A13" s="3"/>
      <c r="B13" s="86">
        <v>2030</v>
      </c>
      <c r="C13" s="87">
        <v>20</v>
      </c>
      <c r="D13" s="87">
        <v>20</v>
      </c>
      <c r="E13" s="87">
        <v>5.3999999999999999E-2</v>
      </c>
      <c r="F13" s="87">
        <v>0.4</v>
      </c>
      <c r="G13" s="87">
        <v>0.1</v>
      </c>
      <c r="H13" s="87">
        <v>0.4</v>
      </c>
      <c r="I13" s="88">
        <v>0</v>
      </c>
      <c r="J13" s="87">
        <v>20</v>
      </c>
      <c r="K13" s="87">
        <v>5.3999999999999999E-2</v>
      </c>
      <c r="L13" s="87">
        <v>0.4</v>
      </c>
      <c r="M13" s="87">
        <v>0.1</v>
      </c>
      <c r="N13" s="87">
        <v>0.4</v>
      </c>
      <c r="O13" s="89">
        <v>0.1</v>
      </c>
      <c r="P13" s="87">
        <v>20</v>
      </c>
      <c r="Q13" s="87">
        <v>5.3999999999999999E-2</v>
      </c>
      <c r="R13" s="87">
        <v>0.4</v>
      </c>
      <c r="S13" s="87">
        <v>0.1</v>
      </c>
      <c r="T13" s="87">
        <v>0.4</v>
      </c>
      <c r="U13" s="90">
        <v>0.1</v>
      </c>
      <c r="V13" s="1"/>
    </row>
    <row r="14" spans="1:22" x14ac:dyDescent="0.2">
      <c r="A14" s="3"/>
      <c r="B14" s="86">
        <v>2032</v>
      </c>
      <c r="C14" s="87">
        <v>20</v>
      </c>
      <c r="D14" s="87">
        <v>20</v>
      </c>
      <c r="E14" s="87">
        <v>5.3999999999999999E-2</v>
      </c>
      <c r="F14" s="87">
        <v>0.4</v>
      </c>
      <c r="G14" s="87">
        <v>0.1</v>
      </c>
      <c r="H14" s="87">
        <v>0.4</v>
      </c>
      <c r="I14" s="88">
        <v>0</v>
      </c>
      <c r="J14" s="87">
        <v>20</v>
      </c>
      <c r="K14" s="87">
        <v>5.3999999999999999E-2</v>
      </c>
      <c r="L14" s="87">
        <v>0.4</v>
      </c>
      <c r="M14" s="87">
        <v>0.1</v>
      </c>
      <c r="N14" s="87">
        <v>0.4</v>
      </c>
      <c r="O14" s="89">
        <v>0.1</v>
      </c>
      <c r="P14" s="87">
        <v>20</v>
      </c>
      <c r="Q14" s="87">
        <v>5.3999999999999999E-2</v>
      </c>
      <c r="R14" s="87">
        <v>0.4</v>
      </c>
      <c r="S14" s="87">
        <v>0.1</v>
      </c>
      <c r="T14" s="87">
        <v>0.4</v>
      </c>
      <c r="U14" s="90">
        <v>0.1</v>
      </c>
      <c r="V14" s="1"/>
    </row>
    <row r="15" spans="1:22" x14ac:dyDescent="0.2">
      <c r="A15" s="3"/>
      <c r="B15" s="86">
        <v>2034</v>
      </c>
      <c r="C15" s="87">
        <v>20</v>
      </c>
      <c r="D15" s="87">
        <v>20</v>
      </c>
      <c r="E15" s="87">
        <v>5.3999999999999999E-2</v>
      </c>
      <c r="F15" s="87">
        <v>0.4</v>
      </c>
      <c r="G15" s="87">
        <v>0.1</v>
      </c>
      <c r="H15" s="87">
        <v>0.4</v>
      </c>
      <c r="I15" s="88">
        <v>0</v>
      </c>
      <c r="J15" s="87">
        <v>20</v>
      </c>
      <c r="K15" s="87">
        <v>5.3999999999999999E-2</v>
      </c>
      <c r="L15" s="87">
        <v>0.4</v>
      </c>
      <c r="M15" s="87">
        <v>0.1</v>
      </c>
      <c r="N15" s="87">
        <v>0.4</v>
      </c>
      <c r="O15" s="89">
        <v>0.1</v>
      </c>
      <c r="P15" s="87">
        <v>20</v>
      </c>
      <c r="Q15" s="87">
        <v>5.3999999999999999E-2</v>
      </c>
      <c r="R15" s="87">
        <v>0.4</v>
      </c>
      <c r="S15" s="87">
        <v>0.1</v>
      </c>
      <c r="T15" s="87">
        <v>0.4</v>
      </c>
      <c r="U15" s="90">
        <v>0.1</v>
      </c>
      <c r="V15" s="1"/>
    </row>
    <row r="16" spans="1:22" x14ac:dyDescent="0.2">
      <c r="A16" s="3"/>
      <c r="B16" s="86">
        <v>2036</v>
      </c>
      <c r="C16" s="87">
        <v>20</v>
      </c>
      <c r="D16" s="87">
        <v>20</v>
      </c>
      <c r="E16" s="87">
        <v>5.3999999999999999E-2</v>
      </c>
      <c r="F16" s="87">
        <v>0.4</v>
      </c>
      <c r="G16" s="87">
        <v>0.1</v>
      </c>
      <c r="H16" s="87">
        <v>0.4</v>
      </c>
      <c r="I16" s="88">
        <v>0</v>
      </c>
      <c r="J16" s="87">
        <v>20</v>
      </c>
      <c r="K16" s="87">
        <v>5.3999999999999999E-2</v>
      </c>
      <c r="L16" s="87">
        <v>0.4</v>
      </c>
      <c r="M16" s="87">
        <v>0.1</v>
      </c>
      <c r="N16" s="87">
        <v>0.4</v>
      </c>
      <c r="O16" s="89">
        <v>0.1</v>
      </c>
      <c r="P16" s="87">
        <v>20</v>
      </c>
      <c r="Q16" s="87">
        <v>5.3999999999999999E-2</v>
      </c>
      <c r="R16" s="87">
        <v>0.4</v>
      </c>
      <c r="S16" s="87">
        <v>0.1</v>
      </c>
      <c r="T16" s="87">
        <v>0.4</v>
      </c>
      <c r="U16" s="90">
        <v>0.1</v>
      </c>
      <c r="V16" s="1"/>
    </row>
    <row r="17" spans="1:22" x14ac:dyDescent="0.2">
      <c r="A17" s="3"/>
      <c r="B17" s="86">
        <v>2038</v>
      </c>
      <c r="C17" s="87">
        <v>20</v>
      </c>
      <c r="D17" s="87">
        <v>20</v>
      </c>
      <c r="E17" s="87">
        <v>5.3999999999999999E-2</v>
      </c>
      <c r="F17" s="87">
        <v>0.4</v>
      </c>
      <c r="G17" s="87">
        <v>0.1</v>
      </c>
      <c r="H17" s="87">
        <v>0.4</v>
      </c>
      <c r="I17" s="88">
        <v>0</v>
      </c>
      <c r="J17" s="87">
        <v>20</v>
      </c>
      <c r="K17" s="87">
        <v>5.3999999999999999E-2</v>
      </c>
      <c r="L17" s="87">
        <v>0.4</v>
      </c>
      <c r="M17" s="87">
        <v>0.1</v>
      </c>
      <c r="N17" s="87">
        <v>0.4</v>
      </c>
      <c r="O17" s="89">
        <v>0.1</v>
      </c>
      <c r="P17" s="87">
        <v>20</v>
      </c>
      <c r="Q17" s="87">
        <v>5.3999999999999999E-2</v>
      </c>
      <c r="R17" s="87">
        <v>0.4</v>
      </c>
      <c r="S17" s="87">
        <v>0.1</v>
      </c>
      <c r="T17" s="87">
        <v>0.4</v>
      </c>
      <c r="U17" s="90">
        <v>0.1</v>
      </c>
      <c r="V17" s="1"/>
    </row>
    <row r="18" spans="1:22" x14ac:dyDescent="0.2">
      <c r="A18" s="3"/>
      <c r="B18" s="86">
        <v>2040</v>
      </c>
      <c r="C18" s="87">
        <v>20</v>
      </c>
      <c r="D18" s="87">
        <v>20</v>
      </c>
      <c r="E18" s="87">
        <v>5.3999999999999999E-2</v>
      </c>
      <c r="F18" s="87">
        <v>0.4</v>
      </c>
      <c r="G18" s="87">
        <v>0.1</v>
      </c>
      <c r="H18" s="87">
        <v>0.4</v>
      </c>
      <c r="I18" s="88">
        <v>0</v>
      </c>
      <c r="J18" s="87">
        <v>20</v>
      </c>
      <c r="K18" s="87">
        <v>5.3999999999999999E-2</v>
      </c>
      <c r="L18" s="87">
        <v>0.4</v>
      </c>
      <c r="M18" s="87">
        <v>0.1</v>
      </c>
      <c r="N18" s="87">
        <v>0.4</v>
      </c>
      <c r="O18" s="89">
        <v>0.1</v>
      </c>
      <c r="P18" s="87">
        <v>20</v>
      </c>
      <c r="Q18" s="87">
        <v>5.3999999999999999E-2</v>
      </c>
      <c r="R18" s="87">
        <v>0.4</v>
      </c>
      <c r="S18" s="87">
        <v>0.1</v>
      </c>
      <c r="T18" s="87">
        <v>0.4</v>
      </c>
      <c r="U18" s="90">
        <v>0.1</v>
      </c>
      <c r="V18" s="1"/>
    </row>
    <row r="19" spans="1:22" x14ac:dyDescent="0.2">
      <c r="A19" s="3"/>
      <c r="B19" s="86">
        <v>2042</v>
      </c>
      <c r="C19" s="87">
        <v>20</v>
      </c>
      <c r="D19" s="87">
        <v>66</v>
      </c>
      <c r="E19" s="87">
        <v>5.3999999999999999E-2</v>
      </c>
      <c r="F19" s="87">
        <v>0.4</v>
      </c>
      <c r="G19" s="87">
        <v>0.1</v>
      </c>
      <c r="H19" s="87">
        <v>0.4</v>
      </c>
      <c r="I19" s="88">
        <v>0</v>
      </c>
      <c r="J19" s="87">
        <v>20</v>
      </c>
      <c r="K19" s="87">
        <v>5.3999999999999999E-2</v>
      </c>
      <c r="L19" s="87">
        <v>0.4</v>
      </c>
      <c r="M19" s="87">
        <v>0.1</v>
      </c>
      <c r="N19" s="87">
        <v>0.4</v>
      </c>
      <c r="O19" s="89">
        <v>0.1</v>
      </c>
      <c r="P19" s="87">
        <v>20</v>
      </c>
      <c r="Q19" s="87">
        <v>5.3999999999999999E-2</v>
      </c>
      <c r="R19" s="87">
        <v>0.4</v>
      </c>
      <c r="S19" s="87">
        <v>0.1</v>
      </c>
      <c r="T19" s="87">
        <v>0.4</v>
      </c>
      <c r="U19" s="90">
        <v>0.1</v>
      </c>
      <c r="V19" s="1"/>
    </row>
    <row r="20" spans="1:22" x14ac:dyDescent="0.2">
      <c r="A20" s="3"/>
      <c r="B20" s="86">
        <v>2044</v>
      </c>
      <c r="C20" s="87">
        <v>20</v>
      </c>
      <c r="D20" s="87">
        <v>20</v>
      </c>
      <c r="E20" s="87">
        <v>5.3999999999999999E-2</v>
      </c>
      <c r="F20" s="87">
        <v>0.4</v>
      </c>
      <c r="G20" s="87">
        <v>0.1</v>
      </c>
      <c r="H20" s="87">
        <v>0.4</v>
      </c>
      <c r="I20" s="88">
        <v>0</v>
      </c>
      <c r="J20" s="87">
        <v>20</v>
      </c>
      <c r="K20" s="87">
        <v>5.3999999999999999E-2</v>
      </c>
      <c r="L20" s="87">
        <v>0.4</v>
      </c>
      <c r="M20" s="87">
        <v>0.1</v>
      </c>
      <c r="N20" s="87">
        <v>0.4</v>
      </c>
      <c r="O20" s="89">
        <v>0.1</v>
      </c>
      <c r="P20" s="87">
        <v>20</v>
      </c>
      <c r="Q20" s="87">
        <v>5.3999999999999999E-2</v>
      </c>
      <c r="R20" s="87">
        <v>0.4</v>
      </c>
      <c r="S20" s="87">
        <v>0.1</v>
      </c>
      <c r="T20" s="87">
        <v>0.4</v>
      </c>
      <c r="U20" s="90">
        <v>0.1</v>
      </c>
      <c r="V20" s="1"/>
    </row>
    <row r="21" spans="1:22" x14ac:dyDescent="0.2">
      <c r="A21" s="3"/>
      <c r="B21" s="86">
        <v>2046</v>
      </c>
      <c r="C21" s="87">
        <v>20</v>
      </c>
      <c r="D21" s="87">
        <v>20</v>
      </c>
      <c r="E21" s="87">
        <v>5.3999999999999999E-2</v>
      </c>
      <c r="F21" s="87">
        <v>0.4</v>
      </c>
      <c r="G21" s="87">
        <v>0.1</v>
      </c>
      <c r="H21" s="87">
        <v>0.4</v>
      </c>
      <c r="I21" s="88">
        <v>0</v>
      </c>
      <c r="J21" s="87">
        <v>20</v>
      </c>
      <c r="K21" s="87">
        <v>5.3999999999999999E-2</v>
      </c>
      <c r="L21" s="87">
        <v>0.4</v>
      </c>
      <c r="M21" s="87">
        <v>0.1</v>
      </c>
      <c r="N21" s="87">
        <v>0.4</v>
      </c>
      <c r="O21" s="89">
        <v>0.1</v>
      </c>
      <c r="P21" s="87">
        <v>20</v>
      </c>
      <c r="Q21" s="87">
        <v>5.3999999999999999E-2</v>
      </c>
      <c r="R21" s="87">
        <v>0.4</v>
      </c>
      <c r="S21" s="87">
        <v>0.1</v>
      </c>
      <c r="T21" s="87">
        <v>0.4</v>
      </c>
      <c r="U21" s="90">
        <v>0.1</v>
      </c>
      <c r="V21" s="1"/>
    </row>
    <row r="22" spans="1:22" x14ac:dyDescent="0.2">
      <c r="A22" s="3"/>
      <c r="B22" s="86">
        <v>2048</v>
      </c>
      <c r="C22" s="87">
        <v>20</v>
      </c>
      <c r="D22" s="87">
        <v>20</v>
      </c>
      <c r="E22" s="87">
        <v>5.3999999999999999E-2</v>
      </c>
      <c r="F22" s="87">
        <v>0.4</v>
      </c>
      <c r="G22" s="87">
        <v>0.1</v>
      </c>
      <c r="H22" s="87">
        <v>0.4</v>
      </c>
      <c r="I22" s="88">
        <v>0</v>
      </c>
      <c r="J22" s="87">
        <v>20</v>
      </c>
      <c r="K22" s="87">
        <v>5.3999999999999999E-2</v>
      </c>
      <c r="L22" s="87">
        <v>0.4</v>
      </c>
      <c r="M22" s="87">
        <v>0.1</v>
      </c>
      <c r="N22" s="87">
        <v>0.4</v>
      </c>
      <c r="O22" s="89">
        <v>0.1</v>
      </c>
      <c r="P22" s="87">
        <v>20</v>
      </c>
      <c r="Q22" s="87">
        <v>5.3999999999999999E-2</v>
      </c>
      <c r="R22" s="87">
        <v>0.4</v>
      </c>
      <c r="S22" s="87">
        <v>0.1</v>
      </c>
      <c r="T22" s="87">
        <v>0.4</v>
      </c>
      <c r="U22" s="90">
        <v>0.1</v>
      </c>
      <c r="V22" s="1"/>
    </row>
    <row r="23" spans="1:22" ht="17" thickBot="1" x14ac:dyDescent="0.25">
      <c r="A23" s="3"/>
      <c r="B23" s="91">
        <v>2050</v>
      </c>
      <c r="C23" s="92">
        <v>20</v>
      </c>
      <c r="D23" s="92">
        <v>20</v>
      </c>
      <c r="E23" s="92">
        <v>5.3999999999999999E-2</v>
      </c>
      <c r="F23" s="92">
        <v>0.4</v>
      </c>
      <c r="G23" s="92">
        <v>0.1</v>
      </c>
      <c r="H23" s="92">
        <v>0.4</v>
      </c>
      <c r="I23" s="93">
        <v>0</v>
      </c>
      <c r="J23" s="92">
        <v>20</v>
      </c>
      <c r="K23" s="92">
        <v>5.3999999999999999E-2</v>
      </c>
      <c r="L23" s="92">
        <v>0.4</v>
      </c>
      <c r="M23" s="92">
        <v>0.1</v>
      </c>
      <c r="N23" s="92">
        <v>0.4</v>
      </c>
      <c r="O23" s="93">
        <v>0.1</v>
      </c>
      <c r="P23" s="92">
        <v>20</v>
      </c>
      <c r="Q23" s="92">
        <v>5.3999999999999999E-2</v>
      </c>
      <c r="R23" s="92">
        <v>0.4</v>
      </c>
      <c r="S23" s="92">
        <v>0.1</v>
      </c>
      <c r="T23" s="92">
        <v>0.4</v>
      </c>
      <c r="U23" s="94">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49</v>
      </c>
      <c r="C25" s="3"/>
      <c r="D25" s="3"/>
      <c r="E25" s="3"/>
      <c r="F25" s="3"/>
      <c r="G25" s="3"/>
      <c r="H25" s="3"/>
      <c r="I25" s="3"/>
      <c r="J25" s="3"/>
      <c r="K25" s="3"/>
      <c r="L25" s="3"/>
      <c r="M25" s="3"/>
      <c r="N25" s="3"/>
      <c r="O25" s="3"/>
      <c r="P25" s="3"/>
      <c r="Q25" s="3"/>
      <c r="R25" s="3"/>
      <c r="S25" s="3"/>
      <c r="T25" s="3"/>
      <c r="U25" s="3"/>
      <c r="V25" s="3"/>
    </row>
    <row r="26" spans="1:22" ht="19" customHeight="1" x14ac:dyDescent="0.3">
      <c r="A26" s="10"/>
      <c r="C26" s="3"/>
      <c r="D26" s="3"/>
      <c r="E26" s="3"/>
      <c r="F26" s="3"/>
      <c r="G26" s="3"/>
      <c r="H26" s="3"/>
      <c r="I26" s="3"/>
      <c r="J26" s="3"/>
      <c r="K26" s="3"/>
      <c r="L26" s="3"/>
      <c r="M26" s="3"/>
      <c r="N26" s="3"/>
      <c r="O26" s="3"/>
      <c r="P26" s="3"/>
      <c r="Q26" s="3"/>
      <c r="R26" s="3"/>
      <c r="S26" s="3"/>
      <c r="T26" s="3"/>
      <c r="U26" s="3"/>
      <c r="V26" s="3"/>
    </row>
    <row r="27" spans="1:22" ht="17" thickBot="1" x14ac:dyDescent="0.25">
      <c r="A27" s="1"/>
      <c r="B27" s="14" t="s">
        <v>28</v>
      </c>
      <c r="C27" s="14" t="s">
        <v>38</v>
      </c>
      <c r="D27" s="14" t="s">
        <v>39</v>
      </c>
      <c r="E27" s="14" t="s">
        <v>40</v>
      </c>
      <c r="F27" s="14" t="s">
        <v>41</v>
      </c>
      <c r="G27" s="14" t="s">
        <v>42</v>
      </c>
      <c r="H27" s="14" t="s">
        <v>43</v>
      </c>
      <c r="I27" s="14" t="s">
        <v>44</v>
      </c>
      <c r="J27" s="3"/>
      <c r="K27" s="3"/>
      <c r="L27" s="3"/>
      <c r="M27" s="3"/>
      <c r="N27" s="3"/>
      <c r="O27" s="3"/>
      <c r="P27" s="3"/>
      <c r="Q27" s="3"/>
      <c r="R27" s="3"/>
      <c r="S27" s="3"/>
      <c r="T27" s="3"/>
      <c r="U27" s="3"/>
      <c r="V27" s="3"/>
    </row>
    <row r="28" spans="1:22" x14ac:dyDescent="0.2">
      <c r="A28" s="1"/>
      <c r="B28" s="43">
        <v>2014</v>
      </c>
      <c r="C28" s="44" t="s">
        <v>45</v>
      </c>
      <c r="D28" s="44">
        <v>0.6</v>
      </c>
      <c r="E28" s="44">
        <v>0.16</v>
      </c>
      <c r="F28" s="44">
        <v>9.6000000000000002E-2</v>
      </c>
      <c r="G28" s="44">
        <v>5.7599999999999998E-2</v>
      </c>
      <c r="H28" s="44">
        <v>5.7599999999999998E-2</v>
      </c>
      <c r="I28" s="45">
        <v>0.03</v>
      </c>
      <c r="J28" s="3"/>
      <c r="K28" s="3"/>
      <c r="L28" s="3"/>
      <c r="M28" s="3"/>
      <c r="N28" s="3"/>
      <c r="O28" s="3"/>
      <c r="P28" s="3"/>
      <c r="Q28" s="3"/>
      <c r="R28" s="3"/>
      <c r="S28" s="3"/>
      <c r="T28" s="3"/>
      <c r="U28" s="3"/>
      <c r="V28" s="3"/>
    </row>
    <row r="29" spans="1:22" x14ac:dyDescent="0.2">
      <c r="A29" s="1"/>
      <c r="B29" s="46">
        <v>2015</v>
      </c>
      <c r="C29" s="15" t="s">
        <v>45</v>
      </c>
      <c r="D29" s="15">
        <v>0.6</v>
      </c>
      <c r="E29" s="15">
        <v>0.16</v>
      </c>
      <c r="F29" s="15">
        <v>9.6000000000000002E-2</v>
      </c>
      <c r="G29" s="15">
        <v>5.7599999999999998E-2</v>
      </c>
      <c r="H29" s="15">
        <v>5.7599999999999998E-2</v>
      </c>
      <c r="I29" s="47">
        <v>0.03</v>
      </c>
      <c r="J29" s="3"/>
      <c r="K29" s="3"/>
      <c r="L29" s="3"/>
      <c r="M29" s="3"/>
      <c r="N29" s="3"/>
      <c r="O29" s="3"/>
      <c r="P29" s="3"/>
      <c r="Q29" s="3"/>
      <c r="R29" s="3"/>
      <c r="S29" s="3"/>
      <c r="T29" s="3"/>
      <c r="U29" s="3"/>
      <c r="V29" s="3"/>
    </row>
    <row r="30" spans="1:22" x14ac:dyDescent="0.2">
      <c r="A30" s="1"/>
      <c r="B30" s="46">
        <v>2016</v>
      </c>
      <c r="C30" s="15" t="s">
        <v>45</v>
      </c>
      <c r="D30" s="15">
        <v>0.6</v>
      </c>
      <c r="E30" s="15">
        <v>0.16</v>
      </c>
      <c r="F30" s="15">
        <v>9.6000000000000002E-2</v>
      </c>
      <c r="G30" s="15">
        <v>5.7599999999999998E-2</v>
      </c>
      <c r="H30" s="15">
        <v>5.7599999999999998E-2</v>
      </c>
      <c r="I30" s="47">
        <v>0.03</v>
      </c>
      <c r="J30" s="3"/>
      <c r="K30" s="3"/>
      <c r="L30" s="3"/>
      <c r="M30" s="3"/>
      <c r="N30" s="3"/>
      <c r="O30" s="3"/>
      <c r="P30" s="3"/>
      <c r="Q30" s="3"/>
      <c r="R30" s="3"/>
      <c r="S30" s="3"/>
      <c r="T30" s="3"/>
      <c r="U30" s="3"/>
      <c r="V30" s="3"/>
    </row>
    <row r="31" spans="1:22" x14ac:dyDescent="0.2">
      <c r="A31" s="1"/>
      <c r="B31" s="46">
        <v>2017</v>
      </c>
      <c r="C31" s="15" t="s">
        <v>45</v>
      </c>
      <c r="D31" s="15">
        <v>0.6</v>
      </c>
      <c r="E31" s="15">
        <v>0.16</v>
      </c>
      <c r="F31" s="15">
        <v>9.6000000000000002E-2</v>
      </c>
      <c r="G31" s="15">
        <v>5.7599999999999998E-2</v>
      </c>
      <c r="H31" s="15">
        <v>5.7599999999999998E-2</v>
      </c>
      <c r="I31" s="47">
        <v>0.03</v>
      </c>
      <c r="J31" s="3"/>
      <c r="K31" s="3"/>
      <c r="L31" s="3"/>
      <c r="M31" s="3"/>
      <c r="N31" s="3"/>
      <c r="O31" s="3"/>
      <c r="P31" s="3"/>
      <c r="Q31" s="3"/>
      <c r="R31" s="3"/>
      <c r="S31" s="3"/>
      <c r="T31" s="3"/>
      <c r="U31" s="3"/>
      <c r="V31" s="3"/>
    </row>
    <row r="32" spans="1:22" x14ac:dyDescent="0.2">
      <c r="A32" s="1"/>
      <c r="B32" s="46">
        <v>2018</v>
      </c>
      <c r="C32" s="15" t="s">
        <v>45</v>
      </c>
      <c r="D32" s="15">
        <v>0.52</v>
      </c>
      <c r="E32" s="15">
        <v>0.192</v>
      </c>
      <c r="F32" s="15">
        <v>0.1152</v>
      </c>
      <c r="G32" s="15">
        <v>6.9120000000000001E-2</v>
      </c>
      <c r="H32" s="15">
        <v>6.9120000000000001E-2</v>
      </c>
      <c r="I32" s="47">
        <v>3.456E-2</v>
      </c>
      <c r="J32" s="3"/>
      <c r="K32" s="3"/>
      <c r="L32" s="3"/>
      <c r="M32" s="3"/>
      <c r="N32" s="3"/>
      <c r="O32" s="3"/>
      <c r="P32" s="3"/>
      <c r="Q32" s="3"/>
      <c r="R32" s="3"/>
      <c r="S32" s="3"/>
      <c r="T32" s="3"/>
      <c r="U32" s="3"/>
      <c r="V32" s="3"/>
    </row>
    <row r="33" spans="1:22" x14ac:dyDescent="0.2">
      <c r="A33" s="1"/>
      <c r="B33" s="46">
        <v>2019</v>
      </c>
      <c r="C33" s="15" t="s">
        <v>45</v>
      </c>
      <c r="D33" s="15">
        <v>0.44</v>
      </c>
      <c r="E33" s="15">
        <v>0.224</v>
      </c>
      <c r="F33" s="15">
        <v>0.13439999999999999</v>
      </c>
      <c r="G33" s="15">
        <v>8.0640000000000003E-2</v>
      </c>
      <c r="H33" s="15">
        <v>8.0640000000000003E-2</v>
      </c>
      <c r="I33" s="47">
        <v>4.0320000000000002E-2</v>
      </c>
      <c r="J33" s="3"/>
      <c r="K33" s="3"/>
      <c r="L33" s="3"/>
      <c r="M33" s="3"/>
      <c r="N33" s="3"/>
      <c r="O33" s="3"/>
      <c r="P33" s="3"/>
      <c r="Q33" s="3"/>
      <c r="R33" s="3"/>
      <c r="S33" s="3"/>
      <c r="T33" s="3"/>
      <c r="U33" s="3"/>
      <c r="V33" s="3"/>
    </row>
    <row r="34" spans="1:22" x14ac:dyDescent="0.2">
      <c r="A34" s="1"/>
      <c r="B34" s="46">
        <v>2020</v>
      </c>
      <c r="C34" s="15" t="s">
        <v>45</v>
      </c>
      <c r="D34" s="15">
        <v>0.2</v>
      </c>
      <c r="E34" s="15">
        <v>0.32</v>
      </c>
      <c r="F34" s="15">
        <v>0.192</v>
      </c>
      <c r="G34" s="15">
        <v>0.1152</v>
      </c>
      <c r="H34" s="15">
        <v>0.1152</v>
      </c>
      <c r="I34" s="47">
        <v>5.7599999999999998E-2</v>
      </c>
      <c r="J34" s="3"/>
      <c r="K34" s="3"/>
      <c r="L34" s="3"/>
      <c r="M34" s="3"/>
      <c r="N34" s="3"/>
      <c r="O34" s="3"/>
      <c r="P34" s="3"/>
      <c r="Q34" s="3"/>
      <c r="R34" s="3"/>
      <c r="S34" s="3"/>
      <c r="T34" s="3"/>
      <c r="U34" s="3"/>
      <c r="V34" s="3"/>
    </row>
    <row r="35" spans="1:22" x14ac:dyDescent="0.2">
      <c r="A35" s="1"/>
      <c r="B35" s="46">
        <v>2014</v>
      </c>
      <c r="C35" s="15" t="s">
        <v>46</v>
      </c>
      <c r="D35" s="15">
        <v>0.6</v>
      </c>
      <c r="E35" s="15">
        <v>0.16</v>
      </c>
      <c r="F35" s="15">
        <v>9.6000000000000002E-2</v>
      </c>
      <c r="G35" s="15">
        <v>5.7599999999999998E-2</v>
      </c>
      <c r="H35" s="15">
        <v>5.7599999999999998E-2</v>
      </c>
      <c r="I35" s="47">
        <v>0.03</v>
      </c>
      <c r="J35" s="3"/>
      <c r="K35" s="3"/>
      <c r="L35" s="3"/>
      <c r="M35" s="3"/>
      <c r="N35" s="3"/>
      <c r="O35" s="3"/>
      <c r="P35" s="3"/>
      <c r="Q35" s="3"/>
      <c r="R35" s="3"/>
      <c r="S35" s="3"/>
      <c r="T35" s="3"/>
      <c r="U35" s="3"/>
      <c r="V35" s="3"/>
    </row>
    <row r="36" spans="1:22" x14ac:dyDescent="0.2">
      <c r="A36" s="1"/>
      <c r="B36" s="46">
        <v>2015</v>
      </c>
      <c r="C36" s="15" t="s">
        <v>46</v>
      </c>
      <c r="D36" s="15">
        <v>0.6</v>
      </c>
      <c r="E36" s="15">
        <v>0.16</v>
      </c>
      <c r="F36" s="15">
        <v>9.6000000000000002E-2</v>
      </c>
      <c r="G36" s="15">
        <v>5.7599999999999998E-2</v>
      </c>
      <c r="H36" s="15">
        <v>5.7599999999999998E-2</v>
      </c>
      <c r="I36" s="47">
        <v>0.03</v>
      </c>
      <c r="J36" s="3"/>
      <c r="K36" s="3"/>
      <c r="L36" s="3"/>
      <c r="M36" s="3"/>
      <c r="N36" s="3"/>
      <c r="O36" s="3"/>
      <c r="P36" s="3"/>
      <c r="Q36" s="3"/>
      <c r="R36" s="3"/>
      <c r="S36" s="3"/>
      <c r="T36" s="3"/>
      <c r="U36" s="3"/>
      <c r="V36" s="3"/>
    </row>
    <row r="37" spans="1:22" x14ac:dyDescent="0.2">
      <c r="A37" s="1"/>
      <c r="B37" s="46">
        <v>2016</v>
      </c>
      <c r="C37" s="15" t="s">
        <v>46</v>
      </c>
      <c r="D37" s="15">
        <v>0.6</v>
      </c>
      <c r="E37" s="15">
        <v>0.16</v>
      </c>
      <c r="F37" s="15">
        <v>9.6000000000000002E-2</v>
      </c>
      <c r="G37" s="15">
        <v>5.7599999999999998E-2</v>
      </c>
      <c r="H37" s="15">
        <v>5.7599999999999998E-2</v>
      </c>
      <c r="I37" s="47">
        <v>0.03</v>
      </c>
      <c r="J37" s="3"/>
      <c r="K37" s="3"/>
      <c r="L37" s="3"/>
      <c r="M37" s="3"/>
      <c r="N37" s="3"/>
      <c r="O37" s="3"/>
      <c r="P37" s="3"/>
      <c r="Q37" s="3"/>
      <c r="R37" s="3"/>
      <c r="S37" s="3"/>
      <c r="T37" s="3"/>
      <c r="U37" s="3"/>
      <c r="V37" s="3"/>
    </row>
    <row r="38" spans="1:22" x14ac:dyDescent="0.2">
      <c r="A38" s="1"/>
      <c r="B38" s="46">
        <v>2017</v>
      </c>
      <c r="C38" s="15" t="s">
        <v>46</v>
      </c>
      <c r="D38" s="15">
        <v>0.6</v>
      </c>
      <c r="E38" s="15">
        <v>0.16</v>
      </c>
      <c r="F38" s="15">
        <v>9.6000000000000002E-2</v>
      </c>
      <c r="G38" s="15">
        <v>5.7599999999999998E-2</v>
      </c>
      <c r="H38" s="15">
        <v>5.7599999999999998E-2</v>
      </c>
      <c r="I38" s="47">
        <v>0.03</v>
      </c>
      <c r="J38" s="3"/>
      <c r="K38" s="3"/>
      <c r="L38" s="3"/>
      <c r="M38" s="3"/>
      <c r="N38" s="3"/>
      <c r="O38" s="3"/>
      <c r="P38" s="3"/>
      <c r="Q38" s="3"/>
      <c r="R38" s="3"/>
      <c r="S38" s="3"/>
      <c r="T38" s="3"/>
      <c r="U38" s="3"/>
      <c r="V38" s="3"/>
    </row>
    <row r="39" spans="1:22" x14ac:dyDescent="0.2">
      <c r="A39" s="1"/>
      <c r="B39" s="46">
        <v>2018</v>
      </c>
      <c r="C39" s="15" t="s">
        <v>46</v>
      </c>
      <c r="D39" s="15">
        <v>0.52</v>
      </c>
      <c r="E39" s="15">
        <v>0.192</v>
      </c>
      <c r="F39" s="15">
        <v>0.1152</v>
      </c>
      <c r="G39" s="15">
        <v>6.9120000000000001E-2</v>
      </c>
      <c r="H39" s="15">
        <v>6.9120000000000001E-2</v>
      </c>
      <c r="I39" s="47">
        <v>3.456E-2</v>
      </c>
      <c r="J39" s="3"/>
      <c r="K39" s="3"/>
      <c r="L39" s="3"/>
      <c r="M39" s="3"/>
      <c r="N39" s="3"/>
      <c r="O39" s="3"/>
      <c r="P39" s="3"/>
      <c r="Q39" s="3"/>
      <c r="R39" s="3"/>
      <c r="S39" s="3"/>
      <c r="T39" s="3"/>
      <c r="U39" s="3"/>
      <c r="V39" s="3"/>
    </row>
    <row r="40" spans="1:22" x14ac:dyDescent="0.2">
      <c r="A40" s="1"/>
      <c r="B40" s="46">
        <v>2019</v>
      </c>
      <c r="C40" s="15" t="s">
        <v>46</v>
      </c>
      <c r="D40" s="15">
        <v>0.44</v>
      </c>
      <c r="E40" s="15">
        <v>0.224</v>
      </c>
      <c r="F40" s="15">
        <v>0.13439999999999999</v>
      </c>
      <c r="G40" s="15">
        <v>8.0640000000000003E-2</v>
      </c>
      <c r="H40" s="15">
        <v>8.0640000000000003E-2</v>
      </c>
      <c r="I40" s="47">
        <v>4.0320000000000002E-2</v>
      </c>
      <c r="J40" s="3"/>
      <c r="K40" s="3"/>
      <c r="L40" s="3"/>
      <c r="M40" s="3"/>
      <c r="N40" s="3"/>
      <c r="O40" s="3"/>
      <c r="P40" s="3"/>
      <c r="Q40" s="3"/>
      <c r="R40" s="3"/>
      <c r="S40" s="3"/>
      <c r="T40" s="3"/>
      <c r="U40" s="3"/>
      <c r="V40" s="3"/>
    </row>
    <row r="41" spans="1:22" x14ac:dyDescent="0.2">
      <c r="A41" s="1"/>
      <c r="B41" s="46">
        <v>2020</v>
      </c>
      <c r="C41" s="15" t="s">
        <v>46</v>
      </c>
      <c r="D41" s="15">
        <v>0.2</v>
      </c>
      <c r="E41" s="15">
        <v>0.32</v>
      </c>
      <c r="F41" s="15">
        <v>0.192</v>
      </c>
      <c r="G41" s="15">
        <v>0.1152</v>
      </c>
      <c r="H41" s="15">
        <v>0.1152</v>
      </c>
      <c r="I41" s="47">
        <v>5.7599999999999998E-2</v>
      </c>
      <c r="J41" s="3"/>
      <c r="K41" s="3"/>
      <c r="L41" s="3"/>
      <c r="M41" s="3"/>
      <c r="N41" s="3"/>
      <c r="O41" s="3"/>
      <c r="P41" s="3"/>
      <c r="Q41" s="3"/>
      <c r="R41" s="3"/>
      <c r="S41" s="3"/>
      <c r="T41" s="3"/>
      <c r="U41" s="3"/>
      <c r="V41" s="3"/>
    </row>
    <row r="42" spans="1:22" x14ac:dyDescent="0.2">
      <c r="A42" s="1"/>
      <c r="B42" s="46">
        <v>2014</v>
      </c>
      <c r="C42" s="15" t="s">
        <v>47</v>
      </c>
      <c r="D42" s="15">
        <v>0</v>
      </c>
      <c r="E42" s="15">
        <v>0</v>
      </c>
      <c r="F42" s="15">
        <v>0</v>
      </c>
      <c r="G42" s="15">
        <v>0</v>
      </c>
      <c r="H42" s="15">
        <v>0</v>
      </c>
      <c r="I42" s="47">
        <v>0</v>
      </c>
      <c r="J42" s="3"/>
      <c r="K42" s="3"/>
      <c r="L42" s="3"/>
      <c r="M42" s="3"/>
      <c r="N42" s="3"/>
      <c r="O42" s="3"/>
      <c r="P42" s="3"/>
      <c r="Q42" s="3"/>
      <c r="R42" s="3"/>
      <c r="S42" s="3"/>
      <c r="T42" s="3"/>
      <c r="U42" s="3"/>
      <c r="V42" s="3"/>
    </row>
    <row r="43" spans="1:22" x14ac:dyDescent="0.2">
      <c r="A43" s="1"/>
      <c r="B43" s="46">
        <v>2015</v>
      </c>
      <c r="C43" s="15" t="s">
        <v>47</v>
      </c>
      <c r="D43" s="15">
        <v>0</v>
      </c>
      <c r="E43" s="15">
        <v>0</v>
      </c>
      <c r="F43" s="15">
        <v>0</v>
      </c>
      <c r="G43" s="15">
        <v>0</v>
      </c>
      <c r="H43" s="15">
        <v>0</v>
      </c>
      <c r="I43" s="47">
        <v>0</v>
      </c>
      <c r="J43" s="3"/>
      <c r="K43" s="3"/>
      <c r="L43" s="3"/>
      <c r="M43" s="3"/>
      <c r="N43" s="3"/>
      <c r="O43" s="3"/>
      <c r="P43" s="3"/>
      <c r="Q43" s="3"/>
      <c r="R43" s="3"/>
      <c r="S43" s="3"/>
      <c r="T43" s="3"/>
      <c r="U43" s="3"/>
      <c r="V43" s="3"/>
    </row>
    <row r="44" spans="1:22" x14ac:dyDescent="0.2">
      <c r="A44" s="1"/>
      <c r="B44" s="46">
        <v>2016</v>
      </c>
      <c r="C44" s="15" t="s">
        <v>47</v>
      </c>
      <c r="D44" s="15">
        <v>0</v>
      </c>
      <c r="E44" s="15">
        <v>0</v>
      </c>
      <c r="F44" s="15">
        <v>0</v>
      </c>
      <c r="G44" s="15">
        <v>0</v>
      </c>
      <c r="H44" s="15">
        <v>0</v>
      </c>
      <c r="I44" s="47">
        <v>0</v>
      </c>
      <c r="J44" s="3"/>
      <c r="K44" s="3"/>
      <c r="L44" s="3"/>
      <c r="M44" s="3"/>
      <c r="N44" s="3"/>
      <c r="O44" s="3"/>
      <c r="P44" s="3"/>
      <c r="Q44" s="3"/>
      <c r="R44" s="3"/>
      <c r="S44" s="3"/>
      <c r="T44" s="3"/>
      <c r="U44" s="3"/>
      <c r="V44" s="3"/>
    </row>
    <row r="45" spans="1:22" x14ac:dyDescent="0.2">
      <c r="A45" s="1"/>
      <c r="B45" s="46">
        <v>2017</v>
      </c>
      <c r="C45" s="15" t="s">
        <v>47</v>
      </c>
      <c r="D45" s="15">
        <v>0</v>
      </c>
      <c r="E45" s="15">
        <v>0</v>
      </c>
      <c r="F45" s="15">
        <v>0</v>
      </c>
      <c r="G45" s="15">
        <v>0</v>
      </c>
      <c r="H45" s="15">
        <v>0</v>
      </c>
      <c r="I45" s="47">
        <v>0</v>
      </c>
      <c r="J45" s="3"/>
      <c r="K45" s="3"/>
      <c r="L45" s="3"/>
      <c r="M45" s="3"/>
      <c r="N45" s="3"/>
      <c r="O45" s="3"/>
      <c r="P45" s="3"/>
      <c r="Q45" s="3"/>
      <c r="R45" s="3"/>
      <c r="S45" s="3"/>
      <c r="T45" s="3"/>
      <c r="U45" s="3"/>
      <c r="V45" s="3"/>
    </row>
    <row r="46" spans="1:22" x14ac:dyDescent="0.2">
      <c r="A46" s="1"/>
      <c r="B46" s="46">
        <v>2018</v>
      </c>
      <c r="C46" s="15" t="s">
        <v>47</v>
      </c>
      <c r="D46" s="15">
        <v>0</v>
      </c>
      <c r="E46" s="15">
        <v>0</v>
      </c>
      <c r="F46" s="15">
        <v>0</v>
      </c>
      <c r="G46" s="15">
        <v>0</v>
      </c>
      <c r="H46" s="15">
        <v>0</v>
      </c>
      <c r="I46" s="47">
        <v>0</v>
      </c>
      <c r="J46" s="3"/>
      <c r="K46" s="1"/>
      <c r="L46" s="1"/>
      <c r="M46" s="1"/>
      <c r="N46" s="1"/>
      <c r="O46" s="1"/>
      <c r="P46" s="1"/>
      <c r="Q46" s="1"/>
      <c r="R46" s="1"/>
      <c r="S46" s="1"/>
      <c r="T46" s="1"/>
      <c r="U46" s="1"/>
      <c r="V46" s="1"/>
    </row>
    <row r="47" spans="1:22" x14ac:dyDescent="0.2">
      <c r="A47" s="1"/>
      <c r="B47" s="46">
        <v>2019</v>
      </c>
      <c r="C47" s="15" t="s">
        <v>47</v>
      </c>
      <c r="D47" s="15">
        <v>0</v>
      </c>
      <c r="E47" s="15">
        <v>0</v>
      </c>
      <c r="F47" s="15">
        <v>0</v>
      </c>
      <c r="G47" s="15">
        <v>0</v>
      </c>
      <c r="H47" s="15">
        <v>0</v>
      </c>
      <c r="I47" s="47">
        <v>0</v>
      </c>
      <c r="J47" s="3"/>
      <c r="K47" s="1"/>
      <c r="L47" s="1"/>
      <c r="M47" s="1"/>
      <c r="N47" s="1"/>
      <c r="O47" s="1"/>
      <c r="P47" s="1"/>
      <c r="Q47" s="1"/>
      <c r="R47" s="1"/>
      <c r="S47" s="1"/>
      <c r="T47" s="1"/>
      <c r="U47" s="1"/>
      <c r="V47" s="1"/>
    </row>
    <row r="48" spans="1:22" ht="17" thickBot="1" x14ac:dyDescent="0.25">
      <c r="A48" s="1"/>
      <c r="B48" s="48">
        <v>2020</v>
      </c>
      <c r="C48" s="49" t="s">
        <v>47</v>
      </c>
      <c r="D48" s="49">
        <v>0</v>
      </c>
      <c r="E48" s="49">
        <v>0</v>
      </c>
      <c r="F48" s="49">
        <v>0</v>
      </c>
      <c r="G48" s="49">
        <v>0</v>
      </c>
      <c r="H48" s="49">
        <v>0</v>
      </c>
      <c r="I48" s="50">
        <v>0</v>
      </c>
      <c r="J48" s="3"/>
      <c r="K48" s="1"/>
      <c r="L48" s="1"/>
      <c r="M48" s="1"/>
      <c r="N48" s="1"/>
      <c r="O48" s="1"/>
      <c r="P48" s="1"/>
      <c r="Q48" s="1"/>
      <c r="R48" s="1"/>
      <c r="S48" s="1"/>
      <c r="T48" s="1"/>
      <c r="U48" s="1"/>
      <c r="V48" s="1"/>
    </row>
    <row r="49" spans="1:22" x14ac:dyDescent="0.2">
      <c r="A49" s="1"/>
      <c r="B49" s="1"/>
      <c r="C49" s="1"/>
      <c r="D49" s="1"/>
      <c r="E49" s="1"/>
      <c r="F49" s="1"/>
      <c r="G49" s="1"/>
      <c r="H49" s="1"/>
      <c r="I49" s="1"/>
      <c r="J49" s="1"/>
      <c r="K49" s="1"/>
      <c r="L49" s="1"/>
      <c r="M49" s="1"/>
      <c r="N49" s="1"/>
      <c r="O49" s="1"/>
      <c r="P49" s="1"/>
      <c r="Q49" s="1"/>
      <c r="R49" s="1"/>
      <c r="S49" s="1"/>
      <c r="T49" s="1"/>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8" customFormat="1" ht="30" x14ac:dyDescent="0.3">
      <c r="A51" s="26"/>
      <c r="B51" s="27"/>
      <c r="C51" s="27"/>
      <c r="D51" s="27"/>
      <c r="E51" s="27"/>
      <c r="F51" s="27"/>
      <c r="G51" s="27"/>
      <c r="H51" s="27"/>
      <c r="I51" s="27"/>
      <c r="J51" s="27"/>
      <c r="K51" s="27"/>
      <c r="L51" s="27"/>
      <c r="M51" s="27"/>
      <c r="N51" s="27"/>
      <c r="O51" s="27"/>
      <c r="P51" s="27"/>
      <c r="Q51" s="27"/>
      <c r="R51" s="27"/>
      <c r="S51" s="27"/>
      <c r="T51" s="27"/>
      <c r="U51" s="27"/>
      <c r="V51" s="27"/>
    </row>
  </sheetData>
  <mergeCells count="4">
    <mergeCell ref="C3:C4"/>
    <mergeCell ref="D3:I3"/>
    <mergeCell ref="J3:O3"/>
    <mergeCell ref="P3:U3"/>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6"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8" t="s">
        <v>65</v>
      </c>
      <c r="B1" s="30"/>
      <c r="C1" s="30"/>
      <c r="D1" s="30"/>
      <c r="E1" s="30"/>
      <c r="F1" s="30"/>
      <c r="G1" s="30"/>
      <c r="H1" s="3"/>
      <c r="I1" s="3"/>
      <c r="J1" s="3"/>
      <c r="K1" s="3"/>
      <c r="L1" s="3"/>
      <c r="M1" s="3"/>
      <c r="N1" s="3"/>
      <c r="O1" s="3"/>
      <c r="P1" s="3"/>
      <c r="Q1" s="3"/>
      <c r="R1" s="3"/>
      <c r="S1" s="3"/>
    </row>
    <row r="2" spans="1:19" ht="17" thickBot="1" x14ac:dyDescent="0.25">
      <c r="A2" s="30"/>
      <c r="B2" s="30"/>
      <c r="C2" s="30"/>
      <c r="D2" s="30"/>
      <c r="E2" s="30"/>
      <c r="F2" s="30"/>
      <c r="G2" s="30"/>
      <c r="H2" s="3"/>
      <c r="I2" s="3"/>
      <c r="J2" s="3"/>
      <c r="K2" s="3"/>
      <c r="L2" s="3"/>
      <c r="M2" s="3"/>
      <c r="N2" s="3"/>
      <c r="O2" s="3"/>
      <c r="P2" s="3"/>
      <c r="Q2" s="3"/>
      <c r="R2" s="3"/>
      <c r="S2" s="3"/>
    </row>
    <row r="3" spans="1:19" x14ac:dyDescent="0.2">
      <c r="A3" s="3"/>
      <c r="B3" s="33" t="s">
        <v>55</v>
      </c>
      <c r="C3" s="35">
        <v>10</v>
      </c>
      <c r="D3" s="30"/>
      <c r="E3" s="30"/>
      <c r="F3" s="30"/>
      <c r="G3" s="30"/>
      <c r="H3" s="30"/>
      <c r="I3" s="3"/>
      <c r="J3" s="3"/>
      <c r="K3" s="3"/>
      <c r="L3" s="3"/>
      <c r="M3" s="3"/>
      <c r="N3" s="3"/>
      <c r="O3" s="3"/>
      <c r="P3" s="3"/>
      <c r="Q3" s="3"/>
      <c r="R3" s="3"/>
      <c r="S3" s="3"/>
    </row>
    <row r="4" spans="1:19" x14ac:dyDescent="0.2">
      <c r="A4" s="3"/>
      <c r="B4" s="33" t="s">
        <v>56</v>
      </c>
      <c r="C4" s="36">
        <v>0.5</v>
      </c>
      <c r="D4" s="30"/>
      <c r="E4" s="30"/>
      <c r="F4" s="30"/>
      <c r="G4" s="30"/>
      <c r="H4" s="30"/>
      <c r="I4" s="3"/>
      <c r="J4" s="3"/>
      <c r="K4" s="3"/>
      <c r="L4" s="3"/>
      <c r="M4" s="3"/>
      <c r="N4" s="3"/>
      <c r="O4" s="3"/>
      <c r="P4" s="3"/>
      <c r="Q4" s="3"/>
      <c r="R4" s="3"/>
      <c r="S4" s="3"/>
    </row>
    <row r="5" spans="1:19" ht="17" thickBot="1" x14ac:dyDescent="0.25">
      <c r="A5" s="3"/>
      <c r="B5" s="33" t="s">
        <v>57</v>
      </c>
      <c r="C5" s="37">
        <v>0.6</v>
      </c>
      <c r="D5" s="30"/>
      <c r="E5" s="30"/>
      <c r="F5" s="30"/>
      <c r="G5" s="30"/>
      <c r="H5" s="30"/>
      <c r="I5" s="3"/>
      <c r="J5" s="3"/>
      <c r="K5" s="3"/>
      <c r="L5" s="3"/>
      <c r="M5" s="3"/>
      <c r="N5" s="3"/>
      <c r="O5" s="3"/>
      <c r="P5" s="3"/>
      <c r="Q5" s="3"/>
      <c r="R5" s="3"/>
      <c r="S5" s="3"/>
    </row>
    <row r="6" spans="1:19" ht="35" x14ac:dyDescent="0.35">
      <c r="A6" s="3"/>
      <c r="B6" s="31"/>
      <c r="C6" s="31"/>
      <c r="D6" s="31"/>
      <c r="E6" s="31"/>
      <c r="F6" s="30"/>
      <c r="G6" s="3"/>
      <c r="H6" s="3"/>
      <c r="I6" s="3"/>
      <c r="J6" s="3"/>
      <c r="K6" s="3"/>
      <c r="L6" s="3"/>
      <c r="M6" s="3"/>
      <c r="N6" s="3"/>
      <c r="O6" s="3"/>
      <c r="P6" s="3"/>
      <c r="Q6" s="3"/>
      <c r="R6" s="3"/>
      <c r="S6" s="3"/>
    </row>
    <row r="7" spans="1:19" ht="16" customHeight="1" x14ac:dyDescent="0.2">
      <c r="A7" s="3"/>
      <c r="B7" s="3"/>
      <c r="C7" s="115" t="s">
        <v>28</v>
      </c>
      <c r="D7" s="113" t="s">
        <v>58</v>
      </c>
      <c r="E7" s="113"/>
      <c r="F7" s="113"/>
      <c r="G7" s="113" t="s">
        <v>59</v>
      </c>
      <c r="H7" s="113"/>
      <c r="I7" s="113"/>
      <c r="J7" s="114" t="s">
        <v>60</v>
      </c>
      <c r="K7" s="114"/>
      <c r="L7" s="114"/>
      <c r="M7" s="114" t="s">
        <v>61</v>
      </c>
      <c r="N7" s="114"/>
      <c r="O7" s="114"/>
      <c r="P7" s="3"/>
      <c r="Q7" s="3"/>
      <c r="R7" s="3"/>
      <c r="S7" s="3"/>
    </row>
    <row r="8" spans="1:19" ht="17" thickBot="1" x14ac:dyDescent="0.25">
      <c r="A8" s="3"/>
      <c r="B8" s="3"/>
      <c r="C8" s="116"/>
      <c r="D8" s="34" t="s">
        <v>29</v>
      </c>
      <c r="E8" s="34" t="s">
        <v>30</v>
      </c>
      <c r="F8" s="34" t="s">
        <v>31</v>
      </c>
      <c r="G8" s="34" t="s">
        <v>29</v>
      </c>
      <c r="H8" s="34" t="s">
        <v>30</v>
      </c>
      <c r="I8" s="34" t="s">
        <v>31</v>
      </c>
      <c r="J8" s="34" t="s">
        <v>29</v>
      </c>
      <c r="K8" s="34" t="s">
        <v>30</v>
      </c>
      <c r="L8" s="34" t="s">
        <v>31</v>
      </c>
      <c r="M8" s="34" t="s">
        <v>29</v>
      </c>
      <c r="N8" s="34" t="s">
        <v>30</v>
      </c>
      <c r="O8" s="34" t="s">
        <v>31</v>
      </c>
      <c r="P8" s="3"/>
      <c r="Q8" s="3"/>
      <c r="R8" s="3"/>
      <c r="S8" s="3"/>
    </row>
    <row r="9" spans="1:19" x14ac:dyDescent="0.2">
      <c r="A9" s="3"/>
      <c r="B9" s="3"/>
      <c r="C9" s="51">
        <v>2014</v>
      </c>
      <c r="D9" s="79">
        <v>908.28326589999995</v>
      </c>
      <c r="E9" s="79">
        <v>506.85450109999999</v>
      </c>
      <c r="F9" s="79">
        <v>506.85450109999999</v>
      </c>
      <c r="G9" s="79">
        <v>2869</v>
      </c>
      <c r="H9" s="79">
        <v>1600</v>
      </c>
      <c r="I9" s="79">
        <v>1600</v>
      </c>
      <c r="J9" s="52">
        <v>0</v>
      </c>
      <c r="K9" s="52">
        <v>0</v>
      </c>
      <c r="L9" s="52">
        <v>0</v>
      </c>
      <c r="M9" s="52">
        <v>0</v>
      </c>
      <c r="N9" s="52">
        <v>0</v>
      </c>
      <c r="O9" s="53">
        <v>0</v>
      </c>
      <c r="P9" s="3"/>
      <c r="Q9" s="3"/>
      <c r="R9" s="3"/>
      <c r="S9" s="3"/>
    </row>
    <row r="10" spans="1:19" x14ac:dyDescent="0.2">
      <c r="A10" s="3"/>
      <c r="B10" s="3"/>
      <c r="C10" s="54">
        <v>2015</v>
      </c>
      <c r="D10" s="80">
        <v>908.28326589999995</v>
      </c>
      <c r="E10" s="80">
        <v>506.85450109999999</v>
      </c>
      <c r="F10" s="80">
        <v>506.85450109999999</v>
      </c>
      <c r="G10" s="80">
        <v>2869</v>
      </c>
      <c r="H10" s="80">
        <v>1600</v>
      </c>
      <c r="I10" s="80">
        <v>1600</v>
      </c>
      <c r="J10" s="32">
        <v>0</v>
      </c>
      <c r="K10" s="32">
        <v>0</v>
      </c>
      <c r="L10" s="32">
        <v>0</v>
      </c>
      <c r="M10" s="32">
        <v>0</v>
      </c>
      <c r="N10" s="32">
        <v>0</v>
      </c>
      <c r="O10" s="55">
        <v>0</v>
      </c>
      <c r="P10" s="3"/>
      <c r="Q10" s="3"/>
      <c r="R10" s="3"/>
      <c r="S10" s="3"/>
    </row>
    <row r="11" spans="1:19" x14ac:dyDescent="0.2">
      <c r="A11" s="3"/>
      <c r="B11" s="3"/>
      <c r="C11" s="54">
        <v>2016</v>
      </c>
      <c r="D11" s="80">
        <v>896</v>
      </c>
      <c r="E11" s="80">
        <v>500</v>
      </c>
      <c r="F11" s="80">
        <v>500</v>
      </c>
      <c r="G11" s="80">
        <v>2869</v>
      </c>
      <c r="H11" s="80">
        <v>1600</v>
      </c>
      <c r="I11" s="80">
        <v>1600</v>
      </c>
      <c r="J11" s="32">
        <v>0</v>
      </c>
      <c r="K11" s="32">
        <v>0</v>
      </c>
      <c r="L11" s="32">
        <v>0</v>
      </c>
      <c r="M11" s="32">
        <v>0</v>
      </c>
      <c r="N11" s="32">
        <v>0</v>
      </c>
      <c r="O11" s="55">
        <v>0</v>
      </c>
      <c r="P11" s="3"/>
      <c r="Q11" s="3"/>
      <c r="R11" s="3"/>
      <c r="S11" s="3"/>
    </row>
    <row r="12" spans="1:19" x14ac:dyDescent="0.2">
      <c r="A12" s="3"/>
      <c r="B12" s="3"/>
      <c r="C12" s="54">
        <v>2017</v>
      </c>
      <c r="D12" s="80">
        <v>883.71673320000002</v>
      </c>
      <c r="E12" s="80">
        <v>493.14549840000001</v>
      </c>
      <c r="F12" s="80">
        <v>493.14549840000001</v>
      </c>
      <c r="G12" s="80">
        <v>2869</v>
      </c>
      <c r="H12" s="80">
        <v>1600</v>
      </c>
      <c r="I12" s="80">
        <v>1600</v>
      </c>
      <c r="J12" s="32">
        <v>0</v>
      </c>
      <c r="K12" s="32">
        <v>0</v>
      </c>
      <c r="L12" s="32">
        <v>0</v>
      </c>
      <c r="M12" s="32">
        <v>0</v>
      </c>
      <c r="N12" s="32">
        <v>0</v>
      </c>
      <c r="O12" s="55">
        <v>0</v>
      </c>
      <c r="P12" s="3"/>
      <c r="Q12" s="3"/>
      <c r="R12" s="3"/>
      <c r="S12" s="3"/>
    </row>
    <row r="13" spans="1:19" x14ac:dyDescent="0.2">
      <c r="A13" s="3"/>
      <c r="B13" s="3"/>
      <c r="C13" s="54">
        <v>2018</v>
      </c>
      <c r="D13" s="80">
        <v>871.4334672</v>
      </c>
      <c r="E13" s="80">
        <v>486.29099730000002</v>
      </c>
      <c r="F13" s="80">
        <v>486.29099730000002</v>
      </c>
      <c r="G13" s="80">
        <v>2869</v>
      </c>
      <c r="H13" s="80">
        <v>1600</v>
      </c>
      <c r="I13" s="80">
        <v>1600</v>
      </c>
      <c r="J13" s="32">
        <v>0</v>
      </c>
      <c r="K13" s="32">
        <v>0</v>
      </c>
      <c r="L13" s="32">
        <v>0</v>
      </c>
      <c r="M13" s="32">
        <v>0</v>
      </c>
      <c r="N13" s="32">
        <v>0</v>
      </c>
      <c r="O13" s="55">
        <v>0</v>
      </c>
      <c r="P13" s="3"/>
      <c r="Q13" s="3"/>
      <c r="R13" s="3"/>
      <c r="S13" s="3"/>
    </row>
    <row r="14" spans="1:19" x14ac:dyDescent="0.2">
      <c r="A14" s="3"/>
      <c r="B14" s="3"/>
      <c r="C14" s="54">
        <v>2019</v>
      </c>
      <c r="D14" s="80">
        <v>859.15020130000005</v>
      </c>
      <c r="E14" s="80">
        <v>479.43649629999999</v>
      </c>
      <c r="F14" s="80">
        <v>479.43649629999999</v>
      </c>
      <c r="G14" s="80">
        <v>2869</v>
      </c>
      <c r="H14" s="80">
        <v>1600</v>
      </c>
      <c r="I14" s="80">
        <v>1600</v>
      </c>
      <c r="J14" s="32">
        <v>0</v>
      </c>
      <c r="K14" s="32">
        <v>0</v>
      </c>
      <c r="L14" s="32">
        <v>0</v>
      </c>
      <c r="M14" s="32">
        <v>0</v>
      </c>
      <c r="N14" s="32">
        <v>0</v>
      </c>
      <c r="O14" s="55">
        <v>0</v>
      </c>
      <c r="P14" s="3"/>
      <c r="Q14" s="3"/>
      <c r="R14" s="3"/>
      <c r="S14" s="3"/>
    </row>
    <row r="15" spans="1:19" x14ac:dyDescent="0.2">
      <c r="A15" s="3"/>
      <c r="B15" s="3"/>
      <c r="C15" s="54">
        <v>2020</v>
      </c>
      <c r="D15" s="80">
        <v>846.86693539999999</v>
      </c>
      <c r="E15" s="80">
        <v>472.58199519999999</v>
      </c>
      <c r="F15" s="80">
        <v>472.58199519999999</v>
      </c>
      <c r="G15" s="80">
        <v>2869</v>
      </c>
      <c r="H15" s="80">
        <v>1600</v>
      </c>
      <c r="I15" s="80">
        <v>1600</v>
      </c>
      <c r="J15" s="32">
        <v>0</v>
      </c>
      <c r="K15" s="32">
        <v>0</v>
      </c>
      <c r="L15" s="32">
        <v>0</v>
      </c>
      <c r="M15" s="32">
        <v>0</v>
      </c>
      <c r="N15" s="32">
        <v>0</v>
      </c>
      <c r="O15" s="55">
        <v>0</v>
      </c>
      <c r="P15" s="3"/>
      <c r="Q15" s="3"/>
      <c r="R15" s="3"/>
      <c r="S15" s="3"/>
    </row>
    <row r="16" spans="1:19" x14ac:dyDescent="0.2">
      <c r="A16" s="3"/>
      <c r="B16" s="3"/>
      <c r="C16" s="54">
        <v>2021</v>
      </c>
      <c r="D16" s="80">
        <v>822.06445240000005</v>
      </c>
      <c r="E16" s="80">
        <v>458.7413239</v>
      </c>
      <c r="F16" s="80">
        <v>458.7413239</v>
      </c>
      <c r="G16" s="80">
        <v>2869</v>
      </c>
      <c r="H16" s="80">
        <v>1600</v>
      </c>
      <c r="I16" s="80">
        <v>1600</v>
      </c>
      <c r="J16" s="32">
        <v>0</v>
      </c>
      <c r="K16" s="32">
        <v>0</v>
      </c>
      <c r="L16" s="32">
        <v>0</v>
      </c>
      <c r="M16" s="32">
        <v>0</v>
      </c>
      <c r="N16" s="32">
        <v>0</v>
      </c>
      <c r="O16" s="55">
        <v>0</v>
      </c>
      <c r="P16" s="3"/>
      <c r="Q16" s="3"/>
      <c r="R16" s="3"/>
      <c r="S16" s="3"/>
    </row>
    <row r="17" spans="1:19" x14ac:dyDescent="0.2">
      <c r="A17" s="3"/>
      <c r="B17" s="3"/>
      <c r="C17" s="54">
        <v>2022</v>
      </c>
      <c r="D17" s="80">
        <v>797.26197030000003</v>
      </c>
      <c r="E17" s="80">
        <v>444.9006531</v>
      </c>
      <c r="F17" s="80">
        <v>444.9006531</v>
      </c>
      <c r="G17" s="80">
        <v>2869</v>
      </c>
      <c r="H17" s="80">
        <v>1600</v>
      </c>
      <c r="I17" s="80">
        <v>1600</v>
      </c>
      <c r="J17" s="32">
        <v>0</v>
      </c>
      <c r="K17" s="32">
        <v>0</v>
      </c>
      <c r="L17" s="32">
        <v>0</v>
      </c>
      <c r="M17" s="32">
        <v>0</v>
      </c>
      <c r="N17" s="32">
        <v>0</v>
      </c>
      <c r="O17" s="55">
        <v>0</v>
      </c>
      <c r="P17" s="3"/>
      <c r="Q17" s="3"/>
      <c r="R17" s="3"/>
      <c r="S17" s="3"/>
    </row>
    <row r="18" spans="1:19" x14ac:dyDescent="0.2">
      <c r="A18" s="3"/>
      <c r="B18" s="3"/>
      <c r="C18" s="54">
        <v>2023</v>
      </c>
      <c r="D18" s="80">
        <v>772.45948829999998</v>
      </c>
      <c r="E18" s="80">
        <v>431.0599823</v>
      </c>
      <c r="F18" s="80">
        <v>431.0599823</v>
      </c>
      <c r="G18" s="80">
        <v>2869</v>
      </c>
      <c r="H18" s="80">
        <v>1600</v>
      </c>
      <c r="I18" s="80">
        <v>1600</v>
      </c>
      <c r="J18" s="32">
        <v>0</v>
      </c>
      <c r="K18" s="32">
        <v>0</v>
      </c>
      <c r="L18" s="32">
        <v>0</v>
      </c>
      <c r="M18" s="32">
        <v>0</v>
      </c>
      <c r="N18" s="32">
        <v>0</v>
      </c>
      <c r="O18" s="55">
        <v>0</v>
      </c>
      <c r="P18" s="3"/>
      <c r="Q18" s="3"/>
      <c r="R18" s="3"/>
      <c r="S18" s="3"/>
    </row>
    <row r="19" spans="1:19" x14ac:dyDescent="0.2">
      <c r="A19" s="3"/>
      <c r="B19" s="3"/>
      <c r="C19" s="54">
        <v>2024</v>
      </c>
      <c r="D19" s="80">
        <v>747.65700530000004</v>
      </c>
      <c r="E19" s="80">
        <v>417.219311</v>
      </c>
      <c r="F19" s="80">
        <v>417.219311</v>
      </c>
      <c r="G19" s="80">
        <v>2869</v>
      </c>
      <c r="H19" s="80">
        <v>1600</v>
      </c>
      <c r="I19" s="80">
        <v>1600</v>
      </c>
      <c r="J19" s="32">
        <v>0</v>
      </c>
      <c r="K19" s="32">
        <v>0</v>
      </c>
      <c r="L19" s="32">
        <v>0</v>
      </c>
      <c r="M19" s="32">
        <v>0</v>
      </c>
      <c r="N19" s="32">
        <v>0</v>
      </c>
      <c r="O19" s="55">
        <v>0</v>
      </c>
      <c r="P19" s="3"/>
      <c r="Q19" s="3"/>
      <c r="R19" s="3"/>
      <c r="S19" s="3"/>
    </row>
    <row r="20" spans="1:19" x14ac:dyDescent="0.2">
      <c r="A20" s="3"/>
      <c r="B20" s="3"/>
      <c r="C20" s="54">
        <v>2025</v>
      </c>
      <c r="D20" s="80">
        <v>722.85452320000002</v>
      </c>
      <c r="E20" s="80">
        <v>403.37864020000001</v>
      </c>
      <c r="F20" s="80">
        <v>403.37864020000001</v>
      </c>
      <c r="G20" s="80">
        <v>2869</v>
      </c>
      <c r="H20" s="80">
        <v>1600</v>
      </c>
      <c r="I20" s="80">
        <v>1600</v>
      </c>
      <c r="J20" s="32">
        <v>0</v>
      </c>
      <c r="K20" s="32">
        <v>0</v>
      </c>
      <c r="L20" s="32">
        <v>0</v>
      </c>
      <c r="M20" s="32">
        <v>0</v>
      </c>
      <c r="N20" s="32">
        <v>0</v>
      </c>
      <c r="O20" s="55">
        <v>0</v>
      </c>
      <c r="P20" s="3"/>
      <c r="Q20" s="3"/>
      <c r="R20" s="3"/>
      <c r="S20" s="3"/>
    </row>
    <row r="21" spans="1:19" x14ac:dyDescent="0.2">
      <c r="A21" s="3"/>
      <c r="B21" s="3"/>
      <c r="C21" s="54">
        <v>2026</v>
      </c>
      <c r="D21" s="80">
        <v>702.36820239999997</v>
      </c>
      <c r="E21" s="80">
        <v>391.94654150000002</v>
      </c>
      <c r="F21" s="80">
        <v>391.94654150000002</v>
      </c>
      <c r="G21" s="80">
        <v>2869</v>
      </c>
      <c r="H21" s="80">
        <v>1600</v>
      </c>
      <c r="I21" s="80">
        <v>1600</v>
      </c>
      <c r="J21" s="32">
        <v>0</v>
      </c>
      <c r="K21" s="32">
        <v>0</v>
      </c>
      <c r="L21" s="32">
        <v>0</v>
      </c>
      <c r="M21" s="32">
        <v>0</v>
      </c>
      <c r="N21" s="32">
        <v>0</v>
      </c>
      <c r="O21" s="55">
        <v>0</v>
      </c>
      <c r="P21" s="3"/>
      <c r="Q21" s="3"/>
      <c r="R21" s="3"/>
      <c r="S21" s="3"/>
    </row>
    <row r="22" spans="1:19" x14ac:dyDescent="0.2">
      <c r="A22" s="3"/>
      <c r="B22" s="3"/>
      <c r="C22" s="54">
        <v>2027</v>
      </c>
      <c r="D22" s="80">
        <v>681.88188149999996</v>
      </c>
      <c r="E22" s="80">
        <v>380.51444279999998</v>
      </c>
      <c r="F22" s="80">
        <v>380.51444279999998</v>
      </c>
      <c r="G22" s="80">
        <v>2869</v>
      </c>
      <c r="H22" s="80">
        <v>1600</v>
      </c>
      <c r="I22" s="80">
        <v>1600</v>
      </c>
      <c r="J22" s="32">
        <v>0</v>
      </c>
      <c r="K22" s="32">
        <v>0</v>
      </c>
      <c r="L22" s="32">
        <v>0</v>
      </c>
      <c r="M22" s="32">
        <v>0</v>
      </c>
      <c r="N22" s="32">
        <v>0</v>
      </c>
      <c r="O22" s="55">
        <v>0</v>
      </c>
      <c r="P22" s="3"/>
      <c r="Q22" s="3"/>
      <c r="R22" s="3"/>
      <c r="S22" s="3"/>
    </row>
    <row r="23" spans="1:19" x14ac:dyDescent="0.2">
      <c r="A23" s="3"/>
      <c r="B23" s="3"/>
      <c r="C23" s="54">
        <v>2028</v>
      </c>
      <c r="D23" s="80">
        <v>661.39555970000004</v>
      </c>
      <c r="E23" s="80">
        <v>369.0823436</v>
      </c>
      <c r="F23" s="80">
        <v>369.0823436</v>
      </c>
      <c r="G23" s="80">
        <v>2869</v>
      </c>
      <c r="H23" s="80">
        <v>1600</v>
      </c>
      <c r="I23" s="80">
        <v>1600</v>
      </c>
      <c r="J23" s="32">
        <v>0</v>
      </c>
      <c r="K23" s="32">
        <v>0</v>
      </c>
      <c r="L23" s="32">
        <v>0</v>
      </c>
      <c r="M23" s="32">
        <v>0</v>
      </c>
      <c r="N23" s="32">
        <v>0</v>
      </c>
      <c r="O23" s="55">
        <v>0</v>
      </c>
      <c r="P23" s="3"/>
      <c r="Q23" s="3"/>
      <c r="R23" s="3"/>
      <c r="S23" s="3"/>
    </row>
    <row r="24" spans="1:19" x14ac:dyDescent="0.2">
      <c r="A24" s="3"/>
      <c r="B24" s="3"/>
      <c r="C24" s="54">
        <v>2029</v>
      </c>
      <c r="D24" s="80">
        <v>640.90923880000003</v>
      </c>
      <c r="E24" s="80">
        <v>357.65024490000002</v>
      </c>
      <c r="F24" s="80">
        <v>357.65024490000002</v>
      </c>
      <c r="G24" s="80">
        <v>2869</v>
      </c>
      <c r="H24" s="80">
        <v>1600</v>
      </c>
      <c r="I24" s="80">
        <v>1600</v>
      </c>
      <c r="J24" s="32">
        <v>0</v>
      </c>
      <c r="K24" s="32">
        <v>0</v>
      </c>
      <c r="L24" s="32">
        <v>0</v>
      </c>
      <c r="M24" s="32">
        <v>0</v>
      </c>
      <c r="N24" s="32">
        <v>0</v>
      </c>
      <c r="O24" s="55">
        <v>0</v>
      </c>
      <c r="P24" s="3"/>
      <c r="Q24" s="3"/>
      <c r="R24" s="3"/>
      <c r="S24" s="3"/>
    </row>
    <row r="25" spans="1:19" x14ac:dyDescent="0.2">
      <c r="A25" s="3"/>
      <c r="B25" s="3"/>
      <c r="C25" s="54">
        <v>2030</v>
      </c>
      <c r="D25" s="80">
        <v>620.42291790000002</v>
      </c>
      <c r="E25" s="80">
        <v>346.21814610000001</v>
      </c>
      <c r="F25" s="80">
        <v>346.21814610000001</v>
      </c>
      <c r="G25" s="80">
        <v>2869</v>
      </c>
      <c r="H25" s="80">
        <v>1600</v>
      </c>
      <c r="I25" s="80">
        <v>1600</v>
      </c>
      <c r="J25" s="32">
        <v>0</v>
      </c>
      <c r="K25" s="32">
        <v>0</v>
      </c>
      <c r="L25" s="32">
        <v>0</v>
      </c>
      <c r="M25" s="32">
        <v>0</v>
      </c>
      <c r="N25" s="32">
        <v>0</v>
      </c>
      <c r="O25" s="55">
        <v>0</v>
      </c>
      <c r="P25" s="3"/>
      <c r="Q25" s="3"/>
      <c r="R25" s="3"/>
      <c r="S25" s="3"/>
    </row>
    <row r="26" spans="1:19" x14ac:dyDescent="0.2">
      <c r="A26" s="3"/>
      <c r="B26" s="3"/>
      <c r="C26" s="54">
        <v>2031</v>
      </c>
      <c r="D26" s="80">
        <v>615.3139698</v>
      </c>
      <c r="E26" s="80">
        <v>343.36717069999997</v>
      </c>
      <c r="F26" s="80">
        <v>343.36717069999997</v>
      </c>
      <c r="G26" s="80">
        <v>2869</v>
      </c>
      <c r="H26" s="80">
        <v>1600</v>
      </c>
      <c r="I26" s="80">
        <v>1600</v>
      </c>
      <c r="J26" s="32">
        <v>0</v>
      </c>
      <c r="K26" s="32">
        <v>0</v>
      </c>
      <c r="L26" s="32">
        <v>0</v>
      </c>
      <c r="M26" s="32">
        <v>0</v>
      </c>
      <c r="N26" s="32">
        <v>0</v>
      </c>
      <c r="O26" s="55">
        <v>0</v>
      </c>
      <c r="P26" s="3"/>
      <c r="Q26" s="3"/>
      <c r="R26" s="3"/>
      <c r="S26" s="3"/>
    </row>
    <row r="27" spans="1:19" x14ac:dyDescent="0.2">
      <c r="A27" s="3"/>
      <c r="B27" s="3"/>
      <c r="C27" s="54">
        <v>2032</v>
      </c>
      <c r="D27" s="80">
        <v>610.20502180000005</v>
      </c>
      <c r="E27" s="80">
        <v>340.51619520000003</v>
      </c>
      <c r="F27" s="80">
        <v>340.51619520000003</v>
      </c>
      <c r="G27" s="80">
        <v>2869</v>
      </c>
      <c r="H27" s="80">
        <v>1600</v>
      </c>
      <c r="I27" s="80">
        <v>1600</v>
      </c>
      <c r="J27" s="32">
        <v>0</v>
      </c>
      <c r="K27" s="32">
        <v>0</v>
      </c>
      <c r="L27" s="32">
        <v>0</v>
      </c>
      <c r="M27" s="32">
        <v>0</v>
      </c>
      <c r="N27" s="32">
        <v>0</v>
      </c>
      <c r="O27" s="55">
        <v>0</v>
      </c>
      <c r="P27" s="3"/>
      <c r="Q27" s="3"/>
      <c r="R27" s="3"/>
      <c r="S27" s="3"/>
    </row>
    <row r="28" spans="1:19" x14ac:dyDescent="0.2">
      <c r="A28" s="3"/>
      <c r="B28" s="3"/>
      <c r="C28" s="54">
        <v>2033</v>
      </c>
      <c r="D28" s="80">
        <v>605.0960738</v>
      </c>
      <c r="E28" s="80">
        <v>337.66521970000002</v>
      </c>
      <c r="F28" s="80">
        <v>337.66521970000002</v>
      </c>
      <c r="G28" s="80">
        <v>2869</v>
      </c>
      <c r="H28" s="80">
        <v>1600</v>
      </c>
      <c r="I28" s="80">
        <v>1600</v>
      </c>
      <c r="J28" s="32">
        <v>0</v>
      </c>
      <c r="K28" s="32">
        <v>0</v>
      </c>
      <c r="L28" s="32">
        <v>0</v>
      </c>
      <c r="M28" s="32">
        <v>0</v>
      </c>
      <c r="N28" s="32">
        <v>0</v>
      </c>
      <c r="O28" s="55">
        <v>0</v>
      </c>
      <c r="P28" s="3"/>
      <c r="Q28" s="3"/>
      <c r="R28" s="3"/>
      <c r="S28" s="3"/>
    </row>
    <row r="29" spans="1:19" x14ac:dyDescent="0.2">
      <c r="A29" s="3"/>
      <c r="B29" s="3"/>
      <c r="C29" s="54">
        <v>2034</v>
      </c>
      <c r="D29" s="80">
        <v>599.98712569999998</v>
      </c>
      <c r="E29" s="80">
        <v>334.81424429999998</v>
      </c>
      <c r="F29" s="80">
        <v>334.81424429999998</v>
      </c>
      <c r="G29" s="80">
        <v>2869</v>
      </c>
      <c r="H29" s="80">
        <v>1600</v>
      </c>
      <c r="I29" s="80">
        <v>1600</v>
      </c>
      <c r="J29" s="32">
        <v>0</v>
      </c>
      <c r="K29" s="32">
        <v>0</v>
      </c>
      <c r="L29" s="32">
        <v>0</v>
      </c>
      <c r="M29" s="32">
        <v>0</v>
      </c>
      <c r="N29" s="32">
        <v>0</v>
      </c>
      <c r="O29" s="55">
        <v>0</v>
      </c>
      <c r="P29" s="3"/>
      <c r="Q29" s="3"/>
      <c r="R29" s="3"/>
      <c r="S29" s="3"/>
    </row>
    <row r="30" spans="1:19" x14ac:dyDescent="0.2">
      <c r="A30" s="3"/>
      <c r="B30" s="3"/>
      <c r="C30" s="54">
        <v>2035</v>
      </c>
      <c r="D30" s="80">
        <v>594.87817770000004</v>
      </c>
      <c r="E30" s="80">
        <v>331.96326879999998</v>
      </c>
      <c r="F30" s="80">
        <v>331.96326879999998</v>
      </c>
      <c r="G30" s="80">
        <v>2869</v>
      </c>
      <c r="H30" s="80">
        <v>1600</v>
      </c>
      <c r="I30" s="80">
        <v>1600</v>
      </c>
      <c r="J30" s="32">
        <v>0</v>
      </c>
      <c r="K30" s="32">
        <v>0</v>
      </c>
      <c r="L30" s="32">
        <v>0</v>
      </c>
      <c r="M30" s="32">
        <v>0</v>
      </c>
      <c r="N30" s="32">
        <v>0</v>
      </c>
      <c r="O30" s="55">
        <v>0</v>
      </c>
      <c r="P30" s="3"/>
      <c r="Q30" s="3"/>
      <c r="R30" s="3"/>
      <c r="S30" s="3"/>
    </row>
    <row r="31" spans="1:19" x14ac:dyDescent="0.2">
      <c r="A31" s="3"/>
      <c r="B31" s="3"/>
      <c r="C31" s="54">
        <v>2036</v>
      </c>
      <c r="D31" s="80">
        <v>594.04079409999997</v>
      </c>
      <c r="E31" s="80">
        <v>331.49597879999999</v>
      </c>
      <c r="F31" s="80">
        <v>331.49597879999999</v>
      </c>
      <c r="G31" s="80">
        <v>2869</v>
      </c>
      <c r="H31" s="80">
        <v>1600</v>
      </c>
      <c r="I31" s="80">
        <v>1600</v>
      </c>
      <c r="J31" s="32">
        <v>0</v>
      </c>
      <c r="K31" s="32">
        <v>0</v>
      </c>
      <c r="L31" s="32">
        <v>0</v>
      </c>
      <c r="M31" s="32">
        <v>0</v>
      </c>
      <c r="N31" s="32">
        <v>0</v>
      </c>
      <c r="O31" s="55">
        <v>0</v>
      </c>
      <c r="P31" s="3"/>
      <c r="Q31" s="3"/>
      <c r="R31" s="3"/>
      <c r="S31" s="3"/>
    </row>
    <row r="32" spans="1:19" x14ac:dyDescent="0.2">
      <c r="A32" s="3"/>
      <c r="B32" s="3"/>
      <c r="C32" s="54">
        <v>2037</v>
      </c>
      <c r="D32" s="80">
        <v>593.20341140000005</v>
      </c>
      <c r="E32" s="80">
        <v>331.02868940000002</v>
      </c>
      <c r="F32" s="80">
        <v>331.02868940000002</v>
      </c>
      <c r="G32" s="80">
        <v>2869</v>
      </c>
      <c r="H32" s="80">
        <v>1600</v>
      </c>
      <c r="I32" s="80">
        <v>1600</v>
      </c>
      <c r="J32" s="32">
        <v>0</v>
      </c>
      <c r="K32" s="32">
        <v>0</v>
      </c>
      <c r="L32" s="32">
        <v>0</v>
      </c>
      <c r="M32" s="32">
        <v>0</v>
      </c>
      <c r="N32" s="32">
        <v>0</v>
      </c>
      <c r="O32" s="55">
        <v>0</v>
      </c>
      <c r="P32" s="3"/>
      <c r="Q32" s="3"/>
      <c r="R32" s="3"/>
      <c r="S32" s="3"/>
    </row>
    <row r="33" spans="1:19" x14ac:dyDescent="0.2">
      <c r="A33" s="3"/>
      <c r="B33" s="3"/>
      <c r="C33" s="54">
        <v>2038</v>
      </c>
      <c r="D33" s="80">
        <v>592.36602870000002</v>
      </c>
      <c r="E33" s="80">
        <v>330.56139999999999</v>
      </c>
      <c r="F33" s="80">
        <v>330.56139999999999</v>
      </c>
      <c r="G33" s="80">
        <v>2869</v>
      </c>
      <c r="H33" s="80">
        <v>1600</v>
      </c>
      <c r="I33" s="80">
        <v>1600</v>
      </c>
      <c r="J33" s="32">
        <v>0</v>
      </c>
      <c r="K33" s="32">
        <v>0</v>
      </c>
      <c r="L33" s="32">
        <v>0</v>
      </c>
      <c r="M33" s="32">
        <v>0</v>
      </c>
      <c r="N33" s="32">
        <v>0</v>
      </c>
      <c r="O33" s="55">
        <v>0</v>
      </c>
      <c r="P33" s="3"/>
      <c r="Q33" s="3"/>
      <c r="R33" s="3"/>
      <c r="S33" s="3"/>
    </row>
    <row r="34" spans="1:19" x14ac:dyDescent="0.2">
      <c r="A34" s="3"/>
      <c r="B34" s="3"/>
      <c r="C34" s="54">
        <v>2039</v>
      </c>
      <c r="D34" s="80">
        <v>591.52864609999995</v>
      </c>
      <c r="E34" s="80">
        <v>330.0941105</v>
      </c>
      <c r="F34" s="80">
        <v>330.0941105</v>
      </c>
      <c r="G34" s="80">
        <v>2869</v>
      </c>
      <c r="H34" s="80">
        <v>1600</v>
      </c>
      <c r="I34" s="80">
        <v>1600</v>
      </c>
      <c r="J34" s="32">
        <v>0</v>
      </c>
      <c r="K34" s="32">
        <v>0</v>
      </c>
      <c r="L34" s="32">
        <v>0</v>
      </c>
      <c r="M34" s="32">
        <v>0</v>
      </c>
      <c r="N34" s="32">
        <v>0</v>
      </c>
      <c r="O34" s="55">
        <v>0</v>
      </c>
      <c r="P34" s="3"/>
      <c r="Q34" s="3"/>
      <c r="R34" s="3"/>
      <c r="S34" s="3"/>
    </row>
    <row r="35" spans="1:19" x14ac:dyDescent="0.2">
      <c r="A35" s="3"/>
      <c r="B35" s="3"/>
      <c r="C35" s="54">
        <v>2040</v>
      </c>
      <c r="D35" s="80">
        <v>590.69126249999999</v>
      </c>
      <c r="E35" s="80">
        <v>329.62682059999997</v>
      </c>
      <c r="F35" s="80">
        <v>329.62682059999997</v>
      </c>
      <c r="G35" s="80">
        <v>2869</v>
      </c>
      <c r="H35" s="80">
        <v>1600</v>
      </c>
      <c r="I35" s="80">
        <v>1600</v>
      </c>
      <c r="J35" s="32">
        <v>0</v>
      </c>
      <c r="K35" s="32">
        <v>0</v>
      </c>
      <c r="L35" s="32">
        <v>0</v>
      </c>
      <c r="M35" s="32">
        <v>0</v>
      </c>
      <c r="N35" s="32">
        <v>0</v>
      </c>
      <c r="O35" s="55">
        <v>0</v>
      </c>
      <c r="P35" s="3"/>
      <c r="Q35" s="3"/>
      <c r="R35" s="3"/>
      <c r="S35" s="3"/>
    </row>
    <row r="36" spans="1:19" x14ac:dyDescent="0.2">
      <c r="A36" s="3"/>
      <c r="B36" s="3"/>
      <c r="C36" s="54">
        <v>2041</v>
      </c>
      <c r="D36" s="80">
        <v>585.65820880000001</v>
      </c>
      <c r="E36" s="80">
        <v>326.81819689999998</v>
      </c>
      <c r="F36" s="80">
        <v>326.81819689999998</v>
      </c>
      <c r="G36" s="80">
        <v>2869</v>
      </c>
      <c r="H36" s="80">
        <v>1600</v>
      </c>
      <c r="I36" s="80">
        <v>1600</v>
      </c>
      <c r="J36" s="32">
        <v>0</v>
      </c>
      <c r="K36" s="32">
        <v>0</v>
      </c>
      <c r="L36" s="32">
        <v>0</v>
      </c>
      <c r="M36" s="32">
        <v>0</v>
      </c>
      <c r="N36" s="32">
        <v>0</v>
      </c>
      <c r="O36" s="55">
        <v>0</v>
      </c>
      <c r="P36" s="3"/>
      <c r="Q36" s="3"/>
      <c r="R36" s="3"/>
      <c r="S36" s="3"/>
    </row>
    <row r="37" spans="1:19" x14ac:dyDescent="0.2">
      <c r="A37" s="3"/>
      <c r="B37" s="3"/>
      <c r="C37" s="54">
        <v>2042</v>
      </c>
      <c r="D37" s="80">
        <v>580.62515410000003</v>
      </c>
      <c r="E37" s="80">
        <v>324.00957260000001</v>
      </c>
      <c r="F37" s="80">
        <v>324.00957260000001</v>
      </c>
      <c r="G37" s="80">
        <v>2869</v>
      </c>
      <c r="H37" s="80">
        <v>1600</v>
      </c>
      <c r="I37" s="80">
        <v>1600</v>
      </c>
      <c r="J37" s="32">
        <v>0</v>
      </c>
      <c r="K37" s="32">
        <v>0</v>
      </c>
      <c r="L37" s="32">
        <v>0</v>
      </c>
      <c r="M37" s="32">
        <v>0</v>
      </c>
      <c r="N37" s="32">
        <v>0</v>
      </c>
      <c r="O37" s="55">
        <v>0</v>
      </c>
      <c r="P37" s="3"/>
      <c r="Q37" s="3"/>
      <c r="R37" s="3"/>
      <c r="S37" s="3"/>
    </row>
    <row r="38" spans="1:19" x14ac:dyDescent="0.2">
      <c r="A38" s="3"/>
      <c r="B38" s="3"/>
      <c r="C38" s="54">
        <v>2043</v>
      </c>
      <c r="D38" s="80">
        <v>575.59209950000002</v>
      </c>
      <c r="E38" s="80">
        <v>321.20094840000002</v>
      </c>
      <c r="F38" s="80">
        <v>321.20094840000002</v>
      </c>
      <c r="G38" s="80">
        <v>2869</v>
      </c>
      <c r="H38" s="80">
        <v>1600</v>
      </c>
      <c r="I38" s="80">
        <v>1600</v>
      </c>
      <c r="J38" s="32">
        <v>0</v>
      </c>
      <c r="K38" s="32">
        <v>0</v>
      </c>
      <c r="L38" s="32">
        <v>0</v>
      </c>
      <c r="M38" s="32">
        <v>0</v>
      </c>
      <c r="N38" s="32">
        <v>0</v>
      </c>
      <c r="O38" s="55">
        <v>0</v>
      </c>
      <c r="P38" s="3"/>
      <c r="Q38" s="3"/>
      <c r="R38" s="3"/>
      <c r="S38" s="3"/>
    </row>
    <row r="39" spans="1:19" x14ac:dyDescent="0.2">
      <c r="A39" s="3"/>
      <c r="B39" s="3"/>
      <c r="C39" s="54">
        <v>2044</v>
      </c>
      <c r="D39" s="80">
        <v>570.55904580000004</v>
      </c>
      <c r="E39" s="80">
        <v>318.39232470000002</v>
      </c>
      <c r="F39" s="80">
        <v>318.39232470000002</v>
      </c>
      <c r="G39" s="80">
        <v>2869</v>
      </c>
      <c r="H39" s="80">
        <v>1600</v>
      </c>
      <c r="I39" s="80">
        <v>1600</v>
      </c>
      <c r="J39" s="32">
        <v>0</v>
      </c>
      <c r="K39" s="32">
        <v>0</v>
      </c>
      <c r="L39" s="32">
        <v>0</v>
      </c>
      <c r="M39" s="32">
        <v>0</v>
      </c>
      <c r="N39" s="32">
        <v>0</v>
      </c>
      <c r="O39" s="55">
        <v>0</v>
      </c>
      <c r="P39" s="3"/>
      <c r="Q39" s="3"/>
      <c r="R39" s="3"/>
      <c r="S39" s="3"/>
    </row>
    <row r="40" spans="1:19" x14ac:dyDescent="0.2">
      <c r="A40" s="3"/>
      <c r="B40" s="3"/>
      <c r="C40" s="54">
        <v>2045</v>
      </c>
      <c r="D40" s="80">
        <v>565.52599120000002</v>
      </c>
      <c r="E40" s="80">
        <v>315.5837004</v>
      </c>
      <c r="F40" s="80">
        <v>315.5837004</v>
      </c>
      <c r="G40" s="80">
        <v>2869</v>
      </c>
      <c r="H40" s="80">
        <v>1600</v>
      </c>
      <c r="I40" s="80">
        <v>1600</v>
      </c>
      <c r="J40" s="32">
        <v>0</v>
      </c>
      <c r="K40" s="32">
        <v>0</v>
      </c>
      <c r="L40" s="32">
        <v>0</v>
      </c>
      <c r="M40" s="32">
        <v>0</v>
      </c>
      <c r="N40" s="32">
        <v>0</v>
      </c>
      <c r="O40" s="55">
        <v>0</v>
      </c>
      <c r="P40" s="3"/>
      <c r="Q40" s="3"/>
      <c r="R40" s="3"/>
      <c r="S40" s="3"/>
    </row>
    <row r="41" spans="1:19" x14ac:dyDescent="0.2">
      <c r="A41" s="3"/>
      <c r="B41" s="3"/>
      <c r="C41" s="54">
        <v>2046</v>
      </c>
      <c r="D41" s="80">
        <v>560.86810749999995</v>
      </c>
      <c r="E41" s="80">
        <v>312.98443500000002</v>
      </c>
      <c r="F41" s="80">
        <v>312.98443500000002</v>
      </c>
      <c r="G41" s="80">
        <v>2869</v>
      </c>
      <c r="H41" s="80">
        <v>1600</v>
      </c>
      <c r="I41" s="80">
        <v>1600</v>
      </c>
      <c r="J41" s="32">
        <v>0</v>
      </c>
      <c r="K41" s="32">
        <v>0</v>
      </c>
      <c r="L41" s="32">
        <v>0</v>
      </c>
      <c r="M41" s="32">
        <v>0</v>
      </c>
      <c r="N41" s="32">
        <v>0</v>
      </c>
      <c r="O41" s="55">
        <v>0</v>
      </c>
      <c r="P41" s="3"/>
      <c r="Q41" s="3"/>
      <c r="R41" s="3"/>
      <c r="S41" s="3"/>
    </row>
    <row r="42" spans="1:19" x14ac:dyDescent="0.2">
      <c r="A42" s="3"/>
      <c r="B42" s="3"/>
      <c r="C42" s="54">
        <v>2047</v>
      </c>
      <c r="D42" s="80">
        <v>556.21022289999996</v>
      </c>
      <c r="E42" s="80">
        <v>310.38516900000002</v>
      </c>
      <c r="F42" s="80">
        <v>310.38516900000002</v>
      </c>
      <c r="G42" s="80">
        <v>2869</v>
      </c>
      <c r="H42" s="80">
        <v>1600</v>
      </c>
      <c r="I42" s="80">
        <v>1600</v>
      </c>
      <c r="J42" s="32">
        <v>0</v>
      </c>
      <c r="K42" s="32">
        <v>0</v>
      </c>
      <c r="L42" s="32">
        <v>0</v>
      </c>
      <c r="M42" s="32">
        <v>0</v>
      </c>
      <c r="N42" s="32">
        <v>0</v>
      </c>
      <c r="O42" s="55">
        <v>0</v>
      </c>
      <c r="P42" s="3"/>
      <c r="Q42" s="3"/>
      <c r="R42" s="3"/>
      <c r="S42" s="3"/>
    </row>
    <row r="43" spans="1:19" x14ac:dyDescent="0.2">
      <c r="A43" s="3"/>
      <c r="B43" s="3"/>
      <c r="C43" s="54">
        <v>2048</v>
      </c>
      <c r="D43" s="80">
        <v>551.55233929999997</v>
      </c>
      <c r="E43" s="80">
        <v>307.78590359999998</v>
      </c>
      <c r="F43" s="80">
        <v>307.78590359999998</v>
      </c>
      <c r="G43" s="80">
        <v>2869</v>
      </c>
      <c r="H43" s="80">
        <v>1600</v>
      </c>
      <c r="I43" s="80">
        <v>1600</v>
      </c>
      <c r="J43" s="32">
        <v>0</v>
      </c>
      <c r="K43" s="32">
        <v>0</v>
      </c>
      <c r="L43" s="32">
        <v>0</v>
      </c>
      <c r="M43" s="32">
        <v>0</v>
      </c>
      <c r="N43" s="32">
        <v>0</v>
      </c>
      <c r="O43" s="55">
        <v>0</v>
      </c>
      <c r="P43" s="3"/>
      <c r="Q43" s="3"/>
      <c r="R43" s="3"/>
      <c r="S43" s="3"/>
    </row>
    <row r="44" spans="1:19" x14ac:dyDescent="0.2">
      <c r="A44" s="3"/>
      <c r="B44" s="3"/>
      <c r="C44" s="54">
        <v>2049</v>
      </c>
      <c r="D44" s="80">
        <v>546.89445469999998</v>
      </c>
      <c r="E44" s="80">
        <v>305.18663759999998</v>
      </c>
      <c r="F44" s="80">
        <v>305.18663759999998</v>
      </c>
      <c r="G44" s="80">
        <v>2869</v>
      </c>
      <c r="H44" s="80">
        <v>1600</v>
      </c>
      <c r="I44" s="80">
        <v>1600</v>
      </c>
      <c r="J44" s="32">
        <v>0</v>
      </c>
      <c r="K44" s="32">
        <v>0</v>
      </c>
      <c r="L44" s="32">
        <v>0</v>
      </c>
      <c r="M44" s="32">
        <v>0</v>
      </c>
      <c r="N44" s="32">
        <v>0</v>
      </c>
      <c r="O44" s="55">
        <v>0</v>
      </c>
      <c r="P44" s="3"/>
      <c r="Q44" s="3"/>
      <c r="R44" s="3"/>
      <c r="S44" s="3"/>
    </row>
    <row r="45" spans="1:19" x14ac:dyDescent="0.2">
      <c r="A45" s="3"/>
      <c r="B45" s="3"/>
      <c r="C45" s="54">
        <v>2050</v>
      </c>
      <c r="D45" s="80">
        <v>542.23657100000003</v>
      </c>
      <c r="E45" s="80">
        <v>302.5873722</v>
      </c>
      <c r="F45" s="80">
        <v>302.5873722</v>
      </c>
      <c r="G45" s="80">
        <v>2869</v>
      </c>
      <c r="H45" s="80">
        <v>1600</v>
      </c>
      <c r="I45" s="80">
        <v>1600</v>
      </c>
      <c r="J45" s="32">
        <v>0</v>
      </c>
      <c r="K45" s="32">
        <v>0</v>
      </c>
      <c r="L45" s="32">
        <v>0</v>
      </c>
      <c r="M45" s="32">
        <v>0</v>
      </c>
      <c r="N45" s="32">
        <v>0</v>
      </c>
      <c r="O45" s="55">
        <v>0</v>
      </c>
      <c r="P45" s="3"/>
      <c r="Q45" s="3"/>
      <c r="R45" s="3"/>
      <c r="S45" s="3"/>
    </row>
    <row r="46" spans="1:19" x14ac:dyDescent="0.2">
      <c r="A46" s="3"/>
      <c r="B46" s="3"/>
      <c r="C46" s="54">
        <v>2051</v>
      </c>
      <c r="D46" s="80">
        <v>542.23657100000003</v>
      </c>
      <c r="E46" s="80">
        <v>302.5873722</v>
      </c>
      <c r="F46" s="80">
        <v>302.5873722</v>
      </c>
      <c r="G46" s="80">
        <v>2869</v>
      </c>
      <c r="H46" s="80">
        <v>1600</v>
      </c>
      <c r="I46" s="80">
        <v>1600</v>
      </c>
      <c r="J46" s="32">
        <v>0</v>
      </c>
      <c r="K46" s="32">
        <v>0</v>
      </c>
      <c r="L46" s="32">
        <v>0</v>
      </c>
      <c r="M46" s="32">
        <v>0</v>
      </c>
      <c r="N46" s="32">
        <v>0</v>
      </c>
      <c r="O46" s="55">
        <v>0</v>
      </c>
      <c r="P46" s="3"/>
      <c r="Q46" s="3"/>
      <c r="R46" s="3"/>
      <c r="S46" s="3"/>
    </row>
    <row r="47" spans="1:19" x14ac:dyDescent="0.2">
      <c r="A47" s="3"/>
      <c r="B47" s="3"/>
      <c r="C47" s="54">
        <v>2052</v>
      </c>
      <c r="D47" s="80">
        <v>542.23657100000003</v>
      </c>
      <c r="E47" s="80">
        <v>302.5873722</v>
      </c>
      <c r="F47" s="80">
        <v>302.5873722</v>
      </c>
      <c r="G47" s="80">
        <v>2869</v>
      </c>
      <c r="H47" s="80">
        <v>1600</v>
      </c>
      <c r="I47" s="80">
        <v>1600</v>
      </c>
      <c r="J47" s="32">
        <v>0</v>
      </c>
      <c r="K47" s="32">
        <v>0</v>
      </c>
      <c r="L47" s="32">
        <v>0</v>
      </c>
      <c r="M47" s="32">
        <v>0</v>
      </c>
      <c r="N47" s="32">
        <v>0</v>
      </c>
      <c r="O47" s="55">
        <v>0</v>
      </c>
      <c r="P47" s="3"/>
      <c r="Q47" s="3"/>
      <c r="R47" s="3"/>
      <c r="S47" s="3"/>
    </row>
    <row r="48" spans="1:19" x14ac:dyDescent="0.2">
      <c r="A48" s="3"/>
      <c r="B48" s="3"/>
      <c r="C48" s="54">
        <v>2053</v>
      </c>
      <c r="D48" s="80">
        <v>542.23657100000003</v>
      </c>
      <c r="E48" s="80">
        <v>302.5873722</v>
      </c>
      <c r="F48" s="80">
        <v>302.5873722</v>
      </c>
      <c r="G48" s="80">
        <v>2869</v>
      </c>
      <c r="H48" s="80">
        <v>1600</v>
      </c>
      <c r="I48" s="80">
        <v>1600</v>
      </c>
      <c r="J48" s="32">
        <v>0</v>
      </c>
      <c r="K48" s="32">
        <v>0</v>
      </c>
      <c r="L48" s="32">
        <v>0</v>
      </c>
      <c r="M48" s="32">
        <v>0</v>
      </c>
      <c r="N48" s="32">
        <v>0</v>
      </c>
      <c r="O48" s="55">
        <v>0</v>
      </c>
      <c r="P48" s="3"/>
      <c r="Q48" s="3"/>
      <c r="R48" s="3"/>
      <c r="S48" s="3"/>
    </row>
    <row r="49" spans="1:19" x14ac:dyDescent="0.2">
      <c r="A49" s="3"/>
      <c r="B49" s="3"/>
      <c r="C49" s="54">
        <v>2054</v>
      </c>
      <c r="D49" s="80">
        <v>542.23657100000003</v>
      </c>
      <c r="E49" s="80">
        <v>302.5873722</v>
      </c>
      <c r="F49" s="80">
        <v>302.5873722</v>
      </c>
      <c r="G49" s="80">
        <v>2869</v>
      </c>
      <c r="H49" s="80">
        <v>1600</v>
      </c>
      <c r="I49" s="80">
        <v>1600</v>
      </c>
      <c r="J49" s="32">
        <v>0</v>
      </c>
      <c r="K49" s="32">
        <v>0</v>
      </c>
      <c r="L49" s="32">
        <v>0</v>
      </c>
      <c r="M49" s="32">
        <v>0</v>
      </c>
      <c r="N49" s="32">
        <v>0</v>
      </c>
      <c r="O49" s="55">
        <v>0</v>
      </c>
      <c r="P49" s="3"/>
      <c r="Q49" s="3"/>
      <c r="R49" s="3"/>
      <c r="S49" s="3"/>
    </row>
    <row r="50" spans="1:19" x14ac:dyDescent="0.2">
      <c r="A50" s="3"/>
      <c r="B50" s="3"/>
      <c r="C50" s="54">
        <v>2055</v>
      </c>
      <c r="D50" s="80">
        <v>542.23657100000003</v>
      </c>
      <c r="E50" s="80">
        <v>302.5873722</v>
      </c>
      <c r="F50" s="80">
        <v>302.5873722</v>
      </c>
      <c r="G50" s="80">
        <v>2869</v>
      </c>
      <c r="H50" s="80">
        <v>1600</v>
      </c>
      <c r="I50" s="80">
        <v>1600</v>
      </c>
      <c r="J50" s="32">
        <v>0</v>
      </c>
      <c r="K50" s="32">
        <v>0</v>
      </c>
      <c r="L50" s="32">
        <v>0</v>
      </c>
      <c r="M50" s="32">
        <v>0</v>
      </c>
      <c r="N50" s="32">
        <v>0</v>
      </c>
      <c r="O50" s="55">
        <v>0</v>
      </c>
      <c r="P50" s="3"/>
      <c r="Q50" s="3"/>
      <c r="R50" s="3"/>
      <c r="S50" s="3"/>
    </row>
    <row r="51" spans="1:19" x14ac:dyDescent="0.2">
      <c r="A51" s="3"/>
      <c r="B51" s="3"/>
      <c r="C51" s="54">
        <v>2056</v>
      </c>
      <c r="D51" s="80">
        <v>542.23657100000003</v>
      </c>
      <c r="E51" s="80">
        <v>302.5873722</v>
      </c>
      <c r="F51" s="80">
        <v>302.5873722</v>
      </c>
      <c r="G51" s="80">
        <v>2869</v>
      </c>
      <c r="H51" s="80">
        <v>1600</v>
      </c>
      <c r="I51" s="80">
        <v>1600</v>
      </c>
      <c r="J51" s="32">
        <v>0</v>
      </c>
      <c r="K51" s="32">
        <v>0</v>
      </c>
      <c r="L51" s="32">
        <v>0</v>
      </c>
      <c r="M51" s="32">
        <v>0</v>
      </c>
      <c r="N51" s="32">
        <v>0</v>
      </c>
      <c r="O51" s="55">
        <v>0</v>
      </c>
      <c r="P51" s="3"/>
      <c r="Q51" s="3"/>
      <c r="R51" s="3"/>
      <c r="S51" s="3"/>
    </row>
    <row r="52" spans="1:19" x14ac:dyDescent="0.2">
      <c r="A52" s="3"/>
      <c r="B52" s="3"/>
      <c r="C52" s="54">
        <v>2057</v>
      </c>
      <c r="D52" s="80">
        <v>542.23657100000003</v>
      </c>
      <c r="E52" s="80">
        <v>302.5873722</v>
      </c>
      <c r="F52" s="80">
        <v>302.5873722</v>
      </c>
      <c r="G52" s="80">
        <v>2869</v>
      </c>
      <c r="H52" s="80">
        <v>1600</v>
      </c>
      <c r="I52" s="80">
        <v>1600</v>
      </c>
      <c r="J52" s="32">
        <v>0</v>
      </c>
      <c r="K52" s="32">
        <v>0</v>
      </c>
      <c r="L52" s="32">
        <v>0</v>
      </c>
      <c r="M52" s="32">
        <v>0</v>
      </c>
      <c r="N52" s="32">
        <v>0</v>
      </c>
      <c r="O52" s="55">
        <v>0</v>
      </c>
      <c r="P52" s="3"/>
      <c r="Q52" s="3"/>
      <c r="R52" s="3"/>
      <c r="S52" s="3"/>
    </row>
    <row r="53" spans="1:19" x14ac:dyDescent="0.2">
      <c r="A53" s="3"/>
      <c r="B53" s="3"/>
      <c r="C53" s="54">
        <v>2058</v>
      </c>
      <c r="D53" s="80">
        <v>542.23657100000003</v>
      </c>
      <c r="E53" s="80">
        <v>302.5873722</v>
      </c>
      <c r="F53" s="80">
        <v>302.5873722</v>
      </c>
      <c r="G53" s="80">
        <v>2869</v>
      </c>
      <c r="H53" s="80">
        <v>1600</v>
      </c>
      <c r="I53" s="80">
        <v>1600</v>
      </c>
      <c r="J53" s="32">
        <v>0</v>
      </c>
      <c r="K53" s="32">
        <v>0</v>
      </c>
      <c r="L53" s="32">
        <v>0</v>
      </c>
      <c r="M53" s="32">
        <v>0</v>
      </c>
      <c r="N53" s="32">
        <v>0</v>
      </c>
      <c r="O53" s="55">
        <v>0</v>
      </c>
      <c r="P53" s="3"/>
      <c r="Q53" s="3"/>
      <c r="R53" s="3"/>
      <c r="S53" s="3"/>
    </row>
    <row r="54" spans="1:19" x14ac:dyDescent="0.2">
      <c r="A54" s="3"/>
      <c r="B54" s="3"/>
      <c r="C54" s="54">
        <v>2059</v>
      </c>
      <c r="D54" s="80">
        <v>542.23657100000003</v>
      </c>
      <c r="E54" s="80">
        <v>302.5873722</v>
      </c>
      <c r="F54" s="80">
        <v>302.5873722</v>
      </c>
      <c r="G54" s="80">
        <v>2869</v>
      </c>
      <c r="H54" s="80">
        <v>1600</v>
      </c>
      <c r="I54" s="80">
        <v>1600</v>
      </c>
      <c r="J54" s="32">
        <v>0</v>
      </c>
      <c r="K54" s="32">
        <v>0</v>
      </c>
      <c r="L54" s="32">
        <v>0</v>
      </c>
      <c r="M54" s="32">
        <v>0</v>
      </c>
      <c r="N54" s="32">
        <v>0</v>
      </c>
      <c r="O54" s="55">
        <v>0</v>
      </c>
      <c r="P54" s="3"/>
      <c r="Q54" s="3"/>
      <c r="R54" s="3"/>
      <c r="S54" s="3"/>
    </row>
    <row r="55" spans="1:19" x14ac:dyDescent="0.2">
      <c r="A55" s="3"/>
      <c r="B55" s="3"/>
      <c r="C55" s="54">
        <v>2060</v>
      </c>
      <c r="D55" s="80">
        <v>542.23657100000003</v>
      </c>
      <c r="E55" s="80">
        <v>302.5873722</v>
      </c>
      <c r="F55" s="80">
        <v>302.5873722</v>
      </c>
      <c r="G55" s="80">
        <v>2869</v>
      </c>
      <c r="H55" s="80">
        <v>1600</v>
      </c>
      <c r="I55" s="80">
        <v>1600</v>
      </c>
      <c r="J55" s="32">
        <v>0</v>
      </c>
      <c r="K55" s="32">
        <v>0</v>
      </c>
      <c r="L55" s="32">
        <v>0</v>
      </c>
      <c r="M55" s="32">
        <v>0</v>
      </c>
      <c r="N55" s="32">
        <v>0</v>
      </c>
      <c r="O55" s="55">
        <v>0</v>
      </c>
      <c r="P55" s="3"/>
      <c r="Q55" s="3"/>
      <c r="R55" s="3"/>
      <c r="S55" s="3"/>
    </row>
    <row r="56" spans="1:19" x14ac:dyDescent="0.2">
      <c r="A56" s="3"/>
      <c r="B56" s="3"/>
      <c r="C56" s="54">
        <v>2061</v>
      </c>
      <c r="D56" s="80">
        <v>542.23657100000003</v>
      </c>
      <c r="E56" s="80">
        <v>302.5873722</v>
      </c>
      <c r="F56" s="80">
        <v>302.5873722</v>
      </c>
      <c r="G56" s="80">
        <v>2869</v>
      </c>
      <c r="H56" s="80">
        <v>1600</v>
      </c>
      <c r="I56" s="80">
        <v>1600</v>
      </c>
      <c r="J56" s="32">
        <v>0</v>
      </c>
      <c r="K56" s="32">
        <v>0</v>
      </c>
      <c r="L56" s="32">
        <v>0</v>
      </c>
      <c r="M56" s="32">
        <v>0</v>
      </c>
      <c r="N56" s="32">
        <v>0</v>
      </c>
      <c r="O56" s="55">
        <v>0</v>
      </c>
      <c r="P56" s="3"/>
      <c r="Q56" s="3"/>
      <c r="R56" s="3"/>
      <c r="S56" s="3"/>
    </row>
    <row r="57" spans="1:19" x14ac:dyDescent="0.2">
      <c r="A57" s="3"/>
      <c r="B57" s="3"/>
      <c r="C57" s="54">
        <v>2062</v>
      </c>
      <c r="D57" s="80">
        <v>542.23657100000003</v>
      </c>
      <c r="E57" s="80">
        <v>302.5873722</v>
      </c>
      <c r="F57" s="80">
        <v>302.5873722</v>
      </c>
      <c r="G57" s="80">
        <v>2869</v>
      </c>
      <c r="H57" s="80">
        <v>1600</v>
      </c>
      <c r="I57" s="80">
        <v>1600</v>
      </c>
      <c r="J57" s="32">
        <v>0</v>
      </c>
      <c r="K57" s="32">
        <v>0</v>
      </c>
      <c r="L57" s="32">
        <v>0</v>
      </c>
      <c r="M57" s="32">
        <v>0</v>
      </c>
      <c r="N57" s="32">
        <v>0</v>
      </c>
      <c r="O57" s="55">
        <v>0</v>
      </c>
      <c r="P57" s="3"/>
      <c r="Q57" s="3"/>
      <c r="R57" s="3"/>
      <c r="S57" s="3"/>
    </row>
    <row r="58" spans="1:19" x14ac:dyDescent="0.2">
      <c r="A58" s="3"/>
      <c r="B58" s="3"/>
      <c r="C58" s="54">
        <v>2063</v>
      </c>
      <c r="D58" s="80">
        <v>542.23657100000003</v>
      </c>
      <c r="E58" s="80">
        <v>302.5873722</v>
      </c>
      <c r="F58" s="80">
        <v>302.5873722</v>
      </c>
      <c r="G58" s="80">
        <v>2869</v>
      </c>
      <c r="H58" s="80">
        <v>1600</v>
      </c>
      <c r="I58" s="80">
        <v>1600</v>
      </c>
      <c r="J58" s="32">
        <v>0</v>
      </c>
      <c r="K58" s="32">
        <v>0</v>
      </c>
      <c r="L58" s="32">
        <v>0</v>
      </c>
      <c r="M58" s="32">
        <v>0</v>
      </c>
      <c r="N58" s="32">
        <v>0</v>
      </c>
      <c r="O58" s="55">
        <v>0</v>
      </c>
      <c r="P58" s="3"/>
      <c r="Q58" s="3"/>
      <c r="R58" s="3"/>
      <c r="S58" s="3"/>
    </row>
    <row r="59" spans="1:19" x14ac:dyDescent="0.2">
      <c r="A59" s="3"/>
      <c r="B59" s="3"/>
      <c r="C59" s="54">
        <v>2064</v>
      </c>
      <c r="D59" s="80">
        <v>542.23657100000003</v>
      </c>
      <c r="E59" s="80">
        <v>302.5873722</v>
      </c>
      <c r="F59" s="80">
        <v>302.5873722</v>
      </c>
      <c r="G59" s="80">
        <v>2869</v>
      </c>
      <c r="H59" s="80">
        <v>1600</v>
      </c>
      <c r="I59" s="80">
        <v>1600</v>
      </c>
      <c r="J59" s="32">
        <v>0</v>
      </c>
      <c r="K59" s="32">
        <v>0</v>
      </c>
      <c r="L59" s="32">
        <v>0</v>
      </c>
      <c r="M59" s="32">
        <v>0</v>
      </c>
      <c r="N59" s="32">
        <v>0</v>
      </c>
      <c r="O59" s="55">
        <v>0</v>
      </c>
      <c r="P59" s="3"/>
      <c r="Q59" s="3"/>
      <c r="R59" s="3"/>
      <c r="S59" s="3"/>
    </row>
    <row r="60" spans="1:19" x14ac:dyDescent="0.2">
      <c r="A60" s="3"/>
      <c r="B60" s="3"/>
      <c r="C60" s="54">
        <v>2065</v>
      </c>
      <c r="D60" s="80">
        <v>542.23657100000003</v>
      </c>
      <c r="E60" s="80">
        <v>302.5873722</v>
      </c>
      <c r="F60" s="80">
        <v>302.5873722</v>
      </c>
      <c r="G60" s="80">
        <v>2869</v>
      </c>
      <c r="H60" s="80">
        <v>1600</v>
      </c>
      <c r="I60" s="80">
        <v>1600</v>
      </c>
      <c r="J60" s="32">
        <v>0</v>
      </c>
      <c r="K60" s="32">
        <v>0</v>
      </c>
      <c r="L60" s="32">
        <v>0</v>
      </c>
      <c r="M60" s="32">
        <v>0</v>
      </c>
      <c r="N60" s="32">
        <v>0</v>
      </c>
      <c r="O60" s="55">
        <v>0</v>
      </c>
      <c r="P60" s="3"/>
      <c r="Q60" s="3"/>
      <c r="R60" s="3"/>
      <c r="S60" s="3"/>
    </row>
    <row r="61" spans="1:19" x14ac:dyDescent="0.2">
      <c r="A61" s="3"/>
      <c r="B61" s="3"/>
      <c r="C61" s="54">
        <v>2066</v>
      </c>
      <c r="D61" s="80">
        <v>542.23657100000003</v>
      </c>
      <c r="E61" s="80">
        <v>302.5873722</v>
      </c>
      <c r="F61" s="80">
        <v>302.5873722</v>
      </c>
      <c r="G61" s="80">
        <v>2869</v>
      </c>
      <c r="H61" s="80">
        <v>1600</v>
      </c>
      <c r="I61" s="80">
        <v>1600</v>
      </c>
      <c r="J61" s="32">
        <v>0</v>
      </c>
      <c r="K61" s="32">
        <v>0</v>
      </c>
      <c r="L61" s="32">
        <v>0</v>
      </c>
      <c r="M61" s="32">
        <v>0</v>
      </c>
      <c r="N61" s="32">
        <v>0</v>
      </c>
      <c r="O61" s="55">
        <v>0</v>
      </c>
      <c r="P61" s="3"/>
      <c r="Q61" s="3"/>
      <c r="R61" s="3"/>
      <c r="S61" s="3"/>
    </row>
    <row r="62" spans="1:19" x14ac:dyDescent="0.2">
      <c r="A62" s="3"/>
      <c r="B62" s="3"/>
      <c r="C62" s="54">
        <v>2067</v>
      </c>
      <c r="D62" s="80">
        <v>542.23657100000003</v>
      </c>
      <c r="E62" s="80">
        <v>302.5873722</v>
      </c>
      <c r="F62" s="80">
        <v>302.5873722</v>
      </c>
      <c r="G62" s="80">
        <v>2869</v>
      </c>
      <c r="H62" s="80">
        <v>1600</v>
      </c>
      <c r="I62" s="80">
        <v>1600</v>
      </c>
      <c r="J62" s="32">
        <v>0</v>
      </c>
      <c r="K62" s="32">
        <v>0</v>
      </c>
      <c r="L62" s="32">
        <v>0</v>
      </c>
      <c r="M62" s="32">
        <v>0</v>
      </c>
      <c r="N62" s="32">
        <v>0</v>
      </c>
      <c r="O62" s="55">
        <v>0</v>
      </c>
      <c r="P62" s="3"/>
      <c r="Q62" s="3"/>
      <c r="R62" s="3"/>
      <c r="S62" s="3"/>
    </row>
    <row r="63" spans="1:19" x14ac:dyDescent="0.2">
      <c r="A63" s="3"/>
      <c r="B63" s="3"/>
      <c r="C63" s="54">
        <v>2068</v>
      </c>
      <c r="D63" s="80">
        <v>542.23657100000003</v>
      </c>
      <c r="E63" s="80">
        <v>302.5873722</v>
      </c>
      <c r="F63" s="80">
        <v>302.5873722</v>
      </c>
      <c r="G63" s="80">
        <v>2869</v>
      </c>
      <c r="H63" s="80">
        <v>1600</v>
      </c>
      <c r="I63" s="80">
        <v>1600</v>
      </c>
      <c r="J63" s="32">
        <v>0</v>
      </c>
      <c r="K63" s="32">
        <v>0</v>
      </c>
      <c r="L63" s="32">
        <v>0</v>
      </c>
      <c r="M63" s="32">
        <v>0</v>
      </c>
      <c r="N63" s="32">
        <v>0</v>
      </c>
      <c r="O63" s="55">
        <v>0</v>
      </c>
      <c r="P63" s="3"/>
      <c r="Q63" s="3"/>
      <c r="R63" s="3"/>
      <c r="S63" s="3"/>
    </row>
    <row r="64" spans="1:19" x14ac:dyDescent="0.2">
      <c r="A64" s="3"/>
      <c r="B64" s="3"/>
      <c r="C64" s="54">
        <v>2069</v>
      </c>
      <c r="D64" s="80">
        <v>542.23657100000003</v>
      </c>
      <c r="E64" s="80">
        <v>302.5873722</v>
      </c>
      <c r="F64" s="80">
        <v>302.5873722</v>
      </c>
      <c r="G64" s="80">
        <v>2869</v>
      </c>
      <c r="H64" s="80">
        <v>1600</v>
      </c>
      <c r="I64" s="80">
        <v>1600</v>
      </c>
      <c r="J64" s="32">
        <v>0</v>
      </c>
      <c r="K64" s="32">
        <v>0</v>
      </c>
      <c r="L64" s="32">
        <v>0</v>
      </c>
      <c r="M64" s="32">
        <v>0</v>
      </c>
      <c r="N64" s="32">
        <v>0</v>
      </c>
      <c r="O64" s="55">
        <v>0</v>
      </c>
      <c r="P64" s="3"/>
      <c r="Q64" s="3"/>
      <c r="R64" s="3"/>
      <c r="S64" s="3"/>
    </row>
    <row r="65" spans="1:19" x14ac:dyDescent="0.2">
      <c r="A65" s="3"/>
      <c r="B65" s="3"/>
      <c r="C65" s="54">
        <v>2070</v>
      </c>
      <c r="D65" s="80">
        <v>542.23657100000003</v>
      </c>
      <c r="E65" s="80">
        <v>302.5873722</v>
      </c>
      <c r="F65" s="80">
        <v>302.5873722</v>
      </c>
      <c r="G65" s="80">
        <v>2869</v>
      </c>
      <c r="H65" s="80">
        <v>1600</v>
      </c>
      <c r="I65" s="80">
        <v>1600</v>
      </c>
      <c r="J65" s="32">
        <v>0</v>
      </c>
      <c r="K65" s="32">
        <v>0</v>
      </c>
      <c r="L65" s="32">
        <v>0</v>
      </c>
      <c r="M65" s="32">
        <v>0</v>
      </c>
      <c r="N65" s="32">
        <v>0</v>
      </c>
      <c r="O65" s="55">
        <v>0</v>
      </c>
      <c r="P65" s="3"/>
      <c r="Q65" s="3"/>
      <c r="R65" s="3"/>
      <c r="S65" s="3"/>
    </row>
    <row r="66" spans="1:19" x14ac:dyDescent="0.2">
      <c r="A66" s="3"/>
      <c r="B66" s="3"/>
      <c r="C66" s="54">
        <v>2071</v>
      </c>
      <c r="D66" s="80">
        <v>542.23657100000003</v>
      </c>
      <c r="E66" s="80">
        <v>302.5873722</v>
      </c>
      <c r="F66" s="80">
        <v>302.5873722</v>
      </c>
      <c r="G66" s="80">
        <v>2869</v>
      </c>
      <c r="H66" s="80">
        <v>1600</v>
      </c>
      <c r="I66" s="80">
        <v>1600</v>
      </c>
      <c r="J66" s="32">
        <v>0</v>
      </c>
      <c r="K66" s="32">
        <v>0</v>
      </c>
      <c r="L66" s="32">
        <v>0</v>
      </c>
      <c r="M66" s="32">
        <v>0</v>
      </c>
      <c r="N66" s="32">
        <v>0</v>
      </c>
      <c r="O66" s="55">
        <v>0</v>
      </c>
      <c r="P66" s="3"/>
      <c r="Q66" s="3"/>
      <c r="R66" s="3"/>
      <c r="S66" s="3"/>
    </row>
    <row r="67" spans="1:19" x14ac:dyDescent="0.2">
      <c r="A67" s="3"/>
      <c r="B67" s="3"/>
      <c r="C67" s="54">
        <v>2072</v>
      </c>
      <c r="D67" s="80">
        <v>542.23657100000003</v>
      </c>
      <c r="E67" s="80">
        <v>302.5873722</v>
      </c>
      <c r="F67" s="80">
        <v>302.5873722</v>
      </c>
      <c r="G67" s="80">
        <v>2869</v>
      </c>
      <c r="H67" s="80">
        <v>1600</v>
      </c>
      <c r="I67" s="80">
        <v>1600</v>
      </c>
      <c r="J67" s="32">
        <v>0</v>
      </c>
      <c r="K67" s="32">
        <v>0</v>
      </c>
      <c r="L67" s="32">
        <v>0</v>
      </c>
      <c r="M67" s="32">
        <v>0</v>
      </c>
      <c r="N67" s="32">
        <v>0</v>
      </c>
      <c r="O67" s="55">
        <v>0</v>
      </c>
      <c r="P67" s="3"/>
      <c r="Q67" s="3"/>
      <c r="R67" s="3"/>
      <c r="S67" s="3"/>
    </row>
    <row r="68" spans="1:19" x14ac:dyDescent="0.2">
      <c r="A68" s="3"/>
      <c r="B68" s="3"/>
      <c r="C68" s="54">
        <v>2073</v>
      </c>
      <c r="D68" s="80">
        <v>542.23657100000003</v>
      </c>
      <c r="E68" s="80">
        <v>302.5873722</v>
      </c>
      <c r="F68" s="80">
        <v>302.5873722</v>
      </c>
      <c r="G68" s="80">
        <v>2869</v>
      </c>
      <c r="H68" s="80">
        <v>1600</v>
      </c>
      <c r="I68" s="80">
        <v>1600</v>
      </c>
      <c r="J68" s="32">
        <v>0</v>
      </c>
      <c r="K68" s="32">
        <v>0</v>
      </c>
      <c r="L68" s="32">
        <v>0</v>
      </c>
      <c r="M68" s="32">
        <v>0</v>
      </c>
      <c r="N68" s="32">
        <v>0</v>
      </c>
      <c r="O68" s="55">
        <v>0</v>
      </c>
      <c r="P68" s="3"/>
      <c r="Q68" s="3"/>
      <c r="R68" s="3"/>
      <c r="S68" s="3"/>
    </row>
    <row r="69" spans="1:19" x14ac:dyDescent="0.2">
      <c r="A69" s="3"/>
      <c r="B69" s="3"/>
      <c r="C69" s="54">
        <v>2074</v>
      </c>
      <c r="D69" s="80">
        <v>542.23657100000003</v>
      </c>
      <c r="E69" s="80">
        <v>302.5873722</v>
      </c>
      <c r="F69" s="80">
        <v>302.5873722</v>
      </c>
      <c r="G69" s="80">
        <v>2869</v>
      </c>
      <c r="H69" s="80">
        <v>1600</v>
      </c>
      <c r="I69" s="80">
        <v>1600</v>
      </c>
      <c r="J69" s="32">
        <v>0</v>
      </c>
      <c r="K69" s="32">
        <v>0</v>
      </c>
      <c r="L69" s="32">
        <v>0</v>
      </c>
      <c r="M69" s="32">
        <v>0</v>
      </c>
      <c r="N69" s="32">
        <v>0</v>
      </c>
      <c r="O69" s="55">
        <v>0</v>
      </c>
      <c r="P69" s="3"/>
      <c r="Q69" s="3"/>
      <c r="R69" s="3"/>
      <c r="S69" s="3"/>
    </row>
    <row r="70" spans="1:19" ht="17" thickBot="1" x14ac:dyDescent="0.25">
      <c r="A70" s="3"/>
      <c r="B70" s="3"/>
      <c r="C70" s="56">
        <v>2075</v>
      </c>
      <c r="D70" s="81">
        <v>542.23657100000003</v>
      </c>
      <c r="E70" s="81">
        <v>302.5873722</v>
      </c>
      <c r="F70" s="81">
        <v>302.5873722</v>
      </c>
      <c r="G70" s="81">
        <v>2869</v>
      </c>
      <c r="H70" s="81">
        <v>1600</v>
      </c>
      <c r="I70" s="81">
        <v>1600</v>
      </c>
      <c r="J70" s="57">
        <v>0</v>
      </c>
      <c r="K70" s="57">
        <v>0</v>
      </c>
      <c r="L70" s="57">
        <v>0</v>
      </c>
      <c r="M70" s="57">
        <v>0</v>
      </c>
      <c r="N70" s="57">
        <v>0</v>
      </c>
      <c r="O70" s="58">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8"/>
    </row>
    <row r="73" spans="1:19" x14ac:dyDescent="0.2">
      <c r="B73" s="28"/>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B4" sqref="B4:N4"/>
    </sheetView>
  </sheetViews>
  <sheetFormatPr baseColWidth="10" defaultRowHeight="16" x14ac:dyDescent="0.2"/>
  <cols>
    <col min="1" max="1" width="17.6640625" customWidth="1"/>
  </cols>
  <sheetData>
    <row r="1" spans="1:18" ht="28" x14ac:dyDescent="0.3">
      <c r="A1" s="38" t="s">
        <v>66</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3" t="s">
        <v>28</v>
      </c>
      <c r="C3" s="113" t="s">
        <v>62</v>
      </c>
      <c r="D3" s="113"/>
      <c r="E3" s="113"/>
      <c r="F3" s="114" t="s">
        <v>63</v>
      </c>
      <c r="G3" s="114"/>
      <c r="H3" s="114"/>
      <c r="I3" s="114" t="s">
        <v>64</v>
      </c>
      <c r="J3" s="114"/>
      <c r="K3" s="114"/>
      <c r="L3" s="114" t="s">
        <v>67</v>
      </c>
      <c r="M3" s="114"/>
      <c r="N3" s="114"/>
      <c r="O3" s="114" t="s">
        <v>68</v>
      </c>
      <c r="P3" s="114"/>
      <c r="Q3" s="114"/>
      <c r="R3" s="3"/>
    </row>
    <row r="4" spans="1:18" ht="17" thickBot="1" x14ac:dyDescent="0.25">
      <c r="A4" s="3"/>
      <c r="B4" s="34"/>
      <c r="C4" s="34" t="s">
        <v>29</v>
      </c>
      <c r="D4" s="34" t="s">
        <v>30</v>
      </c>
      <c r="E4" s="34" t="s">
        <v>31</v>
      </c>
      <c r="F4" s="34" t="s">
        <v>29</v>
      </c>
      <c r="G4" s="34" t="s">
        <v>30</v>
      </c>
      <c r="H4" s="34" t="s">
        <v>31</v>
      </c>
      <c r="I4" s="34" t="s">
        <v>29</v>
      </c>
      <c r="J4" s="34" t="s">
        <v>30</v>
      </c>
      <c r="K4" s="34" t="s">
        <v>31</v>
      </c>
      <c r="L4" s="34" t="s">
        <v>29</v>
      </c>
      <c r="M4" s="34" t="s">
        <v>30</v>
      </c>
      <c r="N4" s="34" t="s">
        <v>31</v>
      </c>
      <c r="O4" s="34" t="s">
        <v>29</v>
      </c>
      <c r="P4" s="34" t="s">
        <v>30</v>
      </c>
      <c r="Q4" s="34" t="s">
        <v>31</v>
      </c>
      <c r="R4" s="3"/>
    </row>
    <row r="5" spans="1:18" x14ac:dyDescent="0.2">
      <c r="A5" s="3"/>
      <c r="B5" s="59">
        <v>2014</v>
      </c>
      <c r="C5" s="95">
        <v>3284.9810950000001</v>
      </c>
      <c r="D5" s="95">
        <v>2699.0704730000002</v>
      </c>
      <c r="E5" s="95">
        <v>2699.0704730000002</v>
      </c>
      <c r="F5" s="60">
        <v>20</v>
      </c>
      <c r="G5" s="60">
        <v>15</v>
      </c>
      <c r="H5" s="60">
        <v>15</v>
      </c>
      <c r="I5" s="60">
        <v>0</v>
      </c>
      <c r="J5" s="60">
        <v>0</v>
      </c>
      <c r="K5" s="60">
        <v>0</v>
      </c>
      <c r="L5" s="98">
        <v>5.0000000000000001E-3</v>
      </c>
      <c r="M5" s="98">
        <v>5.0000000000000001E-3</v>
      </c>
      <c r="N5" s="98">
        <v>5.0000000000000001E-3</v>
      </c>
      <c r="O5" s="101">
        <v>13.942593690000001</v>
      </c>
      <c r="P5" s="101">
        <v>13.942593690000001</v>
      </c>
      <c r="Q5" s="102">
        <v>13.942593690000001</v>
      </c>
      <c r="R5" s="3"/>
    </row>
    <row r="6" spans="1:18" x14ac:dyDescent="0.2">
      <c r="A6" s="3"/>
      <c r="B6" s="61">
        <v>2015</v>
      </c>
      <c r="C6" s="96">
        <v>3096.324736</v>
      </c>
      <c r="D6" s="96">
        <v>2249.1145940000001</v>
      </c>
      <c r="E6" s="96">
        <v>2249.1145940000001</v>
      </c>
      <c r="F6" s="62">
        <v>20</v>
      </c>
      <c r="G6" s="62">
        <v>15</v>
      </c>
      <c r="H6" s="62">
        <v>15</v>
      </c>
      <c r="I6" s="62">
        <v>0</v>
      </c>
      <c r="J6" s="62">
        <v>0</v>
      </c>
      <c r="K6" s="62">
        <v>0</v>
      </c>
      <c r="L6" s="99">
        <f>L5</f>
        <v>5.0000000000000001E-3</v>
      </c>
      <c r="M6" s="99">
        <f t="shared" ref="M6:N6" si="0">M5</f>
        <v>5.0000000000000001E-3</v>
      </c>
      <c r="N6" s="99">
        <f t="shared" si="0"/>
        <v>5.0000000000000001E-3</v>
      </c>
      <c r="O6" s="96">
        <v>14.407346820000001</v>
      </c>
      <c r="P6" s="96">
        <v>14.407346820000001</v>
      </c>
      <c r="Q6" s="103">
        <v>14.407346820000001</v>
      </c>
      <c r="R6" s="3"/>
    </row>
    <row r="7" spans="1:18" x14ac:dyDescent="0.2">
      <c r="A7" s="3"/>
      <c r="B7" s="61">
        <v>2016</v>
      </c>
      <c r="C7" s="96">
        <v>3096.324736</v>
      </c>
      <c r="D7" s="96">
        <v>2249.1145940000001</v>
      </c>
      <c r="E7" s="96">
        <v>2249.1145940000001</v>
      </c>
      <c r="F7" s="62">
        <v>20</v>
      </c>
      <c r="G7" s="62">
        <v>15</v>
      </c>
      <c r="H7" s="62">
        <v>15</v>
      </c>
      <c r="I7" s="62">
        <v>0</v>
      </c>
      <c r="J7" s="62">
        <v>0</v>
      </c>
      <c r="K7" s="62">
        <v>0</v>
      </c>
      <c r="L7" s="99">
        <f t="shared" ref="L7:L32" si="1">L6</f>
        <v>5.0000000000000001E-3</v>
      </c>
      <c r="M7" s="99">
        <f t="shared" ref="M7:M33" si="2">M6</f>
        <v>5.0000000000000001E-3</v>
      </c>
      <c r="N7" s="99">
        <f t="shared" ref="N7:N33" si="3">N6</f>
        <v>5.0000000000000001E-3</v>
      </c>
      <c r="O7" s="96">
        <v>14.87209994</v>
      </c>
      <c r="P7" s="96">
        <v>14.87209994</v>
      </c>
      <c r="Q7" s="103">
        <v>14.87209994</v>
      </c>
      <c r="R7" s="3"/>
    </row>
    <row r="8" spans="1:18" x14ac:dyDescent="0.2">
      <c r="A8" s="3"/>
      <c r="B8" s="61">
        <v>2017</v>
      </c>
      <c r="C8" s="96">
        <v>3096.324736</v>
      </c>
      <c r="D8" s="96">
        <v>2249.1145940000001</v>
      </c>
      <c r="E8" s="96">
        <v>2249.1145940000001</v>
      </c>
      <c r="F8" s="62">
        <v>20</v>
      </c>
      <c r="G8" s="62">
        <v>15</v>
      </c>
      <c r="H8" s="62">
        <v>15</v>
      </c>
      <c r="I8" s="62">
        <v>0</v>
      </c>
      <c r="J8" s="62">
        <v>0</v>
      </c>
      <c r="K8" s="62">
        <v>0</v>
      </c>
      <c r="L8" s="99">
        <f t="shared" si="1"/>
        <v>5.0000000000000001E-3</v>
      </c>
      <c r="M8" s="99">
        <f t="shared" si="2"/>
        <v>5.0000000000000001E-3</v>
      </c>
      <c r="N8" s="99">
        <f t="shared" si="3"/>
        <v>5.0000000000000001E-3</v>
      </c>
      <c r="O8" s="96">
        <v>14.87209994</v>
      </c>
      <c r="P8" s="96">
        <v>14.87209994</v>
      </c>
      <c r="Q8" s="103">
        <v>14.87209994</v>
      </c>
      <c r="R8" s="3"/>
    </row>
    <row r="9" spans="1:18" x14ac:dyDescent="0.2">
      <c r="A9" s="3"/>
      <c r="B9" s="61">
        <v>2018</v>
      </c>
      <c r="C9" s="96">
        <v>3096.324736</v>
      </c>
      <c r="D9" s="96">
        <v>2249.1145940000001</v>
      </c>
      <c r="E9" s="96">
        <v>2249.1145940000001</v>
      </c>
      <c r="F9" s="62">
        <v>20</v>
      </c>
      <c r="G9" s="62">
        <v>15</v>
      </c>
      <c r="H9" s="62">
        <v>15</v>
      </c>
      <c r="I9" s="62">
        <v>0</v>
      </c>
      <c r="J9" s="62">
        <v>0</v>
      </c>
      <c r="K9" s="62">
        <v>0</v>
      </c>
      <c r="L9" s="99">
        <f t="shared" si="1"/>
        <v>5.0000000000000001E-3</v>
      </c>
      <c r="M9" s="99">
        <f t="shared" si="2"/>
        <v>5.0000000000000001E-3</v>
      </c>
      <c r="N9" s="99">
        <f t="shared" si="3"/>
        <v>5.0000000000000001E-3</v>
      </c>
      <c r="O9" s="96">
        <v>14.87209994</v>
      </c>
      <c r="P9" s="96">
        <v>14.87209994</v>
      </c>
      <c r="Q9" s="103">
        <v>14.87209994</v>
      </c>
      <c r="R9" s="3"/>
    </row>
    <row r="10" spans="1:18" x14ac:dyDescent="0.2">
      <c r="A10" s="3"/>
      <c r="B10" s="61">
        <v>2019</v>
      </c>
      <c r="C10" s="96">
        <v>3096.324736</v>
      </c>
      <c r="D10" s="96">
        <v>2249.1145940000001</v>
      </c>
      <c r="E10" s="96">
        <v>2249.1145940000001</v>
      </c>
      <c r="F10" s="62">
        <v>20</v>
      </c>
      <c r="G10" s="62">
        <v>15</v>
      </c>
      <c r="H10" s="62">
        <v>15</v>
      </c>
      <c r="I10" s="62">
        <v>0</v>
      </c>
      <c r="J10" s="62">
        <v>0</v>
      </c>
      <c r="K10" s="62">
        <v>0</v>
      </c>
      <c r="L10" s="99">
        <f t="shared" si="1"/>
        <v>5.0000000000000001E-3</v>
      </c>
      <c r="M10" s="99">
        <f t="shared" si="2"/>
        <v>5.0000000000000001E-3</v>
      </c>
      <c r="N10" s="99">
        <f t="shared" si="3"/>
        <v>5.0000000000000001E-3</v>
      </c>
      <c r="O10" s="96">
        <v>15.336853059999999</v>
      </c>
      <c r="P10" s="96">
        <v>15.336853059999999</v>
      </c>
      <c r="Q10" s="103">
        <v>15.336853059999999</v>
      </c>
      <c r="R10" s="3"/>
    </row>
    <row r="11" spans="1:18" x14ac:dyDescent="0.2">
      <c r="A11" s="3"/>
      <c r="B11" s="61">
        <v>2020</v>
      </c>
      <c r="C11" s="96">
        <v>3096.324736</v>
      </c>
      <c r="D11" s="96">
        <v>2249.1145940000001</v>
      </c>
      <c r="E11" s="96">
        <v>2249.1145940000001</v>
      </c>
      <c r="F11" s="62">
        <v>20</v>
      </c>
      <c r="G11" s="62">
        <v>15</v>
      </c>
      <c r="H11" s="62">
        <v>15</v>
      </c>
      <c r="I11" s="62">
        <v>0</v>
      </c>
      <c r="J11" s="62">
        <v>0</v>
      </c>
      <c r="K11" s="62">
        <v>0</v>
      </c>
      <c r="L11" s="99">
        <f t="shared" si="1"/>
        <v>5.0000000000000001E-3</v>
      </c>
      <c r="M11" s="99">
        <f t="shared" si="2"/>
        <v>5.0000000000000001E-3</v>
      </c>
      <c r="N11" s="99">
        <f t="shared" si="3"/>
        <v>5.0000000000000001E-3</v>
      </c>
      <c r="O11" s="96">
        <v>15.801606189999999</v>
      </c>
      <c r="P11" s="96">
        <v>15.801606189999999</v>
      </c>
      <c r="Q11" s="103">
        <v>15.801606189999999</v>
      </c>
      <c r="R11" s="3"/>
    </row>
    <row r="12" spans="1:18" x14ac:dyDescent="0.2">
      <c r="A12" s="3"/>
      <c r="B12" s="61">
        <v>2021</v>
      </c>
      <c r="C12" s="96">
        <v>3096.324736</v>
      </c>
      <c r="D12" s="96">
        <v>2249.1145940000001</v>
      </c>
      <c r="E12" s="96">
        <v>2249.1145940000001</v>
      </c>
      <c r="F12" s="62">
        <v>20</v>
      </c>
      <c r="G12" s="62">
        <v>15</v>
      </c>
      <c r="H12" s="62">
        <v>15</v>
      </c>
      <c r="I12" s="62">
        <v>0</v>
      </c>
      <c r="J12" s="62">
        <v>0</v>
      </c>
      <c r="K12" s="62">
        <v>0</v>
      </c>
      <c r="L12" s="99">
        <f t="shared" si="1"/>
        <v>5.0000000000000001E-3</v>
      </c>
      <c r="M12" s="99">
        <f t="shared" si="2"/>
        <v>5.0000000000000001E-3</v>
      </c>
      <c r="N12" s="99">
        <f t="shared" si="3"/>
        <v>5.0000000000000001E-3</v>
      </c>
      <c r="O12" s="96">
        <v>15.801606189999999</v>
      </c>
      <c r="P12" s="96">
        <v>15.801606189999999</v>
      </c>
      <c r="Q12" s="103">
        <v>15.801606189999999</v>
      </c>
      <c r="R12" s="3"/>
    </row>
    <row r="13" spans="1:18" x14ac:dyDescent="0.2">
      <c r="A13" s="3"/>
      <c r="B13" s="61">
        <v>2022</v>
      </c>
      <c r="C13" s="96">
        <v>3096.324736</v>
      </c>
      <c r="D13" s="96">
        <v>2249.1145940000001</v>
      </c>
      <c r="E13" s="96">
        <v>2249.1145940000001</v>
      </c>
      <c r="F13" s="62">
        <v>20</v>
      </c>
      <c r="G13" s="62">
        <v>15</v>
      </c>
      <c r="H13" s="62">
        <v>15</v>
      </c>
      <c r="I13" s="62">
        <v>0</v>
      </c>
      <c r="J13" s="62">
        <v>0</v>
      </c>
      <c r="K13" s="62">
        <v>0</v>
      </c>
      <c r="L13" s="99">
        <f t="shared" si="1"/>
        <v>5.0000000000000001E-3</v>
      </c>
      <c r="M13" s="99">
        <f t="shared" si="2"/>
        <v>5.0000000000000001E-3</v>
      </c>
      <c r="N13" s="99">
        <f t="shared" si="3"/>
        <v>5.0000000000000001E-3</v>
      </c>
      <c r="O13" s="96">
        <v>15.801606189999999</v>
      </c>
      <c r="P13" s="96">
        <v>15.801606189999999</v>
      </c>
      <c r="Q13" s="103">
        <v>15.801606189999999</v>
      </c>
      <c r="R13" s="3"/>
    </row>
    <row r="14" spans="1:18" x14ac:dyDescent="0.2">
      <c r="A14" s="3"/>
      <c r="B14" s="61">
        <v>2023</v>
      </c>
      <c r="C14" s="96">
        <v>3096.324736</v>
      </c>
      <c r="D14" s="96">
        <v>2249.1145940000001</v>
      </c>
      <c r="E14" s="96">
        <v>2249.1145940000001</v>
      </c>
      <c r="F14" s="62">
        <v>20</v>
      </c>
      <c r="G14" s="62">
        <v>15</v>
      </c>
      <c r="H14" s="62">
        <v>15</v>
      </c>
      <c r="I14" s="62">
        <v>0</v>
      </c>
      <c r="J14" s="62">
        <v>0</v>
      </c>
      <c r="K14" s="62">
        <v>0</v>
      </c>
      <c r="L14" s="99">
        <f t="shared" si="1"/>
        <v>5.0000000000000001E-3</v>
      </c>
      <c r="M14" s="99">
        <f t="shared" si="2"/>
        <v>5.0000000000000001E-3</v>
      </c>
      <c r="N14" s="99">
        <f t="shared" si="3"/>
        <v>5.0000000000000001E-3</v>
      </c>
      <c r="O14" s="96">
        <v>16.266359309999999</v>
      </c>
      <c r="P14" s="96">
        <v>16.266359309999999</v>
      </c>
      <c r="Q14" s="103">
        <v>16.266359309999999</v>
      </c>
      <c r="R14" s="3"/>
    </row>
    <row r="15" spans="1:18" x14ac:dyDescent="0.2">
      <c r="A15" s="3"/>
      <c r="B15" s="61">
        <v>2024</v>
      </c>
      <c r="C15" s="96">
        <v>3096.324736</v>
      </c>
      <c r="D15" s="96">
        <v>2249.1145940000001</v>
      </c>
      <c r="E15" s="96">
        <v>2249.1145940000001</v>
      </c>
      <c r="F15" s="62">
        <v>20</v>
      </c>
      <c r="G15" s="62">
        <v>15</v>
      </c>
      <c r="H15" s="62">
        <v>15</v>
      </c>
      <c r="I15" s="62">
        <v>0</v>
      </c>
      <c r="J15" s="62">
        <v>0</v>
      </c>
      <c r="K15" s="62">
        <v>0</v>
      </c>
      <c r="L15" s="99">
        <f t="shared" si="1"/>
        <v>5.0000000000000001E-3</v>
      </c>
      <c r="M15" s="99">
        <f t="shared" si="2"/>
        <v>5.0000000000000001E-3</v>
      </c>
      <c r="N15" s="99">
        <f t="shared" si="3"/>
        <v>5.0000000000000001E-3</v>
      </c>
      <c r="O15" s="96">
        <v>16.73111243</v>
      </c>
      <c r="P15" s="96">
        <v>16.73111243</v>
      </c>
      <c r="Q15" s="103">
        <v>16.73111243</v>
      </c>
      <c r="R15" s="3"/>
    </row>
    <row r="16" spans="1:18" x14ac:dyDescent="0.2">
      <c r="A16" s="3"/>
      <c r="B16" s="61">
        <v>2025</v>
      </c>
      <c r="C16" s="96">
        <v>3096.324736</v>
      </c>
      <c r="D16" s="96">
        <v>2249.1145940000001</v>
      </c>
      <c r="E16" s="96">
        <v>2249.1145940000001</v>
      </c>
      <c r="F16" s="62">
        <v>20</v>
      </c>
      <c r="G16" s="62">
        <v>15</v>
      </c>
      <c r="H16" s="62">
        <v>15</v>
      </c>
      <c r="I16" s="62">
        <v>0</v>
      </c>
      <c r="J16" s="62">
        <v>0</v>
      </c>
      <c r="K16" s="62">
        <v>0</v>
      </c>
      <c r="L16" s="99">
        <f t="shared" si="1"/>
        <v>5.0000000000000001E-3</v>
      </c>
      <c r="M16" s="99">
        <f t="shared" si="2"/>
        <v>5.0000000000000001E-3</v>
      </c>
      <c r="N16" s="99">
        <f t="shared" si="3"/>
        <v>5.0000000000000001E-3</v>
      </c>
      <c r="O16" s="96">
        <v>16.73111243</v>
      </c>
      <c r="P16" s="96">
        <v>16.73111243</v>
      </c>
      <c r="Q16" s="103">
        <v>16.73111243</v>
      </c>
      <c r="R16" s="3"/>
    </row>
    <row r="17" spans="1:18" x14ac:dyDescent="0.2">
      <c r="A17" s="3"/>
      <c r="B17" s="61">
        <v>2026</v>
      </c>
      <c r="C17" s="96">
        <v>3096.324736</v>
      </c>
      <c r="D17" s="96">
        <v>2249.1145940000001</v>
      </c>
      <c r="E17" s="96">
        <v>2249.1145940000001</v>
      </c>
      <c r="F17" s="62">
        <v>20</v>
      </c>
      <c r="G17" s="62">
        <v>15</v>
      </c>
      <c r="H17" s="62">
        <v>15</v>
      </c>
      <c r="I17" s="62">
        <v>0</v>
      </c>
      <c r="J17" s="62">
        <v>0</v>
      </c>
      <c r="K17" s="62">
        <v>0</v>
      </c>
      <c r="L17" s="99">
        <f t="shared" si="1"/>
        <v>5.0000000000000001E-3</v>
      </c>
      <c r="M17" s="99">
        <f t="shared" si="2"/>
        <v>5.0000000000000001E-3</v>
      </c>
      <c r="N17" s="99">
        <f t="shared" si="3"/>
        <v>5.0000000000000001E-3</v>
      </c>
      <c r="O17" s="96">
        <v>16.73111243</v>
      </c>
      <c r="P17" s="96">
        <v>16.73111243</v>
      </c>
      <c r="Q17" s="103">
        <v>16.73111243</v>
      </c>
      <c r="R17" s="3"/>
    </row>
    <row r="18" spans="1:18" x14ac:dyDescent="0.2">
      <c r="A18" s="3"/>
      <c r="B18" s="61">
        <v>2027</v>
      </c>
      <c r="C18" s="96">
        <v>3096.324736</v>
      </c>
      <c r="D18" s="96">
        <v>2249.1145940000001</v>
      </c>
      <c r="E18" s="96">
        <v>2249.1145940000001</v>
      </c>
      <c r="F18" s="62">
        <v>20</v>
      </c>
      <c r="G18" s="62">
        <v>15</v>
      </c>
      <c r="H18" s="62">
        <v>15</v>
      </c>
      <c r="I18" s="62">
        <v>0</v>
      </c>
      <c r="J18" s="62">
        <v>0</v>
      </c>
      <c r="K18" s="62">
        <v>0</v>
      </c>
      <c r="L18" s="99">
        <f t="shared" si="1"/>
        <v>5.0000000000000001E-3</v>
      </c>
      <c r="M18" s="99">
        <f t="shared" si="2"/>
        <v>5.0000000000000001E-3</v>
      </c>
      <c r="N18" s="99">
        <f t="shared" si="3"/>
        <v>5.0000000000000001E-3</v>
      </c>
      <c r="O18" s="96">
        <v>17.195865560000001</v>
      </c>
      <c r="P18" s="96">
        <v>17.195865560000001</v>
      </c>
      <c r="Q18" s="103">
        <v>17.195865560000001</v>
      </c>
      <c r="R18" s="3"/>
    </row>
    <row r="19" spans="1:18" x14ac:dyDescent="0.2">
      <c r="A19" s="3"/>
      <c r="B19" s="61">
        <v>2028</v>
      </c>
      <c r="C19" s="96">
        <v>3096.324736</v>
      </c>
      <c r="D19" s="96">
        <v>2249.1145940000001</v>
      </c>
      <c r="E19" s="96">
        <v>2249.1145940000001</v>
      </c>
      <c r="F19" s="62">
        <v>20</v>
      </c>
      <c r="G19" s="62">
        <v>15</v>
      </c>
      <c r="H19" s="62">
        <v>15</v>
      </c>
      <c r="I19" s="62">
        <v>0</v>
      </c>
      <c r="J19" s="62">
        <v>0</v>
      </c>
      <c r="K19" s="62">
        <v>0</v>
      </c>
      <c r="L19" s="99">
        <f t="shared" si="1"/>
        <v>5.0000000000000001E-3</v>
      </c>
      <c r="M19" s="99">
        <f t="shared" si="2"/>
        <v>5.0000000000000001E-3</v>
      </c>
      <c r="N19" s="99">
        <f t="shared" si="3"/>
        <v>5.0000000000000001E-3</v>
      </c>
      <c r="O19" s="96">
        <v>17.660618679999999</v>
      </c>
      <c r="P19" s="96">
        <v>17.660618679999999</v>
      </c>
      <c r="Q19" s="103">
        <v>17.660618679999999</v>
      </c>
      <c r="R19" s="3"/>
    </row>
    <row r="20" spans="1:18" x14ac:dyDescent="0.2">
      <c r="A20" s="3"/>
      <c r="B20" s="61">
        <v>2029</v>
      </c>
      <c r="C20" s="96">
        <v>3096.324736</v>
      </c>
      <c r="D20" s="96">
        <v>2249.1145940000001</v>
      </c>
      <c r="E20" s="96">
        <v>2249.1145940000001</v>
      </c>
      <c r="F20" s="62">
        <v>20</v>
      </c>
      <c r="G20" s="62">
        <v>15</v>
      </c>
      <c r="H20" s="62">
        <v>15</v>
      </c>
      <c r="I20" s="62">
        <v>0</v>
      </c>
      <c r="J20" s="62">
        <v>0</v>
      </c>
      <c r="K20" s="62">
        <v>0</v>
      </c>
      <c r="L20" s="99">
        <f t="shared" si="1"/>
        <v>5.0000000000000001E-3</v>
      </c>
      <c r="M20" s="99">
        <f t="shared" si="2"/>
        <v>5.0000000000000001E-3</v>
      </c>
      <c r="N20" s="99">
        <f t="shared" si="3"/>
        <v>5.0000000000000001E-3</v>
      </c>
      <c r="O20" s="96">
        <v>17.660618679999999</v>
      </c>
      <c r="P20" s="96">
        <v>17.660618679999999</v>
      </c>
      <c r="Q20" s="103">
        <v>17.660618679999999</v>
      </c>
      <c r="R20" s="3"/>
    </row>
    <row r="21" spans="1:18" x14ac:dyDescent="0.2">
      <c r="A21" s="3"/>
      <c r="B21" s="61">
        <v>2030</v>
      </c>
      <c r="C21" s="96">
        <v>3096.324736</v>
      </c>
      <c r="D21" s="96">
        <v>2249.1145940000001</v>
      </c>
      <c r="E21" s="96">
        <v>2249.1145940000001</v>
      </c>
      <c r="F21" s="62">
        <v>20</v>
      </c>
      <c r="G21" s="62">
        <v>15</v>
      </c>
      <c r="H21" s="62">
        <v>15</v>
      </c>
      <c r="I21" s="62">
        <v>0</v>
      </c>
      <c r="J21" s="62">
        <v>0</v>
      </c>
      <c r="K21" s="62">
        <v>0</v>
      </c>
      <c r="L21" s="99">
        <f t="shared" si="1"/>
        <v>5.0000000000000001E-3</v>
      </c>
      <c r="M21" s="99">
        <f t="shared" si="2"/>
        <v>5.0000000000000001E-3</v>
      </c>
      <c r="N21" s="99">
        <f t="shared" si="3"/>
        <v>5.0000000000000001E-3</v>
      </c>
      <c r="O21" s="96">
        <v>17.660618679999999</v>
      </c>
      <c r="P21" s="96">
        <v>17.660618679999999</v>
      </c>
      <c r="Q21" s="103">
        <v>17.660618679999999</v>
      </c>
      <c r="R21" s="3"/>
    </row>
    <row r="22" spans="1:18" x14ac:dyDescent="0.2">
      <c r="A22" s="3"/>
      <c r="B22" s="61">
        <v>2031</v>
      </c>
      <c r="C22" s="96">
        <v>3096.324736</v>
      </c>
      <c r="D22" s="96">
        <v>2249.1145940000001</v>
      </c>
      <c r="E22" s="96">
        <v>2249.1145940000001</v>
      </c>
      <c r="F22" s="62">
        <v>20</v>
      </c>
      <c r="G22" s="62">
        <v>15</v>
      </c>
      <c r="H22" s="62">
        <v>15</v>
      </c>
      <c r="I22" s="62">
        <v>0</v>
      </c>
      <c r="J22" s="62">
        <v>0</v>
      </c>
      <c r="K22" s="62">
        <v>0</v>
      </c>
      <c r="L22" s="99">
        <f t="shared" si="1"/>
        <v>5.0000000000000001E-3</v>
      </c>
      <c r="M22" s="99">
        <f t="shared" si="2"/>
        <v>5.0000000000000001E-3</v>
      </c>
      <c r="N22" s="99">
        <f t="shared" si="3"/>
        <v>5.0000000000000001E-3</v>
      </c>
      <c r="O22" s="96">
        <v>18.1253718</v>
      </c>
      <c r="P22" s="96">
        <v>18.1253718</v>
      </c>
      <c r="Q22" s="103">
        <v>18.1253718</v>
      </c>
      <c r="R22" s="3"/>
    </row>
    <row r="23" spans="1:18" x14ac:dyDescent="0.2">
      <c r="A23" s="3"/>
      <c r="B23" s="61">
        <v>2032</v>
      </c>
      <c r="C23" s="96">
        <v>3096.324736</v>
      </c>
      <c r="D23" s="96">
        <v>2249.1145940000001</v>
      </c>
      <c r="E23" s="96">
        <v>2249.1145940000001</v>
      </c>
      <c r="F23" s="62">
        <v>20</v>
      </c>
      <c r="G23" s="62">
        <v>15</v>
      </c>
      <c r="H23" s="62">
        <v>15</v>
      </c>
      <c r="I23" s="62">
        <v>0</v>
      </c>
      <c r="J23" s="62">
        <v>0</v>
      </c>
      <c r="K23" s="62">
        <v>0</v>
      </c>
      <c r="L23" s="99">
        <f t="shared" si="1"/>
        <v>5.0000000000000001E-3</v>
      </c>
      <c r="M23" s="99">
        <f t="shared" si="2"/>
        <v>5.0000000000000001E-3</v>
      </c>
      <c r="N23" s="99">
        <f t="shared" si="3"/>
        <v>5.0000000000000001E-3</v>
      </c>
      <c r="O23" s="96">
        <v>18.590124930000002</v>
      </c>
      <c r="P23" s="96">
        <v>18.590124930000002</v>
      </c>
      <c r="Q23" s="103">
        <v>18.590124930000002</v>
      </c>
      <c r="R23" s="3"/>
    </row>
    <row r="24" spans="1:18" x14ac:dyDescent="0.2">
      <c r="A24" s="3"/>
      <c r="B24" s="61">
        <v>2033</v>
      </c>
      <c r="C24" s="96">
        <v>3096.324736</v>
      </c>
      <c r="D24" s="96">
        <v>2249.1145940000001</v>
      </c>
      <c r="E24" s="96">
        <v>2249.1145940000001</v>
      </c>
      <c r="F24" s="62">
        <v>20</v>
      </c>
      <c r="G24" s="62">
        <v>15</v>
      </c>
      <c r="H24" s="62">
        <v>15</v>
      </c>
      <c r="I24" s="62">
        <v>0</v>
      </c>
      <c r="J24" s="62">
        <v>0</v>
      </c>
      <c r="K24" s="62">
        <v>0</v>
      </c>
      <c r="L24" s="99">
        <f t="shared" si="1"/>
        <v>5.0000000000000001E-3</v>
      </c>
      <c r="M24" s="99">
        <f t="shared" si="2"/>
        <v>5.0000000000000001E-3</v>
      </c>
      <c r="N24" s="99">
        <f t="shared" si="3"/>
        <v>5.0000000000000001E-3</v>
      </c>
      <c r="O24" s="96">
        <v>18.590124930000002</v>
      </c>
      <c r="P24" s="96">
        <v>18.590124930000002</v>
      </c>
      <c r="Q24" s="103">
        <v>18.590124930000002</v>
      </c>
      <c r="R24" s="3"/>
    </row>
    <row r="25" spans="1:18" x14ac:dyDescent="0.2">
      <c r="A25" s="3"/>
      <c r="B25" s="61">
        <v>2034</v>
      </c>
      <c r="C25" s="96">
        <v>3096.324736</v>
      </c>
      <c r="D25" s="96">
        <v>2249.1145940000001</v>
      </c>
      <c r="E25" s="96">
        <v>2249.1145940000001</v>
      </c>
      <c r="F25" s="62">
        <v>20</v>
      </c>
      <c r="G25" s="62">
        <v>15</v>
      </c>
      <c r="H25" s="62">
        <v>15</v>
      </c>
      <c r="I25" s="62">
        <v>0</v>
      </c>
      <c r="J25" s="62">
        <v>0</v>
      </c>
      <c r="K25" s="62">
        <v>0</v>
      </c>
      <c r="L25" s="99">
        <f t="shared" si="1"/>
        <v>5.0000000000000001E-3</v>
      </c>
      <c r="M25" s="99">
        <f t="shared" si="2"/>
        <v>5.0000000000000001E-3</v>
      </c>
      <c r="N25" s="99">
        <f t="shared" si="3"/>
        <v>5.0000000000000001E-3</v>
      </c>
      <c r="O25" s="96">
        <v>18.590124930000002</v>
      </c>
      <c r="P25" s="96">
        <v>18.590124930000002</v>
      </c>
      <c r="Q25" s="103">
        <v>18.590124930000002</v>
      </c>
      <c r="R25" s="3"/>
    </row>
    <row r="26" spans="1:18" x14ac:dyDescent="0.2">
      <c r="A26" s="3"/>
      <c r="B26" s="61">
        <v>2035</v>
      </c>
      <c r="C26" s="96">
        <v>3096.324736</v>
      </c>
      <c r="D26" s="96">
        <v>2249.1145940000001</v>
      </c>
      <c r="E26" s="96">
        <v>2249.1145940000001</v>
      </c>
      <c r="F26" s="62">
        <v>20</v>
      </c>
      <c r="G26" s="62">
        <v>15</v>
      </c>
      <c r="H26" s="62">
        <v>15</v>
      </c>
      <c r="I26" s="62">
        <v>0</v>
      </c>
      <c r="J26" s="62">
        <v>0</v>
      </c>
      <c r="K26" s="62">
        <v>0</v>
      </c>
      <c r="L26" s="99">
        <f t="shared" si="1"/>
        <v>5.0000000000000001E-3</v>
      </c>
      <c r="M26" s="99">
        <f t="shared" si="2"/>
        <v>5.0000000000000001E-3</v>
      </c>
      <c r="N26" s="99">
        <f t="shared" si="3"/>
        <v>5.0000000000000001E-3</v>
      </c>
      <c r="O26" s="96">
        <v>19.054878049999999</v>
      </c>
      <c r="P26" s="96">
        <v>19.054878049999999</v>
      </c>
      <c r="Q26" s="103">
        <v>19.054878049999999</v>
      </c>
      <c r="R26" s="3"/>
    </row>
    <row r="27" spans="1:18" x14ac:dyDescent="0.2">
      <c r="A27" s="3"/>
      <c r="B27" s="61">
        <v>2036</v>
      </c>
      <c r="C27" s="96">
        <v>3096.324736</v>
      </c>
      <c r="D27" s="96">
        <v>2249.1145940000001</v>
      </c>
      <c r="E27" s="96">
        <v>2249.1145940000001</v>
      </c>
      <c r="F27" s="62">
        <v>20</v>
      </c>
      <c r="G27" s="62">
        <v>15</v>
      </c>
      <c r="H27" s="62">
        <v>15</v>
      </c>
      <c r="I27" s="62">
        <v>0</v>
      </c>
      <c r="J27" s="62">
        <v>0</v>
      </c>
      <c r="K27" s="62">
        <v>0</v>
      </c>
      <c r="L27" s="99">
        <f t="shared" si="1"/>
        <v>5.0000000000000001E-3</v>
      </c>
      <c r="M27" s="99">
        <f t="shared" si="2"/>
        <v>5.0000000000000001E-3</v>
      </c>
      <c r="N27" s="99">
        <f t="shared" si="3"/>
        <v>5.0000000000000001E-3</v>
      </c>
      <c r="O27" s="96">
        <v>19.51963117</v>
      </c>
      <c r="P27" s="96">
        <v>19.51963117</v>
      </c>
      <c r="Q27" s="103">
        <v>19.51963117</v>
      </c>
      <c r="R27" s="3"/>
    </row>
    <row r="28" spans="1:18" x14ac:dyDescent="0.2">
      <c r="A28" s="3"/>
      <c r="B28" s="61">
        <v>2037</v>
      </c>
      <c r="C28" s="96">
        <v>3096.324736</v>
      </c>
      <c r="D28" s="96">
        <v>2249.1145940000001</v>
      </c>
      <c r="E28" s="96">
        <v>2249.1145940000001</v>
      </c>
      <c r="F28" s="62">
        <v>20</v>
      </c>
      <c r="G28" s="62">
        <v>15</v>
      </c>
      <c r="H28" s="62">
        <v>15</v>
      </c>
      <c r="I28" s="62">
        <v>0</v>
      </c>
      <c r="J28" s="62">
        <v>0</v>
      </c>
      <c r="K28" s="62">
        <v>0</v>
      </c>
      <c r="L28" s="99">
        <f t="shared" si="1"/>
        <v>5.0000000000000001E-3</v>
      </c>
      <c r="M28" s="99">
        <f t="shared" si="2"/>
        <v>5.0000000000000001E-3</v>
      </c>
      <c r="N28" s="99">
        <f t="shared" si="3"/>
        <v>5.0000000000000001E-3</v>
      </c>
      <c r="O28" s="96">
        <v>19.51963117</v>
      </c>
      <c r="P28" s="96">
        <v>19.51963117</v>
      </c>
      <c r="Q28" s="103">
        <v>19.51963117</v>
      </c>
      <c r="R28" s="3"/>
    </row>
    <row r="29" spans="1:18" x14ac:dyDescent="0.2">
      <c r="A29" s="3"/>
      <c r="B29" s="61">
        <v>2038</v>
      </c>
      <c r="C29" s="96">
        <v>3096.324736</v>
      </c>
      <c r="D29" s="96">
        <v>2249.1145940000001</v>
      </c>
      <c r="E29" s="96">
        <v>2249.1145940000001</v>
      </c>
      <c r="F29" s="62">
        <v>20</v>
      </c>
      <c r="G29" s="62">
        <v>15</v>
      </c>
      <c r="H29" s="62">
        <v>15</v>
      </c>
      <c r="I29" s="62">
        <v>0</v>
      </c>
      <c r="J29" s="62">
        <v>0</v>
      </c>
      <c r="K29" s="62">
        <v>0</v>
      </c>
      <c r="L29" s="99">
        <f t="shared" si="1"/>
        <v>5.0000000000000001E-3</v>
      </c>
      <c r="M29" s="99">
        <f t="shared" si="2"/>
        <v>5.0000000000000001E-3</v>
      </c>
      <c r="N29" s="99">
        <f t="shared" si="3"/>
        <v>5.0000000000000001E-3</v>
      </c>
      <c r="O29" s="96">
        <v>19.51963117</v>
      </c>
      <c r="P29" s="96">
        <v>19.51963117</v>
      </c>
      <c r="Q29" s="103">
        <v>19.51963117</v>
      </c>
      <c r="R29" s="3"/>
    </row>
    <row r="30" spans="1:18" x14ac:dyDescent="0.2">
      <c r="A30" s="3"/>
      <c r="B30" s="61">
        <v>2039</v>
      </c>
      <c r="C30" s="96">
        <v>3096.324736</v>
      </c>
      <c r="D30" s="96">
        <v>2249.1145940000001</v>
      </c>
      <c r="E30" s="96">
        <v>2249.1145940000001</v>
      </c>
      <c r="F30" s="62">
        <v>20</v>
      </c>
      <c r="G30" s="62">
        <v>15</v>
      </c>
      <c r="H30" s="62">
        <v>15</v>
      </c>
      <c r="I30" s="62">
        <v>0</v>
      </c>
      <c r="J30" s="62">
        <v>0</v>
      </c>
      <c r="K30" s="62">
        <v>0</v>
      </c>
      <c r="L30" s="99">
        <f t="shared" si="1"/>
        <v>5.0000000000000001E-3</v>
      </c>
      <c r="M30" s="99">
        <f t="shared" si="2"/>
        <v>5.0000000000000001E-3</v>
      </c>
      <c r="N30" s="99">
        <f t="shared" si="3"/>
        <v>5.0000000000000001E-3</v>
      </c>
      <c r="O30" s="96">
        <v>19.984384299999999</v>
      </c>
      <c r="P30" s="96">
        <v>19.984384299999999</v>
      </c>
      <c r="Q30" s="103">
        <v>19.984384299999999</v>
      </c>
      <c r="R30" s="3"/>
    </row>
    <row r="31" spans="1:18" x14ac:dyDescent="0.2">
      <c r="A31" s="3"/>
      <c r="B31" s="61">
        <v>2040</v>
      </c>
      <c r="C31" s="96">
        <v>3096.324736</v>
      </c>
      <c r="D31" s="96">
        <v>2249.1145940000001</v>
      </c>
      <c r="E31" s="96">
        <v>2249.1145940000001</v>
      </c>
      <c r="F31" s="62">
        <v>20</v>
      </c>
      <c r="G31" s="62">
        <v>15</v>
      </c>
      <c r="H31" s="62">
        <v>15</v>
      </c>
      <c r="I31" s="62">
        <v>0</v>
      </c>
      <c r="J31" s="62">
        <v>0</v>
      </c>
      <c r="K31" s="62">
        <v>0</v>
      </c>
      <c r="L31" s="99">
        <f t="shared" si="1"/>
        <v>5.0000000000000001E-3</v>
      </c>
      <c r="M31" s="99">
        <f t="shared" si="2"/>
        <v>5.0000000000000001E-3</v>
      </c>
      <c r="N31" s="99">
        <f t="shared" si="3"/>
        <v>5.0000000000000001E-3</v>
      </c>
      <c r="O31" s="96">
        <v>20.44913742</v>
      </c>
      <c r="P31" s="96">
        <v>20.44913742</v>
      </c>
      <c r="Q31" s="103">
        <v>20.44913742</v>
      </c>
      <c r="R31" s="3"/>
    </row>
    <row r="32" spans="1:18" x14ac:dyDescent="0.2">
      <c r="A32" s="3"/>
      <c r="B32" s="61">
        <v>2041</v>
      </c>
      <c r="C32" s="96">
        <v>3096.324736</v>
      </c>
      <c r="D32" s="96">
        <v>2249.1145940000001</v>
      </c>
      <c r="E32" s="96">
        <v>2249.1145940000001</v>
      </c>
      <c r="F32" s="62">
        <v>20</v>
      </c>
      <c r="G32" s="62">
        <v>15</v>
      </c>
      <c r="H32" s="62">
        <v>15</v>
      </c>
      <c r="I32" s="62">
        <v>0</v>
      </c>
      <c r="J32" s="62">
        <v>0</v>
      </c>
      <c r="K32" s="62">
        <v>0</v>
      </c>
      <c r="L32" s="99">
        <f t="shared" si="1"/>
        <v>5.0000000000000001E-3</v>
      </c>
      <c r="M32" s="99">
        <f t="shared" si="2"/>
        <v>5.0000000000000001E-3</v>
      </c>
      <c r="N32" s="99">
        <f t="shared" si="3"/>
        <v>5.0000000000000001E-3</v>
      </c>
      <c r="O32" s="96">
        <v>20.44913742</v>
      </c>
      <c r="P32" s="96">
        <v>20.44913742</v>
      </c>
      <c r="Q32" s="103">
        <v>20.44913742</v>
      </c>
      <c r="R32" s="3"/>
    </row>
    <row r="33" spans="1:18" x14ac:dyDescent="0.2">
      <c r="A33" s="3"/>
      <c r="B33" s="61">
        <v>2042</v>
      </c>
      <c r="C33" s="96">
        <v>3096.324736</v>
      </c>
      <c r="D33" s="96">
        <v>2249.1145940000001</v>
      </c>
      <c r="E33" s="96">
        <v>2249.1145940000001</v>
      </c>
      <c r="F33" s="62">
        <v>20</v>
      </c>
      <c r="G33" s="62">
        <v>15</v>
      </c>
      <c r="H33" s="62">
        <v>15</v>
      </c>
      <c r="I33" s="62">
        <v>0</v>
      </c>
      <c r="J33" s="62">
        <v>0</v>
      </c>
      <c r="K33" s="62">
        <v>0</v>
      </c>
      <c r="L33" s="99">
        <f>L32</f>
        <v>5.0000000000000001E-3</v>
      </c>
      <c r="M33" s="99">
        <f t="shared" si="2"/>
        <v>5.0000000000000001E-3</v>
      </c>
      <c r="N33" s="99">
        <f t="shared" si="3"/>
        <v>5.0000000000000001E-3</v>
      </c>
      <c r="O33" s="96">
        <v>20.44913742</v>
      </c>
      <c r="P33" s="96">
        <v>20.44913742</v>
      </c>
      <c r="Q33" s="103">
        <v>20.44913742</v>
      </c>
      <c r="R33" s="3"/>
    </row>
    <row r="34" spans="1:18" x14ac:dyDescent="0.2">
      <c r="A34" s="3"/>
      <c r="B34" s="61">
        <v>2043</v>
      </c>
      <c r="C34" s="96">
        <v>3096.324736</v>
      </c>
      <c r="D34" s="96">
        <v>2249.1145940000001</v>
      </c>
      <c r="E34" s="96">
        <v>2249.1145940000001</v>
      </c>
      <c r="F34" s="62">
        <v>20</v>
      </c>
      <c r="G34" s="62">
        <v>15</v>
      </c>
      <c r="H34" s="62">
        <v>15</v>
      </c>
      <c r="I34" s="62">
        <v>0</v>
      </c>
      <c r="J34" s="62">
        <v>0</v>
      </c>
      <c r="K34" s="62">
        <v>0</v>
      </c>
      <c r="L34" s="99">
        <f t="shared" ref="L34:L40" si="4">L33</f>
        <v>5.0000000000000001E-3</v>
      </c>
      <c r="M34" s="99">
        <f t="shared" ref="M34:M40" si="5">M33</f>
        <v>5.0000000000000001E-3</v>
      </c>
      <c r="N34" s="99">
        <f t="shared" ref="N34:N40" si="6">N33</f>
        <v>5.0000000000000001E-3</v>
      </c>
      <c r="O34" s="96">
        <v>20.44913742</v>
      </c>
      <c r="P34" s="96">
        <v>20.44913742</v>
      </c>
      <c r="Q34" s="103">
        <v>20.44913742</v>
      </c>
      <c r="R34" s="3"/>
    </row>
    <row r="35" spans="1:18" x14ac:dyDescent="0.2">
      <c r="A35" s="3"/>
      <c r="B35" s="61">
        <v>2044</v>
      </c>
      <c r="C35" s="96">
        <v>3096.324736</v>
      </c>
      <c r="D35" s="96">
        <v>2249.1145940000001</v>
      </c>
      <c r="E35" s="96">
        <v>2249.1145940000001</v>
      </c>
      <c r="F35" s="62">
        <v>20</v>
      </c>
      <c r="G35" s="62">
        <v>15</v>
      </c>
      <c r="H35" s="62">
        <v>15</v>
      </c>
      <c r="I35" s="62">
        <v>0</v>
      </c>
      <c r="J35" s="62">
        <v>0</v>
      </c>
      <c r="K35" s="62">
        <v>0</v>
      </c>
      <c r="L35" s="99">
        <f t="shared" si="4"/>
        <v>5.0000000000000001E-3</v>
      </c>
      <c r="M35" s="99">
        <f t="shared" si="5"/>
        <v>5.0000000000000001E-3</v>
      </c>
      <c r="N35" s="99">
        <f t="shared" si="6"/>
        <v>5.0000000000000001E-3</v>
      </c>
      <c r="O35" s="96">
        <v>20.44913742</v>
      </c>
      <c r="P35" s="96">
        <v>20.44913742</v>
      </c>
      <c r="Q35" s="103">
        <v>20.44913742</v>
      </c>
      <c r="R35" s="3"/>
    </row>
    <row r="36" spans="1:18" x14ac:dyDescent="0.2">
      <c r="A36" s="3"/>
      <c r="B36" s="61">
        <v>2045</v>
      </c>
      <c r="C36" s="96">
        <v>3096.324736</v>
      </c>
      <c r="D36" s="96">
        <v>2249.1145940000001</v>
      </c>
      <c r="E36" s="96">
        <v>2249.1145940000001</v>
      </c>
      <c r="F36" s="62">
        <v>20</v>
      </c>
      <c r="G36" s="62">
        <v>15</v>
      </c>
      <c r="H36" s="62">
        <v>15</v>
      </c>
      <c r="I36" s="62">
        <v>0</v>
      </c>
      <c r="J36" s="62">
        <v>0</v>
      </c>
      <c r="K36" s="62">
        <v>0</v>
      </c>
      <c r="L36" s="99">
        <f t="shared" si="4"/>
        <v>5.0000000000000001E-3</v>
      </c>
      <c r="M36" s="99">
        <f t="shared" si="5"/>
        <v>5.0000000000000001E-3</v>
      </c>
      <c r="N36" s="99">
        <f t="shared" si="6"/>
        <v>5.0000000000000001E-3</v>
      </c>
      <c r="O36" s="96">
        <v>20.44913742</v>
      </c>
      <c r="P36" s="96">
        <v>20.44913742</v>
      </c>
      <c r="Q36" s="103">
        <v>20.44913742</v>
      </c>
      <c r="R36" s="3"/>
    </row>
    <row r="37" spans="1:18" x14ac:dyDescent="0.2">
      <c r="A37" s="3"/>
      <c r="B37" s="61">
        <v>2046</v>
      </c>
      <c r="C37" s="96">
        <v>3096.324736</v>
      </c>
      <c r="D37" s="96">
        <v>2249.1145940000001</v>
      </c>
      <c r="E37" s="96">
        <v>2249.1145940000001</v>
      </c>
      <c r="F37" s="62">
        <v>20</v>
      </c>
      <c r="G37" s="62">
        <v>15</v>
      </c>
      <c r="H37" s="62">
        <v>15</v>
      </c>
      <c r="I37" s="62">
        <v>0</v>
      </c>
      <c r="J37" s="62">
        <v>0</v>
      </c>
      <c r="K37" s="62">
        <v>0</v>
      </c>
      <c r="L37" s="99">
        <f t="shared" si="4"/>
        <v>5.0000000000000001E-3</v>
      </c>
      <c r="M37" s="99">
        <f t="shared" si="5"/>
        <v>5.0000000000000001E-3</v>
      </c>
      <c r="N37" s="99">
        <f t="shared" si="6"/>
        <v>5.0000000000000001E-3</v>
      </c>
      <c r="O37" s="96">
        <v>20.44913742</v>
      </c>
      <c r="P37" s="96">
        <v>20.44913742</v>
      </c>
      <c r="Q37" s="103">
        <v>20.44913742</v>
      </c>
      <c r="R37" s="3"/>
    </row>
    <row r="38" spans="1:18" x14ac:dyDescent="0.2">
      <c r="A38" s="3"/>
      <c r="B38" s="61">
        <v>2047</v>
      </c>
      <c r="C38" s="96">
        <v>3096.324736</v>
      </c>
      <c r="D38" s="96">
        <v>2249.1145940000001</v>
      </c>
      <c r="E38" s="96">
        <v>2249.1145940000001</v>
      </c>
      <c r="F38" s="62">
        <v>20</v>
      </c>
      <c r="G38" s="62">
        <v>15</v>
      </c>
      <c r="H38" s="62">
        <v>15</v>
      </c>
      <c r="I38" s="62">
        <v>0</v>
      </c>
      <c r="J38" s="62">
        <v>0</v>
      </c>
      <c r="K38" s="62">
        <v>0</v>
      </c>
      <c r="L38" s="99">
        <f t="shared" si="4"/>
        <v>5.0000000000000001E-3</v>
      </c>
      <c r="M38" s="99">
        <f t="shared" si="5"/>
        <v>5.0000000000000001E-3</v>
      </c>
      <c r="N38" s="99">
        <f t="shared" si="6"/>
        <v>5.0000000000000001E-3</v>
      </c>
      <c r="O38" s="96">
        <v>20.44913742</v>
      </c>
      <c r="P38" s="96">
        <v>20.44913742</v>
      </c>
      <c r="Q38" s="103">
        <v>20.44913742</v>
      </c>
      <c r="R38" s="3"/>
    </row>
    <row r="39" spans="1:18" x14ac:dyDescent="0.2">
      <c r="A39" s="3"/>
      <c r="B39" s="61">
        <v>2048</v>
      </c>
      <c r="C39" s="96">
        <v>3096.324736</v>
      </c>
      <c r="D39" s="96">
        <v>2249.1145940000001</v>
      </c>
      <c r="E39" s="96">
        <v>2249.1145940000001</v>
      </c>
      <c r="F39" s="62">
        <v>20</v>
      </c>
      <c r="G39" s="62">
        <v>15</v>
      </c>
      <c r="H39" s="62">
        <v>15</v>
      </c>
      <c r="I39" s="62">
        <v>0</v>
      </c>
      <c r="J39" s="62">
        <v>0</v>
      </c>
      <c r="K39" s="62">
        <v>0</v>
      </c>
      <c r="L39" s="99">
        <f t="shared" si="4"/>
        <v>5.0000000000000001E-3</v>
      </c>
      <c r="M39" s="99">
        <f t="shared" si="5"/>
        <v>5.0000000000000001E-3</v>
      </c>
      <c r="N39" s="99">
        <f t="shared" si="6"/>
        <v>5.0000000000000001E-3</v>
      </c>
      <c r="O39" s="96">
        <v>20.44913742</v>
      </c>
      <c r="P39" s="96">
        <v>20.44913742</v>
      </c>
      <c r="Q39" s="103">
        <v>20.44913742</v>
      </c>
      <c r="R39" s="3"/>
    </row>
    <row r="40" spans="1:18" x14ac:dyDescent="0.2">
      <c r="A40" s="3"/>
      <c r="B40" s="61">
        <v>2049</v>
      </c>
      <c r="C40" s="96">
        <v>3096.324736</v>
      </c>
      <c r="D40" s="96">
        <v>2249.1145940000001</v>
      </c>
      <c r="E40" s="96">
        <v>2249.1145940000001</v>
      </c>
      <c r="F40" s="62">
        <v>20</v>
      </c>
      <c r="G40" s="62">
        <v>15</v>
      </c>
      <c r="H40" s="62">
        <v>15</v>
      </c>
      <c r="I40" s="62">
        <v>0</v>
      </c>
      <c r="J40" s="62">
        <v>0</v>
      </c>
      <c r="K40" s="62">
        <v>0</v>
      </c>
      <c r="L40" s="99">
        <f t="shared" si="4"/>
        <v>5.0000000000000001E-3</v>
      </c>
      <c r="M40" s="99">
        <f t="shared" si="5"/>
        <v>5.0000000000000001E-3</v>
      </c>
      <c r="N40" s="99">
        <f t="shared" si="6"/>
        <v>5.0000000000000001E-3</v>
      </c>
      <c r="O40" s="96">
        <v>20.44913742</v>
      </c>
      <c r="P40" s="96">
        <v>20.44913742</v>
      </c>
      <c r="Q40" s="103">
        <v>20.44913742</v>
      </c>
      <c r="R40" s="3"/>
    </row>
    <row r="41" spans="1:18" ht="17" thickBot="1" x14ac:dyDescent="0.25">
      <c r="A41" s="3"/>
      <c r="B41" s="63">
        <v>2050</v>
      </c>
      <c r="C41" s="97">
        <v>3096.324736</v>
      </c>
      <c r="D41" s="97">
        <v>2249.1145940000001</v>
      </c>
      <c r="E41" s="97">
        <v>2249.1145940000001</v>
      </c>
      <c r="F41" s="64">
        <v>20</v>
      </c>
      <c r="G41" s="64">
        <v>15</v>
      </c>
      <c r="H41" s="64">
        <v>15</v>
      </c>
      <c r="I41" s="64">
        <v>0</v>
      </c>
      <c r="J41" s="64">
        <v>0</v>
      </c>
      <c r="K41" s="64">
        <v>0</v>
      </c>
      <c r="L41" s="100">
        <v>5.0000000000000001E-3</v>
      </c>
      <c r="M41" s="100">
        <v>5.0000000000000001E-3</v>
      </c>
      <c r="N41" s="100">
        <v>5.0000000000000001E-3</v>
      </c>
      <c r="O41" s="104">
        <v>20.44913742</v>
      </c>
      <c r="P41" s="104">
        <v>20.44913742</v>
      </c>
      <c r="Q41" s="105">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2018-11-07T21:55:25Z</dcterms:modified>
</cp:coreProperties>
</file>