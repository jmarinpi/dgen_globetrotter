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5"/>
  <workbookPr codeName="ThisWorkbook"/>
  <mc:AlternateContent xmlns:mc="http://schemas.openxmlformats.org/markup-compatibility/2006">
    <mc:Choice Requires="x15">
      <x15ac:absPath xmlns:x15ac="http://schemas.microsoft.com/office/spreadsheetml/2010/11/ac" url="/Users/skoebric/Library/Group Containers/G69SCX94XU.duck/Library/Application Support/duck/Volumes/Hermes/github/naris_mx/input_scenarios/"/>
    </mc:Choice>
  </mc:AlternateContent>
  <xr:revisionPtr revIDLastSave="0" documentId="13_ncr:1_{F0E0A1EC-A817-BB49-8FE3-2B4BCE321EC1}" xr6:coauthVersionLast="43" xr6:coauthVersionMax="43" xr10:uidLastSave="{00000000-0000-0000-0000-000000000000}"/>
  <bookViews>
    <workbookView xWindow="0" yWindow="460" windowWidth="28800" windowHeight="1642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rgb="FF000000"/>
            <rFont val="Tahoma"/>
            <family val="2"/>
          </rPr>
          <t>edrury:</t>
        </r>
        <r>
          <rPr>
            <sz val="8"/>
            <color rgb="FF000000"/>
            <rFont val="Tahoma"/>
            <family val="2"/>
          </rPr>
          <t xml:space="preserve">
</t>
        </r>
        <r>
          <rPr>
            <sz val="8"/>
            <color rgb="FF000000"/>
            <rFont val="Tahoma"/>
            <family val="2"/>
          </rPr>
          <t>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<sst xmlns="http://schemas.openxmlformats.org/spreadsheetml/2006/main" count="164" uniqueCount="95">
  <si>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</si>
  <si>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</si>
  <si>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</si>
  <si>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</si>
  <si>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</si>
  <si>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</si>
  <si>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</si>
  <si>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</si>
  <si>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</si>
  <si>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</si>
  <si>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</si>
  <si>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</si>
  <si>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</si>
  <si>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</si>
  <si>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</si>
  <si>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</si>
  <si>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</si>
  <si>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</si>
  <si>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</si>
  <si>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</si>
  <si>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</si>
  <si>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</si>
  <si>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</si>
  <si>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</si>
  <si>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</si>
  <si>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</si>
  <si>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</si>
  <si>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</si>
  <si>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</si>
  <si>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</si>
  <si>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</si>
  <si>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</si>
  <si>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</si>
  <si>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</si>
  <si>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</si>
  <si>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</si>
  <si>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</si>
  <si>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</si>
  <si>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</si>
  <si>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</si>
  <si>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</si>
  <si>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</si>
  <si>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</si>
  <si>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</si>
  <si>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</si>
  <si>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</si>
  <si>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</si>
  <si>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</si>
  <si>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</si>
  <si>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</si>
  <si>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</si>
  <si>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</si>
  <si>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</si>
  <si>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</si>
  <si>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</si>
  <si>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</si>
  <si>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</si>
  <si>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</si>
  <si>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</si>
  <si>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</si>
  <si>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</si>
  <si>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</si>
  <si>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</si>
  <si>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</si>
  <si>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</si>
  <si>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</si>
  <si>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</si>
  <si>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</si>
  <si>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</si>
  <si>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</si>
  <si>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</si>
  <si>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</si>
  <si>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</si>
  <si>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</si>
  <si>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</si>
  <si>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</si>
  <si>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</si>
  <si>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</si>
  <si>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</si>
  <si>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</si>
  <si>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</si>
  <si>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</si>
  <si>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</si>
  <si>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</si>
  <si>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</si>
  <si>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</si>
  <si>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</si>
  <si>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</si>
  <si>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</si>
  <si>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</si>
  <si>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</si>
  <si>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</si>
  <si>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mex_high_costs_wholesale</t>
  </si>
  <si>
    <t>Edit CSV to change nem_system_size_limit_kw, this does nothing!</t>
  </si>
  <si>
    <t>august_7_19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</si>
</sst>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
      <b/>
      <i/>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6">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12" xfId="0" applyNumberFormat="1" applyFont="1" applyFill="1" applyBorder="1"/>
    <xf numFmtId="2" fontId="18" fillId="0" borderId="0" xfId="0" applyNumberFormat="1" applyFont="1" applyFill="1" applyBorder="1"/>
    <xf numFmtId="2" fontId="18" fillId="0" borderId="17"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29" fillId="0" borderId="0" xfId="0" applyFont="1"/>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0" fontId="0" fillId="0" borderId="0" xfId="0" applyAlignment="1">
      <alignment horizontal="center"/>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E4" sqref="E4"/>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92</v>
      </c>
      <c r="G3" s="3"/>
      <c r="H3" s="3"/>
      <c r="I3" s="3"/>
      <c r="J3" s="3"/>
      <c r="K3" s="3"/>
      <c r="L3" s="3"/>
      <c r="M3" s="3"/>
    </row>
    <row r="4" spans="1:13">
      <c r="A4" s="3"/>
      <c r="B4" s="3"/>
      <c r="C4" s="3"/>
      <c r="D4" s="18" t="s">
        <v>85</v>
      </c>
      <c r="E4" s="105" t="s">
        <v>94</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2" t="s">
        <v>44</v>
      </c>
      <c r="E18" s="40" t="s">
        <v>22</v>
      </c>
      <c r="F18" s="94" t="s">
        <v>93</v>
      </c>
      <c r="G18" s="3"/>
      <c r="H18" s="3"/>
      <c r="I18" s="3"/>
      <c r="J18" s="3"/>
      <c r="K18" s="3"/>
      <c r="L18" s="3"/>
      <c r="M18" s="3"/>
    </row>
    <row r="19" spans="1:13" ht="17" thickBot="1">
      <c r="A19" s="3"/>
      <c r="B19" s="3"/>
      <c r="C19" s="3"/>
      <c r="D19" s="91"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90" t="s">
        <v>59</v>
      </c>
      <c r="F1" t="s">
        <v>77</v>
      </c>
    </row>
    <row r="2" spans="1:6">
      <c r="A2" t="s">
        <v>9</v>
      </c>
      <c r="B2" t="s">
        <v>60</v>
      </c>
      <c r="F2">
        <v>2016</v>
      </c>
    </row>
    <row r="3" spans="1:6">
      <c r="B3" t="s">
        <v>61</v>
      </c>
      <c r="F3">
        <v>2018</v>
      </c>
    </row>
    <row r="4" spans="1:6">
      <c r="F4">
        <v>2020</v>
      </c>
    </row>
    <row r="5" spans="1:6">
      <c r="A5" s="90" t="s">
        <v>70</v>
      </c>
      <c r="F5">
        <v>2022</v>
      </c>
    </row>
    <row r="6" spans="1:6">
      <c r="A6" t="s">
        <v>7</v>
      </c>
      <c r="F6">
        <v>2024</v>
      </c>
    </row>
    <row r="7" spans="1:6">
      <c r="A7" t="s">
        <v>62</v>
      </c>
      <c r="F7">
        <v>2026</v>
      </c>
    </row>
    <row r="8" spans="1:6">
      <c r="A8" t="s">
        <v>63</v>
      </c>
      <c r="F8">
        <v>2028</v>
      </c>
    </row>
    <row r="9" spans="1:6">
      <c r="F9">
        <v>2030</v>
      </c>
    </row>
    <row r="10" spans="1:6">
      <c r="A10" s="90"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90" t="s">
        <v>68</v>
      </c>
      <c r="F16">
        <v>2044</v>
      </c>
    </row>
    <row r="17" spans="1:6">
      <c r="A17" t="s">
        <v>2</v>
      </c>
      <c r="F17">
        <v>2046</v>
      </c>
    </row>
    <row r="18" spans="1:6">
      <c r="F18">
        <v>2048</v>
      </c>
    </row>
    <row r="19" spans="1:6">
      <c r="A19" s="90" t="s">
        <v>69</v>
      </c>
      <c r="F19">
        <v>2050</v>
      </c>
    </row>
    <row r="20" spans="1:6">
      <c r="A20" t="b">
        <v>1</v>
      </c>
    </row>
    <row r="21" spans="1:6">
      <c r="A21" t="b">
        <v>0</v>
      </c>
    </row>
    <row r="23" spans="1:6">
      <c r="A23" s="90" t="s">
        <v>71</v>
      </c>
    </row>
    <row r="24" spans="1:6">
      <c r="A24" t="s">
        <v>72</v>
      </c>
    </row>
    <row r="25" spans="1:6">
      <c r="A25" t="s">
        <v>18</v>
      </c>
    </row>
    <row r="26" spans="1:6">
      <c r="A26" t="s">
        <v>73</v>
      </c>
    </row>
    <row r="27" spans="1:6">
      <c r="A27" t="s">
        <v>16</v>
      </c>
    </row>
    <row r="29" spans="1:6">
      <c r="A29" s="90" t="s">
        <v>74</v>
      </c>
    </row>
    <row r="30" spans="1:6">
      <c r="A30" t="s">
        <v>21</v>
      </c>
    </row>
    <row r="31" spans="1:6">
      <c r="A31" t="s">
        <v>75</v>
      </c>
    </row>
    <row r="32" spans="1:6">
      <c r="A32" t="s">
        <v>76</v>
      </c>
    </row>
    <row r="34" spans="1:1">
      <c r="A34" s="90"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topLeftCell="B1" workbookViewId="0">
      <selection activeCell="P27" sqref="P27"/>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5" t="s">
        <v>31</v>
      </c>
      <c r="D3" s="97" t="s">
        <v>28</v>
      </c>
      <c r="E3" s="98"/>
      <c r="F3" s="98"/>
      <c r="G3" s="98"/>
      <c r="H3" s="98"/>
      <c r="I3" s="99"/>
      <c r="J3" s="97" t="s">
        <v>29</v>
      </c>
      <c r="K3" s="98"/>
      <c r="L3" s="98"/>
      <c r="M3" s="98"/>
      <c r="N3" s="98"/>
      <c r="O3" s="99"/>
      <c r="P3" s="97" t="s">
        <v>30</v>
      </c>
      <c r="Q3" s="98"/>
      <c r="R3" s="98"/>
      <c r="S3" s="98"/>
      <c r="T3" s="98"/>
      <c r="U3" s="99"/>
      <c r="V3" s="1"/>
    </row>
    <row r="4" spans="1:22" ht="17" customHeight="1" thickBot="1">
      <c r="A4" s="1"/>
      <c r="B4" s="15"/>
      <c r="C4" s="96"/>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3"/>
      <c r="F5" s="93"/>
      <c r="G5" s="74"/>
      <c r="H5" s="74">
        <v>0.4</v>
      </c>
      <c r="I5" s="93">
        <v>0</v>
      </c>
      <c r="J5" s="74">
        <v>20</v>
      </c>
      <c r="K5" s="93"/>
      <c r="L5" s="93"/>
      <c r="M5" s="74"/>
      <c r="N5" s="74">
        <v>0.4</v>
      </c>
      <c r="O5" s="93">
        <v>0</v>
      </c>
      <c r="P5" s="74">
        <v>20</v>
      </c>
      <c r="Q5" s="93"/>
      <c r="R5" s="93"/>
      <c r="S5" s="74"/>
      <c r="T5" s="74">
        <v>0.4</v>
      </c>
      <c r="U5" s="93">
        <v>0</v>
      </c>
      <c r="V5" s="1"/>
    </row>
    <row r="6" spans="1:22" ht="17" thickBot="1">
      <c r="A6" s="3"/>
      <c r="B6" s="75">
        <v>2016</v>
      </c>
      <c r="C6" s="76">
        <v>20</v>
      </c>
      <c r="D6" s="76">
        <v>20</v>
      </c>
      <c r="E6" s="93"/>
      <c r="F6" s="93"/>
      <c r="G6" s="76"/>
      <c r="H6" s="76">
        <v>0.4</v>
      </c>
      <c r="I6" s="93">
        <v>0</v>
      </c>
      <c r="J6" s="76">
        <v>20</v>
      </c>
      <c r="K6" s="93"/>
      <c r="L6" s="93"/>
      <c r="M6" s="76"/>
      <c r="N6" s="76">
        <v>0.4</v>
      </c>
      <c r="O6" s="93">
        <v>0</v>
      </c>
      <c r="P6" s="76">
        <v>20</v>
      </c>
      <c r="Q6" s="93"/>
      <c r="R6" s="93"/>
      <c r="S6" s="76"/>
      <c r="T6" s="76">
        <v>0.4</v>
      </c>
      <c r="U6" s="93">
        <v>0</v>
      </c>
      <c r="V6" s="1"/>
    </row>
    <row r="7" spans="1:22" ht="17" thickBot="1">
      <c r="A7" s="3"/>
      <c r="B7" s="75">
        <v>2018</v>
      </c>
      <c r="C7" s="76">
        <v>20</v>
      </c>
      <c r="D7" s="76">
        <v>20</v>
      </c>
      <c r="E7" s="93"/>
      <c r="F7" s="93"/>
      <c r="G7" s="76"/>
      <c r="H7" s="76">
        <v>0.4</v>
      </c>
      <c r="I7" s="93">
        <v>0</v>
      </c>
      <c r="J7" s="76">
        <v>20</v>
      </c>
      <c r="K7" s="93"/>
      <c r="L7" s="93"/>
      <c r="M7" s="76"/>
      <c r="N7" s="76">
        <v>0.4</v>
      </c>
      <c r="O7" s="93">
        <v>0</v>
      </c>
      <c r="P7" s="76">
        <v>20</v>
      </c>
      <c r="Q7" s="93"/>
      <c r="R7" s="93"/>
      <c r="S7" s="76"/>
      <c r="T7" s="76">
        <v>0.4</v>
      </c>
      <c r="U7" s="93">
        <v>0</v>
      </c>
      <c r="V7" s="1"/>
    </row>
    <row r="8" spans="1:22" ht="17" thickBot="1">
      <c r="A8" s="3"/>
      <c r="B8" s="75">
        <v>2020</v>
      </c>
      <c r="C8" s="76">
        <v>20</v>
      </c>
      <c r="D8" s="76">
        <v>20</v>
      </c>
      <c r="E8" s="93"/>
      <c r="F8" s="93"/>
      <c r="G8" s="76"/>
      <c r="H8" s="76">
        <v>0.4</v>
      </c>
      <c r="I8" s="93">
        <v>0</v>
      </c>
      <c r="J8" s="76">
        <v>20</v>
      </c>
      <c r="K8" s="93"/>
      <c r="L8" s="93"/>
      <c r="M8" s="76"/>
      <c r="N8" s="76">
        <v>0.4</v>
      </c>
      <c r="O8" s="93">
        <v>0</v>
      </c>
      <c r="P8" s="76">
        <v>20</v>
      </c>
      <c r="Q8" s="93"/>
      <c r="R8" s="93"/>
      <c r="S8" s="76"/>
      <c r="T8" s="76">
        <v>0.4</v>
      </c>
      <c r="U8" s="93">
        <v>0</v>
      </c>
      <c r="V8" s="1"/>
    </row>
    <row r="9" spans="1:22" ht="17" thickBot="1">
      <c r="A9" s="3"/>
      <c r="B9" s="75">
        <v>2022</v>
      </c>
      <c r="C9" s="76">
        <v>20</v>
      </c>
      <c r="D9" s="76">
        <v>20</v>
      </c>
      <c r="E9" s="93"/>
      <c r="F9" s="93"/>
      <c r="G9" s="76"/>
      <c r="H9" s="76">
        <v>0.4</v>
      </c>
      <c r="I9" s="93">
        <v>0</v>
      </c>
      <c r="J9" s="76">
        <v>20</v>
      </c>
      <c r="K9" s="93"/>
      <c r="L9" s="93"/>
      <c r="M9" s="76"/>
      <c r="N9" s="76">
        <v>0.4</v>
      </c>
      <c r="O9" s="93">
        <v>0</v>
      </c>
      <c r="P9" s="76">
        <v>20</v>
      </c>
      <c r="Q9" s="93"/>
      <c r="R9" s="93"/>
      <c r="S9" s="76"/>
      <c r="T9" s="76">
        <v>0.4</v>
      </c>
      <c r="U9" s="93">
        <v>0</v>
      </c>
      <c r="V9" s="1"/>
    </row>
    <row r="10" spans="1:22" ht="17" thickBot="1">
      <c r="A10" s="3"/>
      <c r="B10" s="75">
        <v>2024</v>
      </c>
      <c r="C10" s="76">
        <v>20</v>
      </c>
      <c r="D10" s="76">
        <v>20</v>
      </c>
      <c r="E10" s="93"/>
      <c r="F10" s="93"/>
      <c r="G10" s="76"/>
      <c r="H10" s="76">
        <v>0.4</v>
      </c>
      <c r="I10" s="93">
        <v>0</v>
      </c>
      <c r="J10" s="76">
        <v>20</v>
      </c>
      <c r="K10" s="93"/>
      <c r="L10" s="93"/>
      <c r="M10" s="76"/>
      <c r="N10" s="76">
        <v>0.4</v>
      </c>
      <c r="O10" s="93">
        <v>0</v>
      </c>
      <c r="P10" s="76">
        <v>20</v>
      </c>
      <c r="Q10" s="93"/>
      <c r="R10" s="93"/>
      <c r="S10" s="76"/>
      <c r="T10" s="76">
        <v>0.4</v>
      </c>
      <c r="U10" s="93">
        <v>0</v>
      </c>
      <c r="V10" s="1"/>
    </row>
    <row r="11" spans="1:22" ht="17" thickBot="1">
      <c r="A11" s="3"/>
      <c r="B11" s="75">
        <v>2026</v>
      </c>
      <c r="C11" s="76">
        <v>20</v>
      </c>
      <c r="D11" s="76">
        <v>20</v>
      </c>
      <c r="E11" s="93"/>
      <c r="F11" s="93"/>
      <c r="G11" s="76"/>
      <c r="H11" s="76">
        <v>0.4</v>
      </c>
      <c r="I11" s="93">
        <v>0</v>
      </c>
      <c r="J11" s="76">
        <v>20</v>
      </c>
      <c r="K11" s="93"/>
      <c r="L11" s="93"/>
      <c r="M11" s="76"/>
      <c r="N11" s="76">
        <v>0.4</v>
      </c>
      <c r="O11" s="93">
        <v>0</v>
      </c>
      <c r="P11" s="76">
        <v>20</v>
      </c>
      <c r="Q11" s="93"/>
      <c r="R11" s="93"/>
      <c r="S11" s="76"/>
      <c r="T11" s="76">
        <v>0.4</v>
      </c>
      <c r="U11" s="93">
        <v>0</v>
      </c>
      <c r="V11" s="1"/>
    </row>
    <row r="12" spans="1:22" ht="17" thickBot="1">
      <c r="A12" s="3"/>
      <c r="B12" s="75">
        <v>2028</v>
      </c>
      <c r="C12" s="76">
        <v>20</v>
      </c>
      <c r="D12" s="76">
        <v>20</v>
      </c>
      <c r="E12" s="93"/>
      <c r="F12" s="93"/>
      <c r="G12" s="76"/>
      <c r="H12" s="76">
        <v>0.4</v>
      </c>
      <c r="I12" s="93">
        <v>0</v>
      </c>
      <c r="J12" s="76">
        <v>20</v>
      </c>
      <c r="K12" s="93"/>
      <c r="L12" s="93"/>
      <c r="M12" s="76"/>
      <c r="N12" s="76">
        <v>0.4</v>
      </c>
      <c r="O12" s="93">
        <v>0</v>
      </c>
      <c r="P12" s="76">
        <v>20</v>
      </c>
      <c r="Q12" s="93"/>
      <c r="R12" s="93"/>
      <c r="S12" s="76"/>
      <c r="T12" s="76">
        <v>0.4</v>
      </c>
      <c r="U12" s="93">
        <v>0</v>
      </c>
      <c r="V12" s="1"/>
    </row>
    <row r="13" spans="1:22" ht="17" thickBot="1">
      <c r="A13" s="3"/>
      <c r="B13" s="75">
        <v>2030</v>
      </c>
      <c r="C13" s="76">
        <v>20</v>
      </c>
      <c r="D13" s="76">
        <v>20</v>
      </c>
      <c r="E13" s="93"/>
      <c r="F13" s="93"/>
      <c r="G13" s="76"/>
      <c r="H13" s="76">
        <v>0.4</v>
      </c>
      <c r="I13" s="93">
        <v>0</v>
      </c>
      <c r="J13" s="76">
        <v>20</v>
      </c>
      <c r="K13" s="93"/>
      <c r="L13" s="93"/>
      <c r="M13" s="76"/>
      <c r="N13" s="76">
        <v>0.4</v>
      </c>
      <c r="O13" s="93">
        <v>0</v>
      </c>
      <c r="P13" s="76">
        <v>20</v>
      </c>
      <c r="Q13" s="93"/>
      <c r="R13" s="93"/>
      <c r="S13" s="76"/>
      <c r="T13" s="76">
        <v>0.4</v>
      </c>
      <c r="U13" s="93">
        <v>0</v>
      </c>
      <c r="V13" s="1"/>
    </row>
    <row r="14" spans="1:22" ht="17" thickBot="1">
      <c r="A14" s="3"/>
      <c r="B14" s="75">
        <v>2032</v>
      </c>
      <c r="C14" s="76">
        <v>20</v>
      </c>
      <c r="D14" s="76">
        <v>20</v>
      </c>
      <c r="E14" s="93"/>
      <c r="F14" s="93"/>
      <c r="G14" s="76"/>
      <c r="H14" s="76">
        <v>0.4</v>
      </c>
      <c r="I14" s="93">
        <v>0</v>
      </c>
      <c r="J14" s="76">
        <v>20</v>
      </c>
      <c r="K14" s="93"/>
      <c r="L14" s="93"/>
      <c r="M14" s="76"/>
      <c r="N14" s="76">
        <v>0.4</v>
      </c>
      <c r="O14" s="93">
        <v>0</v>
      </c>
      <c r="P14" s="76">
        <v>20</v>
      </c>
      <c r="Q14" s="93"/>
      <c r="R14" s="93"/>
      <c r="S14" s="76"/>
      <c r="T14" s="76">
        <v>0.4</v>
      </c>
      <c r="U14" s="93">
        <v>0</v>
      </c>
      <c r="V14" s="1"/>
    </row>
    <row r="15" spans="1:22" ht="17" thickBot="1">
      <c r="A15" s="3"/>
      <c r="B15" s="75">
        <v>2034</v>
      </c>
      <c r="C15" s="76">
        <v>20</v>
      </c>
      <c r="D15" s="76">
        <v>20</v>
      </c>
      <c r="E15" s="93"/>
      <c r="F15" s="93"/>
      <c r="G15" s="76"/>
      <c r="H15" s="76">
        <v>0.4</v>
      </c>
      <c r="I15" s="93">
        <v>0</v>
      </c>
      <c r="J15" s="76">
        <v>20</v>
      </c>
      <c r="K15" s="93"/>
      <c r="L15" s="93"/>
      <c r="M15" s="76"/>
      <c r="N15" s="76">
        <v>0.4</v>
      </c>
      <c r="O15" s="93">
        <v>0</v>
      </c>
      <c r="P15" s="76">
        <v>20</v>
      </c>
      <c r="Q15" s="93"/>
      <c r="R15" s="93"/>
      <c r="S15" s="76"/>
      <c r="T15" s="76">
        <v>0.4</v>
      </c>
      <c r="U15" s="93">
        <v>0</v>
      </c>
      <c r="V15" s="1"/>
    </row>
    <row r="16" spans="1:22" ht="17" thickBot="1">
      <c r="A16" s="3"/>
      <c r="B16" s="75">
        <v>2036</v>
      </c>
      <c r="C16" s="76">
        <v>20</v>
      </c>
      <c r="D16" s="76">
        <v>20</v>
      </c>
      <c r="E16" s="93"/>
      <c r="F16" s="93"/>
      <c r="G16" s="76"/>
      <c r="H16" s="76">
        <v>0.4</v>
      </c>
      <c r="I16" s="93">
        <v>0</v>
      </c>
      <c r="J16" s="76">
        <v>20</v>
      </c>
      <c r="K16" s="93"/>
      <c r="L16" s="93"/>
      <c r="M16" s="76"/>
      <c r="N16" s="76">
        <v>0.4</v>
      </c>
      <c r="O16" s="93">
        <v>0</v>
      </c>
      <c r="P16" s="76">
        <v>20</v>
      </c>
      <c r="Q16" s="93"/>
      <c r="R16" s="93"/>
      <c r="S16" s="76"/>
      <c r="T16" s="76">
        <v>0.4</v>
      </c>
      <c r="U16" s="93">
        <v>0</v>
      </c>
      <c r="V16" s="1"/>
    </row>
    <row r="17" spans="1:22" ht="17" thickBot="1">
      <c r="A17" s="3"/>
      <c r="B17" s="75">
        <v>2038</v>
      </c>
      <c r="C17" s="76">
        <v>20</v>
      </c>
      <c r="D17" s="76">
        <v>20</v>
      </c>
      <c r="E17" s="93"/>
      <c r="F17" s="93"/>
      <c r="G17" s="76"/>
      <c r="H17" s="76">
        <v>0.4</v>
      </c>
      <c r="I17" s="93">
        <v>0</v>
      </c>
      <c r="J17" s="76">
        <v>20</v>
      </c>
      <c r="K17" s="93"/>
      <c r="L17" s="93"/>
      <c r="M17" s="76"/>
      <c r="N17" s="76">
        <v>0.4</v>
      </c>
      <c r="O17" s="93">
        <v>0</v>
      </c>
      <c r="P17" s="76">
        <v>20</v>
      </c>
      <c r="Q17" s="93"/>
      <c r="R17" s="93"/>
      <c r="S17" s="76"/>
      <c r="T17" s="76">
        <v>0.4</v>
      </c>
      <c r="U17" s="93">
        <v>0</v>
      </c>
      <c r="V17" s="1"/>
    </row>
    <row r="18" spans="1:22" ht="17" thickBot="1">
      <c r="A18" s="3"/>
      <c r="B18" s="75">
        <v>2040</v>
      </c>
      <c r="C18" s="76">
        <v>20</v>
      </c>
      <c r="D18" s="76">
        <v>20</v>
      </c>
      <c r="E18" s="93"/>
      <c r="F18" s="93"/>
      <c r="G18" s="76"/>
      <c r="H18" s="76">
        <v>0.4</v>
      </c>
      <c r="I18" s="93">
        <v>0</v>
      </c>
      <c r="J18" s="76">
        <v>20</v>
      </c>
      <c r="K18" s="93"/>
      <c r="L18" s="93"/>
      <c r="M18" s="76"/>
      <c r="N18" s="76">
        <v>0.4</v>
      </c>
      <c r="O18" s="93">
        <v>0</v>
      </c>
      <c r="P18" s="76">
        <v>20</v>
      </c>
      <c r="Q18" s="93"/>
      <c r="R18" s="93"/>
      <c r="S18" s="76"/>
      <c r="T18" s="76">
        <v>0.4</v>
      </c>
      <c r="U18" s="93">
        <v>0</v>
      </c>
      <c r="V18" s="1"/>
    </row>
    <row r="19" spans="1:22" ht="17" thickBot="1">
      <c r="A19" s="3"/>
      <c r="B19" s="75">
        <v>2042</v>
      </c>
      <c r="C19" s="76">
        <v>20</v>
      </c>
      <c r="D19" s="76">
        <v>20</v>
      </c>
      <c r="E19" s="93"/>
      <c r="F19" s="93"/>
      <c r="G19" s="76"/>
      <c r="H19" s="76">
        <v>0.4</v>
      </c>
      <c r="I19" s="93">
        <v>0</v>
      </c>
      <c r="J19" s="76">
        <v>20</v>
      </c>
      <c r="K19" s="93"/>
      <c r="L19" s="93"/>
      <c r="M19" s="76"/>
      <c r="N19" s="76">
        <v>0.4</v>
      </c>
      <c r="O19" s="93">
        <v>0</v>
      </c>
      <c r="P19" s="76">
        <v>20</v>
      </c>
      <c r="Q19" s="93"/>
      <c r="R19" s="93"/>
      <c r="S19" s="76"/>
      <c r="T19" s="76">
        <v>0.4</v>
      </c>
      <c r="U19" s="93">
        <v>0</v>
      </c>
      <c r="V19" s="1"/>
    </row>
    <row r="20" spans="1:22" ht="17" thickBot="1">
      <c r="A20" s="3"/>
      <c r="B20" s="75">
        <v>2044</v>
      </c>
      <c r="C20" s="76">
        <v>20</v>
      </c>
      <c r="D20" s="76">
        <v>20</v>
      </c>
      <c r="E20" s="93"/>
      <c r="F20" s="93"/>
      <c r="G20" s="76"/>
      <c r="H20" s="76">
        <v>0.4</v>
      </c>
      <c r="I20" s="93">
        <v>0</v>
      </c>
      <c r="J20" s="76">
        <v>20</v>
      </c>
      <c r="K20" s="93"/>
      <c r="L20" s="93"/>
      <c r="M20" s="76"/>
      <c r="N20" s="76">
        <v>0.4</v>
      </c>
      <c r="O20" s="93">
        <v>0</v>
      </c>
      <c r="P20" s="76">
        <v>20</v>
      </c>
      <c r="Q20" s="93"/>
      <c r="R20" s="93"/>
      <c r="S20" s="76"/>
      <c r="T20" s="76">
        <v>0.4</v>
      </c>
      <c r="U20" s="93">
        <v>0</v>
      </c>
      <c r="V20" s="1"/>
    </row>
    <row r="21" spans="1:22" ht="17" thickBot="1">
      <c r="A21" s="3"/>
      <c r="B21" s="75">
        <v>2046</v>
      </c>
      <c r="C21" s="76">
        <v>20</v>
      </c>
      <c r="D21" s="76">
        <v>20</v>
      </c>
      <c r="E21" s="93"/>
      <c r="F21" s="93"/>
      <c r="G21" s="76"/>
      <c r="H21" s="76">
        <v>0.4</v>
      </c>
      <c r="I21" s="93">
        <v>0</v>
      </c>
      <c r="J21" s="76">
        <v>20</v>
      </c>
      <c r="K21" s="93"/>
      <c r="L21" s="93"/>
      <c r="M21" s="76"/>
      <c r="N21" s="76">
        <v>0.4</v>
      </c>
      <c r="O21" s="93">
        <v>0</v>
      </c>
      <c r="P21" s="76">
        <v>20</v>
      </c>
      <c r="Q21" s="93"/>
      <c r="R21" s="93"/>
      <c r="S21" s="76"/>
      <c r="T21" s="76">
        <v>0.4</v>
      </c>
      <c r="U21" s="93">
        <v>0</v>
      </c>
      <c r="V21" s="1"/>
    </row>
    <row r="22" spans="1:22" ht="17" thickBot="1">
      <c r="A22" s="3"/>
      <c r="B22" s="75">
        <v>2048</v>
      </c>
      <c r="C22" s="76">
        <v>20</v>
      </c>
      <c r="D22" s="76">
        <v>20</v>
      </c>
      <c r="E22" s="93"/>
      <c r="F22" s="93"/>
      <c r="G22" s="76"/>
      <c r="H22" s="76">
        <v>0.4</v>
      </c>
      <c r="I22" s="93">
        <v>0</v>
      </c>
      <c r="J22" s="76">
        <v>20</v>
      </c>
      <c r="K22" s="93"/>
      <c r="L22" s="93"/>
      <c r="M22" s="76"/>
      <c r="N22" s="76">
        <v>0.4</v>
      </c>
      <c r="O22" s="93">
        <v>0</v>
      </c>
      <c r="P22" s="76">
        <v>20</v>
      </c>
      <c r="Q22" s="93"/>
      <c r="R22" s="93"/>
      <c r="S22" s="76"/>
      <c r="T22" s="76">
        <v>0.4</v>
      </c>
      <c r="U22" s="93">
        <v>0</v>
      </c>
      <c r="V22" s="1"/>
    </row>
    <row r="23" spans="1:22" ht="17" thickBot="1">
      <c r="A23" s="3"/>
      <c r="B23" s="77">
        <v>2050</v>
      </c>
      <c r="C23" s="78">
        <v>20</v>
      </c>
      <c r="D23" s="78">
        <v>20</v>
      </c>
      <c r="E23" s="93"/>
      <c r="F23" s="93"/>
      <c r="G23" s="78"/>
      <c r="H23" s="78">
        <v>0.4</v>
      </c>
      <c r="I23" s="93">
        <v>0</v>
      </c>
      <c r="J23" s="78">
        <v>20</v>
      </c>
      <c r="K23" s="93"/>
      <c r="L23" s="93"/>
      <c r="M23" s="78"/>
      <c r="N23" s="78">
        <v>0.4</v>
      </c>
      <c r="O23" s="93">
        <v>0</v>
      </c>
      <c r="P23" s="78">
        <v>20</v>
      </c>
      <c r="Q23" s="93"/>
      <c r="R23" s="93"/>
      <c r="S23" s="78"/>
      <c r="T23" s="78">
        <v>0.4</v>
      </c>
      <c r="U23" s="93">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100" t="s">
        <v>28</v>
      </c>
      <c r="D26" s="100"/>
      <c r="E26" s="100"/>
      <c r="F26" s="100"/>
      <c r="G26" s="100"/>
      <c r="H26" s="100"/>
      <c r="I26" s="100" t="s">
        <v>29</v>
      </c>
      <c r="J26" s="100"/>
      <c r="K26" s="100"/>
      <c r="L26" s="100"/>
      <c r="M26" s="100"/>
      <c r="N26" s="100"/>
      <c r="O26" s="100" t="s">
        <v>30</v>
      </c>
      <c r="P26" s="100"/>
      <c r="Q26" s="100"/>
      <c r="R26" s="100"/>
      <c r="S26" s="100"/>
      <c r="T26" s="100"/>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5"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3" t="s">
        <v>27</v>
      </c>
      <c r="D7" s="101" t="s">
        <v>48</v>
      </c>
      <c r="E7" s="101"/>
      <c r="F7" s="101"/>
      <c r="G7" s="101" t="s">
        <v>49</v>
      </c>
      <c r="H7" s="101"/>
      <c r="I7" s="101"/>
      <c r="J7" s="102" t="s">
        <v>50</v>
      </c>
      <c r="K7" s="102"/>
      <c r="L7" s="102"/>
      <c r="M7" s="102" t="s">
        <v>51</v>
      </c>
      <c r="N7" s="102"/>
      <c r="O7" s="102"/>
      <c r="P7" s="3"/>
      <c r="Q7" s="3"/>
      <c r="R7" s="3"/>
      <c r="S7" s="3"/>
    </row>
    <row r="8" spans="1:19" ht="30" thickBot="1">
      <c r="A8" s="3"/>
      <c r="B8" s="3"/>
      <c r="C8" s="104"/>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G15" sqref="G15"/>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101" t="s">
        <v>52</v>
      </c>
      <c r="D3" s="101"/>
      <c r="E3" s="101"/>
      <c r="F3" s="102" t="s">
        <v>53</v>
      </c>
      <c r="G3" s="102"/>
      <c r="H3" s="102"/>
      <c r="I3" s="102" t="s">
        <v>54</v>
      </c>
      <c r="J3" s="102"/>
      <c r="K3" s="102"/>
      <c r="L3" s="102" t="s">
        <v>57</v>
      </c>
      <c r="M3" s="102"/>
      <c r="N3" s="102"/>
      <c r="O3" s="102" t="s">
        <v>58</v>
      </c>
      <c r="P3" s="102"/>
      <c r="Q3" s="102"/>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s="79">
        <v>3284.9810950000001</v>
      </c>
      <c r="D5" s="79">
        <v>2699.0704730000002</v>
      </c>
      <c r="E5" s="79">
        <v>2699.0704730000002</v>
      </c>
      <c r="F5" s="51">
        <v>20</v>
      </c>
      <c r="G5" s="51">
        <v>15</v>
      </c>
      <c r="H5" s="51">
        <v>15</v>
      </c>
      <c r="I5" s="51">
        <v>0</v>
      </c>
      <c r="J5" s="51">
        <v>0</v>
      </c>
      <c r="K5" s="51">
        <v>0</v>
      </c>
      <c r="L5" s="82">
        <v>5.0000000000000001E-3</v>
      </c>
      <c r="M5" s="82">
        <v>5.0000000000000001E-3</v>
      </c>
      <c r="N5" s="82">
        <v>5.0000000000000001E-3</v>
      </c>
      <c r="O5" s="85">
        <v>13.942593690000001</v>
      </c>
      <c r="P5" s="85">
        <v>13.942593690000001</v>
      </c>
      <c r="Q5" s="86">
        <v>13.942593690000001</v>
      </c>
      <c r="R5" s="3"/>
    </row>
    <row r="6" spans="1:18">
      <c r="A6" s="3"/>
      <c r="B6" s="52">
        <v>2015</v>
      </c>
      <c r="C6" s="80">
        <v>3096.324736</v>
      </c>
      <c r="D6" s="80">
        <v>2249.1145940000001</v>
      </c>
      <c r="E6" s="80">
        <v>2249.1145940000001</v>
      </c>
      <c r="F6" s="53">
        <v>20</v>
      </c>
      <c r="G6" s="53">
        <v>15</v>
      </c>
      <c r="H6" s="53">
        <v>15</v>
      </c>
      <c r="I6" s="53">
        <v>0</v>
      </c>
      <c r="J6" s="53">
        <v>0</v>
      </c>
      <c r="K6" s="53">
        <v>0</v>
      </c>
      <c r="L6" s="83">
        <f>L5</f>
        <v>5.0000000000000001E-3</v>
      </c>
      <c r="M6" s="83">
        <f t="shared" ref="M6:N6" si="0">M5</f>
        <v>5.0000000000000001E-3</v>
      </c>
      <c r="N6" s="83">
        <f t="shared" si="0"/>
        <v>5.0000000000000001E-3</v>
      </c>
      <c r="O6" s="80">
        <v>14.407346820000001</v>
      </c>
      <c r="P6" s="80">
        <v>14.407346820000001</v>
      </c>
      <c r="Q6" s="87">
        <v>14.407346820000001</v>
      </c>
      <c r="R6" s="3"/>
    </row>
    <row r="7" spans="1:18">
      <c r="A7" s="3"/>
      <c r="B7" s="52">
        <v>2016</v>
      </c>
      <c r="C7" s="80">
        <v>3096.324736</v>
      </c>
      <c r="D7" s="80">
        <v>2249.1145940000001</v>
      </c>
      <c r="E7" s="80">
        <v>2249.1145940000001</v>
      </c>
      <c r="F7" s="53">
        <v>20</v>
      </c>
      <c r="G7" s="53">
        <v>15</v>
      </c>
      <c r="H7" s="53">
        <v>15</v>
      </c>
      <c r="I7" s="53">
        <v>0</v>
      </c>
      <c r="J7" s="53">
        <v>0</v>
      </c>
      <c r="K7" s="53">
        <v>0</v>
      </c>
      <c r="L7" s="83">
        <f t="shared" ref="L7:L32" si="1">L6</f>
        <v>5.0000000000000001E-3</v>
      </c>
      <c r="M7" s="83">
        <f t="shared" ref="M7:M33" si="2">M6</f>
        <v>5.0000000000000001E-3</v>
      </c>
      <c r="N7" s="83">
        <f t="shared" ref="N7:N33" si="3">N6</f>
        <v>5.0000000000000001E-3</v>
      </c>
      <c r="O7" s="80">
        <v>14.87209994</v>
      </c>
      <c r="P7" s="80">
        <v>14.87209994</v>
      </c>
      <c r="Q7" s="87">
        <v>14.87209994</v>
      </c>
      <c r="R7" s="3"/>
    </row>
    <row r="8" spans="1:18">
      <c r="A8" s="3"/>
      <c r="B8" s="52">
        <v>2017</v>
      </c>
      <c r="C8" s="80">
        <v>3096.324736</v>
      </c>
      <c r="D8" s="80">
        <v>2249.1145940000001</v>
      </c>
      <c r="E8" s="80">
        <v>2249.1145940000001</v>
      </c>
      <c r="F8" s="53">
        <v>20</v>
      </c>
      <c r="G8" s="53">
        <v>15</v>
      </c>
      <c r="H8" s="53">
        <v>15</v>
      </c>
      <c r="I8" s="53">
        <v>0</v>
      </c>
      <c r="J8" s="53">
        <v>0</v>
      </c>
      <c r="K8" s="53">
        <v>0</v>
      </c>
      <c r="L8" s="83">
        <f t="shared" si="1"/>
        <v>5.0000000000000001E-3</v>
      </c>
      <c r="M8" s="83">
        <f t="shared" si="2"/>
        <v>5.0000000000000001E-3</v>
      </c>
      <c r="N8" s="83">
        <f t="shared" si="3"/>
        <v>5.0000000000000001E-3</v>
      </c>
      <c r="O8" s="80">
        <v>14.87209994</v>
      </c>
      <c r="P8" s="80">
        <v>14.87209994</v>
      </c>
      <c r="Q8" s="87">
        <v>14.87209994</v>
      </c>
      <c r="R8" s="3"/>
    </row>
    <row r="9" spans="1:18">
      <c r="A9" s="3"/>
      <c r="B9" s="52">
        <v>2018</v>
      </c>
      <c r="C9" s="80">
        <v>3096.324736</v>
      </c>
      <c r="D9" s="80">
        <v>2249.1145940000001</v>
      </c>
      <c r="E9" s="80">
        <v>2249.1145940000001</v>
      </c>
      <c r="F9" s="53">
        <v>20</v>
      </c>
      <c r="G9" s="53">
        <v>15</v>
      </c>
      <c r="H9" s="53">
        <v>15</v>
      </c>
      <c r="I9" s="53">
        <v>0</v>
      </c>
      <c r="J9" s="53">
        <v>0</v>
      </c>
      <c r="K9" s="53">
        <v>0</v>
      </c>
      <c r="L9" s="83">
        <f t="shared" si="1"/>
        <v>5.0000000000000001E-3</v>
      </c>
      <c r="M9" s="83">
        <f t="shared" si="2"/>
        <v>5.0000000000000001E-3</v>
      </c>
      <c r="N9" s="83">
        <f t="shared" si="3"/>
        <v>5.0000000000000001E-3</v>
      </c>
      <c r="O9" s="80">
        <v>14.87209994</v>
      </c>
      <c r="P9" s="80">
        <v>14.87209994</v>
      </c>
      <c r="Q9" s="87">
        <v>14.87209994</v>
      </c>
      <c r="R9" s="3"/>
    </row>
    <row r="10" spans="1:18">
      <c r="A10" s="3"/>
      <c r="B10" s="52">
        <v>2019</v>
      </c>
      <c r="C10" s="80">
        <v>3096.324736</v>
      </c>
      <c r="D10" s="80">
        <v>2249.1145940000001</v>
      </c>
      <c r="E10" s="80">
        <v>2249.1145940000001</v>
      </c>
      <c r="F10" s="53">
        <v>20</v>
      </c>
      <c r="G10" s="53">
        <v>15</v>
      </c>
      <c r="H10" s="53">
        <v>15</v>
      </c>
      <c r="I10" s="53">
        <v>0</v>
      </c>
      <c r="J10" s="53">
        <v>0</v>
      </c>
      <c r="K10" s="53">
        <v>0</v>
      </c>
      <c r="L10" s="83">
        <f t="shared" si="1"/>
        <v>5.0000000000000001E-3</v>
      </c>
      <c r="M10" s="83">
        <f t="shared" si="2"/>
        <v>5.0000000000000001E-3</v>
      </c>
      <c r="N10" s="83">
        <f t="shared" si="3"/>
        <v>5.0000000000000001E-3</v>
      </c>
      <c r="O10" s="80">
        <v>15.336853059999999</v>
      </c>
      <c r="P10" s="80">
        <v>15.336853059999999</v>
      </c>
      <c r="Q10" s="87">
        <v>15.336853059999999</v>
      </c>
      <c r="R10" s="3"/>
    </row>
    <row r="11" spans="1:18">
      <c r="A11" s="3"/>
      <c r="B11" s="52">
        <v>2020</v>
      </c>
      <c r="C11" s="80">
        <v>3096.324736</v>
      </c>
      <c r="D11" s="80">
        <v>2249.1145940000001</v>
      </c>
      <c r="E11" s="80">
        <v>2249.1145940000001</v>
      </c>
      <c r="F11" s="53">
        <v>20</v>
      </c>
      <c r="G11" s="53">
        <v>15</v>
      </c>
      <c r="H11" s="53">
        <v>15</v>
      </c>
      <c r="I11" s="53">
        <v>0</v>
      </c>
      <c r="J11" s="53">
        <v>0</v>
      </c>
      <c r="K11" s="53">
        <v>0</v>
      </c>
      <c r="L11" s="83">
        <f t="shared" si="1"/>
        <v>5.0000000000000001E-3</v>
      </c>
      <c r="M11" s="83">
        <f t="shared" si="2"/>
        <v>5.0000000000000001E-3</v>
      </c>
      <c r="N11" s="83">
        <f t="shared" si="3"/>
        <v>5.0000000000000001E-3</v>
      </c>
      <c r="O11" s="80">
        <v>15.801606189999999</v>
      </c>
      <c r="P11" s="80">
        <v>15.801606189999999</v>
      </c>
      <c r="Q11" s="87">
        <v>15.801606189999999</v>
      </c>
      <c r="R11" s="3"/>
    </row>
    <row r="12" spans="1:18">
      <c r="A12" s="3"/>
      <c r="B12" s="52">
        <v>2021</v>
      </c>
      <c r="C12" s="80">
        <v>3096.324736</v>
      </c>
      <c r="D12" s="80">
        <v>2249.1145940000001</v>
      </c>
      <c r="E12" s="80">
        <v>2249.1145940000001</v>
      </c>
      <c r="F12" s="53">
        <v>20</v>
      </c>
      <c r="G12" s="53">
        <v>15</v>
      </c>
      <c r="H12" s="53">
        <v>15</v>
      </c>
      <c r="I12" s="53">
        <v>0</v>
      </c>
      <c r="J12" s="53">
        <v>0</v>
      </c>
      <c r="K12" s="53">
        <v>0</v>
      </c>
      <c r="L12" s="83">
        <f t="shared" si="1"/>
        <v>5.0000000000000001E-3</v>
      </c>
      <c r="M12" s="83">
        <f t="shared" si="2"/>
        <v>5.0000000000000001E-3</v>
      </c>
      <c r="N12" s="83">
        <f t="shared" si="3"/>
        <v>5.0000000000000001E-3</v>
      </c>
      <c r="O12" s="80">
        <v>15.801606189999999</v>
      </c>
      <c r="P12" s="80">
        <v>15.801606189999999</v>
      </c>
      <c r="Q12" s="87">
        <v>15.801606189999999</v>
      </c>
      <c r="R12" s="3"/>
    </row>
    <row r="13" spans="1:18">
      <c r="A13" s="3"/>
      <c r="B13" s="52">
        <v>2022</v>
      </c>
      <c r="C13" s="80">
        <v>3096.324736</v>
      </c>
      <c r="D13" s="80">
        <v>2249.1145940000001</v>
      </c>
      <c r="E13" s="80">
        <v>2249.1145940000001</v>
      </c>
      <c r="F13" s="53">
        <v>20</v>
      </c>
      <c r="G13" s="53">
        <v>15</v>
      </c>
      <c r="H13" s="53">
        <v>15</v>
      </c>
      <c r="I13" s="53">
        <v>0</v>
      </c>
      <c r="J13" s="53">
        <v>0</v>
      </c>
      <c r="K13" s="53">
        <v>0</v>
      </c>
      <c r="L13" s="83">
        <f t="shared" si="1"/>
        <v>5.0000000000000001E-3</v>
      </c>
      <c r="M13" s="83">
        <f t="shared" si="2"/>
        <v>5.0000000000000001E-3</v>
      </c>
      <c r="N13" s="83">
        <f t="shared" si="3"/>
        <v>5.0000000000000001E-3</v>
      </c>
      <c r="O13" s="80">
        <v>15.801606189999999</v>
      </c>
      <c r="P13" s="80">
        <v>15.801606189999999</v>
      </c>
      <c r="Q13" s="87">
        <v>15.801606189999999</v>
      </c>
      <c r="R13" s="3"/>
    </row>
    <row r="14" spans="1:18">
      <c r="A14" s="3"/>
      <c r="B14" s="52">
        <v>2023</v>
      </c>
      <c r="C14" s="80">
        <v>3096.324736</v>
      </c>
      <c r="D14" s="80">
        <v>2249.1145940000001</v>
      </c>
      <c r="E14" s="80">
        <v>2249.1145940000001</v>
      </c>
      <c r="F14" s="53">
        <v>20</v>
      </c>
      <c r="G14" s="53">
        <v>15</v>
      </c>
      <c r="H14" s="53">
        <v>15</v>
      </c>
      <c r="I14" s="53">
        <v>0</v>
      </c>
      <c r="J14" s="53">
        <v>0</v>
      </c>
      <c r="K14" s="53">
        <v>0</v>
      </c>
      <c r="L14" s="83">
        <f t="shared" si="1"/>
        <v>5.0000000000000001E-3</v>
      </c>
      <c r="M14" s="83">
        <f t="shared" si="2"/>
        <v>5.0000000000000001E-3</v>
      </c>
      <c r="N14" s="83">
        <f t="shared" si="3"/>
        <v>5.0000000000000001E-3</v>
      </c>
      <c r="O14" s="80">
        <v>16.266359309999999</v>
      </c>
      <c r="P14" s="80">
        <v>16.266359309999999</v>
      </c>
      <c r="Q14" s="87">
        <v>16.266359309999999</v>
      </c>
      <c r="R14" s="3"/>
    </row>
    <row r="15" spans="1:18">
      <c r="A15" s="3"/>
      <c r="B15" s="52">
        <v>2024</v>
      </c>
      <c r="C15" s="80">
        <v>3096.324736</v>
      </c>
      <c r="D15" s="80">
        <v>2249.1145940000001</v>
      </c>
      <c r="E15" s="80">
        <v>2249.1145940000001</v>
      </c>
      <c r="F15" s="53">
        <v>20</v>
      </c>
      <c r="G15" s="53">
        <v>15</v>
      </c>
      <c r="H15" s="53">
        <v>15</v>
      </c>
      <c r="I15" s="53">
        <v>0</v>
      </c>
      <c r="J15" s="53">
        <v>0</v>
      </c>
      <c r="K15" s="53">
        <v>0</v>
      </c>
      <c r="L15" s="83">
        <f t="shared" si="1"/>
        <v>5.0000000000000001E-3</v>
      </c>
      <c r="M15" s="83">
        <f t="shared" si="2"/>
        <v>5.0000000000000001E-3</v>
      </c>
      <c r="N15" s="83">
        <f t="shared" si="3"/>
        <v>5.0000000000000001E-3</v>
      </c>
      <c r="O15" s="80">
        <v>16.73111243</v>
      </c>
      <c r="P15" s="80">
        <v>16.73111243</v>
      </c>
      <c r="Q15" s="87">
        <v>16.73111243</v>
      </c>
      <c r="R15" s="3"/>
    </row>
    <row r="16" spans="1:18">
      <c r="A16" s="3"/>
      <c r="B16" s="52">
        <v>2025</v>
      </c>
      <c r="C16" s="80">
        <v>3096.324736</v>
      </c>
      <c r="D16" s="80">
        <v>2249.1145940000001</v>
      </c>
      <c r="E16" s="80">
        <v>2249.1145940000001</v>
      </c>
      <c r="F16" s="53">
        <v>20</v>
      </c>
      <c r="G16" s="53">
        <v>15</v>
      </c>
      <c r="H16" s="53">
        <v>15</v>
      </c>
      <c r="I16" s="53">
        <v>0</v>
      </c>
      <c r="J16" s="53">
        <v>0</v>
      </c>
      <c r="K16" s="53">
        <v>0</v>
      </c>
      <c r="L16" s="83">
        <f t="shared" si="1"/>
        <v>5.0000000000000001E-3</v>
      </c>
      <c r="M16" s="83">
        <f t="shared" si="2"/>
        <v>5.0000000000000001E-3</v>
      </c>
      <c r="N16" s="83">
        <f t="shared" si="3"/>
        <v>5.0000000000000001E-3</v>
      </c>
      <c r="O16" s="80">
        <v>16.73111243</v>
      </c>
      <c r="P16" s="80">
        <v>16.73111243</v>
      </c>
      <c r="Q16" s="87">
        <v>16.73111243</v>
      </c>
      <c r="R16" s="3"/>
    </row>
    <row r="17" spans="1:18">
      <c r="A17" s="3"/>
      <c r="B17" s="52">
        <v>2026</v>
      </c>
      <c r="C17" s="80">
        <v>3096.324736</v>
      </c>
      <c r="D17" s="80">
        <v>2249.1145940000001</v>
      </c>
      <c r="E17" s="80">
        <v>2249.1145940000001</v>
      </c>
      <c r="F17" s="53">
        <v>20</v>
      </c>
      <c r="G17" s="53">
        <v>15</v>
      </c>
      <c r="H17" s="53">
        <v>15</v>
      </c>
      <c r="I17" s="53">
        <v>0</v>
      </c>
      <c r="J17" s="53">
        <v>0</v>
      </c>
      <c r="K17" s="53">
        <v>0</v>
      </c>
      <c r="L17" s="83">
        <f t="shared" si="1"/>
        <v>5.0000000000000001E-3</v>
      </c>
      <c r="M17" s="83">
        <f t="shared" si="2"/>
        <v>5.0000000000000001E-3</v>
      </c>
      <c r="N17" s="83">
        <f t="shared" si="3"/>
        <v>5.0000000000000001E-3</v>
      </c>
      <c r="O17" s="80">
        <v>16.73111243</v>
      </c>
      <c r="P17" s="80">
        <v>16.73111243</v>
      </c>
      <c r="Q17" s="87">
        <v>16.73111243</v>
      </c>
      <c r="R17" s="3"/>
    </row>
    <row r="18" spans="1:18">
      <c r="A18" s="3"/>
      <c r="B18" s="52">
        <v>2027</v>
      </c>
      <c r="C18" s="80">
        <v>3096.324736</v>
      </c>
      <c r="D18" s="80">
        <v>2249.1145940000001</v>
      </c>
      <c r="E18" s="80">
        <v>2249.1145940000001</v>
      </c>
      <c r="F18" s="53">
        <v>20</v>
      </c>
      <c r="G18" s="53">
        <v>15</v>
      </c>
      <c r="H18" s="53">
        <v>15</v>
      </c>
      <c r="I18" s="53">
        <v>0</v>
      </c>
      <c r="J18" s="53">
        <v>0</v>
      </c>
      <c r="K18" s="53">
        <v>0</v>
      </c>
      <c r="L18" s="83">
        <f t="shared" si="1"/>
        <v>5.0000000000000001E-3</v>
      </c>
      <c r="M18" s="83">
        <f t="shared" si="2"/>
        <v>5.0000000000000001E-3</v>
      </c>
      <c r="N18" s="83">
        <f t="shared" si="3"/>
        <v>5.0000000000000001E-3</v>
      </c>
      <c r="O18" s="80">
        <v>17.195865560000001</v>
      </c>
      <c r="P18" s="80">
        <v>17.195865560000001</v>
      </c>
      <c r="Q18" s="87">
        <v>17.195865560000001</v>
      </c>
      <c r="R18" s="3"/>
    </row>
    <row r="19" spans="1:18">
      <c r="A19" s="3"/>
      <c r="B19" s="52">
        <v>2028</v>
      </c>
      <c r="C19" s="80">
        <v>3096.324736</v>
      </c>
      <c r="D19" s="80">
        <v>2249.1145940000001</v>
      </c>
      <c r="E19" s="80">
        <v>2249.1145940000001</v>
      </c>
      <c r="F19" s="53">
        <v>20</v>
      </c>
      <c r="G19" s="53">
        <v>15</v>
      </c>
      <c r="H19" s="53">
        <v>15</v>
      </c>
      <c r="I19" s="53">
        <v>0</v>
      </c>
      <c r="J19" s="53">
        <v>0</v>
      </c>
      <c r="K19" s="53">
        <v>0</v>
      </c>
      <c r="L19" s="83">
        <f t="shared" si="1"/>
        <v>5.0000000000000001E-3</v>
      </c>
      <c r="M19" s="83">
        <f t="shared" si="2"/>
        <v>5.0000000000000001E-3</v>
      </c>
      <c r="N19" s="83">
        <f t="shared" si="3"/>
        <v>5.0000000000000001E-3</v>
      </c>
      <c r="O19" s="80">
        <v>17.660618679999999</v>
      </c>
      <c r="P19" s="80">
        <v>17.660618679999999</v>
      </c>
      <c r="Q19" s="87">
        <v>17.660618679999999</v>
      </c>
      <c r="R19" s="3"/>
    </row>
    <row r="20" spans="1:18">
      <c r="A20" s="3"/>
      <c r="B20" s="52">
        <v>2029</v>
      </c>
      <c r="C20" s="80">
        <v>3096.324736</v>
      </c>
      <c r="D20" s="80">
        <v>2249.1145940000001</v>
      </c>
      <c r="E20" s="80">
        <v>2249.1145940000001</v>
      </c>
      <c r="F20" s="53">
        <v>20</v>
      </c>
      <c r="G20" s="53">
        <v>15</v>
      </c>
      <c r="H20" s="53">
        <v>15</v>
      </c>
      <c r="I20" s="53">
        <v>0</v>
      </c>
      <c r="J20" s="53">
        <v>0</v>
      </c>
      <c r="K20" s="53">
        <v>0</v>
      </c>
      <c r="L20" s="83">
        <f t="shared" si="1"/>
        <v>5.0000000000000001E-3</v>
      </c>
      <c r="M20" s="83">
        <f t="shared" si="2"/>
        <v>5.0000000000000001E-3</v>
      </c>
      <c r="N20" s="83">
        <f t="shared" si="3"/>
        <v>5.0000000000000001E-3</v>
      </c>
      <c r="O20" s="80">
        <v>17.660618679999999</v>
      </c>
      <c r="P20" s="80">
        <v>17.660618679999999</v>
      </c>
      <c r="Q20" s="87">
        <v>17.660618679999999</v>
      </c>
      <c r="R20" s="3"/>
    </row>
    <row r="21" spans="1:18">
      <c r="A21" s="3"/>
      <c r="B21" s="52">
        <v>2030</v>
      </c>
      <c r="C21" s="80">
        <v>3096.324736</v>
      </c>
      <c r="D21" s="80">
        <v>2249.1145940000001</v>
      </c>
      <c r="E21" s="80">
        <v>2249.1145940000001</v>
      </c>
      <c r="F21" s="53">
        <v>20</v>
      </c>
      <c r="G21" s="53">
        <v>15</v>
      </c>
      <c r="H21" s="53">
        <v>15</v>
      </c>
      <c r="I21" s="53">
        <v>0</v>
      </c>
      <c r="J21" s="53">
        <v>0</v>
      </c>
      <c r="K21" s="53">
        <v>0</v>
      </c>
      <c r="L21" s="83">
        <f t="shared" si="1"/>
        <v>5.0000000000000001E-3</v>
      </c>
      <c r="M21" s="83">
        <f t="shared" si="2"/>
        <v>5.0000000000000001E-3</v>
      </c>
      <c r="N21" s="83">
        <f t="shared" si="3"/>
        <v>5.0000000000000001E-3</v>
      </c>
      <c r="O21" s="80">
        <v>17.660618679999999</v>
      </c>
      <c r="P21" s="80">
        <v>17.660618679999999</v>
      </c>
      <c r="Q21" s="87">
        <v>17.660618679999999</v>
      </c>
      <c r="R21" s="3"/>
    </row>
    <row r="22" spans="1:18">
      <c r="A22" s="3"/>
      <c r="B22" s="52">
        <v>2031</v>
      </c>
      <c r="C22" s="80">
        <v>3096.324736</v>
      </c>
      <c r="D22" s="80">
        <v>2249.1145940000001</v>
      </c>
      <c r="E22" s="80">
        <v>2249.1145940000001</v>
      </c>
      <c r="F22" s="53">
        <v>20</v>
      </c>
      <c r="G22" s="53">
        <v>15</v>
      </c>
      <c r="H22" s="53">
        <v>15</v>
      </c>
      <c r="I22" s="53">
        <v>0</v>
      </c>
      <c r="J22" s="53">
        <v>0</v>
      </c>
      <c r="K22" s="53">
        <v>0</v>
      </c>
      <c r="L22" s="83">
        <f t="shared" si="1"/>
        <v>5.0000000000000001E-3</v>
      </c>
      <c r="M22" s="83">
        <f t="shared" si="2"/>
        <v>5.0000000000000001E-3</v>
      </c>
      <c r="N22" s="83">
        <f t="shared" si="3"/>
        <v>5.0000000000000001E-3</v>
      </c>
      <c r="O22" s="80">
        <v>18.1253718</v>
      </c>
      <c r="P22" s="80">
        <v>18.1253718</v>
      </c>
      <c r="Q22" s="87">
        <v>18.1253718</v>
      </c>
      <c r="R22" s="3"/>
    </row>
    <row r="23" spans="1:18">
      <c r="A23" s="3"/>
      <c r="B23" s="52">
        <v>2032</v>
      </c>
      <c r="C23" s="80">
        <v>3096.324736</v>
      </c>
      <c r="D23" s="80">
        <v>2249.1145940000001</v>
      </c>
      <c r="E23" s="80">
        <v>2249.1145940000001</v>
      </c>
      <c r="F23" s="53">
        <v>20</v>
      </c>
      <c r="G23" s="53">
        <v>15</v>
      </c>
      <c r="H23" s="53">
        <v>15</v>
      </c>
      <c r="I23" s="53">
        <v>0</v>
      </c>
      <c r="J23" s="53">
        <v>0</v>
      </c>
      <c r="K23" s="53">
        <v>0</v>
      </c>
      <c r="L23" s="83">
        <f t="shared" si="1"/>
        <v>5.0000000000000001E-3</v>
      </c>
      <c r="M23" s="83">
        <f t="shared" si="2"/>
        <v>5.0000000000000001E-3</v>
      </c>
      <c r="N23" s="83">
        <f t="shared" si="3"/>
        <v>5.0000000000000001E-3</v>
      </c>
      <c r="O23" s="80">
        <v>18.590124930000002</v>
      </c>
      <c r="P23" s="80">
        <v>18.590124930000002</v>
      </c>
      <c r="Q23" s="87">
        <v>18.590124930000002</v>
      </c>
      <c r="R23" s="3"/>
    </row>
    <row r="24" spans="1:18">
      <c r="A24" s="3"/>
      <c r="B24" s="52">
        <v>2033</v>
      </c>
      <c r="C24" s="80">
        <v>3096.324736</v>
      </c>
      <c r="D24" s="80">
        <v>2249.1145940000001</v>
      </c>
      <c r="E24" s="80">
        <v>2249.1145940000001</v>
      </c>
      <c r="F24" s="53">
        <v>20</v>
      </c>
      <c r="G24" s="53">
        <v>15</v>
      </c>
      <c r="H24" s="53">
        <v>15</v>
      </c>
      <c r="I24" s="53">
        <v>0</v>
      </c>
      <c r="J24" s="53">
        <v>0</v>
      </c>
      <c r="K24" s="53">
        <v>0</v>
      </c>
      <c r="L24" s="83">
        <f t="shared" si="1"/>
        <v>5.0000000000000001E-3</v>
      </c>
      <c r="M24" s="83">
        <f t="shared" si="2"/>
        <v>5.0000000000000001E-3</v>
      </c>
      <c r="N24" s="83">
        <f t="shared" si="3"/>
        <v>5.0000000000000001E-3</v>
      </c>
      <c r="O24" s="80">
        <v>18.590124930000002</v>
      </c>
      <c r="P24" s="80">
        <v>18.590124930000002</v>
      </c>
      <c r="Q24" s="87">
        <v>18.590124930000002</v>
      </c>
      <c r="R24" s="3"/>
    </row>
    <row r="25" spans="1:18">
      <c r="A25" s="3"/>
      <c r="B25" s="52">
        <v>2034</v>
      </c>
      <c r="C25" s="80">
        <v>3096.324736</v>
      </c>
      <c r="D25" s="80">
        <v>2249.1145940000001</v>
      </c>
      <c r="E25" s="80">
        <v>2249.1145940000001</v>
      </c>
      <c r="F25" s="53">
        <v>20</v>
      </c>
      <c r="G25" s="53">
        <v>15</v>
      </c>
      <c r="H25" s="53">
        <v>15</v>
      </c>
      <c r="I25" s="53">
        <v>0</v>
      </c>
      <c r="J25" s="53">
        <v>0</v>
      </c>
      <c r="K25" s="53">
        <v>0</v>
      </c>
      <c r="L25" s="83">
        <f t="shared" si="1"/>
        <v>5.0000000000000001E-3</v>
      </c>
      <c r="M25" s="83">
        <f t="shared" si="2"/>
        <v>5.0000000000000001E-3</v>
      </c>
      <c r="N25" s="83">
        <f t="shared" si="3"/>
        <v>5.0000000000000001E-3</v>
      </c>
      <c r="O25" s="80">
        <v>18.590124930000002</v>
      </c>
      <c r="P25" s="80">
        <v>18.590124930000002</v>
      </c>
      <c r="Q25" s="87">
        <v>18.590124930000002</v>
      </c>
      <c r="R25" s="3"/>
    </row>
    <row r="26" spans="1:18">
      <c r="A26" s="3"/>
      <c r="B26" s="52">
        <v>2035</v>
      </c>
      <c r="C26" s="80">
        <v>3096.324736</v>
      </c>
      <c r="D26" s="80">
        <v>2249.1145940000001</v>
      </c>
      <c r="E26" s="80">
        <v>2249.1145940000001</v>
      </c>
      <c r="F26" s="53">
        <v>20</v>
      </c>
      <c r="G26" s="53">
        <v>15</v>
      </c>
      <c r="H26" s="53">
        <v>15</v>
      </c>
      <c r="I26" s="53">
        <v>0</v>
      </c>
      <c r="J26" s="53">
        <v>0</v>
      </c>
      <c r="K26" s="53">
        <v>0</v>
      </c>
      <c r="L26" s="83">
        <f t="shared" si="1"/>
        <v>5.0000000000000001E-3</v>
      </c>
      <c r="M26" s="83">
        <f t="shared" si="2"/>
        <v>5.0000000000000001E-3</v>
      </c>
      <c r="N26" s="83">
        <f t="shared" si="3"/>
        <v>5.0000000000000001E-3</v>
      </c>
      <c r="O26" s="80">
        <v>19.054878049999999</v>
      </c>
      <c r="P26" s="80">
        <v>19.054878049999999</v>
      </c>
      <c r="Q26" s="87">
        <v>19.054878049999999</v>
      </c>
      <c r="R26" s="3"/>
    </row>
    <row r="27" spans="1:18">
      <c r="A27" s="3"/>
      <c r="B27" s="52">
        <v>2036</v>
      </c>
      <c r="C27" s="80">
        <v>3096.324736</v>
      </c>
      <c r="D27" s="80">
        <v>2249.1145940000001</v>
      </c>
      <c r="E27" s="80">
        <v>2249.1145940000001</v>
      </c>
      <c r="F27" s="53">
        <v>20</v>
      </c>
      <c r="G27" s="53">
        <v>15</v>
      </c>
      <c r="H27" s="53">
        <v>15</v>
      </c>
      <c r="I27" s="53">
        <v>0</v>
      </c>
      <c r="J27" s="53">
        <v>0</v>
      </c>
      <c r="K27" s="53">
        <v>0</v>
      </c>
      <c r="L27" s="83">
        <f t="shared" si="1"/>
        <v>5.0000000000000001E-3</v>
      </c>
      <c r="M27" s="83">
        <f t="shared" si="2"/>
        <v>5.0000000000000001E-3</v>
      </c>
      <c r="N27" s="83">
        <f t="shared" si="3"/>
        <v>5.0000000000000001E-3</v>
      </c>
      <c r="O27" s="80">
        <v>19.51963117</v>
      </c>
      <c r="P27" s="80">
        <v>19.51963117</v>
      </c>
      <c r="Q27" s="87">
        <v>19.51963117</v>
      </c>
      <c r="R27" s="3"/>
    </row>
    <row r="28" spans="1:18">
      <c r="A28" s="3"/>
      <c r="B28" s="52">
        <v>2037</v>
      </c>
      <c r="C28" s="80">
        <v>3096.324736</v>
      </c>
      <c r="D28" s="80">
        <v>2249.1145940000001</v>
      </c>
      <c r="E28" s="80">
        <v>2249.1145940000001</v>
      </c>
      <c r="F28" s="53">
        <v>20</v>
      </c>
      <c r="G28" s="53">
        <v>15</v>
      </c>
      <c r="H28" s="53">
        <v>15</v>
      </c>
      <c r="I28" s="53">
        <v>0</v>
      </c>
      <c r="J28" s="53">
        <v>0</v>
      </c>
      <c r="K28" s="53">
        <v>0</v>
      </c>
      <c r="L28" s="83">
        <f t="shared" si="1"/>
        <v>5.0000000000000001E-3</v>
      </c>
      <c r="M28" s="83">
        <f t="shared" si="2"/>
        <v>5.0000000000000001E-3</v>
      </c>
      <c r="N28" s="83">
        <f t="shared" si="3"/>
        <v>5.0000000000000001E-3</v>
      </c>
      <c r="O28" s="80">
        <v>19.51963117</v>
      </c>
      <c r="P28" s="80">
        <v>19.51963117</v>
      </c>
      <c r="Q28" s="87">
        <v>19.51963117</v>
      </c>
      <c r="R28" s="3"/>
    </row>
    <row r="29" spans="1:18">
      <c r="A29" s="3"/>
      <c r="B29" s="52">
        <v>2038</v>
      </c>
      <c r="C29" s="80">
        <v>3096.324736</v>
      </c>
      <c r="D29" s="80">
        <v>2249.1145940000001</v>
      </c>
      <c r="E29" s="80">
        <v>2249.1145940000001</v>
      </c>
      <c r="F29" s="53">
        <v>20</v>
      </c>
      <c r="G29" s="53">
        <v>15</v>
      </c>
      <c r="H29" s="53">
        <v>15</v>
      </c>
      <c r="I29" s="53">
        <v>0</v>
      </c>
      <c r="J29" s="53">
        <v>0</v>
      </c>
      <c r="K29" s="53">
        <v>0</v>
      </c>
      <c r="L29" s="83">
        <f t="shared" si="1"/>
        <v>5.0000000000000001E-3</v>
      </c>
      <c r="M29" s="83">
        <f t="shared" si="2"/>
        <v>5.0000000000000001E-3</v>
      </c>
      <c r="N29" s="83">
        <f t="shared" si="3"/>
        <v>5.0000000000000001E-3</v>
      </c>
      <c r="O29" s="80">
        <v>19.51963117</v>
      </c>
      <c r="P29" s="80">
        <v>19.51963117</v>
      </c>
      <c r="Q29" s="87">
        <v>19.51963117</v>
      </c>
      <c r="R29" s="3"/>
    </row>
    <row r="30" spans="1:18">
      <c r="A30" s="3"/>
      <c r="B30" s="52">
        <v>2039</v>
      </c>
      <c r="C30" s="80">
        <v>3096.324736</v>
      </c>
      <c r="D30" s="80">
        <v>2249.1145940000001</v>
      </c>
      <c r="E30" s="80">
        <v>2249.1145940000001</v>
      </c>
      <c r="F30" s="53">
        <v>20</v>
      </c>
      <c r="G30" s="53">
        <v>15</v>
      </c>
      <c r="H30" s="53">
        <v>15</v>
      </c>
      <c r="I30" s="53">
        <v>0</v>
      </c>
      <c r="J30" s="53">
        <v>0</v>
      </c>
      <c r="K30" s="53">
        <v>0</v>
      </c>
      <c r="L30" s="83">
        <f t="shared" si="1"/>
        <v>5.0000000000000001E-3</v>
      </c>
      <c r="M30" s="83">
        <f t="shared" si="2"/>
        <v>5.0000000000000001E-3</v>
      </c>
      <c r="N30" s="83">
        <f t="shared" si="3"/>
        <v>5.0000000000000001E-3</v>
      </c>
      <c r="O30" s="80">
        <v>19.984384299999999</v>
      </c>
      <c r="P30" s="80">
        <v>19.984384299999999</v>
      </c>
      <c r="Q30" s="87">
        <v>19.984384299999999</v>
      </c>
      <c r="R30" s="3"/>
    </row>
    <row r="31" spans="1:18">
      <c r="A31" s="3"/>
      <c r="B31" s="52">
        <v>2040</v>
      </c>
      <c r="C31" s="80">
        <v>3096.324736</v>
      </c>
      <c r="D31" s="80">
        <v>2249.1145940000001</v>
      </c>
      <c r="E31" s="80">
        <v>2249.1145940000001</v>
      </c>
      <c r="F31" s="53">
        <v>20</v>
      </c>
      <c r="G31" s="53">
        <v>15</v>
      </c>
      <c r="H31" s="53">
        <v>15</v>
      </c>
      <c r="I31" s="53">
        <v>0</v>
      </c>
      <c r="J31" s="53">
        <v>0</v>
      </c>
      <c r="K31" s="53">
        <v>0</v>
      </c>
      <c r="L31" s="83">
        <f t="shared" si="1"/>
        <v>5.0000000000000001E-3</v>
      </c>
      <c r="M31" s="83">
        <f t="shared" si="2"/>
        <v>5.0000000000000001E-3</v>
      </c>
      <c r="N31" s="83">
        <f t="shared" si="3"/>
        <v>5.0000000000000001E-3</v>
      </c>
      <c r="O31" s="80">
        <v>20.44913742</v>
      </c>
      <c r="P31" s="80">
        <v>20.44913742</v>
      </c>
      <c r="Q31" s="87">
        <v>20.44913742</v>
      </c>
      <c r="R31" s="3"/>
    </row>
    <row r="32" spans="1:18">
      <c r="A32" s="3"/>
      <c r="B32" s="52">
        <v>2041</v>
      </c>
      <c r="C32" s="80">
        <v>3096.324736</v>
      </c>
      <c r="D32" s="80">
        <v>2249.1145940000001</v>
      </c>
      <c r="E32" s="80">
        <v>2249.1145940000001</v>
      </c>
      <c r="F32" s="53">
        <v>20</v>
      </c>
      <c r="G32" s="53">
        <v>15</v>
      </c>
      <c r="H32" s="53">
        <v>15</v>
      </c>
      <c r="I32" s="53">
        <v>0</v>
      </c>
      <c r="J32" s="53">
        <v>0</v>
      </c>
      <c r="K32" s="53">
        <v>0</v>
      </c>
      <c r="L32" s="83">
        <f t="shared" si="1"/>
        <v>5.0000000000000001E-3</v>
      </c>
      <c r="M32" s="83">
        <f t="shared" si="2"/>
        <v>5.0000000000000001E-3</v>
      </c>
      <c r="N32" s="83">
        <f t="shared" si="3"/>
        <v>5.0000000000000001E-3</v>
      </c>
      <c r="O32" s="80">
        <v>20.44913742</v>
      </c>
      <c r="P32" s="80">
        <v>20.44913742</v>
      </c>
      <c r="Q32" s="87">
        <v>20.44913742</v>
      </c>
      <c r="R32" s="3"/>
    </row>
    <row r="33" spans="1:18">
      <c r="A33" s="3"/>
      <c r="B33" s="52">
        <v>2042</v>
      </c>
      <c r="C33" s="80">
        <v>3096.324736</v>
      </c>
      <c r="D33" s="80">
        <v>2249.1145940000001</v>
      </c>
      <c r="E33" s="80">
        <v>2249.1145940000001</v>
      </c>
      <c r="F33" s="53">
        <v>20</v>
      </c>
      <c r="G33" s="53">
        <v>15</v>
      </c>
      <c r="H33" s="53">
        <v>15</v>
      </c>
      <c r="I33" s="53">
        <v>0</v>
      </c>
      <c r="J33" s="53">
        <v>0</v>
      </c>
      <c r="K33" s="53">
        <v>0</v>
      </c>
      <c r="L33" s="83">
        <f>L32</f>
        <v>5.0000000000000001E-3</v>
      </c>
      <c r="M33" s="83">
        <f t="shared" si="2"/>
        <v>5.0000000000000001E-3</v>
      </c>
      <c r="N33" s="83">
        <f t="shared" si="3"/>
        <v>5.0000000000000001E-3</v>
      </c>
      <c r="O33" s="80">
        <v>20.44913742</v>
      </c>
      <c r="P33" s="80">
        <v>20.44913742</v>
      </c>
      <c r="Q33" s="87">
        <v>20.44913742</v>
      </c>
      <c r="R33" s="3"/>
    </row>
    <row r="34" spans="1:18">
      <c r="A34" s="3"/>
      <c r="B34" s="52">
        <v>2043</v>
      </c>
      <c r="C34" s="80">
        <v>3096.324736</v>
      </c>
      <c r="D34" s="80">
        <v>2249.1145940000001</v>
      </c>
      <c r="E34" s="80">
        <v>2249.1145940000001</v>
      </c>
      <c r="F34" s="53">
        <v>20</v>
      </c>
      <c r="G34" s="53">
        <v>15</v>
      </c>
      <c r="H34" s="53">
        <v>15</v>
      </c>
      <c r="I34" s="53">
        <v>0</v>
      </c>
      <c r="J34" s="53">
        <v>0</v>
      </c>
      <c r="K34" s="53">
        <v>0</v>
      </c>
      <c r="L34" s="83">
        <f t="shared" ref="L34:L40" si="4">L33</f>
        <v>5.0000000000000001E-3</v>
      </c>
      <c r="M34" s="83">
        <f t="shared" ref="M34:M40" si="5">M33</f>
        <v>5.0000000000000001E-3</v>
      </c>
      <c r="N34" s="83">
        <f t="shared" ref="N34:N40" si="6">N33</f>
        <v>5.0000000000000001E-3</v>
      </c>
      <c r="O34" s="80">
        <v>20.44913742</v>
      </c>
      <c r="P34" s="80">
        <v>20.44913742</v>
      </c>
      <c r="Q34" s="87">
        <v>20.44913742</v>
      </c>
      <c r="R34" s="3"/>
    </row>
    <row r="35" spans="1:18">
      <c r="A35" s="3"/>
      <c r="B35" s="52">
        <v>2044</v>
      </c>
      <c r="C35" s="80">
        <v>3096.324736</v>
      </c>
      <c r="D35" s="80">
        <v>2249.1145940000001</v>
      </c>
      <c r="E35" s="80">
        <v>2249.1145940000001</v>
      </c>
      <c r="F35" s="53">
        <v>20</v>
      </c>
      <c r="G35" s="53">
        <v>15</v>
      </c>
      <c r="H35" s="53">
        <v>15</v>
      </c>
      <c r="I35" s="53">
        <v>0</v>
      </c>
      <c r="J35" s="53">
        <v>0</v>
      </c>
      <c r="K35" s="53">
        <v>0</v>
      </c>
      <c r="L35" s="83">
        <f t="shared" si="4"/>
        <v>5.0000000000000001E-3</v>
      </c>
      <c r="M35" s="83">
        <f t="shared" si="5"/>
        <v>5.0000000000000001E-3</v>
      </c>
      <c r="N35" s="83">
        <f t="shared" si="6"/>
        <v>5.0000000000000001E-3</v>
      </c>
      <c r="O35" s="80">
        <v>20.44913742</v>
      </c>
      <c r="P35" s="80">
        <v>20.44913742</v>
      </c>
      <c r="Q35" s="87">
        <v>20.44913742</v>
      </c>
      <c r="R35" s="3"/>
    </row>
    <row r="36" spans="1:18">
      <c r="A36" s="3"/>
      <c r="B36" s="52">
        <v>2045</v>
      </c>
      <c r="C36" s="80">
        <v>3096.324736</v>
      </c>
      <c r="D36" s="80">
        <v>2249.1145940000001</v>
      </c>
      <c r="E36" s="80">
        <v>2249.1145940000001</v>
      </c>
      <c r="F36" s="53">
        <v>20</v>
      </c>
      <c r="G36" s="53">
        <v>15</v>
      </c>
      <c r="H36" s="53">
        <v>15</v>
      </c>
      <c r="I36" s="53">
        <v>0</v>
      </c>
      <c r="J36" s="53">
        <v>0</v>
      </c>
      <c r="K36" s="53">
        <v>0</v>
      </c>
      <c r="L36" s="83">
        <f t="shared" si="4"/>
        <v>5.0000000000000001E-3</v>
      </c>
      <c r="M36" s="83">
        <f t="shared" si="5"/>
        <v>5.0000000000000001E-3</v>
      </c>
      <c r="N36" s="83">
        <f t="shared" si="6"/>
        <v>5.0000000000000001E-3</v>
      </c>
      <c r="O36" s="80">
        <v>20.44913742</v>
      </c>
      <c r="P36" s="80">
        <v>20.44913742</v>
      </c>
      <c r="Q36" s="87">
        <v>20.44913742</v>
      </c>
      <c r="R36" s="3"/>
    </row>
    <row r="37" spans="1:18">
      <c r="A37" s="3"/>
      <c r="B37" s="52">
        <v>2046</v>
      </c>
      <c r="C37" s="80">
        <v>3096.324736</v>
      </c>
      <c r="D37" s="80">
        <v>2249.1145940000001</v>
      </c>
      <c r="E37" s="80">
        <v>2249.1145940000001</v>
      </c>
      <c r="F37" s="53">
        <v>20</v>
      </c>
      <c r="G37" s="53">
        <v>15</v>
      </c>
      <c r="H37" s="53">
        <v>15</v>
      </c>
      <c r="I37" s="53">
        <v>0</v>
      </c>
      <c r="J37" s="53">
        <v>0</v>
      </c>
      <c r="K37" s="53">
        <v>0</v>
      </c>
      <c r="L37" s="83">
        <f t="shared" si="4"/>
        <v>5.0000000000000001E-3</v>
      </c>
      <c r="M37" s="83">
        <f t="shared" si="5"/>
        <v>5.0000000000000001E-3</v>
      </c>
      <c r="N37" s="83">
        <f t="shared" si="6"/>
        <v>5.0000000000000001E-3</v>
      </c>
      <c r="O37" s="80">
        <v>20.44913742</v>
      </c>
      <c r="P37" s="80">
        <v>20.44913742</v>
      </c>
      <c r="Q37" s="87">
        <v>20.44913742</v>
      </c>
      <c r="R37" s="3"/>
    </row>
    <row r="38" spans="1:18">
      <c r="A38" s="3"/>
      <c r="B38" s="52">
        <v>2047</v>
      </c>
      <c r="C38" s="80">
        <v>3096.324736</v>
      </c>
      <c r="D38" s="80">
        <v>2249.1145940000001</v>
      </c>
      <c r="E38" s="80">
        <v>2249.1145940000001</v>
      </c>
      <c r="F38" s="53">
        <v>20</v>
      </c>
      <c r="G38" s="53">
        <v>15</v>
      </c>
      <c r="H38" s="53">
        <v>15</v>
      </c>
      <c r="I38" s="53">
        <v>0</v>
      </c>
      <c r="J38" s="53">
        <v>0</v>
      </c>
      <c r="K38" s="53">
        <v>0</v>
      </c>
      <c r="L38" s="83">
        <f t="shared" si="4"/>
        <v>5.0000000000000001E-3</v>
      </c>
      <c r="M38" s="83">
        <f t="shared" si="5"/>
        <v>5.0000000000000001E-3</v>
      </c>
      <c r="N38" s="83">
        <f t="shared" si="6"/>
        <v>5.0000000000000001E-3</v>
      </c>
      <c r="O38" s="80">
        <v>20.44913742</v>
      </c>
      <c r="P38" s="80">
        <v>20.44913742</v>
      </c>
      <c r="Q38" s="87">
        <v>20.44913742</v>
      </c>
      <c r="R38" s="3"/>
    </row>
    <row r="39" spans="1:18">
      <c r="A39" s="3"/>
      <c r="B39" s="52">
        <v>2048</v>
      </c>
      <c r="C39" s="80">
        <v>3096.324736</v>
      </c>
      <c r="D39" s="80">
        <v>2249.1145940000001</v>
      </c>
      <c r="E39" s="80">
        <v>2249.1145940000001</v>
      </c>
      <c r="F39" s="53">
        <v>20</v>
      </c>
      <c r="G39" s="53">
        <v>15</v>
      </c>
      <c r="H39" s="53">
        <v>15</v>
      </c>
      <c r="I39" s="53">
        <v>0</v>
      </c>
      <c r="J39" s="53">
        <v>0</v>
      </c>
      <c r="K39" s="53">
        <v>0</v>
      </c>
      <c r="L39" s="83">
        <f t="shared" si="4"/>
        <v>5.0000000000000001E-3</v>
      </c>
      <c r="M39" s="83">
        <f t="shared" si="5"/>
        <v>5.0000000000000001E-3</v>
      </c>
      <c r="N39" s="83">
        <f t="shared" si="6"/>
        <v>5.0000000000000001E-3</v>
      </c>
      <c r="O39" s="80">
        <v>20.44913742</v>
      </c>
      <c r="P39" s="80">
        <v>20.44913742</v>
      </c>
      <c r="Q39" s="87">
        <v>20.44913742</v>
      </c>
      <c r="R39" s="3"/>
    </row>
    <row r="40" spans="1:18">
      <c r="A40" s="3"/>
      <c r="B40" s="52">
        <v>2049</v>
      </c>
      <c r="C40" s="80">
        <v>3096.324736</v>
      </c>
      <c r="D40" s="80">
        <v>2249.1145940000001</v>
      </c>
      <c r="E40" s="80">
        <v>2249.1145940000001</v>
      </c>
      <c r="F40" s="53">
        <v>20</v>
      </c>
      <c r="G40" s="53">
        <v>15</v>
      </c>
      <c r="H40" s="53">
        <v>15</v>
      </c>
      <c r="I40" s="53">
        <v>0</v>
      </c>
      <c r="J40" s="53">
        <v>0</v>
      </c>
      <c r="K40" s="53">
        <v>0</v>
      </c>
      <c r="L40" s="83">
        <f t="shared" si="4"/>
        <v>5.0000000000000001E-3</v>
      </c>
      <c r="M40" s="83">
        <f t="shared" si="5"/>
        <v>5.0000000000000001E-3</v>
      </c>
      <c r="N40" s="83">
        <f t="shared" si="6"/>
        <v>5.0000000000000001E-3</v>
      </c>
      <c r="O40" s="80">
        <v>20.44913742</v>
      </c>
      <c r="P40" s="80">
        <v>20.44913742</v>
      </c>
      <c r="Q40" s="87">
        <v>20.44913742</v>
      </c>
      <c r="R40" s="3"/>
    </row>
    <row r="41" spans="1:18" ht="17" thickBot="1">
      <c r="A41" s="3"/>
      <c r="B41" s="54">
        <v>2050</v>
      </c>
      <c r="C41" s="81">
        <v>3096.324736</v>
      </c>
      <c r="D41" s="81">
        <v>2249.1145940000001</v>
      </c>
      <c r="E41" s="81">
        <v>2249.1145940000001</v>
      </c>
      <c r="F41" s="55">
        <v>20</v>
      </c>
      <c r="G41" s="55">
        <v>15</v>
      </c>
      <c r="H41" s="55">
        <v>15</v>
      </c>
      <c r="I41" s="55">
        <v>0</v>
      </c>
      <c r="J41" s="55">
        <v>0</v>
      </c>
      <c r="K41" s="55">
        <v>0</v>
      </c>
      <c r="L41" s="84">
        <v>5.0000000000000001E-3</v>
      </c>
      <c r="M41" s="84">
        <v>5.0000000000000001E-3</v>
      </c>
      <c r="N41" s="84">
        <v>5.0000000000000001E-3</v>
      </c>
      <c r="O41" s="88">
        <v>20.44913742</v>
      </c>
      <c r="P41" s="88">
        <v>20.44913742</v>
      </c>
      <c r="Q41" s="89">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2019-08-07T19:19:49Z</dcterms:modified>
</cp:coreProperties>
</file>