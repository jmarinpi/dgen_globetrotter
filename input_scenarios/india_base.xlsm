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13"/>
  <workbookPr codeName="ThisWorkbook"/>
  <mc:AlternateContent xmlns:mc="http://schemas.openxmlformats.org/markup-compatibility/2006">
    <mc:Choice Requires="x15">
      <x15ac:absPath xmlns:x15ac="http://schemas.microsoft.com/office/spreadsheetml/2010/11/ac" url="/Users/skoebric/Documents/NREL-GitHub/dgen_globetrotter/input_scenarios/"/>
    </mc:Choice>
  </mc:AlternateContent>
  <xr:revisionPtr revIDLastSave="0" documentId="13_ncr:1_{F75F4998-F6CB-9743-A4F9-198AF1986423}" xr6:coauthVersionLast="45" xr6:coauthVersionMax="45" xr10:uidLastSave="{00000000-0000-0000-0000-000000000000}"/>
  <bookViews>
    <workbookView xWindow="0" yWindow="440" windowWidth="28800" windowHeight="16600" tabRatio="500" activeTab="5" xr2:uid="{00000000-000D-0000-FFFF-FFFF000000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Financing!$B$28:$T$49</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N6" i="5" l="1"/>
  <c r="N7" i="5" s="1"/>
  <c r="N8" i="5" s="1"/>
  <c r="N9" i="5" s="1"/>
  <c r="N10" i="5" s="1"/>
  <c r="N11" i="5" s="1"/>
  <c r="N12" i="5" s="1"/>
  <c r="N13" i="5" s="1"/>
  <c r="N14" i="5" s="1"/>
  <c r="N15" i="5" s="1"/>
  <c r="N16" i="5" s="1"/>
  <c r="N17" i="5" s="1"/>
  <c r="N18" i="5" s="1"/>
  <c r="N19" i="5" s="1"/>
  <c r="N20" i="5" s="1"/>
  <c r="N21" i="5" s="1"/>
  <c r="N22" i="5" s="1"/>
  <c r="N23" i="5" s="1"/>
  <c r="N24" i="5" s="1"/>
  <c r="N25" i="5" s="1"/>
  <c r="N26" i="5" s="1"/>
  <c r="N27" i="5" s="1"/>
  <c r="N28" i="5" s="1"/>
  <c r="N29" i="5" s="1"/>
  <c r="N30" i="5" s="1"/>
  <c r="N31" i="5" s="1"/>
  <c r="N32" i="5" s="1"/>
  <c r="N33" i="5" s="1"/>
  <c r="N34" i="5" s="1"/>
  <c r="N35" i="5" s="1"/>
  <c r="N36" i="5" s="1"/>
  <c r="N37" i="5" s="1"/>
  <c r="N38" i="5" s="1"/>
  <c r="N39" i="5" s="1"/>
  <c r="N40" i="5" s="1"/>
  <c r="M6" i="5"/>
  <c r="M7" i="5" s="1"/>
  <c r="M8" i="5" s="1"/>
  <c r="M9" i="5" s="1"/>
  <c r="M10" i="5" s="1"/>
  <c r="M11" i="5" s="1"/>
  <c r="M12" i="5" s="1"/>
  <c r="M13" i="5" s="1"/>
  <c r="M14" i="5" s="1"/>
  <c r="M15" i="5" s="1"/>
  <c r="M16" i="5" s="1"/>
  <c r="M17" i="5" s="1"/>
  <c r="M18" i="5" s="1"/>
  <c r="M19" i="5" s="1"/>
  <c r="M20" i="5" s="1"/>
  <c r="M21" i="5" s="1"/>
  <c r="M22" i="5" s="1"/>
  <c r="M23" i="5" s="1"/>
  <c r="M24" i="5" s="1"/>
  <c r="M25" i="5" s="1"/>
  <c r="M26" i="5" s="1"/>
  <c r="M27" i="5" s="1"/>
  <c r="M28" i="5" s="1"/>
  <c r="M29" i="5" s="1"/>
  <c r="M30" i="5" s="1"/>
  <c r="M31" i="5" s="1"/>
  <c r="M32" i="5" s="1"/>
  <c r="M33" i="5" s="1"/>
  <c r="M34" i="5" s="1"/>
  <c r="M35" i="5" s="1"/>
  <c r="M36" i="5" s="1"/>
  <c r="M37" i="5" s="1"/>
  <c r="M38" i="5" s="1"/>
  <c r="M39" i="5" s="1"/>
  <c r="M40" i="5" s="1"/>
  <c r="L6" i="5"/>
  <c r="L7" i="5" s="1"/>
  <c r="L8" i="5" s="1"/>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B35" i="3" l="1"/>
  <c r="B36" i="3" s="1"/>
  <c r="B37" i="3" s="1"/>
  <c r="B38" i="3" s="1"/>
  <c r="B39" i="3" s="1"/>
  <c r="B40" i="3" s="1"/>
  <c r="B41" i="3" s="1"/>
  <c r="B42" i="3" s="1"/>
  <c r="B43" i="3" s="1"/>
  <c r="B44" i="3" s="1"/>
  <c r="B45" i="3" s="1"/>
  <c r="B46" i="3" s="1"/>
  <c r="B47" i="3" s="1"/>
  <c r="B48" i="3" s="1"/>
  <c r="B49"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Sigrin - NREL</author>
    <author>edrury</author>
  </authors>
  <commentList>
    <comment ref="D5" authorId="0" shapeId="0" xr:uid="{00000000-0006-0000-0000-000001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D6" authorId="1" shapeId="0" xr:uid="{00000000-0006-0000-0000-000002000000}">
      <text>
        <r>
          <rPr>
            <b/>
            <sz val="8"/>
            <color indexed="81"/>
            <rFont val="Tahoma"/>
            <family val="2"/>
          </rPr>
          <t xml:space="preserve">bsigrin:
</t>
        </r>
        <r>
          <rPr>
            <sz val="8"/>
            <color indexed="81"/>
            <rFont val="Tahoma"/>
            <family val="2"/>
          </rPr>
          <t>The user can choose to run all sectors or each individually.</t>
        </r>
      </text>
    </comment>
    <comment ref="D7" authorId="1" shapeId="0" xr:uid="{00000000-0006-0000-0000-00000300000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shapeId="0" xr:uid="{00000000-0006-0000-0000-000004000000}">
      <text>
        <r>
          <rPr>
            <b/>
            <sz val="8"/>
            <color indexed="81"/>
            <rFont val="Tahoma"/>
            <family val="2"/>
          </rPr>
          <t>edrury:</t>
        </r>
        <r>
          <rPr>
            <sz val="8"/>
            <color indexed="81"/>
            <rFont val="Tahoma"/>
            <family val="2"/>
          </rPr>
          <t xml:space="preserve">
Residential electricity rate structures</t>
        </r>
      </text>
    </comment>
    <comment ref="D9" authorId="1" shapeId="0" xr:uid="{00000000-0006-0000-0000-000005000000}">
      <text>
        <r>
          <rPr>
            <b/>
            <sz val="8"/>
            <color indexed="81"/>
            <rFont val="Tahoma"/>
            <family val="2"/>
          </rPr>
          <t>edrury:</t>
        </r>
        <r>
          <rPr>
            <sz val="8"/>
            <color indexed="81"/>
            <rFont val="Tahoma"/>
            <family val="2"/>
          </rPr>
          <t xml:space="preserve">
Commercial Electricity Rate Structures</t>
        </r>
      </text>
    </comment>
    <comment ref="D10" authorId="1" shapeId="0" xr:uid="{00000000-0006-0000-0000-000006000000}">
      <text>
        <r>
          <rPr>
            <b/>
            <sz val="8"/>
            <color rgb="FF000000"/>
            <rFont val="Tahoma"/>
            <family val="2"/>
          </rPr>
          <t>edrury:</t>
        </r>
        <r>
          <rPr>
            <sz val="8"/>
            <color rgb="FF000000"/>
            <rFont val="Tahoma"/>
            <family val="2"/>
          </rPr>
          <t xml:space="preserve">
</t>
        </r>
        <r>
          <rPr>
            <sz val="8"/>
            <color rgb="FF000000"/>
            <rFont val="Tahoma"/>
            <family val="2"/>
          </rPr>
          <t>Commercial Electricity Rate Structures</t>
        </r>
      </text>
    </comment>
    <comment ref="D11" authorId="1" shapeId="0" xr:uid="{00000000-0006-0000-0000-000007000000}">
      <text>
        <r>
          <rPr>
            <b/>
            <sz val="8"/>
            <color indexed="81"/>
            <rFont val="Tahoma"/>
            <family val="2"/>
          </rPr>
          <t>edrury:</t>
        </r>
        <r>
          <rPr>
            <sz val="8"/>
            <color indexed="81"/>
            <rFont val="Tahoma"/>
            <family val="2"/>
          </rPr>
          <t xml:space="preserve">
Escalation of Residential Electricity Rates</t>
        </r>
      </text>
    </comment>
    <comment ref="D12" authorId="1" shapeId="0" xr:uid="{00000000-0006-0000-0000-000008000000}">
      <text>
        <r>
          <rPr>
            <b/>
            <sz val="8"/>
            <color indexed="81"/>
            <rFont val="Tahoma"/>
            <family val="2"/>
          </rPr>
          <t>edrury:</t>
        </r>
        <r>
          <rPr>
            <sz val="8"/>
            <color indexed="81"/>
            <rFont val="Tahoma"/>
            <family val="2"/>
          </rPr>
          <t xml:space="preserve">
Escalation of Commercial electricity rates</t>
        </r>
      </text>
    </comment>
    <comment ref="D13" authorId="1" shapeId="0" xr:uid="{00000000-0006-0000-0000-000009000000}">
      <text>
        <r>
          <rPr>
            <b/>
            <sz val="8"/>
            <color indexed="81"/>
            <rFont val="Tahoma"/>
            <family val="2"/>
          </rPr>
          <t>edrury:</t>
        </r>
        <r>
          <rPr>
            <sz val="8"/>
            <color indexed="81"/>
            <rFont val="Tahoma"/>
            <family val="2"/>
          </rPr>
          <t xml:space="preserve">
Escalation of Commercial electricity rates</t>
        </r>
      </text>
    </comment>
    <comment ref="D14" authorId="1" shapeId="0" xr:uid="{00000000-0006-0000-0000-00000A00000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5" authorId="1"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shapeId="0" xr:uid="{00000000-0006-0000-0000-00000C00000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shapeId="0" xr:uid="{00000000-0006-0000-0000-00000D00000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Sigrin - NREL</author>
  </authors>
  <commentList>
    <comment ref="B10" authorId="0" shapeId="0" xr:uid="{00000000-0006-0000-0200-000001000000}">
      <text>
        <r>
          <rPr>
            <b/>
            <sz val="9"/>
            <color rgb="FF000000"/>
            <rFont val="Tahoma"/>
            <family val="2"/>
          </rPr>
          <t>Ben Sigrin - NREL:</t>
        </r>
        <r>
          <rPr>
            <sz val="9"/>
            <color rgb="FF000000"/>
            <rFont val="Tahoma"/>
            <family val="2"/>
          </rPr>
          <t xml:space="preserve">
</t>
        </r>
        <r>
          <rPr>
            <sz val="9"/>
            <color rgb="FF000000"/>
            <rFont val="Tahoma"/>
            <family val="2"/>
          </rPr>
          <t>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<sst xmlns="http://schemas.openxmlformats.org/spreadsheetml/2006/main" count="168" uniqueCount="98">
  <si>
    <t>Scenario Options</t>
  </si>
  <si>
    <t>Value</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</si>
  <si>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</si>
  <si>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</si>
  <si>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</si>
  <si>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</si>
  <si>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</si>
  <si>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</si>
  <si>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</si>
  <si>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</si>
  <si>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</si>
  <si>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</si>
  <si>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</si>
  <si>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</si>
  <si>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</si>
  <si>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</si>
  <si>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</si>
  <si>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</si>
  <si>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</si>
  <si>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</si>
  <si>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</si>
  <si>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</si>
  <si>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Market Projections</t>
  </si>
  <si>
    <t>Annual Inflation</t>
  </si>
  <si>
    <t>Carbon Price ($/Ton CO2)</t>
  </si>
  <si>
    <t>Default Rate Escalations</t>
  </si>
  <si>
    <t>Year</t>
  </si>
  <si>
    <t>Residential</t>
  </si>
  <si>
    <t>Commercial</t>
  </si>
  <si>
    <t>Industrial</t>
  </si>
  <si>
    <t>Economic Lifetime</t>
  </si>
  <si>
    <t>Loan Term Years</t>
  </si>
  <si>
    <t>Year 0</t>
  </si>
  <si>
    <t>Year 1</t>
  </si>
  <si>
    <t>Year 2</t>
  </si>
  <si>
    <t>Year 3</t>
  </si>
  <si>
    <t>Year 4</t>
  </si>
  <si>
    <t>Year 5</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</si>
  <si>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</si>
  <si>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</si>
  <si>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</si>
  <si>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</si>
  <si>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</si>
  <si>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</si>
  <si>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</si>
  <si>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</si>
  <si>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</si>
  <si>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</si>
  <si>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</si>
  <si>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</si>
  <si>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</si>
  <si>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</si>
  <si>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</si>
  <si>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</si>
  <si>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</si>
  <si>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</si>
  <si>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</si>
  <si>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</si>
  <si>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</si>
  <si>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</si>
  <si>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</si>
  <si>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</si>
  <si>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</si>
  <si>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</si>
  <si>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</si>
  <si>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</si>
  <si>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</si>
  <si>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</si>
  <si>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</si>
  <si>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</si>
  <si>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</si>
  <si>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</si>
  <si>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</si>
  <si>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</si>
  <si>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</si>
  <si>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</si>
  <si>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</si>
  <si>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</si>
  <si>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</si>
  <si>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</si>
  <si>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</si>
  <si>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</si>
  <si>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</si>
  <si>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</si>
  <si>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</si>
  <si>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</si>
  <si>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</si>
  <si>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</si>
  <si>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</si>
  <si>
    <t>Corporate Tax Rate:</t>
  </si>
  <si>
    <t>https://tradingeconomics.com/colombia/corporate-tax-rate</t>
  </si>
  <si>
    <t>https://www.filepicker.io/api/file/AU72yUsRyOAcuKslGvkQ</t>
  </si>
  <si>
    <t>ITC / Depreciation:</t>
  </si>
  <si>
    <t>Buy All Sell All</t>
  </si>
  <si>
    <t>Net Billing (Wholesale)</t>
  </si>
  <si>
    <t>Net Billing (Avoided Cost)</t>
  </si>
  <si>
    <t>Net Metering</t>
  </si>
  <si>
    <t>india_base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</si>
</sst>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03">
    <xf numFmtId="0" fontId="0" fillId="0" borderId="0" xfId="0"/>
    <xf numFmtId="0" fontId="2" fillId="3" borderId="0" xfId="2" applyFill="1"/>
    <xf numFmtId="0" fontId="4" fillId="2" borderId="0" xfId="2" applyFont="1" applyFill="1"/>
    <xf numFmtId="0" fontId="0" fillId="3" borderId="0" xfId="0" applyFill="1"/>
    <xf numFmtId="0" fontId="7" fillId="3" borderId="0" xfId="2" applyFont="1" applyFill="1"/>
    <xf numFmtId="0" fontId="4" fillId="3" borderId="0" xfId="2" applyFont="1" applyFill="1"/>
    <xf numFmtId="0" fontId="12"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3" fillId="2" borderId="0" xfId="2" applyFont="1" applyFill="1"/>
    <xf numFmtId="0" fontId="14" fillId="4" borderId="5" xfId="0" applyFont="1" applyFill="1" applyBorder="1" applyAlignment="1">
      <alignment horizontal="center" vertical="center" wrapText="1"/>
    </xf>
    <xf numFmtId="0" fontId="16" fillId="4" borderId="6" xfId="0" applyFont="1" applyFill="1" applyBorder="1"/>
    <xf numFmtId="0" fontId="16" fillId="4" borderId="7" xfId="0" applyFont="1" applyFill="1" applyBorder="1"/>
    <xf numFmtId="0" fontId="0" fillId="4" borderId="0" xfId="0" applyFill="1"/>
    <xf numFmtId="0" fontId="14" fillId="4" borderId="8" xfId="0" applyFont="1" applyFill="1" applyBorder="1" applyAlignment="1">
      <alignment horizontal="center" vertical="center" wrapText="1"/>
    </xf>
    <xf numFmtId="0" fontId="17" fillId="3" borderId="0" xfId="2" applyFont="1" applyFill="1"/>
    <xf numFmtId="0" fontId="8" fillId="4" borderId="4" xfId="2" applyFont="1" applyFill="1" applyBorder="1" applyAlignment="1">
      <alignment vertical="center" wrapText="1"/>
    </xf>
    <xf numFmtId="0" fontId="18" fillId="4" borderId="3" xfId="2" applyFont="1" applyFill="1" applyBorder="1" applyAlignment="1">
      <alignment horizontal="left"/>
    </xf>
    <xf numFmtId="0" fontId="18" fillId="4" borderId="3" xfId="3" applyFont="1" applyFill="1" applyBorder="1" applyAlignment="1" applyProtection="1">
      <alignment horizontal="left"/>
    </xf>
    <xf numFmtId="0" fontId="18" fillId="4" borderId="3" xfId="4" applyFont="1" applyFill="1" applyBorder="1" applyAlignment="1">
      <alignment horizontal="left"/>
    </xf>
    <xf numFmtId="0" fontId="19" fillId="5" borderId="1" xfId="2" applyFont="1" applyFill="1" applyBorder="1" applyAlignment="1">
      <alignment horizontal="center" vertical="center"/>
    </xf>
    <xf numFmtId="0" fontId="19" fillId="5" borderId="2" xfId="2" applyFont="1" applyFill="1" applyBorder="1" applyAlignment="1">
      <alignment horizontal="center" vertical="center"/>
    </xf>
    <xf numFmtId="1" fontId="10"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3" fillId="0" borderId="0" xfId="2" applyFont="1" applyFill="1"/>
    <xf numFmtId="0" fontId="2" fillId="0" borderId="0" xfId="2" applyFill="1"/>
    <xf numFmtId="0" fontId="0" fillId="0" borderId="0" xfId="0" applyFill="1"/>
    <xf numFmtId="0" fontId="16" fillId="4" borderId="7" xfId="0" applyFont="1" applyFill="1" applyBorder="1" applyAlignment="1">
      <alignment horizontal="center"/>
    </xf>
    <xf numFmtId="0" fontId="4" fillId="3" borderId="0" xfId="4" applyFill="1"/>
    <xf numFmtId="0" fontId="21" fillId="3" borderId="0" xfId="2" applyFont="1" applyFill="1" applyBorder="1" applyAlignment="1">
      <alignment horizontal="center"/>
    </xf>
    <xf numFmtId="0" fontId="0" fillId="0" borderId="0" xfId="0" applyFill="1" applyBorder="1"/>
    <xf numFmtId="0" fontId="20" fillId="4" borderId="7" xfId="2" applyFont="1" applyFill="1" applyBorder="1" applyAlignment="1" applyProtection="1">
      <alignment horizontal="center" wrapText="1"/>
    </xf>
    <xf numFmtId="0" fontId="20"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7" fillId="3" borderId="0" xfId="2" applyFont="1" applyFill="1" applyProtection="1">
      <protection locked="0"/>
    </xf>
    <xf numFmtId="0" fontId="18"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6" fillId="0" borderId="11" xfId="0" applyFont="1" applyFill="1" applyBorder="1"/>
    <xf numFmtId="0" fontId="16" fillId="0" borderId="14" xfId="0" applyFont="1" applyFill="1" applyBorder="1"/>
    <xf numFmtId="0" fontId="16" fillId="0" borderId="16" xfId="0" applyFont="1" applyFill="1" applyBorder="1"/>
    <xf numFmtId="10" fontId="4" fillId="3" borderId="22" xfId="2" applyNumberFormat="1" applyFont="1" applyFill="1" applyBorder="1"/>
    <xf numFmtId="0" fontId="18" fillId="4" borderId="4" xfId="2" applyFont="1" applyFill="1" applyBorder="1" applyAlignment="1">
      <alignment wrapText="1"/>
    </xf>
    <xf numFmtId="0" fontId="18" fillId="4" borderId="24" xfId="3" applyFont="1" applyFill="1" applyBorder="1" applyAlignment="1" applyProtection="1">
      <alignment horizontal="left"/>
    </xf>
    <xf numFmtId="1" fontId="9" fillId="6" borderId="11" xfId="2" applyNumberFormat="1" applyFont="1" applyFill="1" applyBorder="1"/>
    <xf numFmtId="1" fontId="9" fillId="6" borderId="12" xfId="2" applyNumberFormat="1" applyFont="1" applyFill="1" applyBorder="1"/>
    <xf numFmtId="1" fontId="9" fillId="6" borderId="13" xfId="2" applyNumberFormat="1" applyFont="1" applyFill="1" applyBorder="1"/>
    <xf numFmtId="1" fontId="10" fillId="0" borderId="14" xfId="2" applyNumberFormat="1" applyFont="1" applyFill="1" applyBorder="1" applyAlignment="1">
      <alignment horizontal="center" vertical="center"/>
    </xf>
    <xf numFmtId="1" fontId="10"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1" fillId="0" borderId="14" xfId="5" applyFont="1" applyFill="1" applyBorder="1" applyAlignment="1">
      <alignment vertical="center"/>
    </xf>
    <xf numFmtId="9" fontId="11"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2" fillId="0" borderId="11" xfId="0" applyFont="1" applyFill="1" applyBorder="1"/>
    <xf numFmtId="0" fontId="22" fillId="0" borderId="12" xfId="0" applyFont="1" applyFill="1" applyBorder="1" applyAlignment="1">
      <alignment horizontal="center" vertical="center"/>
    </xf>
    <xf numFmtId="0" fontId="22" fillId="0" borderId="14" xfId="0" applyFont="1" applyFill="1" applyBorder="1"/>
    <xf numFmtId="0" fontId="22" fillId="0" borderId="0" xfId="0" applyFont="1" applyFill="1" applyBorder="1" applyAlignment="1">
      <alignment horizontal="center" vertical="center"/>
    </xf>
    <xf numFmtId="0" fontId="22" fillId="0" borderId="16" xfId="0" applyFont="1" applyFill="1" applyBorder="1"/>
    <xf numFmtId="0" fontId="22" fillId="0" borderId="17" xfId="0" applyFont="1" applyFill="1" applyBorder="1" applyAlignment="1">
      <alignment horizontal="center" vertical="center"/>
    </xf>
    <xf numFmtId="0" fontId="24" fillId="0" borderId="0" xfId="0" applyFont="1"/>
    <xf numFmtId="0" fontId="18" fillId="4" borderId="30" xfId="3" applyFont="1" applyFill="1" applyBorder="1" applyAlignment="1" applyProtection="1">
      <alignment horizontal="left"/>
    </xf>
    <xf numFmtId="0" fontId="18" fillId="4" borderId="31" xfId="3" applyFont="1" applyFill="1" applyBorder="1" applyAlignment="1" applyProtection="1">
      <alignment horizontal="left"/>
    </xf>
    <xf numFmtId="2" fontId="23" fillId="0" borderId="12" xfId="1" applyNumberFormat="1" applyFont="1" applyFill="1" applyBorder="1" applyAlignment="1">
      <alignment horizontal="center" vertical="center"/>
    </xf>
    <xf numFmtId="0" fontId="16" fillId="0" borderId="12" xfId="0" applyFont="1" applyBorder="1"/>
    <xf numFmtId="10" fontId="16" fillId="0" borderId="12" xfId="0" applyNumberFormat="1" applyFont="1" applyBorder="1"/>
    <xf numFmtId="2" fontId="16" fillId="0" borderId="25" xfId="0" applyNumberFormat="1" applyFont="1" applyBorder="1"/>
    <xf numFmtId="2" fontId="16" fillId="0" borderId="27" xfId="0" applyNumberFormat="1" applyFont="1" applyBorder="1"/>
    <xf numFmtId="0" fontId="16" fillId="0" borderId="0" xfId="0" applyFont="1"/>
    <xf numFmtId="10" fontId="16" fillId="0" borderId="0" xfId="0" applyNumberFormat="1" applyFont="1"/>
    <xf numFmtId="2" fontId="16" fillId="0" borderId="0" xfId="0" applyNumberFormat="1" applyFont="1"/>
    <xf numFmtId="2" fontId="16" fillId="0" borderId="28" xfId="0" applyNumberFormat="1" applyFont="1" applyBorder="1"/>
    <xf numFmtId="0" fontId="16" fillId="0" borderId="17" xfId="0" applyFont="1" applyBorder="1"/>
    <xf numFmtId="10" fontId="16" fillId="0" borderId="17" xfId="0" applyNumberFormat="1" applyFont="1" applyBorder="1"/>
    <xf numFmtId="2" fontId="16" fillId="0" borderId="26" xfId="0" applyNumberFormat="1" applyFont="1" applyBorder="1"/>
    <xf numFmtId="2" fontId="16" fillId="0" borderId="29" xfId="0" applyNumberFormat="1" applyFont="1" applyBorder="1"/>
    <xf numFmtId="0" fontId="3" fillId="0" borderId="0" xfId="3" applyAlignment="1" applyProtection="1"/>
    <xf numFmtId="0" fontId="16" fillId="4" borderId="5" xfId="0" applyFont="1" applyFill="1" applyBorder="1" applyAlignment="1">
      <alignment horizontal="center" vertical="center"/>
    </xf>
    <xf numFmtId="0" fontId="16" fillId="4" borderId="8" xfId="0" applyFont="1" applyFill="1" applyBorder="1" applyAlignment="1">
      <alignment horizontal="center" vertical="center"/>
    </xf>
    <xf numFmtId="0" fontId="15" fillId="4" borderId="4" xfId="0" applyFont="1" applyFill="1" applyBorder="1" applyAlignment="1">
      <alignment horizontal="center" vertical="center" wrapText="1"/>
    </xf>
    <xf numFmtId="0" fontId="15" fillId="4" borderId="9" xfId="0" applyFont="1" applyFill="1" applyBorder="1" applyAlignment="1">
      <alignment horizontal="center" vertical="center" wrapText="1"/>
    </xf>
    <xf numFmtId="0" fontId="15" fillId="4" borderId="10" xfId="0" applyFont="1" applyFill="1" applyBorder="1" applyAlignment="1">
      <alignment horizontal="center" vertical="center" wrapText="1"/>
    </xf>
    <xf numFmtId="0" fontId="0" fillId="4" borderId="0" xfId="0" applyFill="1" applyAlignment="1">
      <alignment horizontal="center"/>
    </xf>
    <xf numFmtId="0" fontId="20" fillId="4" borderId="7" xfId="2" applyFont="1" applyFill="1" applyBorder="1" applyAlignment="1" applyProtection="1">
      <alignment horizontal="center" wrapText="1"/>
    </xf>
    <xf numFmtId="0" fontId="20" fillId="4" borderId="7" xfId="2" applyFont="1" applyFill="1" applyBorder="1" applyAlignment="1" applyProtection="1">
      <alignment horizontal="center" wrapText="1"/>
      <protection locked="0"/>
    </xf>
    <xf numFmtId="0" fontId="20" fillId="4" borderId="7" xfId="2" applyFont="1" applyFill="1" applyBorder="1" applyAlignment="1" applyProtection="1">
      <alignment horizontal="center" vertical="center" wrapText="1"/>
    </xf>
    <xf numFmtId="0" fontId="20" fillId="4" borderId="17" xfId="2" applyFont="1" applyFill="1" applyBorder="1" applyAlignment="1" applyProtection="1">
      <alignment horizontal="center" vertical="center" wrapText="1"/>
    </xf>
  </cellXfs>
  <cellStyles count="6">
    <cellStyle name="Hyperlink" xfId="3" builtinId="8"/>
    <cellStyle name="Normal" xfId="0" builtinId="0"/>
    <cellStyle name="Normal 2" xfId="4" xr:uid="{00000000-0005-0000-0000-000002000000}"/>
    <cellStyle name="Normal_NAV_TOY_MODEL" xfId="2" xr:uid="{00000000-0005-0000-0000-000003000000}"/>
    <cellStyle name="Percent" xfId="1" builtinId="5"/>
    <cellStyle name="Percent 2" xfId="5" xr:uid="{00000000-0005-0000-0000-000005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hyperlink" Target="https://www.filepicker.io/api/file/AU72yUsRyOAcuKslGvkQ" TargetMode="External"/><Relationship Id="rId1" Type="http://schemas.openxmlformats.org/officeDocument/2006/relationships/hyperlink" Target="https://tradingeconomics.com/colombia/corporate-tax-rate"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7"/>
  <sheetViews>
    <sheetView topLeftCell="B1" workbookViewId="0">
      <selection activeCell="G13" sqref="G13"/>
    </sheetView>
  </sheetViews>
  <sheetFormatPr baseColWidth="10" defaultRowHeight="16"/>
  <cols>
    <col min="1" max="1" width="15.33203125" customWidth="1"/>
    <col min="2" max="2" width="37.1640625" bestFit="1" customWidth="1"/>
    <col min="3" max="3" width="20.5" bestFit="1" customWidth="1"/>
    <col min="4" max="4" width="36" customWidth="1"/>
    <col min="5" max="5" width="30.83203125" customWidth="1"/>
  </cols>
  <sheetData>
    <row r="1" spans="1:13" ht="17" thickBot="1">
      <c r="A1" s="3"/>
      <c r="B1" s="3"/>
      <c r="C1" s="3"/>
      <c r="D1" s="3"/>
      <c r="E1" s="3"/>
      <c r="F1" s="3"/>
      <c r="G1" s="3"/>
      <c r="H1" s="3"/>
      <c r="I1" s="3"/>
      <c r="J1" s="3"/>
      <c r="K1" s="3"/>
      <c r="L1" s="3"/>
      <c r="M1" s="3"/>
    </row>
    <row r="2" spans="1:13" ht="28" customHeight="1" thickTop="1" thickBot="1">
      <c r="A2" s="3"/>
      <c r="B2" s="3"/>
      <c r="C2" s="3"/>
      <c r="D2" s="21" t="s">
        <v>0</v>
      </c>
      <c r="E2" s="22" t="s">
        <v>1</v>
      </c>
      <c r="F2" s="3"/>
      <c r="G2" s="3"/>
      <c r="H2" s="3"/>
      <c r="I2" s="3"/>
      <c r="J2" s="3"/>
      <c r="K2" s="3"/>
      <c r="L2" s="3"/>
      <c r="M2" s="3"/>
    </row>
    <row r="3" spans="1:13" ht="17" thickBot="1">
      <c r="A3" s="3"/>
      <c r="B3" s="3"/>
      <c r="C3" s="3"/>
      <c r="D3" s="38" t="s">
        <v>79</v>
      </c>
      <c r="E3" s="39" t="s">
        <v>97</v>
      </c>
      <c r="G3" s="3"/>
      <c r="H3" s="3"/>
      <c r="I3" s="3"/>
      <c r="J3" s="3"/>
      <c r="K3" s="3"/>
      <c r="L3" s="3"/>
      <c r="M3" s="3"/>
    </row>
    <row r="4" spans="1:13">
      <c r="A4" s="3"/>
      <c r="B4" s="3"/>
      <c r="C4" s="3"/>
      <c r="D4" s="18" t="s">
        <v>82</v>
      </c>
      <c r="E4" s="39" t="s">
        <v>97</v>
      </c>
      <c r="F4" s="3" t="s">
        <v>77</v>
      </c>
      <c r="G4" s="3"/>
      <c r="H4" s="3"/>
      <c r="I4" s="3"/>
      <c r="J4" s="3"/>
      <c r="K4" s="3"/>
      <c r="L4" s="3"/>
      <c r="M4" s="3"/>
    </row>
    <row r="5" spans="1:13">
      <c r="A5" s="3"/>
      <c r="B5" s="3"/>
      <c r="C5" s="3"/>
      <c r="D5" s="18" t="s">
        <v>3</v>
      </c>
      <c r="E5" s="40">
        <v>2050</v>
      </c>
      <c r="F5" s="3"/>
      <c r="G5" s="3"/>
      <c r="H5" s="3"/>
      <c r="I5" s="3"/>
      <c r="J5" s="3"/>
      <c r="K5" s="3"/>
      <c r="L5" s="3"/>
      <c r="M5" s="3"/>
    </row>
    <row r="6" spans="1:13">
      <c r="A6" s="3"/>
      <c r="B6" s="3"/>
      <c r="C6" s="3"/>
      <c r="D6" s="18" t="s">
        <v>4</v>
      </c>
      <c r="E6" s="40" t="s">
        <v>5</v>
      </c>
      <c r="F6" s="3"/>
      <c r="G6" s="3"/>
      <c r="H6" s="3"/>
      <c r="I6" s="3"/>
      <c r="J6" s="3"/>
      <c r="K6" s="3"/>
      <c r="L6" s="3"/>
      <c r="M6" s="3"/>
    </row>
    <row r="7" spans="1:13">
      <c r="A7" s="3"/>
      <c r="B7" s="3"/>
      <c r="C7" s="3"/>
      <c r="D7" s="19" t="s">
        <v>6</v>
      </c>
      <c r="E7" s="40" t="s">
        <v>7</v>
      </c>
      <c r="F7" s="3"/>
      <c r="G7" s="3"/>
      <c r="H7" s="3"/>
      <c r="I7" s="3"/>
      <c r="J7" s="3"/>
      <c r="K7" s="3"/>
      <c r="L7" s="3"/>
      <c r="M7" s="3"/>
    </row>
    <row r="8" spans="1:13">
      <c r="A8" s="3"/>
      <c r="B8" s="3"/>
      <c r="C8" s="3"/>
      <c r="D8" s="19" t="s">
        <v>8</v>
      </c>
      <c r="E8" s="40" t="s">
        <v>9</v>
      </c>
      <c r="F8" s="3"/>
      <c r="G8" s="3"/>
      <c r="H8" s="3"/>
      <c r="I8" s="3"/>
      <c r="J8" s="3"/>
      <c r="K8" s="3"/>
      <c r="L8" s="3"/>
      <c r="M8" s="3"/>
    </row>
    <row r="9" spans="1:13">
      <c r="A9" s="3"/>
      <c r="B9" s="3"/>
      <c r="C9" s="3"/>
      <c r="D9" s="19" t="s">
        <v>10</v>
      </c>
      <c r="E9" s="40" t="s">
        <v>9</v>
      </c>
      <c r="F9" s="3"/>
      <c r="G9" s="3"/>
      <c r="H9" s="3"/>
      <c r="I9" s="3"/>
      <c r="J9" s="3"/>
      <c r="K9" s="3"/>
      <c r="L9" s="3"/>
      <c r="M9" s="3"/>
    </row>
    <row r="10" spans="1:13">
      <c r="A10" s="3"/>
      <c r="B10" s="3"/>
      <c r="C10" s="3"/>
      <c r="D10" s="19" t="s">
        <v>11</v>
      </c>
      <c r="E10" s="40" t="s">
        <v>9</v>
      </c>
      <c r="F10" s="3"/>
      <c r="G10" s="3"/>
      <c r="H10" s="3"/>
      <c r="I10" s="3"/>
      <c r="J10" s="3"/>
      <c r="K10" s="3"/>
      <c r="L10" s="3"/>
      <c r="M10" s="3"/>
    </row>
    <row r="11" spans="1:13">
      <c r="A11" s="3"/>
      <c r="B11" s="3"/>
      <c r="C11" s="3"/>
      <c r="D11" s="19" t="s">
        <v>12</v>
      </c>
      <c r="E11" s="40" t="s">
        <v>7</v>
      </c>
      <c r="F11" s="3"/>
      <c r="G11" s="3"/>
      <c r="H11" s="3"/>
      <c r="I11" s="3"/>
      <c r="J11" s="3"/>
      <c r="K11" s="3"/>
      <c r="L11" s="3"/>
      <c r="M11" s="3"/>
    </row>
    <row r="12" spans="1:13">
      <c r="A12" s="3"/>
      <c r="B12" s="3"/>
      <c r="C12" s="3"/>
      <c r="D12" s="19" t="s">
        <v>13</v>
      </c>
      <c r="E12" s="40" t="s">
        <v>7</v>
      </c>
      <c r="F12" s="3"/>
      <c r="G12" s="3"/>
      <c r="H12" s="3"/>
      <c r="I12" s="3"/>
      <c r="J12" s="3"/>
      <c r="K12" s="3"/>
      <c r="L12" s="3"/>
      <c r="M12" s="3"/>
    </row>
    <row r="13" spans="1:13">
      <c r="A13" s="3"/>
      <c r="B13" s="3"/>
      <c r="C13" s="3"/>
      <c r="D13" s="20" t="s">
        <v>14</v>
      </c>
      <c r="E13" s="40" t="s">
        <v>7</v>
      </c>
      <c r="F13" s="3"/>
      <c r="G13" s="3"/>
      <c r="H13" s="3"/>
      <c r="I13" s="3"/>
      <c r="J13" s="3"/>
      <c r="K13" s="3"/>
      <c r="L13" s="3"/>
      <c r="M13" s="3"/>
    </row>
    <row r="14" spans="1:13">
      <c r="A14" s="3"/>
      <c r="B14" s="3"/>
      <c r="C14" s="3"/>
      <c r="D14" s="20" t="s">
        <v>15</v>
      </c>
      <c r="E14" s="40" t="s">
        <v>16</v>
      </c>
      <c r="F14" s="3"/>
      <c r="G14" s="3"/>
      <c r="H14" s="3"/>
      <c r="I14" s="3"/>
      <c r="J14" s="3"/>
      <c r="K14" s="3"/>
      <c r="L14" s="3"/>
      <c r="M14" s="3"/>
    </row>
    <row r="15" spans="1:13">
      <c r="A15" s="3"/>
      <c r="B15" s="3"/>
      <c r="C15" s="3"/>
      <c r="D15" s="20" t="s">
        <v>17</v>
      </c>
      <c r="E15" s="40" t="s">
        <v>18</v>
      </c>
      <c r="F15" s="3"/>
      <c r="G15" s="3"/>
      <c r="H15" s="3"/>
      <c r="I15" s="3"/>
      <c r="J15" s="3"/>
      <c r="K15" s="3"/>
      <c r="L15" s="3"/>
      <c r="M15" s="3"/>
    </row>
    <row r="16" spans="1:13">
      <c r="A16" s="3"/>
      <c r="B16" s="3"/>
      <c r="C16" s="3"/>
      <c r="D16" s="20" t="s">
        <v>19</v>
      </c>
      <c r="E16" s="40" t="s">
        <v>18</v>
      </c>
      <c r="F16" s="3"/>
      <c r="G16" s="3"/>
      <c r="H16" s="3"/>
      <c r="I16" s="3"/>
      <c r="J16" s="3"/>
      <c r="K16" s="3"/>
      <c r="L16" s="3"/>
      <c r="M16" s="3"/>
    </row>
    <row r="17" spans="1:13">
      <c r="A17" s="3"/>
      <c r="B17" s="3"/>
      <c r="C17" s="3"/>
      <c r="D17" s="19" t="s">
        <v>20</v>
      </c>
      <c r="E17" s="40" t="s">
        <v>21</v>
      </c>
      <c r="F17" s="3"/>
      <c r="G17" s="3"/>
      <c r="H17" s="3"/>
      <c r="I17" s="3"/>
      <c r="J17" s="3"/>
      <c r="K17" s="3"/>
      <c r="L17" s="3"/>
      <c r="M17" s="3"/>
    </row>
    <row r="18" spans="1:13">
      <c r="A18" s="3"/>
      <c r="B18" s="3"/>
      <c r="C18" s="3"/>
      <c r="D18" s="78" t="s">
        <v>43</v>
      </c>
      <c r="E18" s="40" t="s">
        <v>96</v>
      </c>
      <c r="G18" s="3"/>
      <c r="H18" s="3"/>
      <c r="I18" s="3"/>
      <c r="J18" s="3"/>
      <c r="K18" s="3"/>
      <c r="L18" s="3"/>
      <c r="M18" s="3"/>
    </row>
    <row r="19" spans="1:13" ht="17" thickBot="1">
      <c r="A19" s="3"/>
      <c r="B19" s="3"/>
      <c r="C19" s="3"/>
      <c r="D19" s="77" t="s">
        <v>81</v>
      </c>
      <c r="E19" s="41"/>
      <c r="F19" s="3" t="s">
        <v>80</v>
      </c>
      <c r="G19" s="3"/>
      <c r="H19" s="3"/>
      <c r="I19" s="3"/>
      <c r="J19" s="3"/>
      <c r="K19" s="3"/>
      <c r="L19" s="3"/>
      <c r="M19" s="3"/>
    </row>
    <row r="20" spans="1:13">
      <c r="A20" s="3"/>
      <c r="B20" s="3"/>
      <c r="C20" s="3"/>
      <c r="D20" s="3"/>
      <c r="E20" s="3"/>
      <c r="F20" s="3"/>
      <c r="G20" s="3"/>
      <c r="H20" s="3"/>
      <c r="I20" s="3"/>
      <c r="J20" s="3"/>
      <c r="K20" s="3"/>
      <c r="L20" s="3"/>
      <c r="M20" s="3"/>
    </row>
    <row r="21" spans="1:13">
      <c r="A21" s="3"/>
      <c r="B21" s="3"/>
      <c r="C21" s="3"/>
      <c r="D21" s="3"/>
      <c r="E21" s="3"/>
      <c r="F21" s="3"/>
      <c r="G21" s="3"/>
      <c r="H21" s="3"/>
      <c r="I21" s="3"/>
      <c r="J21" s="3"/>
      <c r="K21" s="3"/>
      <c r="L21" s="3"/>
      <c r="M21" s="3"/>
    </row>
    <row r="22" spans="1:13">
      <c r="A22" s="3"/>
      <c r="B22" s="3"/>
      <c r="C22" s="3"/>
      <c r="D22" s="3"/>
      <c r="E22" s="3"/>
      <c r="F22" s="3"/>
      <c r="G22" s="3"/>
      <c r="H22" s="3"/>
      <c r="I22" s="3"/>
      <c r="J22" s="3"/>
      <c r="K22" s="3"/>
      <c r="L22" s="3"/>
      <c r="M22" s="3"/>
    </row>
    <row r="23" spans="1:13">
      <c r="A23" s="3"/>
      <c r="B23" s="3"/>
      <c r="C23" s="3"/>
      <c r="D23" s="3"/>
      <c r="E23" s="3"/>
      <c r="F23" s="3"/>
      <c r="G23" s="3"/>
      <c r="H23" s="3"/>
      <c r="I23" s="3"/>
      <c r="J23" s="3"/>
      <c r="K23" s="3"/>
      <c r="L23" s="3"/>
      <c r="M23" s="3"/>
    </row>
    <row r="24" spans="1:13">
      <c r="A24" s="3"/>
      <c r="B24" s="3"/>
      <c r="C24" s="3"/>
      <c r="D24" s="3"/>
      <c r="E24" s="3"/>
      <c r="F24" s="3"/>
      <c r="G24" s="3"/>
      <c r="H24" s="3"/>
      <c r="I24" s="3"/>
      <c r="J24" s="3"/>
      <c r="K24" s="3"/>
      <c r="L24" s="3"/>
      <c r="M24" s="3"/>
    </row>
    <row r="25" spans="1:13">
      <c r="A25" s="3"/>
      <c r="B25" s="3"/>
      <c r="C25" s="3"/>
      <c r="D25" s="3"/>
      <c r="E25" s="3"/>
      <c r="F25" s="3"/>
      <c r="G25" s="3"/>
      <c r="H25" s="3"/>
      <c r="I25" s="3"/>
      <c r="J25" s="3"/>
      <c r="K25" s="3"/>
      <c r="L25" s="3"/>
      <c r="M25" s="3"/>
    </row>
    <row r="26" spans="1:13" s="27" customFormat="1">
      <c r="A26"/>
      <c r="B26" s="3"/>
      <c r="C26" s="3"/>
      <c r="D26" s="3"/>
      <c r="E26" s="3"/>
      <c r="F26" s="3"/>
      <c r="G26" s="3"/>
      <c r="H26" s="3"/>
      <c r="I26" s="3"/>
      <c r="J26" s="3"/>
      <c r="K26" s="3"/>
      <c r="L26" s="3"/>
      <c r="M26" s="3"/>
    </row>
    <row r="27" spans="1:13">
      <c r="A27" s="3"/>
      <c r="D27" s="3"/>
      <c r="E27" s="3"/>
    </row>
  </sheetData>
  <hyperlinks>
    <hyperlink ref="D17" location="Carbon!A1" display="Carbon Price" xr:uid="{00000000-0004-0000-0000-000000000000}"/>
    <hyperlink ref="D13" location="'Rate Escalation'!A85" display="Com Rate Escalation" xr:uid="{00000000-0004-0000-0000-000001000000}"/>
    <hyperlink ref="D9" location="'Rate Escalation'!A91" display="Com Rate Structure" xr:uid="{00000000-0004-0000-0000-000002000000}"/>
    <hyperlink ref="D12" location="'Rate Escalation'!A85" display="Com Rate Escalation" xr:uid="{00000000-0004-0000-0000-000003000000}"/>
    <hyperlink ref="D11" location="'Rate Escalation'!A5" display="Res Rate Escalation" xr:uid="{00000000-0004-0000-0000-000004000000}"/>
    <hyperlink ref="D8" location="'Rate Escalation'!A5" display="Res Rate Structure" xr:uid="{00000000-0004-0000-0000-000005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Sheet1!$F$2:$F$19</xm:f>
          </x14:formula1>
          <xm:sqref>E5</xm:sqref>
        </x14:dataValidation>
        <x14:dataValidation type="list" allowBlank="1" showInputMessage="1" showErrorMessage="1" xr:uid="{00000000-0002-0000-0000-000001000000}">
          <x14:formula1>
            <xm:f>Sheet1!$A$11:$A$14</xm:f>
          </x14:formula1>
          <xm:sqref>E6</xm:sqref>
        </x14:dataValidation>
        <x14:dataValidation type="list" allowBlank="1" showInputMessage="1" showErrorMessage="1" xr:uid="{00000000-0002-0000-0000-000002000000}">
          <x14:formula1>
            <xm:f>Sheet1!$A$6:$A$8</xm:f>
          </x14:formula1>
          <xm:sqref>E7 E11:E13</xm:sqref>
        </x14:dataValidation>
        <x14:dataValidation type="list" allowBlank="1" showInputMessage="1" showErrorMessage="1" xr:uid="{00000000-0002-0000-0000-000003000000}">
          <x14:formula1>
            <xm:f>Sheet1!$A$2</xm:f>
          </x14:formula1>
          <xm:sqref>E8:E10</xm:sqref>
        </x14:dataValidation>
        <x14:dataValidation type="list" allowBlank="1" showInputMessage="1" showErrorMessage="1" xr:uid="{00000000-0002-0000-0000-000004000000}">
          <x14:formula1>
            <xm:f>Sheet1!$A$24:$A$27</xm:f>
          </x14:formula1>
          <xm:sqref>E14:E16</xm:sqref>
        </x14:dataValidation>
        <x14:dataValidation type="list" allowBlank="1" showInputMessage="1" showErrorMessage="1" xr:uid="{00000000-0002-0000-0000-000005000000}">
          <x14:formula1>
            <xm:f>Sheet1!$A$30:$A$32</xm:f>
          </x14:formula1>
          <xm:sqref>E17</xm:sqref>
        </x14:dataValidation>
        <x14:dataValidation type="list" allowBlank="1" showInputMessage="1" showErrorMessage="1" xr:uid="{00000000-0002-0000-0000-000006000000}">
          <x14:formula1>
            <xm:f>Sheet1!$A$35:$A$38</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38"/>
  <sheetViews>
    <sheetView topLeftCell="A15" workbookViewId="0">
      <selection activeCell="A38" sqref="A35:A38"/>
    </sheetView>
  </sheetViews>
  <sheetFormatPr baseColWidth="10" defaultRowHeight="16"/>
  <cols>
    <col min="1" max="1" width="18.5" bestFit="1" customWidth="1"/>
  </cols>
  <sheetData>
    <row r="1" spans="1:6">
      <c r="A1" s="76" t="s">
        <v>58</v>
      </c>
      <c r="F1" t="s">
        <v>76</v>
      </c>
    </row>
    <row r="2" spans="1:6">
      <c r="A2" t="s">
        <v>9</v>
      </c>
      <c r="B2" t="s">
        <v>59</v>
      </c>
      <c r="F2">
        <v>2016</v>
      </c>
    </row>
    <row r="3" spans="1:6">
      <c r="B3" t="s">
        <v>60</v>
      </c>
      <c r="F3">
        <v>2018</v>
      </c>
    </row>
    <row r="4" spans="1:6">
      <c r="F4">
        <v>2020</v>
      </c>
    </row>
    <row r="5" spans="1:6">
      <c r="A5" s="76" t="s">
        <v>69</v>
      </c>
      <c r="F5">
        <v>2022</v>
      </c>
    </row>
    <row r="6" spans="1:6">
      <c r="A6" t="s">
        <v>7</v>
      </c>
      <c r="F6">
        <v>2024</v>
      </c>
    </row>
    <row r="7" spans="1:6">
      <c r="A7" t="s">
        <v>61</v>
      </c>
      <c r="F7">
        <v>2026</v>
      </c>
    </row>
    <row r="8" spans="1:6">
      <c r="A8" t="s">
        <v>62</v>
      </c>
      <c r="F8">
        <v>2028</v>
      </c>
    </row>
    <row r="9" spans="1:6">
      <c r="F9">
        <v>2030</v>
      </c>
    </row>
    <row r="10" spans="1:6">
      <c r="A10" s="76" t="s">
        <v>63</v>
      </c>
      <c r="F10">
        <v>2032</v>
      </c>
    </row>
    <row r="11" spans="1:6">
      <c r="A11" t="s">
        <v>64</v>
      </c>
      <c r="F11">
        <v>2034</v>
      </c>
    </row>
    <row r="12" spans="1:6">
      <c r="A12" t="s">
        <v>65</v>
      </c>
      <c r="F12">
        <v>2036</v>
      </c>
    </row>
    <row r="13" spans="1:6">
      <c r="A13" t="s">
        <v>66</v>
      </c>
      <c r="F13">
        <v>2038</v>
      </c>
    </row>
    <row r="14" spans="1:6">
      <c r="A14" t="s">
        <v>5</v>
      </c>
      <c r="F14">
        <v>2040</v>
      </c>
    </row>
    <row r="15" spans="1:6">
      <c r="F15">
        <v>2042</v>
      </c>
    </row>
    <row r="16" spans="1:6">
      <c r="A16" s="76" t="s">
        <v>67</v>
      </c>
      <c r="F16">
        <v>2044</v>
      </c>
    </row>
    <row r="17" spans="1:6">
      <c r="A17" t="s">
        <v>2</v>
      </c>
      <c r="F17">
        <v>2046</v>
      </c>
    </row>
    <row r="18" spans="1:6">
      <c r="F18">
        <v>2048</v>
      </c>
    </row>
    <row r="19" spans="1:6">
      <c r="A19" s="76" t="s">
        <v>68</v>
      </c>
      <c r="F19">
        <v>2050</v>
      </c>
    </row>
    <row r="20" spans="1:6">
      <c r="A20" t="b">
        <v>1</v>
      </c>
    </row>
    <row r="21" spans="1:6">
      <c r="A21" t="b">
        <v>0</v>
      </c>
    </row>
    <row r="23" spans="1:6">
      <c r="A23" s="76" t="s">
        <v>70</v>
      </c>
    </row>
    <row r="24" spans="1:6">
      <c r="A24" t="s">
        <v>71</v>
      </c>
    </row>
    <row r="25" spans="1:6">
      <c r="A25" t="s">
        <v>18</v>
      </c>
    </row>
    <row r="26" spans="1:6">
      <c r="A26" t="s">
        <v>72</v>
      </c>
    </row>
    <row r="27" spans="1:6">
      <c r="A27" t="s">
        <v>16</v>
      </c>
    </row>
    <row r="29" spans="1:6">
      <c r="A29" s="76" t="s">
        <v>73</v>
      </c>
    </row>
    <row r="30" spans="1:6">
      <c r="A30" t="s">
        <v>21</v>
      </c>
    </row>
    <row r="31" spans="1:6">
      <c r="A31" t="s">
        <v>74</v>
      </c>
    </row>
    <row r="32" spans="1:6">
      <c r="A32" t="s">
        <v>75</v>
      </c>
    </row>
    <row r="34" spans="1:1">
      <c r="A34" s="76" t="s">
        <v>78</v>
      </c>
    </row>
    <row r="35" spans="1:1">
      <c r="A35" t="s">
        <v>93</v>
      </c>
    </row>
    <row r="36" spans="1:1">
      <c r="A36" t="s">
        <v>94</v>
      </c>
    </row>
    <row r="37" spans="1:1">
      <c r="A37" t="s">
        <v>95</v>
      </c>
    </row>
    <row r="38" spans="1:1">
      <c r="A38" t="s">
        <v>96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11"/>
  <sheetViews>
    <sheetView workbookViewId="0">
      <selection activeCell="B11" sqref="B11"/>
    </sheetView>
  </sheetViews>
  <sheetFormatPr baseColWidth="10" defaultRowHeight="16"/>
  <cols>
    <col min="2" max="2" width="49.5" bestFit="1" customWidth="1"/>
  </cols>
  <sheetData>
    <row r="1" spans="1:22" ht="28">
      <c r="A1" s="4" t="s">
        <v>22</v>
      </c>
      <c r="B1" s="3"/>
      <c r="C1" s="3"/>
      <c r="D1" s="3"/>
      <c r="E1" s="3"/>
      <c r="F1" s="3"/>
      <c r="G1" s="3"/>
      <c r="H1" s="3"/>
      <c r="I1" s="3"/>
      <c r="J1" s="3"/>
      <c r="K1" s="3"/>
      <c r="L1" s="3"/>
      <c r="M1" s="3"/>
      <c r="N1" s="3"/>
      <c r="O1" s="3"/>
      <c r="P1" s="3"/>
      <c r="Q1" s="3"/>
      <c r="R1" s="3"/>
      <c r="S1" s="3"/>
      <c r="T1" s="3"/>
      <c r="U1" s="3"/>
      <c r="V1" s="3"/>
    </row>
    <row r="2" spans="1:22" ht="29" thickBot="1">
      <c r="A2" s="3"/>
      <c r="C2" s="1"/>
      <c r="D2" s="5"/>
      <c r="E2" s="5"/>
      <c r="F2" s="5"/>
      <c r="G2" s="5"/>
      <c r="H2" s="1"/>
      <c r="I2" s="1"/>
      <c r="J2" s="6"/>
      <c r="K2" s="5"/>
      <c r="L2" s="5"/>
      <c r="M2" s="5"/>
      <c r="N2" s="5"/>
      <c r="O2" s="5"/>
      <c r="P2" s="5"/>
      <c r="Q2" s="5"/>
      <c r="R2" s="5"/>
      <c r="S2" s="5"/>
      <c r="T2" s="5"/>
      <c r="U2" s="5"/>
      <c r="V2" s="5"/>
    </row>
    <row r="3" spans="1:22" ht="19" customHeight="1" thickBot="1">
      <c r="A3" s="3"/>
      <c r="B3" s="17" t="s">
        <v>23</v>
      </c>
      <c r="C3" s="53">
        <v>3.4000000000000002E-2</v>
      </c>
      <c r="D3" s="4"/>
      <c r="E3" s="5"/>
      <c r="F3" s="5"/>
      <c r="G3" s="5"/>
      <c r="H3" s="1"/>
      <c r="I3" s="1"/>
      <c r="J3" s="6"/>
      <c r="K3" s="5"/>
      <c r="L3" s="5"/>
      <c r="M3" s="5"/>
      <c r="N3" s="5"/>
      <c r="O3" s="5"/>
      <c r="P3" s="5"/>
      <c r="Q3" s="5"/>
      <c r="R3" s="5"/>
      <c r="S3" s="5"/>
      <c r="T3" s="5"/>
      <c r="U3" s="5"/>
      <c r="V3" s="5"/>
    </row>
    <row r="4" spans="1:22" ht="21" thickBot="1">
      <c r="A4" s="3"/>
      <c r="B4" s="16"/>
      <c r="C4" s="5"/>
      <c r="D4" s="5"/>
      <c r="E4" s="5"/>
      <c r="F4" s="5"/>
      <c r="G4" s="5"/>
      <c r="H4" s="5"/>
      <c r="I4" s="5"/>
      <c r="J4" s="5"/>
      <c r="K4" s="5"/>
      <c r="L4" s="5"/>
      <c r="M4" s="5"/>
      <c r="N4" s="5"/>
      <c r="O4" s="5"/>
      <c r="P4" s="5"/>
      <c r="Q4" s="5"/>
      <c r="R4" s="5"/>
      <c r="S4" s="5"/>
      <c r="T4" s="5"/>
      <c r="U4" s="5"/>
      <c r="V4" s="7"/>
    </row>
    <row r="5" spans="1:22">
      <c r="A5" s="3"/>
      <c r="B5" s="5"/>
      <c r="C5" s="56">
        <v>2015</v>
      </c>
      <c r="D5" s="57">
        <v>2016</v>
      </c>
      <c r="E5" s="57">
        <v>2018</v>
      </c>
      <c r="F5" s="57">
        <v>2020</v>
      </c>
      <c r="G5" s="57">
        <v>2022</v>
      </c>
      <c r="H5" s="57">
        <v>2024</v>
      </c>
      <c r="I5" s="57">
        <v>2026</v>
      </c>
      <c r="J5" s="57">
        <v>2028</v>
      </c>
      <c r="K5" s="57">
        <v>2030</v>
      </c>
      <c r="L5" s="57">
        <v>2032</v>
      </c>
      <c r="M5" s="57">
        <v>2034</v>
      </c>
      <c r="N5" s="57">
        <v>2036</v>
      </c>
      <c r="O5" s="57">
        <v>2038</v>
      </c>
      <c r="P5" s="57">
        <v>2040</v>
      </c>
      <c r="Q5" s="57">
        <v>2042</v>
      </c>
      <c r="R5" s="57">
        <v>2044</v>
      </c>
      <c r="S5" s="57">
        <v>2046</v>
      </c>
      <c r="T5" s="57">
        <v>2048</v>
      </c>
      <c r="U5" s="58">
        <v>2050</v>
      </c>
      <c r="V5" s="7"/>
    </row>
    <row r="6" spans="1:22">
      <c r="A6" s="3"/>
      <c r="B6" s="54" t="s">
        <v>24</v>
      </c>
      <c r="C6" s="59"/>
      <c r="D6" s="23"/>
      <c r="E6" s="23"/>
      <c r="F6" s="23"/>
      <c r="G6" s="23"/>
      <c r="H6" s="23"/>
      <c r="I6" s="23"/>
      <c r="J6" s="23"/>
      <c r="K6" s="23"/>
      <c r="L6" s="23"/>
      <c r="M6" s="23"/>
      <c r="N6" s="23"/>
      <c r="O6" s="23"/>
      <c r="P6" s="23"/>
      <c r="Q6" s="23"/>
      <c r="R6" s="23"/>
      <c r="S6" s="23"/>
      <c r="T6" s="23"/>
      <c r="U6" s="60"/>
      <c r="V6" s="7"/>
    </row>
    <row r="7" spans="1:22">
      <c r="A7" s="3"/>
      <c r="B7" s="54" t="s">
        <v>40</v>
      </c>
      <c r="C7" s="61"/>
      <c r="D7" s="24"/>
      <c r="E7" s="24"/>
      <c r="F7" s="24"/>
      <c r="G7" s="24"/>
      <c r="H7" s="24"/>
      <c r="I7" s="24"/>
      <c r="J7" s="24"/>
      <c r="K7" s="24"/>
      <c r="L7" s="24"/>
      <c r="M7" s="24"/>
      <c r="N7" s="24"/>
      <c r="O7" s="24"/>
      <c r="P7" s="24"/>
      <c r="Q7" s="24"/>
      <c r="R7" s="24"/>
      <c r="S7" s="24"/>
      <c r="T7" s="24"/>
      <c r="U7" s="62"/>
      <c r="V7" s="7"/>
    </row>
    <row r="8" spans="1:22">
      <c r="A8" s="3"/>
      <c r="B8" s="54" t="s">
        <v>41</v>
      </c>
      <c r="C8" s="61"/>
      <c r="D8" s="24"/>
      <c r="E8" s="24"/>
      <c r="F8" s="24"/>
      <c r="G8" s="24"/>
      <c r="H8" s="24"/>
      <c r="I8" s="24"/>
      <c r="J8" s="24"/>
      <c r="K8" s="24"/>
      <c r="L8" s="24"/>
      <c r="M8" s="24"/>
      <c r="N8" s="24"/>
      <c r="O8" s="24"/>
      <c r="P8" s="24"/>
      <c r="Q8" s="24"/>
      <c r="R8" s="24"/>
      <c r="S8" s="24"/>
      <c r="T8" s="24"/>
      <c r="U8" s="62"/>
      <c r="V8" s="7"/>
    </row>
    <row r="9" spans="1:22">
      <c r="A9" s="3"/>
      <c r="B9" s="54" t="s">
        <v>42</v>
      </c>
      <c r="C9" s="63"/>
      <c r="D9" s="24"/>
      <c r="E9" s="24"/>
      <c r="F9" s="24"/>
      <c r="G9" s="24"/>
      <c r="H9" s="24"/>
      <c r="I9" s="24"/>
      <c r="J9" s="24"/>
      <c r="K9" s="24"/>
      <c r="L9" s="24"/>
      <c r="M9" s="24"/>
      <c r="N9" s="24"/>
      <c r="O9" s="24"/>
      <c r="P9" s="24"/>
      <c r="Q9" s="24"/>
      <c r="R9" s="24"/>
      <c r="S9" s="24"/>
      <c r="T9" s="24"/>
      <c r="U9" s="62"/>
      <c r="V9" s="7"/>
    </row>
    <row r="10" spans="1:22" ht="17" thickBot="1">
      <c r="A10" s="3"/>
      <c r="B10" s="55" t="s">
        <v>25</v>
      </c>
      <c r="C10" s="64"/>
      <c r="D10" s="65"/>
      <c r="E10" s="65"/>
      <c r="F10" s="65"/>
      <c r="G10" s="65"/>
      <c r="H10" s="65"/>
      <c r="I10" s="65"/>
      <c r="J10" s="65"/>
      <c r="K10" s="65"/>
      <c r="L10" s="65"/>
      <c r="M10" s="65"/>
      <c r="N10" s="65"/>
      <c r="O10" s="65"/>
      <c r="P10" s="65"/>
      <c r="Q10" s="65"/>
      <c r="R10" s="65"/>
      <c r="S10" s="65"/>
      <c r="T10" s="65"/>
      <c r="U10" s="66"/>
      <c r="V10" s="7"/>
    </row>
    <row r="11" spans="1:2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xr:uid="{00000000-0002-0000-0200-000000000000}">
      <formula1>0</formula1>
    </dataValidation>
  </dataValidations>
  <hyperlinks>
    <hyperlink ref="B10" location="'Rate Escalation'!A147" display="Customer Rate Expectations" xr:uid="{00000000-0004-0000-0200-000000000000}"/>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55"/>
  <sheetViews>
    <sheetView topLeftCell="A14" zoomScale="80" zoomScaleNormal="80" workbookViewId="0">
      <selection activeCell="V28" sqref="V28"/>
    </sheetView>
  </sheetViews>
  <sheetFormatPr baseColWidth="10" defaultRowHeight="16"/>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c r="A1" s="10" t="s">
        <v>38</v>
      </c>
      <c r="B1" s="3"/>
      <c r="C1" s="3"/>
      <c r="D1" s="3"/>
      <c r="E1" s="3"/>
      <c r="F1" s="3"/>
      <c r="G1" s="3"/>
      <c r="H1" s="3"/>
      <c r="I1" s="3"/>
      <c r="J1" s="3"/>
      <c r="K1" s="3"/>
      <c r="L1" s="3"/>
      <c r="M1" s="3"/>
      <c r="N1" s="3"/>
      <c r="O1" s="2"/>
      <c r="P1" s="2"/>
      <c r="Q1" s="8"/>
      <c r="R1" s="8"/>
      <c r="S1" s="8"/>
      <c r="T1" s="8"/>
      <c r="U1" s="8"/>
      <c r="V1" s="9"/>
    </row>
    <row r="2" spans="1:22">
      <c r="A2" s="3"/>
      <c r="C2" s="3"/>
      <c r="D2" s="3"/>
      <c r="E2" s="3"/>
      <c r="F2" s="3"/>
      <c r="G2" s="3"/>
      <c r="H2" s="3"/>
      <c r="I2" s="3"/>
      <c r="J2" s="3"/>
      <c r="K2" s="3"/>
      <c r="L2" s="3"/>
      <c r="M2" s="3"/>
      <c r="N2" s="3"/>
      <c r="O2" s="2"/>
      <c r="P2" s="2"/>
      <c r="Q2" s="8"/>
      <c r="R2" s="8"/>
      <c r="S2" s="8"/>
      <c r="T2" s="8"/>
      <c r="U2" s="8"/>
      <c r="V2" s="9"/>
    </row>
    <row r="3" spans="1:22" ht="19" customHeight="1">
      <c r="A3" s="1"/>
      <c r="B3" s="11" t="s">
        <v>26</v>
      </c>
      <c r="C3" s="93" t="s">
        <v>30</v>
      </c>
      <c r="D3" s="95" t="s">
        <v>27</v>
      </c>
      <c r="E3" s="96"/>
      <c r="F3" s="96"/>
      <c r="G3" s="96"/>
      <c r="H3" s="96"/>
      <c r="I3" s="97"/>
      <c r="J3" s="95" t="s">
        <v>28</v>
      </c>
      <c r="K3" s="96"/>
      <c r="L3" s="96"/>
      <c r="M3" s="96"/>
      <c r="N3" s="96"/>
      <c r="O3" s="97"/>
      <c r="P3" s="95" t="s">
        <v>29</v>
      </c>
      <c r="Q3" s="96"/>
      <c r="R3" s="96"/>
      <c r="S3" s="96"/>
      <c r="T3" s="96"/>
      <c r="U3" s="97"/>
      <c r="V3" s="1"/>
    </row>
    <row r="4" spans="1:22" ht="17" customHeight="1" thickBot="1">
      <c r="A4" s="1"/>
      <c r="B4" s="15"/>
      <c r="C4" s="94"/>
      <c r="D4" s="12" t="s">
        <v>31</v>
      </c>
      <c r="E4" s="13" t="s">
        <v>83</v>
      </c>
      <c r="F4" s="13" t="s">
        <v>84</v>
      </c>
      <c r="G4" s="13" t="s">
        <v>85</v>
      </c>
      <c r="H4" s="28" t="s">
        <v>86</v>
      </c>
      <c r="I4" s="28" t="s">
        <v>87</v>
      </c>
      <c r="J4" s="12" t="s">
        <v>31</v>
      </c>
      <c r="K4" s="13" t="s">
        <v>83</v>
      </c>
      <c r="L4" s="13" t="s">
        <v>84</v>
      </c>
      <c r="M4" s="13" t="s">
        <v>85</v>
      </c>
      <c r="N4" s="13" t="s">
        <v>86</v>
      </c>
      <c r="O4" s="28" t="s">
        <v>87</v>
      </c>
      <c r="P4" s="12" t="s">
        <v>88</v>
      </c>
      <c r="Q4" s="13" t="s">
        <v>83</v>
      </c>
      <c r="R4" s="13" t="s">
        <v>84</v>
      </c>
      <c r="S4" s="13" t="s">
        <v>85</v>
      </c>
      <c r="T4" s="13" t="s">
        <v>86</v>
      </c>
      <c r="U4" s="28" t="s">
        <v>87</v>
      </c>
      <c r="V4" s="1"/>
    </row>
    <row r="5" spans="1:22" ht="17" thickBot="1">
      <c r="A5" s="3"/>
      <c r="B5" s="70">
        <v>2014</v>
      </c>
      <c r="C5" s="71">
        <v>20</v>
      </c>
      <c r="D5" s="71">
        <v>20</v>
      </c>
      <c r="E5" s="71"/>
      <c r="F5" s="71"/>
      <c r="G5" s="71"/>
      <c r="H5" s="71">
        <v>0.33</v>
      </c>
      <c r="I5" s="79">
        <v>0</v>
      </c>
      <c r="J5" s="71">
        <v>20</v>
      </c>
      <c r="K5" s="71"/>
      <c r="L5" s="71"/>
      <c r="M5" s="71"/>
      <c r="N5" s="71">
        <v>0.34</v>
      </c>
      <c r="O5" s="79">
        <v>0</v>
      </c>
      <c r="P5" s="71">
        <v>20</v>
      </c>
      <c r="Q5" s="71"/>
      <c r="R5" s="71"/>
      <c r="S5" s="71"/>
      <c r="T5" s="71">
        <v>0.34</v>
      </c>
      <c r="U5" s="79">
        <v>0</v>
      </c>
      <c r="V5" s="1"/>
    </row>
    <row r="6" spans="1:22" ht="17" thickBot="1">
      <c r="A6" s="3"/>
      <c r="B6" s="72">
        <v>2016</v>
      </c>
      <c r="C6" s="73">
        <v>20</v>
      </c>
      <c r="D6" s="73">
        <v>20</v>
      </c>
      <c r="E6" s="73"/>
      <c r="F6" s="73"/>
      <c r="G6" s="71"/>
      <c r="H6" s="71">
        <v>0.33</v>
      </c>
      <c r="I6" s="79">
        <v>0</v>
      </c>
      <c r="J6" s="73">
        <v>20</v>
      </c>
      <c r="K6" s="73"/>
      <c r="L6" s="73"/>
      <c r="M6" s="73"/>
      <c r="N6" s="71">
        <v>0.34</v>
      </c>
      <c r="O6" s="79">
        <v>0.5</v>
      </c>
      <c r="P6" s="73">
        <v>20</v>
      </c>
      <c r="Q6" s="73"/>
      <c r="R6" s="73"/>
      <c r="S6" s="71"/>
      <c r="T6" s="71">
        <v>0.34</v>
      </c>
      <c r="U6" s="79">
        <v>0.5</v>
      </c>
      <c r="V6" s="1"/>
    </row>
    <row r="7" spans="1:22" ht="17" thickBot="1">
      <c r="A7" s="3"/>
      <c r="B7" s="72">
        <v>2018</v>
      </c>
      <c r="C7" s="73">
        <v>20</v>
      </c>
      <c r="D7" s="73">
        <v>20</v>
      </c>
      <c r="E7" s="73"/>
      <c r="F7" s="73"/>
      <c r="G7" s="71"/>
      <c r="H7" s="71">
        <v>0.33</v>
      </c>
      <c r="I7" s="79">
        <v>0</v>
      </c>
      <c r="J7" s="73">
        <v>20</v>
      </c>
      <c r="K7" s="73"/>
      <c r="L7" s="73"/>
      <c r="M7" s="73"/>
      <c r="N7" s="71">
        <v>0.34</v>
      </c>
      <c r="O7" s="79">
        <v>0.5</v>
      </c>
      <c r="P7" s="73">
        <v>20</v>
      </c>
      <c r="Q7" s="73"/>
      <c r="R7" s="73"/>
      <c r="S7" s="71"/>
      <c r="T7" s="71">
        <v>0.34</v>
      </c>
      <c r="U7" s="79">
        <v>0.5</v>
      </c>
      <c r="V7" s="1"/>
    </row>
    <row r="8" spans="1:22" ht="17" thickBot="1">
      <c r="A8" s="3"/>
      <c r="B8" s="72">
        <v>2020</v>
      </c>
      <c r="C8" s="73">
        <v>20</v>
      </c>
      <c r="D8" s="73">
        <v>20</v>
      </c>
      <c r="E8" s="73"/>
      <c r="F8" s="73"/>
      <c r="G8" s="71"/>
      <c r="H8" s="71">
        <v>0.33</v>
      </c>
      <c r="I8" s="79">
        <v>0</v>
      </c>
      <c r="J8" s="73">
        <v>20</v>
      </c>
      <c r="K8" s="73"/>
      <c r="L8" s="73"/>
      <c r="M8" s="73"/>
      <c r="N8" s="71">
        <v>0.34</v>
      </c>
      <c r="O8" s="79">
        <v>0.5</v>
      </c>
      <c r="P8" s="73">
        <v>20</v>
      </c>
      <c r="Q8" s="73"/>
      <c r="R8" s="73"/>
      <c r="S8" s="71"/>
      <c r="T8" s="71">
        <v>0.34</v>
      </c>
      <c r="U8" s="79">
        <v>0.5</v>
      </c>
      <c r="V8" s="1"/>
    </row>
    <row r="9" spans="1:22" ht="17" thickBot="1">
      <c r="A9" s="3"/>
      <c r="B9" s="72">
        <v>2022</v>
      </c>
      <c r="C9" s="73">
        <v>20</v>
      </c>
      <c r="D9" s="73">
        <v>20</v>
      </c>
      <c r="E9" s="73"/>
      <c r="F9" s="73"/>
      <c r="G9" s="71"/>
      <c r="H9" s="71">
        <v>0.33</v>
      </c>
      <c r="I9" s="79">
        <v>0</v>
      </c>
      <c r="J9" s="73">
        <v>20</v>
      </c>
      <c r="K9" s="73"/>
      <c r="L9" s="73"/>
      <c r="M9" s="73"/>
      <c r="N9" s="71">
        <v>0.34</v>
      </c>
      <c r="O9" s="79">
        <v>0.5</v>
      </c>
      <c r="P9" s="73">
        <v>20</v>
      </c>
      <c r="Q9" s="73"/>
      <c r="R9" s="73"/>
      <c r="S9" s="71"/>
      <c r="T9" s="71">
        <v>0.34</v>
      </c>
      <c r="U9" s="79">
        <v>0.5</v>
      </c>
      <c r="V9" s="1"/>
    </row>
    <row r="10" spans="1:22" ht="17" thickBot="1">
      <c r="A10" s="3"/>
      <c r="B10" s="72">
        <v>2024</v>
      </c>
      <c r="C10" s="73">
        <v>20</v>
      </c>
      <c r="D10" s="73">
        <v>20</v>
      </c>
      <c r="E10" s="73"/>
      <c r="F10" s="73"/>
      <c r="G10" s="71"/>
      <c r="H10" s="71">
        <v>0.33</v>
      </c>
      <c r="I10" s="79">
        <v>0</v>
      </c>
      <c r="J10" s="73">
        <v>20</v>
      </c>
      <c r="K10" s="73"/>
      <c r="L10" s="73"/>
      <c r="M10" s="73"/>
      <c r="N10" s="71">
        <v>0.34</v>
      </c>
      <c r="O10" s="79">
        <v>0.5</v>
      </c>
      <c r="P10" s="73">
        <v>20</v>
      </c>
      <c r="Q10" s="73"/>
      <c r="R10" s="73"/>
      <c r="S10" s="71"/>
      <c r="T10" s="71">
        <v>0.34</v>
      </c>
      <c r="U10" s="79">
        <v>0.5</v>
      </c>
      <c r="V10" s="1"/>
    </row>
    <row r="11" spans="1:22" ht="17" thickBot="1">
      <c r="A11" s="3"/>
      <c r="B11" s="72">
        <v>2026</v>
      </c>
      <c r="C11" s="73">
        <v>20</v>
      </c>
      <c r="D11" s="73">
        <v>20</v>
      </c>
      <c r="E11" s="73"/>
      <c r="F11" s="73"/>
      <c r="G11" s="71"/>
      <c r="H11" s="71">
        <v>0.33</v>
      </c>
      <c r="I11" s="79">
        <v>0</v>
      </c>
      <c r="J11" s="73">
        <v>20</v>
      </c>
      <c r="K11" s="73"/>
      <c r="L11" s="73"/>
      <c r="M11" s="73"/>
      <c r="N11" s="71">
        <v>0.34</v>
      </c>
      <c r="O11" s="79">
        <v>0</v>
      </c>
      <c r="P11" s="73">
        <v>20</v>
      </c>
      <c r="Q11" s="73"/>
      <c r="R11" s="73"/>
      <c r="S11" s="71"/>
      <c r="T11" s="71">
        <v>0.34</v>
      </c>
      <c r="U11" s="79">
        <v>0</v>
      </c>
      <c r="V11" s="1"/>
    </row>
    <row r="12" spans="1:22" ht="17" thickBot="1">
      <c r="A12" s="3"/>
      <c r="B12" s="72">
        <v>2028</v>
      </c>
      <c r="C12" s="73">
        <v>20</v>
      </c>
      <c r="D12" s="73">
        <v>20</v>
      </c>
      <c r="E12" s="73"/>
      <c r="F12" s="73"/>
      <c r="G12" s="71"/>
      <c r="H12" s="71">
        <v>0.33</v>
      </c>
      <c r="I12" s="79">
        <v>0</v>
      </c>
      <c r="J12" s="73">
        <v>20</v>
      </c>
      <c r="K12" s="73"/>
      <c r="L12" s="73"/>
      <c r="M12" s="73"/>
      <c r="N12" s="71">
        <v>0.34</v>
      </c>
      <c r="O12" s="79">
        <v>0</v>
      </c>
      <c r="P12" s="73">
        <v>20</v>
      </c>
      <c r="Q12" s="73"/>
      <c r="R12" s="73"/>
      <c r="S12" s="71"/>
      <c r="T12" s="71">
        <v>0.34</v>
      </c>
      <c r="U12" s="79">
        <v>0</v>
      </c>
      <c r="V12" s="1"/>
    </row>
    <row r="13" spans="1:22" ht="17" thickBot="1">
      <c r="A13" s="3"/>
      <c r="B13" s="72">
        <v>2030</v>
      </c>
      <c r="C13" s="73">
        <v>20</v>
      </c>
      <c r="D13" s="73">
        <v>20</v>
      </c>
      <c r="E13" s="73"/>
      <c r="F13" s="73"/>
      <c r="G13" s="71"/>
      <c r="H13" s="71">
        <v>0.33</v>
      </c>
      <c r="I13" s="79">
        <v>0</v>
      </c>
      <c r="J13" s="73">
        <v>20</v>
      </c>
      <c r="K13" s="73"/>
      <c r="L13" s="73"/>
      <c r="M13" s="73"/>
      <c r="N13" s="71">
        <v>0.34</v>
      </c>
      <c r="O13" s="79">
        <v>0</v>
      </c>
      <c r="P13" s="73">
        <v>20</v>
      </c>
      <c r="Q13" s="73"/>
      <c r="R13" s="73"/>
      <c r="S13" s="71"/>
      <c r="T13" s="71">
        <v>0.34</v>
      </c>
      <c r="U13" s="79">
        <v>0</v>
      </c>
      <c r="V13" s="1"/>
    </row>
    <row r="14" spans="1:22" ht="17" thickBot="1">
      <c r="A14" s="3"/>
      <c r="B14" s="72">
        <v>2032</v>
      </c>
      <c r="C14" s="73">
        <v>20</v>
      </c>
      <c r="D14" s="73">
        <v>20</v>
      </c>
      <c r="E14" s="73"/>
      <c r="F14" s="73"/>
      <c r="G14" s="71"/>
      <c r="H14" s="71">
        <v>0.33</v>
      </c>
      <c r="I14" s="79">
        <v>0</v>
      </c>
      <c r="J14" s="73">
        <v>20</v>
      </c>
      <c r="K14" s="73"/>
      <c r="L14" s="73"/>
      <c r="M14" s="73"/>
      <c r="N14" s="71">
        <v>0.34</v>
      </c>
      <c r="O14" s="79">
        <v>0</v>
      </c>
      <c r="P14" s="73">
        <v>20</v>
      </c>
      <c r="Q14" s="73"/>
      <c r="R14" s="73"/>
      <c r="S14" s="71"/>
      <c r="T14" s="71">
        <v>0.34</v>
      </c>
      <c r="U14" s="79">
        <v>0</v>
      </c>
      <c r="V14" s="1"/>
    </row>
    <row r="15" spans="1:22" ht="17" thickBot="1">
      <c r="A15" s="3"/>
      <c r="B15" s="72">
        <v>2034</v>
      </c>
      <c r="C15" s="73">
        <v>20</v>
      </c>
      <c r="D15" s="73">
        <v>20</v>
      </c>
      <c r="E15" s="73"/>
      <c r="F15" s="73"/>
      <c r="G15" s="71"/>
      <c r="H15" s="71">
        <v>0.33</v>
      </c>
      <c r="I15" s="79">
        <v>0</v>
      </c>
      <c r="J15" s="73">
        <v>20</v>
      </c>
      <c r="K15" s="73"/>
      <c r="L15" s="73"/>
      <c r="M15" s="73"/>
      <c r="N15" s="71">
        <v>0.34</v>
      </c>
      <c r="O15" s="79">
        <v>0</v>
      </c>
      <c r="P15" s="73">
        <v>20</v>
      </c>
      <c r="Q15" s="73"/>
      <c r="R15" s="73"/>
      <c r="S15" s="71"/>
      <c r="T15" s="71">
        <v>0.34</v>
      </c>
      <c r="U15" s="79">
        <v>0</v>
      </c>
      <c r="V15" s="1"/>
    </row>
    <row r="16" spans="1:22" ht="17" thickBot="1">
      <c r="A16" s="3"/>
      <c r="B16" s="72">
        <v>2036</v>
      </c>
      <c r="C16" s="73">
        <v>20</v>
      </c>
      <c r="D16" s="73">
        <v>20</v>
      </c>
      <c r="E16" s="73"/>
      <c r="F16" s="73"/>
      <c r="G16" s="71"/>
      <c r="H16" s="71">
        <v>0.33</v>
      </c>
      <c r="I16" s="79">
        <v>0</v>
      </c>
      <c r="J16" s="73">
        <v>20</v>
      </c>
      <c r="K16" s="73"/>
      <c r="L16" s="73"/>
      <c r="M16" s="73"/>
      <c r="N16" s="71">
        <v>0.34</v>
      </c>
      <c r="O16" s="79">
        <v>0</v>
      </c>
      <c r="P16" s="73">
        <v>20</v>
      </c>
      <c r="Q16" s="73"/>
      <c r="R16" s="73"/>
      <c r="S16" s="71"/>
      <c r="T16" s="71">
        <v>0.34</v>
      </c>
      <c r="U16" s="79">
        <v>0</v>
      </c>
      <c r="V16" s="1"/>
    </row>
    <row r="17" spans="1:22" ht="17" thickBot="1">
      <c r="A17" s="3"/>
      <c r="B17" s="72">
        <v>2038</v>
      </c>
      <c r="C17" s="73">
        <v>20</v>
      </c>
      <c r="D17" s="73">
        <v>20</v>
      </c>
      <c r="E17" s="73"/>
      <c r="F17" s="73"/>
      <c r="G17" s="71"/>
      <c r="H17" s="71">
        <v>0.33</v>
      </c>
      <c r="I17" s="79">
        <v>0</v>
      </c>
      <c r="J17" s="73">
        <v>20</v>
      </c>
      <c r="K17" s="73"/>
      <c r="L17" s="73"/>
      <c r="M17" s="73"/>
      <c r="N17" s="71">
        <v>0.34</v>
      </c>
      <c r="O17" s="79">
        <v>0</v>
      </c>
      <c r="P17" s="73">
        <v>20</v>
      </c>
      <c r="Q17" s="73"/>
      <c r="R17" s="73"/>
      <c r="S17" s="71"/>
      <c r="T17" s="71">
        <v>0.34</v>
      </c>
      <c r="U17" s="79">
        <v>0</v>
      </c>
      <c r="V17" s="1"/>
    </row>
    <row r="18" spans="1:22" ht="17" thickBot="1">
      <c r="A18" s="3"/>
      <c r="B18" s="72">
        <v>2040</v>
      </c>
      <c r="C18" s="73">
        <v>20</v>
      </c>
      <c r="D18" s="73">
        <v>20</v>
      </c>
      <c r="E18" s="73"/>
      <c r="F18" s="73"/>
      <c r="G18" s="71"/>
      <c r="H18" s="71">
        <v>0.33</v>
      </c>
      <c r="I18" s="79">
        <v>0</v>
      </c>
      <c r="J18" s="73">
        <v>20</v>
      </c>
      <c r="K18" s="73"/>
      <c r="L18" s="73"/>
      <c r="M18" s="73"/>
      <c r="N18" s="71">
        <v>0.34</v>
      </c>
      <c r="O18" s="79">
        <v>0</v>
      </c>
      <c r="P18" s="73">
        <v>20</v>
      </c>
      <c r="Q18" s="73"/>
      <c r="R18" s="73"/>
      <c r="S18" s="71"/>
      <c r="T18" s="71">
        <v>0.34</v>
      </c>
      <c r="U18" s="79">
        <v>0</v>
      </c>
      <c r="V18" s="1"/>
    </row>
    <row r="19" spans="1:22" ht="17" thickBot="1">
      <c r="A19" s="3"/>
      <c r="B19" s="72">
        <v>2042</v>
      </c>
      <c r="C19" s="73">
        <v>20</v>
      </c>
      <c r="D19" s="73">
        <v>20</v>
      </c>
      <c r="E19" s="73"/>
      <c r="F19" s="73"/>
      <c r="G19" s="71"/>
      <c r="H19" s="71">
        <v>0.33</v>
      </c>
      <c r="I19" s="79">
        <v>0</v>
      </c>
      <c r="J19" s="73">
        <v>20</v>
      </c>
      <c r="K19" s="73"/>
      <c r="L19" s="73"/>
      <c r="M19" s="73"/>
      <c r="N19" s="71">
        <v>0.34</v>
      </c>
      <c r="O19" s="79">
        <v>0</v>
      </c>
      <c r="P19" s="73">
        <v>20</v>
      </c>
      <c r="Q19" s="73"/>
      <c r="R19" s="73"/>
      <c r="S19" s="71"/>
      <c r="T19" s="71">
        <v>0.34</v>
      </c>
      <c r="U19" s="79">
        <v>0</v>
      </c>
      <c r="V19" s="1"/>
    </row>
    <row r="20" spans="1:22" ht="17" thickBot="1">
      <c r="A20" s="3"/>
      <c r="B20" s="72">
        <v>2044</v>
      </c>
      <c r="C20" s="73">
        <v>20</v>
      </c>
      <c r="D20" s="73">
        <v>20</v>
      </c>
      <c r="E20" s="73"/>
      <c r="F20" s="73"/>
      <c r="G20" s="71"/>
      <c r="H20" s="71">
        <v>0.33</v>
      </c>
      <c r="I20" s="79">
        <v>0</v>
      </c>
      <c r="J20" s="73">
        <v>20</v>
      </c>
      <c r="K20" s="73"/>
      <c r="L20" s="73"/>
      <c r="M20" s="73"/>
      <c r="N20" s="71">
        <v>0.34</v>
      </c>
      <c r="O20" s="79">
        <v>0</v>
      </c>
      <c r="P20" s="73">
        <v>20</v>
      </c>
      <c r="Q20" s="73"/>
      <c r="R20" s="73"/>
      <c r="S20" s="71"/>
      <c r="T20" s="71">
        <v>0.34</v>
      </c>
      <c r="U20" s="79">
        <v>0</v>
      </c>
      <c r="V20" s="1"/>
    </row>
    <row r="21" spans="1:22" ht="17" thickBot="1">
      <c r="A21" s="3"/>
      <c r="B21" s="72">
        <v>2046</v>
      </c>
      <c r="C21" s="73">
        <v>20</v>
      </c>
      <c r="D21" s="73">
        <v>20</v>
      </c>
      <c r="E21" s="73"/>
      <c r="F21" s="73"/>
      <c r="G21" s="71"/>
      <c r="H21" s="71">
        <v>0.33</v>
      </c>
      <c r="I21" s="79">
        <v>0</v>
      </c>
      <c r="J21" s="73">
        <v>20</v>
      </c>
      <c r="K21" s="73"/>
      <c r="L21" s="73"/>
      <c r="M21" s="73"/>
      <c r="N21" s="71">
        <v>0.34</v>
      </c>
      <c r="O21" s="79">
        <v>0</v>
      </c>
      <c r="P21" s="73">
        <v>20</v>
      </c>
      <c r="Q21" s="73"/>
      <c r="R21" s="73"/>
      <c r="S21" s="71"/>
      <c r="T21" s="71">
        <v>0.34</v>
      </c>
      <c r="U21" s="79">
        <v>0</v>
      </c>
      <c r="V21" s="1"/>
    </row>
    <row r="22" spans="1:22" ht="17" thickBot="1">
      <c r="A22" s="3"/>
      <c r="B22" s="72">
        <v>2048</v>
      </c>
      <c r="C22" s="73">
        <v>20</v>
      </c>
      <c r="D22" s="73">
        <v>20</v>
      </c>
      <c r="E22" s="73"/>
      <c r="F22" s="73"/>
      <c r="G22" s="71"/>
      <c r="H22" s="71">
        <v>0.33</v>
      </c>
      <c r="I22" s="79">
        <v>0</v>
      </c>
      <c r="J22" s="73">
        <v>20</v>
      </c>
      <c r="K22" s="73"/>
      <c r="L22" s="73"/>
      <c r="M22" s="73"/>
      <c r="N22" s="71">
        <v>0.34</v>
      </c>
      <c r="O22" s="79">
        <v>0</v>
      </c>
      <c r="P22" s="73">
        <v>20</v>
      </c>
      <c r="Q22" s="73"/>
      <c r="R22" s="73"/>
      <c r="S22" s="71"/>
      <c r="T22" s="71">
        <v>0.34</v>
      </c>
      <c r="U22" s="79">
        <v>0</v>
      </c>
      <c r="V22" s="1"/>
    </row>
    <row r="23" spans="1:22" ht="17" thickBot="1">
      <c r="A23" s="3"/>
      <c r="B23" s="74">
        <v>2050</v>
      </c>
      <c r="C23" s="75">
        <v>20</v>
      </c>
      <c r="D23" s="75">
        <v>20</v>
      </c>
      <c r="E23" s="75"/>
      <c r="F23" s="75"/>
      <c r="G23" s="71"/>
      <c r="H23" s="71">
        <v>0.33</v>
      </c>
      <c r="I23" s="79">
        <v>0</v>
      </c>
      <c r="J23" s="75">
        <v>20</v>
      </c>
      <c r="K23" s="75"/>
      <c r="L23" s="75"/>
      <c r="M23" s="75"/>
      <c r="N23" s="71">
        <v>0.34</v>
      </c>
      <c r="O23" s="79">
        <v>0</v>
      </c>
      <c r="P23" s="75">
        <v>20</v>
      </c>
      <c r="Q23" s="75"/>
      <c r="R23" s="75"/>
      <c r="S23" s="71"/>
      <c r="T23" s="71">
        <v>0.34</v>
      </c>
      <c r="U23" s="79">
        <v>0</v>
      </c>
      <c r="V23" s="1"/>
    </row>
    <row r="24" spans="1:22">
      <c r="A24" s="3"/>
      <c r="B24" s="1"/>
      <c r="C24" s="1"/>
      <c r="D24" s="1"/>
      <c r="E24" s="1"/>
      <c r="F24" s="1"/>
      <c r="G24" s="1"/>
      <c r="H24" s="1"/>
      <c r="I24" s="1"/>
      <c r="J24" s="1"/>
      <c r="K24" s="1"/>
      <c r="L24" s="1"/>
      <c r="M24" s="1"/>
      <c r="N24" s="1"/>
      <c r="O24" s="1"/>
      <c r="P24" s="1"/>
      <c r="Q24" s="1"/>
      <c r="R24" s="1"/>
      <c r="S24" s="1"/>
      <c r="T24" s="1"/>
      <c r="U24" s="1"/>
      <c r="V24" s="1"/>
    </row>
    <row r="25" spans="1:22" ht="30">
      <c r="A25" s="10" t="s">
        <v>39</v>
      </c>
      <c r="C25" s="3"/>
      <c r="D25" s="3"/>
      <c r="E25" s="3"/>
      <c r="F25" s="3"/>
      <c r="G25" s="3"/>
      <c r="H25" s="3"/>
      <c r="I25" s="3"/>
      <c r="J25" s="3"/>
      <c r="K25" s="3"/>
      <c r="L25" s="3"/>
      <c r="M25" s="3"/>
      <c r="N25" s="3"/>
      <c r="O25" s="3"/>
      <c r="P25" s="3"/>
      <c r="Q25" s="3"/>
      <c r="R25" s="3"/>
      <c r="S25" s="3"/>
      <c r="T25" s="3"/>
      <c r="U25" s="3"/>
      <c r="V25" s="3"/>
    </row>
    <row r="26" spans="1:22" ht="19" customHeight="1">
      <c r="A26" s="10"/>
      <c r="B26" s="14"/>
      <c r="C26" s="98" t="s">
        <v>27</v>
      </c>
      <c r="D26" s="98"/>
      <c r="E26" s="98"/>
      <c r="F26" s="98"/>
      <c r="G26" s="98"/>
      <c r="H26" s="98"/>
      <c r="I26" s="98" t="s">
        <v>28</v>
      </c>
      <c r="J26" s="98"/>
      <c r="K26" s="98"/>
      <c r="L26" s="98"/>
      <c r="M26" s="98"/>
      <c r="N26" s="98"/>
      <c r="O26" s="98" t="s">
        <v>29</v>
      </c>
      <c r="P26" s="98"/>
      <c r="Q26" s="98"/>
      <c r="R26" s="98"/>
      <c r="S26" s="98"/>
      <c r="T26" s="98"/>
      <c r="U26" s="3"/>
      <c r="V26" s="3"/>
    </row>
    <row r="27" spans="1:22" ht="17" thickBot="1">
      <c r="A27" s="1"/>
      <c r="B27" s="14" t="s">
        <v>26</v>
      </c>
      <c r="C27" s="14" t="s">
        <v>32</v>
      </c>
      <c r="D27" s="14" t="s">
        <v>33</v>
      </c>
      <c r="E27" s="14" t="s">
        <v>34</v>
      </c>
      <c r="F27" s="14" t="s">
        <v>35</v>
      </c>
      <c r="G27" s="14" t="s">
        <v>36</v>
      </c>
      <c r="H27" s="14" t="s">
        <v>37</v>
      </c>
      <c r="I27" s="14" t="s">
        <v>32</v>
      </c>
      <c r="J27" s="14" t="s">
        <v>33</v>
      </c>
      <c r="K27" s="14" t="s">
        <v>34</v>
      </c>
      <c r="L27" s="14" t="s">
        <v>35</v>
      </c>
      <c r="M27" s="14" t="s">
        <v>36</v>
      </c>
      <c r="N27" s="14" t="s">
        <v>37</v>
      </c>
      <c r="O27" s="14" t="s">
        <v>32</v>
      </c>
      <c r="P27" s="14" t="s">
        <v>33</v>
      </c>
      <c r="Q27" s="14" t="s">
        <v>34</v>
      </c>
      <c r="R27" s="14" t="s">
        <v>35</v>
      </c>
      <c r="S27" s="14" t="s">
        <v>36</v>
      </c>
      <c r="T27" s="14" t="s">
        <v>37</v>
      </c>
      <c r="U27" s="3"/>
      <c r="V27" s="3"/>
    </row>
    <row r="28" spans="1:22" ht="17" thickBot="1">
      <c r="A28" s="1"/>
      <c r="B28" s="42">
        <v>2014</v>
      </c>
      <c r="C28" s="43">
        <v>0</v>
      </c>
      <c r="D28" s="43">
        <v>0</v>
      </c>
      <c r="E28" s="43">
        <v>0</v>
      </c>
      <c r="F28" s="43">
        <v>0</v>
      </c>
      <c r="G28" s="43">
        <v>0</v>
      </c>
      <c r="H28" s="43">
        <v>0</v>
      </c>
      <c r="I28" s="43">
        <v>0</v>
      </c>
      <c r="J28" s="43">
        <v>0.2</v>
      </c>
      <c r="K28" s="43">
        <v>0.2</v>
      </c>
      <c r="L28" s="43">
        <v>0.2</v>
      </c>
      <c r="M28" s="43">
        <v>0.2</v>
      </c>
      <c r="N28" s="43">
        <v>0.2</v>
      </c>
      <c r="O28" s="43">
        <v>0</v>
      </c>
      <c r="P28" s="43">
        <v>0.2</v>
      </c>
      <c r="Q28" s="43">
        <v>0.2</v>
      </c>
      <c r="R28" s="43">
        <v>0.2</v>
      </c>
      <c r="S28" s="43">
        <v>0.2</v>
      </c>
      <c r="T28" s="43">
        <v>0.2</v>
      </c>
      <c r="U28" s="3"/>
      <c r="V28" s="3"/>
    </row>
    <row r="29" spans="1:22" ht="17" thickBot="1">
      <c r="A29" s="1"/>
      <c r="B29" s="45">
        <v>2015</v>
      </c>
      <c r="C29" s="31">
        <v>0</v>
      </c>
      <c r="D29" s="31">
        <v>0</v>
      </c>
      <c r="E29" s="31">
        <v>0</v>
      </c>
      <c r="F29" s="31">
        <v>0</v>
      </c>
      <c r="G29" s="31">
        <v>0</v>
      </c>
      <c r="H29" s="31">
        <v>0</v>
      </c>
      <c r="I29" s="43">
        <v>0</v>
      </c>
      <c r="J29" s="43">
        <v>0.2</v>
      </c>
      <c r="K29" s="43">
        <v>0.2</v>
      </c>
      <c r="L29" s="43">
        <v>0.2</v>
      </c>
      <c r="M29" s="43">
        <v>0.2</v>
      </c>
      <c r="N29" s="43">
        <v>0.2</v>
      </c>
      <c r="O29" s="43">
        <v>0</v>
      </c>
      <c r="P29" s="43">
        <v>0.2</v>
      </c>
      <c r="Q29" s="43">
        <v>0.2</v>
      </c>
      <c r="R29" s="43">
        <v>0.2</v>
      </c>
      <c r="S29" s="43">
        <v>0.2</v>
      </c>
      <c r="T29" s="43">
        <v>0.2</v>
      </c>
      <c r="U29" s="3"/>
      <c r="V29" s="3"/>
    </row>
    <row r="30" spans="1:22" ht="17" thickBot="1">
      <c r="A30" s="1"/>
      <c r="B30" s="45">
        <v>2016</v>
      </c>
      <c r="C30" s="31">
        <v>0</v>
      </c>
      <c r="D30" s="31">
        <v>0</v>
      </c>
      <c r="E30" s="31">
        <v>0</v>
      </c>
      <c r="F30" s="31">
        <v>0</v>
      </c>
      <c r="G30" s="31">
        <v>0</v>
      </c>
      <c r="H30" s="31">
        <v>0</v>
      </c>
      <c r="I30" s="43">
        <v>0</v>
      </c>
      <c r="J30" s="43">
        <v>0.2</v>
      </c>
      <c r="K30" s="43">
        <v>0.2</v>
      </c>
      <c r="L30" s="43">
        <v>0.2</v>
      </c>
      <c r="M30" s="43">
        <v>0.2</v>
      </c>
      <c r="N30" s="43">
        <v>0.2</v>
      </c>
      <c r="O30" s="43">
        <v>0</v>
      </c>
      <c r="P30" s="43">
        <v>0.2</v>
      </c>
      <c r="Q30" s="43">
        <v>0.2</v>
      </c>
      <c r="R30" s="43">
        <v>0.2</v>
      </c>
      <c r="S30" s="43">
        <v>0.2</v>
      </c>
      <c r="T30" s="43">
        <v>0.2</v>
      </c>
      <c r="U30" s="3"/>
      <c r="V30" s="3"/>
    </row>
    <row r="31" spans="1:22" ht="17" thickBot="1">
      <c r="A31" s="1"/>
      <c r="B31" s="45">
        <v>2017</v>
      </c>
      <c r="C31" s="31">
        <v>0</v>
      </c>
      <c r="D31" s="31">
        <v>0</v>
      </c>
      <c r="E31" s="31">
        <v>0</v>
      </c>
      <c r="F31" s="31">
        <v>0</v>
      </c>
      <c r="G31" s="31">
        <v>0</v>
      </c>
      <c r="H31" s="31">
        <v>0</v>
      </c>
      <c r="I31" s="43">
        <v>0</v>
      </c>
      <c r="J31" s="43">
        <v>0.2</v>
      </c>
      <c r="K31" s="43">
        <v>0.2</v>
      </c>
      <c r="L31" s="43">
        <v>0.2</v>
      </c>
      <c r="M31" s="43">
        <v>0.2</v>
      </c>
      <c r="N31" s="43">
        <v>0.2</v>
      </c>
      <c r="O31" s="43">
        <v>0</v>
      </c>
      <c r="P31" s="43">
        <v>0.2</v>
      </c>
      <c r="Q31" s="43">
        <v>0.2</v>
      </c>
      <c r="R31" s="43">
        <v>0.2</v>
      </c>
      <c r="S31" s="43">
        <v>0.2</v>
      </c>
      <c r="T31" s="43">
        <v>0.2</v>
      </c>
      <c r="U31" s="3"/>
      <c r="V31" s="3"/>
    </row>
    <row r="32" spans="1:22" ht="17" thickBot="1">
      <c r="A32" s="1"/>
      <c r="B32" s="45">
        <v>2018</v>
      </c>
      <c r="C32" s="31">
        <v>0</v>
      </c>
      <c r="D32" s="31">
        <v>0</v>
      </c>
      <c r="E32" s="31">
        <v>0</v>
      </c>
      <c r="F32" s="31">
        <v>0</v>
      </c>
      <c r="G32" s="31">
        <v>0</v>
      </c>
      <c r="H32" s="31">
        <v>0</v>
      </c>
      <c r="I32" s="43">
        <v>0</v>
      </c>
      <c r="J32" s="43">
        <v>0.2</v>
      </c>
      <c r="K32" s="43">
        <v>0.2</v>
      </c>
      <c r="L32" s="43">
        <v>0.2</v>
      </c>
      <c r="M32" s="43">
        <v>0.2</v>
      </c>
      <c r="N32" s="43">
        <v>0.2</v>
      </c>
      <c r="O32" s="43">
        <v>0</v>
      </c>
      <c r="P32" s="43">
        <v>0.2</v>
      </c>
      <c r="Q32" s="43">
        <v>0.2</v>
      </c>
      <c r="R32" s="43">
        <v>0.2</v>
      </c>
      <c r="S32" s="43">
        <v>0.2</v>
      </c>
      <c r="T32" s="43">
        <v>0.2</v>
      </c>
      <c r="U32" s="3"/>
      <c r="V32" s="3"/>
    </row>
    <row r="33" spans="1:22" ht="17" thickBot="1">
      <c r="A33" s="1"/>
      <c r="B33" s="45">
        <v>2019</v>
      </c>
      <c r="C33" s="31">
        <v>0</v>
      </c>
      <c r="D33" s="31">
        <v>0</v>
      </c>
      <c r="E33" s="31">
        <v>0</v>
      </c>
      <c r="F33" s="31">
        <v>0</v>
      </c>
      <c r="G33" s="31">
        <v>0</v>
      </c>
      <c r="H33" s="31">
        <v>0</v>
      </c>
      <c r="I33" s="43">
        <v>0</v>
      </c>
      <c r="J33" s="43">
        <v>0.2</v>
      </c>
      <c r="K33" s="43">
        <v>0.2</v>
      </c>
      <c r="L33" s="43">
        <v>0.2</v>
      </c>
      <c r="M33" s="43">
        <v>0.2</v>
      </c>
      <c r="N33" s="43">
        <v>0.2</v>
      </c>
      <c r="O33" s="43">
        <v>0</v>
      </c>
      <c r="P33" s="43">
        <v>0.2</v>
      </c>
      <c r="Q33" s="43">
        <v>0.2</v>
      </c>
      <c r="R33" s="43">
        <v>0.2</v>
      </c>
      <c r="S33" s="43">
        <v>0.2</v>
      </c>
      <c r="T33" s="43">
        <v>0.2</v>
      </c>
      <c r="U33" s="3"/>
      <c r="V33" s="3"/>
    </row>
    <row r="34" spans="1:22" ht="17" thickBot="1">
      <c r="A34" s="1"/>
      <c r="B34" s="45">
        <v>2020</v>
      </c>
      <c r="C34" s="31">
        <v>0</v>
      </c>
      <c r="D34" s="31">
        <v>0</v>
      </c>
      <c r="E34" s="31">
        <v>0</v>
      </c>
      <c r="F34" s="31">
        <v>0</v>
      </c>
      <c r="G34" s="31">
        <v>0</v>
      </c>
      <c r="H34" s="31">
        <v>0</v>
      </c>
      <c r="I34" s="43">
        <v>0</v>
      </c>
      <c r="J34" s="43">
        <v>0.2</v>
      </c>
      <c r="K34" s="43">
        <v>0.2</v>
      </c>
      <c r="L34" s="43">
        <v>0.2</v>
      </c>
      <c r="M34" s="43">
        <v>0.2</v>
      </c>
      <c r="N34" s="43">
        <v>0.2</v>
      </c>
      <c r="O34" s="43">
        <v>0</v>
      </c>
      <c r="P34" s="43">
        <v>0.2</v>
      </c>
      <c r="Q34" s="43">
        <v>0.2</v>
      </c>
      <c r="R34" s="43">
        <v>0.2</v>
      </c>
      <c r="S34" s="43">
        <v>0.2</v>
      </c>
      <c r="T34" s="43">
        <v>0.2</v>
      </c>
      <c r="U34" s="3"/>
      <c r="V34" s="3"/>
    </row>
    <row r="35" spans="1:22" ht="17" thickBot="1">
      <c r="A35" s="1"/>
      <c r="B35" s="45">
        <f>B34+2</f>
        <v>2022</v>
      </c>
      <c r="C35" s="31">
        <v>0</v>
      </c>
      <c r="D35" s="31">
        <v>0</v>
      </c>
      <c r="E35" s="31">
        <v>0</v>
      </c>
      <c r="F35" s="31">
        <v>0</v>
      </c>
      <c r="G35" s="31">
        <v>0</v>
      </c>
      <c r="H35" s="31">
        <v>0</v>
      </c>
      <c r="I35" s="43">
        <v>0</v>
      </c>
      <c r="J35" s="43">
        <v>0.2</v>
      </c>
      <c r="K35" s="43">
        <v>0.2</v>
      </c>
      <c r="L35" s="43">
        <v>0.2</v>
      </c>
      <c r="M35" s="43">
        <v>0.2</v>
      </c>
      <c r="N35" s="43">
        <v>0.2</v>
      </c>
      <c r="O35" s="43">
        <v>0</v>
      </c>
      <c r="P35" s="43">
        <v>0.2</v>
      </c>
      <c r="Q35" s="43">
        <v>0.2</v>
      </c>
      <c r="R35" s="43">
        <v>0.2</v>
      </c>
      <c r="S35" s="43">
        <v>0.2</v>
      </c>
      <c r="T35" s="43">
        <v>0.2</v>
      </c>
      <c r="U35" s="3"/>
      <c r="V35" s="3"/>
    </row>
    <row r="36" spans="1:22" ht="17" thickBot="1">
      <c r="A36" s="1"/>
      <c r="B36" s="45">
        <f t="shared" ref="B36:B49" si="0">B35+2</f>
        <v>2024</v>
      </c>
      <c r="C36" s="31">
        <v>0</v>
      </c>
      <c r="D36" s="31">
        <v>0</v>
      </c>
      <c r="E36" s="31">
        <v>0</v>
      </c>
      <c r="F36" s="31">
        <v>0</v>
      </c>
      <c r="G36" s="31">
        <v>0</v>
      </c>
      <c r="H36" s="31">
        <v>0</v>
      </c>
      <c r="I36" s="43">
        <v>0</v>
      </c>
      <c r="J36" s="43">
        <v>0.2</v>
      </c>
      <c r="K36" s="43">
        <v>0.2</v>
      </c>
      <c r="L36" s="43">
        <v>0.2</v>
      </c>
      <c r="M36" s="43">
        <v>0.2</v>
      </c>
      <c r="N36" s="43">
        <v>0.2</v>
      </c>
      <c r="O36" s="43">
        <v>0</v>
      </c>
      <c r="P36" s="43">
        <v>0.2</v>
      </c>
      <c r="Q36" s="43">
        <v>0.2</v>
      </c>
      <c r="R36" s="43">
        <v>0.2</v>
      </c>
      <c r="S36" s="43">
        <v>0.2</v>
      </c>
      <c r="T36" s="43">
        <v>0.2</v>
      </c>
      <c r="U36" s="3"/>
      <c r="V36" s="3"/>
    </row>
    <row r="37" spans="1:22" ht="17" thickBot="1">
      <c r="A37" s="1"/>
      <c r="B37" s="45">
        <f t="shared" si="0"/>
        <v>2026</v>
      </c>
      <c r="C37" s="31">
        <v>0</v>
      </c>
      <c r="D37" s="31">
        <v>0</v>
      </c>
      <c r="E37" s="31">
        <v>0</v>
      </c>
      <c r="F37" s="31">
        <v>0</v>
      </c>
      <c r="G37" s="31">
        <v>0</v>
      </c>
      <c r="H37" s="31">
        <v>0</v>
      </c>
      <c r="I37" s="43">
        <v>0</v>
      </c>
      <c r="J37" s="43">
        <v>0.2</v>
      </c>
      <c r="K37" s="43">
        <v>0.2</v>
      </c>
      <c r="L37" s="43">
        <v>0.2</v>
      </c>
      <c r="M37" s="43">
        <v>0.2</v>
      </c>
      <c r="N37" s="43">
        <v>0.2</v>
      </c>
      <c r="O37" s="43">
        <v>0</v>
      </c>
      <c r="P37" s="43">
        <v>0.2</v>
      </c>
      <c r="Q37" s="43">
        <v>0.2</v>
      </c>
      <c r="R37" s="43">
        <v>0.2</v>
      </c>
      <c r="S37" s="43">
        <v>0.2</v>
      </c>
      <c r="T37" s="43">
        <v>0.2</v>
      </c>
      <c r="U37" s="3"/>
      <c r="V37" s="3"/>
    </row>
    <row r="38" spans="1:22" ht="17" thickBot="1">
      <c r="A38" s="1"/>
      <c r="B38" s="45">
        <f t="shared" si="0"/>
        <v>2028</v>
      </c>
      <c r="C38" s="31">
        <v>0</v>
      </c>
      <c r="D38" s="31">
        <v>0</v>
      </c>
      <c r="E38" s="31">
        <v>0</v>
      </c>
      <c r="F38" s="31">
        <v>0</v>
      </c>
      <c r="G38" s="31">
        <v>0</v>
      </c>
      <c r="H38" s="31">
        <v>0</v>
      </c>
      <c r="I38" s="43">
        <v>0</v>
      </c>
      <c r="J38" s="43">
        <v>0.2</v>
      </c>
      <c r="K38" s="43">
        <v>0.2</v>
      </c>
      <c r="L38" s="43">
        <v>0.2</v>
      </c>
      <c r="M38" s="43">
        <v>0.2</v>
      </c>
      <c r="N38" s="43">
        <v>0.2</v>
      </c>
      <c r="O38" s="43">
        <v>0</v>
      </c>
      <c r="P38" s="43">
        <v>0.2</v>
      </c>
      <c r="Q38" s="43">
        <v>0.2</v>
      </c>
      <c r="R38" s="43">
        <v>0.2</v>
      </c>
      <c r="S38" s="43">
        <v>0.2</v>
      </c>
      <c r="T38" s="43">
        <v>0.2</v>
      </c>
      <c r="U38" s="3"/>
      <c r="V38" s="3"/>
    </row>
    <row r="39" spans="1:22" ht="17" thickBot="1">
      <c r="A39" s="1"/>
      <c r="B39" s="45">
        <f t="shared" si="0"/>
        <v>2030</v>
      </c>
      <c r="C39" s="31">
        <v>0</v>
      </c>
      <c r="D39" s="31">
        <v>0</v>
      </c>
      <c r="E39" s="31">
        <v>0</v>
      </c>
      <c r="F39" s="31">
        <v>0</v>
      </c>
      <c r="G39" s="31">
        <v>0</v>
      </c>
      <c r="H39" s="31">
        <v>0</v>
      </c>
      <c r="I39" s="43">
        <v>0</v>
      </c>
      <c r="J39" s="43">
        <v>0.2</v>
      </c>
      <c r="K39" s="43">
        <v>0.2</v>
      </c>
      <c r="L39" s="43">
        <v>0.2</v>
      </c>
      <c r="M39" s="43">
        <v>0.2</v>
      </c>
      <c r="N39" s="43">
        <v>0.2</v>
      </c>
      <c r="O39" s="43">
        <v>0</v>
      </c>
      <c r="P39" s="43">
        <v>0.2</v>
      </c>
      <c r="Q39" s="43">
        <v>0.2</v>
      </c>
      <c r="R39" s="43">
        <v>0.2</v>
      </c>
      <c r="S39" s="43">
        <v>0.2</v>
      </c>
      <c r="T39" s="43">
        <v>0.2</v>
      </c>
      <c r="U39" s="3"/>
      <c r="V39" s="3"/>
    </row>
    <row r="40" spans="1:22" ht="17" thickBot="1">
      <c r="A40" s="1"/>
      <c r="B40" s="45">
        <f t="shared" si="0"/>
        <v>2032</v>
      </c>
      <c r="C40" s="31">
        <v>0</v>
      </c>
      <c r="D40" s="31">
        <v>0</v>
      </c>
      <c r="E40" s="31">
        <v>0</v>
      </c>
      <c r="F40" s="31">
        <v>0</v>
      </c>
      <c r="G40" s="31">
        <v>0</v>
      </c>
      <c r="H40" s="31">
        <v>0</v>
      </c>
      <c r="I40" s="43">
        <v>0</v>
      </c>
      <c r="J40" s="43">
        <v>0.2</v>
      </c>
      <c r="K40" s="43">
        <v>0.2</v>
      </c>
      <c r="L40" s="43">
        <v>0.2</v>
      </c>
      <c r="M40" s="43">
        <v>0.2</v>
      </c>
      <c r="N40" s="43">
        <v>0.2</v>
      </c>
      <c r="O40" s="43">
        <v>0</v>
      </c>
      <c r="P40" s="43">
        <v>0.2</v>
      </c>
      <c r="Q40" s="43">
        <v>0.2</v>
      </c>
      <c r="R40" s="43">
        <v>0.2</v>
      </c>
      <c r="S40" s="43">
        <v>0.2</v>
      </c>
      <c r="T40" s="43">
        <v>0.2</v>
      </c>
      <c r="U40" s="3"/>
      <c r="V40" s="3"/>
    </row>
    <row r="41" spans="1:22" ht="17" thickBot="1">
      <c r="A41" s="1"/>
      <c r="B41" s="45">
        <f t="shared" si="0"/>
        <v>2034</v>
      </c>
      <c r="C41" s="31">
        <v>0</v>
      </c>
      <c r="D41" s="31">
        <v>0</v>
      </c>
      <c r="E41" s="31">
        <v>0</v>
      </c>
      <c r="F41" s="31">
        <v>0</v>
      </c>
      <c r="G41" s="31">
        <v>0</v>
      </c>
      <c r="H41" s="31">
        <v>0</v>
      </c>
      <c r="I41" s="43">
        <v>0</v>
      </c>
      <c r="J41" s="43">
        <v>0.2</v>
      </c>
      <c r="K41" s="43">
        <v>0.2</v>
      </c>
      <c r="L41" s="43">
        <v>0.2</v>
      </c>
      <c r="M41" s="43">
        <v>0.2</v>
      </c>
      <c r="N41" s="43">
        <v>0.2</v>
      </c>
      <c r="O41" s="43">
        <v>0</v>
      </c>
      <c r="P41" s="43">
        <v>0.2</v>
      </c>
      <c r="Q41" s="43">
        <v>0.2</v>
      </c>
      <c r="R41" s="43">
        <v>0.2</v>
      </c>
      <c r="S41" s="43">
        <v>0.2</v>
      </c>
      <c r="T41" s="43">
        <v>0.2</v>
      </c>
      <c r="U41" s="3"/>
      <c r="V41" s="3"/>
    </row>
    <row r="42" spans="1:22" ht="17" thickBot="1">
      <c r="A42" s="1"/>
      <c r="B42" s="45">
        <f t="shared" si="0"/>
        <v>2036</v>
      </c>
      <c r="C42" s="31">
        <v>0</v>
      </c>
      <c r="D42" s="31">
        <v>0</v>
      </c>
      <c r="E42" s="31">
        <v>0</v>
      </c>
      <c r="F42" s="31">
        <v>0</v>
      </c>
      <c r="G42" s="31">
        <v>0</v>
      </c>
      <c r="H42" s="31">
        <v>0</v>
      </c>
      <c r="I42" s="43">
        <v>0</v>
      </c>
      <c r="J42" s="43">
        <v>0.2</v>
      </c>
      <c r="K42" s="43">
        <v>0.2</v>
      </c>
      <c r="L42" s="43">
        <v>0.2</v>
      </c>
      <c r="M42" s="43">
        <v>0.2</v>
      </c>
      <c r="N42" s="43">
        <v>0.2</v>
      </c>
      <c r="O42" s="43">
        <v>0</v>
      </c>
      <c r="P42" s="43">
        <v>0.2</v>
      </c>
      <c r="Q42" s="43">
        <v>0.2</v>
      </c>
      <c r="R42" s="43">
        <v>0.2</v>
      </c>
      <c r="S42" s="43">
        <v>0.2</v>
      </c>
      <c r="T42" s="43">
        <v>0.2</v>
      </c>
      <c r="U42" s="3"/>
      <c r="V42" s="3"/>
    </row>
    <row r="43" spans="1:22" ht="17" thickBot="1">
      <c r="A43" s="1"/>
      <c r="B43" s="45">
        <f t="shared" si="0"/>
        <v>2038</v>
      </c>
      <c r="C43" s="31">
        <v>0</v>
      </c>
      <c r="D43" s="31">
        <v>0</v>
      </c>
      <c r="E43" s="31">
        <v>0</v>
      </c>
      <c r="F43" s="31">
        <v>0</v>
      </c>
      <c r="G43" s="31">
        <v>0</v>
      </c>
      <c r="H43" s="31">
        <v>0</v>
      </c>
      <c r="I43" s="43">
        <v>0</v>
      </c>
      <c r="J43" s="43">
        <v>0.2</v>
      </c>
      <c r="K43" s="43">
        <v>0.2</v>
      </c>
      <c r="L43" s="43">
        <v>0.2</v>
      </c>
      <c r="M43" s="43">
        <v>0.2</v>
      </c>
      <c r="N43" s="43">
        <v>0.2</v>
      </c>
      <c r="O43" s="43">
        <v>0</v>
      </c>
      <c r="P43" s="43">
        <v>0.2</v>
      </c>
      <c r="Q43" s="43">
        <v>0.2</v>
      </c>
      <c r="R43" s="43">
        <v>0.2</v>
      </c>
      <c r="S43" s="43">
        <v>0.2</v>
      </c>
      <c r="T43" s="43">
        <v>0.2</v>
      </c>
      <c r="U43" s="3"/>
      <c r="V43" s="3"/>
    </row>
    <row r="44" spans="1:22" ht="17" thickBot="1">
      <c r="A44" s="1"/>
      <c r="B44" s="45">
        <f t="shared" si="0"/>
        <v>2040</v>
      </c>
      <c r="C44" s="31">
        <v>0</v>
      </c>
      <c r="D44" s="31">
        <v>0</v>
      </c>
      <c r="E44" s="31">
        <v>0</v>
      </c>
      <c r="F44" s="31">
        <v>0</v>
      </c>
      <c r="G44" s="31">
        <v>0</v>
      </c>
      <c r="H44" s="31">
        <v>0</v>
      </c>
      <c r="I44" s="43">
        <v>0</v>
      </c>
      <c r="J44" s="43">
        <v>0.2</v>
      </c>
      <c r="K44" s="43">
        <v>0.2</v>
      </c>
      <c r="L44" s="43">
        <v>0.2</v>
      </c>
      <c r="M44" s="43">
        <v>0.2</v>
      </c>
      <c r="N44" s="43">
        <v>0.2</v>
      </c>
      <c r="O44" s="43">
        <v>0</v>
      </c>
      <c r="P44" s="43">
        <v>0.2</v>
      </c>
      <c r="Q44" s="43">
        <v>0.2</v>
      </c>
      <c r="R44" s="43">
        <v>0.2</v>
      </c>
      <c r="S44" s="43">
        <v>0.2</v>
      </c>
      <c r="T44" s="43">
        <v>0.2</v>
      </c>
      <c r="U44" s="3"/>
      <c r="V44" s="3"/>
    </row>
    <row r="45" spans="1:22" ht="17" thickBot="1">
      <c r="A45" s="1"/>
      <c r="B45" s="45">
        <f t="shared" si="0"/>
        <v>2042</v>
      </c>
      <c r="C45" s="31">
        <v>0</v>
      </c>
      <c r="D45" s="31">
        <v>0</v>
      </c>
      <c r="E45" s="31">
        <v>0</v>
      </c>
      <c r="F45" s="31">
        <v>0</v>
      </c>
      <c r="G45" s="31">
        <v>0</v>
      </c>
      <c r="H45" s="31">
        <v>0</v>
      </c>
      <c r="I45" s="43">
        <v>0</v>
      </c>
      <c r="J45" s="43">
        <v>0.2</v>
      </c>
      <c r="K45" s="43">
        <v>0.2</v>
      </c>
      <c r="L45" s="43">
        <v>0.2</v>
      </c>
      <c r="M45" s="43">
        <v>0.2</v>
      </c>
      <c r="N45" s="43">
        <v>0.2</v>
      </c>
      <c r="O45" s="43">
        <v>0</v>
      </c>
      <c r="P45" s="43">
        <v>0.2</v>
      </c>
      <c r="Q45" s="43">
        <v>0.2</v>
      </c>
      <c r="R45" s="43">
        <v>0.2</v>
      </c>
      <c r="S45" s="43">
        <v>0.2</v>
      </c>
      <c r="T45" s="43">
        <v>0.2</v>
      </c>
      <c r="U45" s="3"/>
      <c r="V45" s="3"/>
    </row>
    <row r="46" spans="1:22" ht="17" thickBot="1">
      <c r="A46" s="1"/>
      <c r="B46" s="45">
        <f t="shared" si="0"/>
        <v>2044</v>
      </c>
      <c r="C46" s="31">
        <v>0</v>
      </c>
      <c r="D46" s="31">
        <v>0</v>
      </c>
      <c r="E46" s="31">
        <v>0</v>
      </c>
      <c r="F46" s="31">
        <v>0</v>
      </c>
      <c r="G46" s="31">
        <v>0</v>
      </c>
      <c r="H46" s="31">
        <v>0</v>
      </c>
      <c r="I46" s="43">
        <v>0</v>
      </c>
      <c r="J46" s="43">
        <v>0.2</v>
      </c>
      <c r="K46" s="43">
        <v>0.2</v>
      </c>
      <c r="L46" s="43">
        <v>0.2</v>
      </c>
      <c r="M46" s="43">
        <v>0.2</v>
      </c>
      <c r="N46" s="43">
        <v>0.2</v>
      </c>
      <c r="O46" s="43">
        <v>0</v>
      </c>
      <c r="P46" s="43">
        <v>0.2</v>
      </c>
      <c r="Q46" s="43">
        <v>0.2</v>
      </c>
      <c r="R46" s="43">
        <v>0.2</v>
      </c>
      <c r="S46" s="43">
        <v>0.2</v>
      </c>
      <c r="T46" s="43">
        <v>0.2</v>
      </c>
      <c r="U46" s="1"/>
      <c r="V46" s="1"/>
    </row>
    <row r="47" spans="1:22" ht="17" thickBot="1">
      <c r="A47" s="1"/>
      <c r="B47" s="45">
        <f t="shared" si="0"/>
        <v>2046</v>
      </c>
      <c r="C47" s="31">
        <v>0</v>
      </c>
      <c r="D47" s="31">
        <v>0</v>
      </c>
      <c r="E47" s="31">
        <v>0</v>
      </c>
      <c r="F47" s="31">
        <v>0</v>
      </c>
      <c r="G47" s="31">
        <v>0</v>
      </c>
      <c r="H47" s="31">
        <v>0</v>
      </c>
      <c r="I47" s="43">
        <v>0</v>
      </c>
      <c r="J47" s="43">
        <v>0.2</v>
      </c>
      <c r="K47" s="43">
        <v>0.2</v>
      </c>
      <c r="L47" s="43">
        <v>0.2</v>
      </c>
      <c r="M47" s="43">
        <v>0.2</v>
      </c>
      <c r="N47" s="43">
        <v>0.2</v>
      </c>
      <c r="O47" s="43">
        <v>0</v>
      </c>
      <c r="P47" s="43">
        <v>0.2</v>
      </c>
      <c r="Q47" s="43">
        <v>0.2</v>
      </c>
      <c r="R47" s="43">
        <v>0.2</v>
      </c>
      <c r="S47" s="43">
        <v>0.2</v>
      </c>
      <c r="T47" s="43">
        <v>0.2</v>
      </c>
      <c r="U47" s="1"/>
      <c r="V47" s="1"/>
    </row>
    <row r="48" spans="1:22" ht="17" thickBot="1">
      <c r="A48" s="1"/>
      <c r="B48" s="45">
        <f>B47+2</f>
        <v>2048</v>
      </c>
      <c r="C48" s="31">
        <v>0</v>
      </c>
      <c r="D48" s="31">
        <v>0</v>
      </c>
      <c r="E48" s="31">
        <v>0</v>
      </c>
      <c r="F48" s="31">
        <v>0</v>
      </c>
      <c r="G48" s="31">
        <v>0</v>
      </c>
      <c r="H48" s="31">
        <v>0</v>
      </c>
      <c r="I48" s="43">
        <v>0</v>
      </c>
      <c r="J48" s="43">
        <v>0.2</v>
      </c>
      <c r="K48" s="43">
        <v>0.2</v>
      </c>
      <c r="L48" s="43">
        <v>0.2</v>
      </c>
      <c r="M48" s="43">
        <v>0.2</v>
      </c>
      <c r="N48" s="43">
        <v>0.2</v>
      </c>
      <c r="O48" s="43">
        <v>0</v>
      </c>
      <c r="P48" s="43">
        <v>0.2</v>
      </c>
      <c r="Q48" s="43">
        <v>0.2</v>
      </c>
      <c r="R48" s="43">
        <v>0.2</v>
      </c>
      <c r="S48" s="43">
        <v>0.2</v>
      </c>
      <c r="T48" s="43">
        <v>0.2</v>
      </c>
      <c r="U48" s="1"/>
      <c r="V48" s="1"/>
    </row>
    <row r="49" spans="1:22" ht="17" thickBot="1">
      <c r="A49" s="1"/>
      <c r="B49" s="47">
        <f t="shared" si="0"/>
        <v>2050</v>
      </c>
      <c r="C49" s="48">
        <v>0</v>
      </c>
      <c r="D49" s="48">
        <v>0</v>
      </c>
      <c r="E49" s="48">
        <v>0</v>
      </c>
      <c r="F49" s="48">
        <v>0</v>
      </c>
      <c r="G49" s="48">
        <v>0</v>
      </c>
      <c r="H49" s="48">
        <v>0</v>
      </c>
      <c r="I49" s="43">
        <v>0</v>
      </c>
      <c r="J49" s="43">
        <v>0.2</v>
      </c>
      <c r="K49" s="43">
        <v>0.2</v>
      </c>
      <c r="L49" s="43">
        <v>0.2</v>
      </c>
      <c r="M49" s="43">
        <v>0.2</v>
      </c>
      <c r="N49" s="43">
        <v>0.2</v>
      </c>
      <c r="O49" s="43">
        <v>0</v>
      </c>
      <c r="P49" s="43">
        <v>0.2</v>
      </c>
      <c r="Q49" s="43">
        <v>0.2</v>
      </c>
      <c r="R49" s="43">
        <v>0.2</v>
      </c>
      <c r="S49" s="43">
        <v>0.2</v>
      </c>
      <c r="T49" s="43">
        <v>0.2</v>
      </c>
      <c r="U49" s="1"/>
      <c r="V49" s="1"/>
    </row>
    <row r="50" spans="1:22" ht="30">
      <c r="A50" s="10"/>
      <c r="B50" s="1"/>
      <c r="C50" s="1"/>
      <c r="D50" s="1"/>
      <c r="E50" s="1"/>
      <c r="F50" s="1"/>
      <c r="G50" s="1"/>
      <c r="H50" s="1"/>
      <c r="I50" s="1"/>
      <c r="J50" s="1"/>
      <c r="K50" s="1"/>
      <c r="L50" s="1"/>
      <c r="M50" s="1"/>
      <c r="N50" s="1"/>
      <c r="O50" s="1"/>
      <c r="P50" s="1"/>
      <c r="Q50" s="1"/>
      <c r="R50" s="1"/>
      <c r="S50" s="1"/>
      <c r="T50" s="1"/>
      <c r="U50" s="1"/>
      <c r="V50" s="1"/>
    </row>
    <row r="51" spans="1:22" s="27" customFormat="1" ht="30">
      <c r="A51" s="25"/>
      <c r="B51" s="26"/>
      <c r="C51" s="26"/>
      <c r="D51" s="26"/>
      <c r="E51" s="26"/>
      <c r="F51" s="26"/>
      <c r="G51" s="26"/>
      <c r="H51" s="26"/>
      <c r="I51" s="26"/>
      <c r="J51" s="26"/>
      <c r="K51" s="26"/>
      <c r="L51" s="26"/>
      <c r="M51" s="26"/>
      <c r="N51" s="26"/>
      <c r="O51" s="26"/>
      <c r="P51" s="26"/>
      <c r="Q51" s="26"/>
      <c r="R51" s="26"/>
      <c r="S51" s="26"/>
      <c r="T51" s="26"/>
      <c r="U51" s="26"/>
      <c r="V51" s="26"/>
    </row>
    <row r="54" spans="1:22">
      <c r="B54" t="s">
        <v>89</v>
      </c>
      <c r="D54" s="92" t="s">
        <v>90</v>
      </c>
    </row>
    <row r="55" spans="1:22">
      <c r="B55" t="s">
        <v>92</v>
      </c>
      <c r="D55" s="92" t="s">
        <v>91</v>
      </c>
    </row>
  </sheetData>
  <mergeCells count="7">
    <mergeCell ref="C3:C4"/>
    <mergeCell ref="D3:I3"/>
    <mergeCell ref="J3:O3"/>
    <mergeCell ref="P3:U3"/>
    <mergeCell ref="C26:H26"/>
    <mergeCell ref="I26:N26"/>
    <mergeCell ref="O26:T26"/>
  </mergeCells>
  <dataValidations count="1">
    <dataValidation type="decimal" allowBlank="1" showInputMessage="1" showErrorMessage="1" sqref="O5:O23 I5:I23 U5:U23" xr:uid="{00000000-0002-0000-0300-000000000000}">
      <formula1>0</formula1>
      <formula2>1</formula2>
    </dataValidation>
  </dataValidations>
  <hyperlinks>
    <hyperlink ref="D54" r:id="rId1" xr:uid="{7D0C9D21-204F-B044-81A9-12A5320EEA3E}"/>
    <hyperlink ref="D55" r:id="rId2" xr:uid="{E625E620-83CB-BE4B-B6A1-6AE706687ACD}"/>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73"/>
  <sheetViews>
    <sheetView topLeftCell="A5" workbookViewId="0">
      <selection activeCell="C18" sqref="C18"/>
    </sheetView>
  </sheetViews>
  <sheetFormatPr baseColWidth="10" defaultRowHeight="16"/>
  <cols>
    <col min="1" max="1" width="14.83203125" customWidth="1"/>
    <col min="2" max="2" width="30" customWidth="1"/>
  </cols>
  <sheetData>
    <row r="1" spans="1:19" ht="28">
      <c r="A1" s="37" t="s">
        <v>54</v>
      </c>
      <c r="B1" s="29"/>
      <c r="C1" s="29"/>
      <c r="D1" s="29"/>
      <c r="E1" s="29"/>
      <c r="F1" s="29"/>
      <c r="G1" s="29"/>
      <c r="H1" s="3"/>
      <c r="I1" s="3"/>
      <c r="J1" s="3"/>
      <c r="K1" s="3"/>
      <c r="L1" s="3"/>
      <c r="M1" s="3"/>
      <c r="N1" s="3"/>
      <c r="O1" s="3"/>
      <c r="P1" s="3"/>
      <c r="Q1" s="3"/>
      <c r="R1" s="3"/>
      <c r="S1" s="3"/>
    </row>
    <row r="2" spans="1:19" ht="17" thickBot="1">
      <c r="A2" s="29"/>
      <c r="B2" s="29"/>
      <c r="C2" s="29"/>
      <c r="D2" s="29"/>
      <c r="E2" s="29"/>
      <c r="F2" s="29"/>
      <c r="G2" s="29"/>
      <c r="H2" s="3"/>
      <c r="I2" s="3"/>
      <c r="J2" s="3"/>
      <c r="K2" s="3"/>
      <c r="L2" s="3"/>
      <c r="M2" s="3"/>
      <c r="N2" s="3"/>
      <c r="O2" s="3"/>
      <c r="P2" s="3"/>
      <c r="Q2" s="3"/>
      <c r="R2" s="3"/>
      <c r="S2" s="3"/>
    </row>
    <row r="3" spans="1:19">
      <c r="A3" s="3"/>
      <c r="B3" s="32" t="s">
        <v>44</v>
      </c>
      <c r="C3" s="34">
        <v>10</v>
      </c>
      <c r="D3" s="29"/>
      <c r="E3" s="29"/>
      <c r="F3" s="29"/>
      <c r="G3" s="29"/>
      <c r="H3" s="29"/>
      <c r="I3" s="3"/>
      <c r="J3" s="3"/>
      <c r="K3" s="3"/>
      <c r="L3" s="3"/>
      <c r="M3" s="3"/>
      <c r="N3" s="3"/>
      <c r="O3" s="3"/>
      <c r="P3" s="3"/>
      <c r="Q3" s="3"/>
      <c r="R3" s="3"/>
      <c r="S3" s="3"/>
    </row>
    <row r="4" spans="1:19">
      <c r="A4" s="3"/>
      <c r="B4" s="32" t="s">
        <v>45</v>
      </c>
      <c r="C4" s="35">
        <v>0.5</v>
      </c>
      <c r="D4" s="29"/>
      <c r="E4" s="29"/>
      <c r="F4" s="29"/>
      <c r="G4" s="29"/>
      <c r="H4" s="29"/>
      <c r="I4" s="3"/>
      <c r="J4" s="3"/>
      <c r="K4" s="3"/>
      <c r="L4" s="3"/>
      <c r="M4" s="3"/>
      <c r="N4" s="3"/>
      <c r="O4" s="3"/>
      <c r="P4" s="3"/>
      <c r="Q4" s="3"/>
      <c r="R4" s="3"/>
      <c r="S4" s="3"/>
    </row>
    <row r="5" spans="1:19" ht="30" thickBot="1">
      <c r="A5" s="3"/>
      <c r="B5" s="32" t="s">
        <v>46</v>
      </c>
      <c r="C5" s="36">
        <v>0.6</v>
      </c>
      <c r="D5" s="29"/>
      <c r="E5" s="29"/>
      <c r="F5" s="29"/>
      <c r="G5" s="29"/>
      <c r="H5" s="29"/>
      <c r="I5" s="3"/>
      <c r="J5" s="3"/>
      <c r="K5" s="3"/>
      <c r="L5" s="3"/>
      <c r="M5" s="3"/>
      <c r="N5" s="3"/>
      <c r="O5" s="3"/>
      <c r="P5" s="3"/>
      <c r="Q5" s="3"/>
      <c r="R5" s="3"/>
      <c r="S5" s="3"/>
    </row>
    <row r="6" spans="1:19" ht="35">
      <c r="A6" s="3"/>
      <c r="B6" s="30"/>
      <c r="C6" s="30"/>
      <c r="D6" s="30"/>
      <c r="E6" s="30"/>
      <c r="F6" s="29"/>
      <c r="G6" s="3"/>
      <c r="H6" s="3"/>
      <c r="I6" s="3"/>
      <c r="J6" s="3"/>
      <c r="K6" s="3"/>
      <c r="L6" s="3"/>
      <c r="M6" s="3"/>
      <c r="N6" s="3"/>
      <c r="O6" s="3"/>
      <c r="P6" s="3"/>
      <c r="Q6" s="3"/>
      <c r="R6" s="3"/>
      <c r="S6" s="3"/>
    </row>
    <row r="7" spans="1:19" ht="16" customHeight="1">
      <c r="A7" s="3"/>
      <c r="B7" s="3"/>
      <c r="C7" s="101" t="s">
        <v>26</v>
      </c>
      <c r="D7" s="99" t="s">
        <v>47</v>
      </c>
      <c r="E7" s="99"/>
      <c r="F7" s="99"/>
      <c r="G7" s="99" t="s">
        <v>48</v>
      </c>
      <c r="H7" s="99"/>
      <c r="I7" s="99"/>
      <c r="J7" s="100" t="s">
        <v>49</v>
      </c>
      <c r="K7" s="100"/>
      <c r="L7" s="100"/>
      <c r="M7" s="100" t="s">
        <v>50</v>
      </c>
      <c r="N7" s="100"/>
      <c r="O7" s="100"/>
      <c r="P7" s="3"/>
      <c r="Q7" s="3"/>
      <c r="R7" s="3"/>
      <c r="S7" s="3"/>
    </row>
    <row r="8" spans="1:19" ht="30" thickBot="1">
      <c r="A8" s="3"/>
      <c r="B8" s="3"/>
      <c r="C8" s="102"/>
      <c r="D8" s="33" t="s">
        <v>27</v>
      </c>
      <c r="E8" s="33" t="s">
        <v>28</v>
      </c>
      <c r="F8" s="33" t="s">
        <v>29</v>
      </c>
      <c r="G8" s="33" t="s">
        <v>27</v>
      </c>
      <c r="H8" s="33" t="s">
        <v>28</v>
      </c>
      <c r="I8" s="33" t="s">
        <v>29</v>
      </c>
      <c r="J8" s="33" t="s">
        <v>27</v>
      </c>
      <c r="K8" s="33" t="s">
        <v>28</v>
      </c>
      <c r="L8" s="33" t="s">
        <v>29</v>
      </c>
      <c r="M8" s="33" t="s">
        <v>27</v>
      </c>
      <c r="N8" s="33" t="s">
        <v>28</v>
      </c>
      <c r="O8" s="33" t="s">
        <v>29</v>
      </c>
      <c r="P8" s="3"/>
      <c r="Q8" s="3"/>
      <c r="R8" s="3"/>
      <c r="S8" s="3"/>
    </row>
    <row r="9" spans="1:19">
      <c r="A9" s="3"/>
      <c r="B9" s="3"/>
      <c r="C9" s="42">
        <v>2014</v>
      </c>
      <c r="D9" s="67">
        <v>908.28326589999995</v>
      </c>
      <c r="E9" s="67">
        <v>506.85450109999999</v>
      </c>
      <c r="F9" s="67">
        <v>506.85450109999999</v>
      </c>
      <c r="G9" s="67">
        <v>2869</v>
      </c>
      <c r="H9" s="67">
        <v>1600</v>
      </c>
      <c r="I9" s="67">
        <v>1600</v>
      </c>
      <c r="J9" s="43">
        <v>0</v>
      </c>
      <c r="K9" s="43">
        <v>0</v>
      </c>
      <c r="L9" s="43">
        <v>0</v>
      </c>
      <c r="M9" s="43">
        <v>0</v>
      </c>
      <c r="N9" s="43">
        <v>0</v>
      </c>
      <c r="O9" s="44">
        <v>0</v>
      </c>
      <c r="P9" s="3"/>
      <c r="Q9" s="3"/>
      <c r="R9" s="3"/>
      <c r="S9" s="3"/>
    </row>
    <row r="10" spans="1:19">
      <c r="A10" s="3"/>
      <c r="B10" s="3"/>
      <c r="C10" s="45">
        <v>2015</v>
      </c>
      <c r="D10" s="68">
        <v>908.28326589999995</v>
      </c>
      <c r="E10" s="68">
        <v>506.85450109999999</v>
      </c>
      <c r="F10" s="68">
        <v>506.85450109999999</v>
      </c>
      <c r="G10" s="68">
        <v>2869</v>
      </c>
      <c r="H10" s="68">
        <v>1600</v>
      </c>
      <c r="I10" s="68">
        <v>1600</v>
      </c>
      <c r="J10" s="31">
        <v>0</v>
      </c>
      <c r="K10" s="31">
        <v>0</v>
      </c>
      <c r="L10" s="31">
        <v>0</v>
      </c>
      <c r="M10" s="31">
        <v>0</v>
      </c>
      <c r="N10" s="31">
        <v>0</v>
      </c>
      <c r="O10" s="46">
        <v>0</v>
      </c>
      <c r="P10" s="3"/>
      <c r="Q10" s="3"/>
      <c r="R10" s="3"/>
      <c r="S10" s="3"/>
    </row>
    <row r="11" spans="1:19">
      <c r="A11" s="3"/>
      <c r="B11" s="3"/>
      <c r="C11" s="45">
        <v>2016</v>
      </c>
      <c r="D11" s="68">
        <v>896</v>
      </c>
      <c r="E11" s="68">
        <v>500</v>
      </c>
      <c r="F11" s="68">
        <v>500</v>
      </c>
      <c r="G11" s="68">
        <v>2869</v>
      </c>
      <c r="H11" s="68">
        <v>1600</v>
      </c>
      <c r="I11" s="68">
        <v>1600</v>
      </c>
      <c r="J11" s="31">
        <v>0</v>
      </c>
      <c r="K11" s="31">
        <v>0</v>
      </c>
      <c r="L11" s="31">
        <v>0</v>
      </c>
      <c r="M11" s="31">
        <v>0</v>
      </c>
      <c r="N11" s="31">
        <v>0</v>
      </c>
      <c r="O11" s="46">
        <v>0</v>
      </c>
      <c r="P11" s="3"/>
      <c r="Q11" s="3"/>
      <c r="R11" s="3"/>
      <c r="S11" s="3"/>
    </row>
    <row r="12" spans="1:19">
      <c r="A12" s="3"/>
      <c r="B12" s="3"/>
      <c r="C12" s="45">
        <v>2017</v>
      </c>
      <c r="D12" s="68">
        <v>883.71673320000002</v>
      </c>
      <c r="E12" s="68">
        <v>493.14549840000001</v>
      </c>
      <c r="F12" s="68">
        <v>493.14549840000001</v>
      </c>
      <c r="G12" s="68">
        <v>2869</v>
      </c>
      <c r="H12" s="68">
        <v>1600</v>
      </c>
      <c r="I12" s="68">
        <v>1600</v>
      </c>
      <c r="J12" s="31">
        <v>0</v>
      </c>
      <c r="K12" s="31">
        <v>0</v>
      </c>
      <c r="L12" s="31">
        <v>0</v>
      </c>
      <c r="M12" s="31">
        <v>0</v>
      </c>
      <c r="N12" s="31">
        <v>0</v>
      </c>
      <c r="O12" s="46">
        <v>0</v>
      </c>
      <c r="P12" s="3"/>
      <c r="Q12" s="3"/>
      <c r="R12" s="3"/>
      <c r="S12" s="3"/>
    </row>
    <row r="13" spans="1:19">
      <c r="A13" s="3"/>
      <c r="B13" s="3"/>
      <c r="C13" s="45">
        <v>2018</v>
      </c>
      <c r="D13" s="68">
        <v>871.4334672</v>
      </c>
      <c r="E13" s="68">
        <v>486.29099730000002</v>
      </c>
      <c r="F13" s="68">
        <v>486.29099730000002</v>
      </c>
      <c r="G13" s="68">
        <v>2869</v>
      </c>
      <c r="H13" s="68">
        <v>1600</v>
      </c>
      <c r="I13" s="68">
        <v>1600</v>
      </c>
      <c r="J13" s="31">
        <v>0</v>
      </c>
      <c r="K13" s="31">
        <v>0</v>
      </c>
      <c r="L13" s="31">
        <v>0</v>
      </c>
      <c r="M13" s="31">
        <v>0</v>
      </c>
      <c r="N13" s="31">
        <v>0</v>
      </c>
      <c r="O13" s="46">
        <v>0</v>
      </c>
      <c r="P13" s="3"/>
      <c r="Q13" s="3"/>
      <c r="R13" s="3"/>
      <c r="S13" s="3"/>
    </row>
    <row r="14" spans="1:19">
      <c r="A14" s="3"/>
      <c r="B14" s="3"/>
      <c r="C14" s="45">
        <v>2019</v>
      </c>
      <c r="D14" s="68">
        <v>859.15020130000005</v>
      </c>
      <c r="E14" s="68">
        <v>479.43649629999999</v>
      </c>
      <c r="F14" s="68">
        <v>479.43649629999999</v>
      </c>
      <c r="G14" s="68">
        <v>2869</v>
      </c>
      <c r="H14" s="68">
        <v>1600</v>
      </c>
      <c r="I14" s="68">
        <v>1600</v>
      </c>
      <c r="J14" s="31">
        <v>0</v>
      </c>
      <c r="K14" s="31">
        <v>0</v>
      </c>
      <c r="L14" s="31">
        <v>0</v>
      </c>
      <c r="M14" s="31">
        <v>0</v>
      </c>
      <c r="N14" s="31">
        <v>0</v>
      </c>
      <c r="O14" s="46">
        <v>0</v>
      </c>
      <c r="P14" s="3"/>
      <c r="Q14" s="3"/>
      <c r="R14" s="3"/>
      <c r="S14" s="3"/>
    </row>
    <row r="15" spans="1:19">
      <c r="A15" s="3"/>
      <c r="B15" s="3"/>
      <c r="C15" s="45">
        <v>2020</v>
      </c>
      <c r="D15" s="68">
        <v>846.86693539999999</v>
      </c>
      <c r="E15" s="68">
        <v>472.58199519999999</v>
      </c>
      <c r="F15" s="68">
        <v>472.58199519999999</v>
      </c>
      <c r="G15" s="68">
        <v>2869</v>
      </c>
      <c r="H15" s="68">
        <v>1600</v>
      </c>
      <c r="I15" s="68">
        <v>1600</v>
      </c>
      <c r="J15" s="31">
        <v>0</v>
      </c>
      <c r="K15" s="31">
        <v>0</v>
      </c>
      <c r="L15" s="31">
        <v>0</v>
      </c>
      <c r="M15" s="31">
        <v>0</v>
      </c>
      <c r="N15" s="31">
        <v>0</v>
      </c>
      <c r="O15" s="46">
        <v>0</v>
      </c>
      <c r="P15" s="3"/>
      <c r="Q15" s="3"/>
      <c r="R15" s="3"/>
      <c r="S15" s="3"/>
    </row>
    <row r="16" spans="1:19">
      <c r="A16" s="3"/>
      <c r="B16" s="3"/>
      <c r="C16" s="45">
        <v>2021</v>
      </c>
      <c r="D16" s="68">
        <v>822.06445240000005</v>
      </c>
      <c r="E16" s="68">
        <v>458.7413239</v>
      </c>
      <c r="F16" s="68">
        <v>458.7413239</v>
      </c>
      <c r="G16" s="68">
        <v>2869</v>
      </c>
      <c r="H16" s="68">
        <v>1600</v>
      </c>
      <c r="I16" s="68">
        <v>1600</v>
      </c>
      <c r="J16" s="31">
        <v>0</v>
      </c>
      <c r="K16" s="31">
        <v>0</v>
      </c>
      <c r="L16" s="31">
        <v>0</v>
      </c>
      <c r="M16" s="31">
        <v>0</v>
      </c>
      <c r="N16" s="31">
        <v>0</v>
      </c>
      <c r="O16" s="46">
        <v>0</v>
      </c>
      <c r="P16" s="3"/>
      <c r="Q16" s="3"/>
      <c r="R16" s="3"/>
      <c r="S16" s="3"/>
    </row>
    <row r="17" spans="1:19">
      <c r="A17" s="3"/>
      <c r="B17" s="3"/>
      <c r="C17" s="45">
        <v>2022</v>
      </c>
      <c r="D17" s="68">
        <v>797.26197030000003</v>
      </c>
      <c r="E17" s="68">
        <v>444.9006531</v>
      </c>
      <c r="F17" s="68">
        <v>444.9006531</v>
      </c>
      <c r="G17" s="68">
        <v>2869</v>
      </c>
      <c r="H17" s="68">
        <v>1600</v>
      </c>
      <c r="I17" s="68">
        <v>1600</v>
      </c>
      <c r="J17" s="31">
        <v>0</v>
      </c>
      <c r="K17" s="31">
        <v>0</v>
      </c>
      <c r="L17" s="31">
        <v>0</v>
      </c>
      <c r="M17" s="31">
        <v>0</v>
      </c>
      <c r="N17" s="31">
        <v>0</v>
      </c>
      <c r="O17" s="46">
        <v>0</v>
      </c>
      <c r="P17" s="3"/>
      <c r="Q17" s="3"/>
      <c r="R17" s="3"/>
      <c r="S17" s="3"/>
    </row>
    <row r="18" spans="1:19">
      <c r="A18" s="3"/>
      <c r="B18" s="3"/>
      <c r="C18" s="45">
        <v>2023</v>
      </c>
      <c r="D18" s="68">
        <v>772.45948829999998</v>
      </c>
      <c r="E18" s="68">
        <v>431.0599823</v>
      </c>
      <c r="F18" s="68">
        <v>431.0599823</v>
      </c>
      <c r="G18" s="68">
        <v>2869</v>
      </c>
      <c r="H18" s="68">
        <v>1600</v>
      </c>
      <c r="I18" s="68">
        <v>1600</v>
      </c>
      <c r="J18" s="31">
        <v>0</v>
      </c>
      <c r="K18" s="31">
        <v>0</v>
      </c>
      <c r="L18" s="31">
        <v>0</v>
      </c>
      <c r="M18" s="31">
        <v>0</v>
      </c>
      <c r="N18" s="31">
        <v>0</v>
      </c>
      <c r="O18" s="46">
        <v>0</v>
      </c>
      <c r="P18" s="3"/>
      <c r="Q18" s="3"/>
      <c r="R18" s="3"/>
      <c r="S18" s="3"/>
    </row>
    <row r="19" spans="1:19">
      <c r="A19" s="3"/>
      <c r="B19" s="3"/>
      <c r="C19" s="45">
        <v>2024</v>
      </c>
      <c r="D19" s="68">
        <v>747.65700530000004</v>
      </c>
      <c r="E19" s="68">
        <v>417.219311</v>
      </c>
      <c r="F19" s="68">
        <v>417.219311</v>
      </c>
      <c r="G19" s="68">
        <v>2869</v>
      </c>
      <c r="H19" s="68">
        <v>1600</v>
      </c>
      <c r="I19" s="68">
        <v>1600</v>
      </c>
      <c r="J19" s="31">
        <v>0</v>
      </c>
      <c r="K19" s="31">
        <v>0</v>
      </c>
      <c r="L19" s="31">
        <v>0</v>
      </c>
      <c r="M19" s="31">
        <v>0</v>
      </c>
      <c r="N19" s="31">
        <v>0</v>
      </c>
      <c r="O19" s="46">
        <v>0</v>
      </c>
      <c r="P19" s="3"/>
      <c r="Q19" s="3"/>
      <c r="R19" s="3"/>
      <c r="S19" s="3"/>
    </row>
    <row r="20" spans="1:19">
      <c r="A20" s="3"/>
      <c r="B20" s="3"/>
      <c r="C20" s="45">
        <v>2025</v>
      </c>
      <c r="D20" s="68">
        <v>722.85452320000002</v>
      </c>
      <c r="E20" s="68">
        <v>403.37864020000001</v>
      </c>
      <c r="F20" s="68">
        <v>403.37864020000001</v>
      </c>
      <c r="G20" s="68">
        <v>2869</v>
      </c>
      <c r="H20" s="68">
        <v>1600</v>
      </c>
      <c r="I20" s="68">
        <v>1600</v>
      </c>
      <c r="J20" s="31">
        <v>0</v>
      </c>
      <c r="K20" s="31">
        <v>0</v>
      </c>
      <c r="L20" s="31">
        <v>0</v>
      </c>
      <c r="M20" s="31">
        <v>0</v>
      </c>
      <c r="N20" s="31">
        <v>0</v>
      </c>
      <c r="O20" s="46">
        <v>0</v>
      </c>
      <c r="P20" s="3"/>
      <c r="Q20" s="3"/>
      <c r="R20" s="3"/>
      <c r="S20" s="3"/>
    </row>
    <row r="21" spans="1:19">
      <c r="A21" s="3"/>
      <c r="B21" s="3"/>
      <c r="C21" s="45">
        <v>2026</v>
      </c>
      <c r="D21" s="68">
        <v>702.36820239999997</v>
      </c>
      <c r="E21" s="68">
        <v>391.94654150000002</v>
      </c>
      <c r="F21" s="68">
        <v>391.94654150000002</v>
      </c>
      <c r="G21" s="68">
        <v>2869</v>
      </c>
      <c r="H21" s="68">
        <v>1600</v>
      </c>
      <c r="I21" s="68">
        <v>1600</v>
      </c>
      <c r="J21" s="31">
        <v>0</v>
      </c>
      <c r="K21" s="31">
        <v>0</v>
      </c>
      <c r="L21" s="31">
        <v>0</v>
      </c>
      <c r="M21" s="31">
        <v>0</v>
      </c>
      <c r="N21" s="31">
        <v>0</v>
      </c>
      <c r="O21" s="46">
        <v>0</v>
      </c>
      <c r="P21" s="3"/>
      <c r="Q21" s="3"/>
      <c r="R21" s="3"/>
      <c r="S21" s="3"/>
    </row>
    <row r="22" spans="1:19">
      <c r="A22" s="3"/>
      <c r="B22" s="3"/>
      <c r="C22" s="45">
        <v>2027</v>
      </c>
      <c r="D22" s="68">
        <v>681.88188149999996</v>
      </c>
      <c r="E22" s="68">
        <v>380.51444279999998</v>
      </c>
      <c r="F22" s="68">
        <v>380.51444279999998</v>
      </c>
      <c r="G22" s="68">
        <v>2869</v>
      </c>
      <c r="H22" s="68">
        <v>1600</v>
      </c>
      <c r="I22" s="68">
        <v>1600</v>
      </c>
      <c r="J22" s="31">
        <v>0</v>
      </c>
      <c r="K22" s="31">
        <v>0</v>
      </c>
      <c r="L22" s="31">
        <v>0</v>
      </c>
      <c r="M22" s="31">
        <v>0</v>
      </c>
      <c r="N22" s="31">
        <v>0</v>
      </c>
      <c r="O22" s="46">
        <v>0</v>
      </c>
      <c r="P22" s="3"/>
      <c r="Q22" s="3"/>
      <c r="R22" s="3"/>
      <c r="S22" s="3"/>
    </row>
    <row r="23" spans="1:19">
      <c r="A23" s="3"/>
      <c r="B23" s="3"/>
      <c r="C23" s="45">
        <v>2028</v>
      </c>
      <c r="D23" s="68">
        <v>661.39555970000004</v>
      </c>
      <c r="E23" s="68">
        <v>369.0823436</v>
      </c>
      <c r="F23" s="68">
        <v>369.0823436</v>
      </c>
      <c r="G23" s="68">
        <v>2869</v>
      </c>
      <c r="H23" s="68">
        <v>1600</v>
      </c>
      <c r="I23" s="68">
        <v>1600</v>
      </c>
      <c r="J23" s="31">
        <v>0</v>
      </c>
      <c r="K23" s="31">
        <v>0</v>
      </c>
      <c r="L23" s="31">
        <v>0</v>
      </c>
      <c r="M23" s="31">
        <v>0</v>
      </c>
      <c r="N23" s="31">
        <v>0</v>
      </c>
      <c r="O23" s="46">
        <v>0</v>
      </c>
      <c r="P23" s="3"/>
      <c r="Q23" s="3"/>
      <c r="R23" s="3"/>
      <c r="S23" s="3"/>
    </row>
    <row r="24" spans="1:19">
      <c r="A24" s="3"/>
      <c r="B24" s="3"/>
      <c r="C24" s="45">
        <v>2029</v>
      </c>
      <c r="D24" s="68">
        <v>640.90923880000003</v>
      </c>
      <c r="E24" s="68">
        <v>357.65024490000002</v>
      </c>
      <c r="F24" s="68">
        <v>357.65024490000002</v>
      </c>
      <c r="G24" s="68">
        <v>2869</v>
      </c>
      <c r="H24" s="68">
        <v>1600</v>
      </c>
      <c r="I24" s="68">
        <v>1600</v>
      </c>
      <c r="J24" s="31">
        <v>0</v>
      </c>
      <c r="K24" s="31">
        <v>0</v>
      </c>
      <c r="L24" s="31">
        <v>0</v>
      </c>
      <c r="M24" s="31">
        <v>0</v>
      </c>
      <c r="N24" s="31">
        <v>0</v>
      </c>
      <c r="O24" s="46">
        <v>0</v>
      </c>
      <c r="P24" s="3"/>
      <c r="Q24" s="3"/>
      <c r="R24" s="3"/>
      <c r="S24" s="3"/>
    </row>
    <row r="25" spans="1:19">
      <c r="A25" s="3"/>
      <c r="B25" s="3"/>
      <c r="C25" s="45">
        <v>2030</v>
      </c>
      <c r="D25" s="68">
        <v>620.42291790000002</v>
      </c>
      <c r="E25" s="68">
        <v>346.21814610000001</v>
      </c>
      <c r="F25" s="68">
        <v>346.21814610000001</v>
      </c>
      <c r="G25" s="68">
        <v>2869</v>
      </c>
      <c r="H25" s="68">
        <v>1600</v>
      </c>
      <c r="I25" s="68">
        <v>1600</v>
      </c>
      <c r="J25" s="31">
        <v>0</v>
      </c>
      <c r="K25" s="31">
        <v>0</v>
      </c>
      <c r="L25" s="31">
        <v>0</v>
      </c>
      <c r="M25" s="31">
        <v>0</v>
      </c>
      <c r="N25" s="31">
        <v>0</v>
      </c>
      <c r="O25" s="46">
        <v>0</v>
      </c>
      <c r="P25" s="3"/>
      <c r="Q25" s="3"/>
      <c r="R25" s="3"/>
      <c r="S25" s="3"/>
    </row>
    <row r="26" spans="1:19">
      <c r="A26" s="3"/>
      <c r="B26" s="3"/>
      <c r="C26" s="45">
        <v>2031</v>
      </c>
      <c r="D26" s="68">
        <v>615.3139698</v>
      </c>
      <c r="E26" s="68">
        <v>343.36717069999997</v>
      </c>
      <c r="F26" s="68">
        <v>343.36717069999997</v>
      </c>
      <c r="G26" s="68">
        <v>2869</v>
      </c>
      <c r="H26" s="68">
        <v>1600</v>
      </c>
      <c r="I26" s="68">
        <v>1600</v>
      </c>
      <c r="J26" s="31">
        <v>0</v>
      </c>
      <c r="K26" s="31">
        <v>0</v>
      </c>
      <c r="L26" s="31">
        <v>0</v>
      </c>
      <c r="M26" s="31">
        <v>0</v>
      </c>
      <c r="N26" s="31">
        <v>0</v>
      </c>
      <c r="O26" s="46">
        <v>0</v>
      </c>
      <c r="P26" s="3"/>
      <c r="Q26" s="3"/>
      <c r="R26" s="3"/>
      <c r="S26" s="3"/>
    </row>
    <row r="27" spans="1:19">
      <c r="A27" s="3"/>
      <c r="B27" s="3"/>
      <c r="C27" s="45">
        <v>2032</v>
      </c>
      <c r="D27" s="68">
        <v>610.20502180000005</v>
      </c>
      <c r="E27" s="68">
        <v>340.51619520000003</v>
      </c>
      <c r="F27" s="68">
        <v>340.51619520000003</v>
      </c>
      <c r="G27" s="68">
        <v>2869</v>
      </c>
      <c r="H27" s="68">
        <v>1600</v>
      </c>
      <c r="I27" s="68">
        <v>1600</v>
      </c>
      <c r="J27" s="31">
        <v>0</v>
      </c>
      <c r="K27" s="31">
        <v>0</v>
      </c>
      <c r="L27" s="31">
        <v>0</v>
      </c>
      <c r="M27" s="31">
        <v>0</v>
      </c>
      <c r="N27" s="31">
        <v>0</v>
      </c>
      <c r="O27" s="46">
        <v>0</v>
      </c>
      <c r="P27" s="3"/>
      <c r="Q27" s="3"/>
      <c r="R27" s="3"/>
      <c r="S27" s="3"/>
    </row>
    <row r="28" spans="1:19">
      <c r="A28" s="3"/>
      <c r="B28" s="3"/>
      <c r="C28" s="45">
        <v>2033</v>
      </c>
      <c r="D28" s="68">
        <v>605.0960738</v>
      </c>
      <c r="E28" s="68">
        <v>337.66521970000002</v>
      </c>
      <c r="F28" s="68">
        <v>337.66521970000002</v>
      </c>
      <c r="G28" s="68">
        <v>2869</v>
      </c>
      <c r="H28" s="68">
        <v>1600</v>
      </c>
      <c r="I28" s="68">
        <v>1600</v>
      </c>
      <c r="J28" s="31">
        <v>0</v>
      </c>
      <c r="K28" s="31">
        <v>0</v>
      </c>
      <c r="L28" s="31">
        <v>0</v>
      </c>
      <c r="M28" s="31">
        <v>0</v>
      </c>
      <c r="N28" s="31">
        <v>0</v>
      </c>
      <c r="O28" s="46">
        <v>0</v>
      </c>
      <c r="P28" s="3"/>
      <c r="Q28" s="3"/>
      <c r="R28" s="3"/>
      <c r="S28" s="3"/>
    </row>
    <row r="29" spans="1:19">
      <c r="A29" s="3"/>
      <c r="B29" s="3"/>
      <c r="C29" s="45">
        <v>2034</v>
      </c>
      <c r="D29" s="68">
        <v>599.98712569999998</v>
      </c>
      <c r="E29" s="68">
        <v>334.81424429999998</v>
      </c>
      <c r="F29" s="68">
        <v>334.81424429999998</v>
      </c>
      <c r="G29" s="68">
        <v>2869</v>
      </c>
      <c r="H29" s="68">
        <v>1600</v>
      </c>
      <c r="I29" s="68">
        <v>1600</v>
      </c>
      <c r="J29" s="31">
        <v>0</v>
      </c>
      <c r="K29" s="31">
        <v>0</v>
      </c>
      <c r="L29" s="31">
        <v>0</v>
      </c>
      <c r="M29" s="31">
        <v>0</v>
      </c>
      <c r="N29" s="31">
        <v>0</v>
      </c>
      <c r="O29" s="46">
        <v>0</v>
      </c>
      <c r="P29" s="3"/>
      <c r="Q29" s="3"/>
      <c r="R29" s="3"/>
      <c r="S29" s="3"/>
    </row>
    <row r="30" spans="1:19">
      <c r="A30" s="3"/>
      <c r="B30" s="3"/>
      <c r="C30" s="45">
        <v>2035</v>
      </c>
      <c r="D30" s="68">
        <v>594.87817770000004</v>
      </c>
      <c r="E30" s="68">
        <v>331.96326879999998</v>
      </c>
      <c r="F30" s="68">
        <v>331.96326879999998</v>
      </c>
      <c r="G30" s="68">
        <v>2869</v>
      </c>
      <c r="H30" s="68">
        <v>1600</v>
      </c>
      <c r="I30" s="68">
        <v>1600</v>
      </c>
      <c r="J30" s="31">
        <v>0</v>
      </c>
      <c r="K30" s="31">
        <v>0</v>
      </c>
      <c r="L30" s="31">
        <v>0</v>
      </c>
      <c r="M30" s="31">
        <v>0</v>
      </c>
      <c r="N30" s="31">
        <v>0</v>
      </c>
      <c r="O30" s="46">
        <v>0</v>
      </c>
      <c r="P30" s="3"/>
      <c r="Q30" s="3"/>
      <c r="R30" s="3"/>
      <c r="S30" s="3"/>
    </row>
    <row r="31" spans="1:19">
      <c r="A31" s="3"/>
      <c r="B31" s="3"/>
      <c r="C31" s="45">
        <v>2036</v>
      </c>
      <c r="D31" s="68">
        <v>594.04079409999997</v>
      </c>
      <c r="E31" s="68">
        <v>331.49597879999999</v>
      </c>
      <c r="F31" s="68">
        <v>331.49597879999999</v>
      </c>
      <c r="G31" s="68">
        <v>2869</v>
      </c>
      <c r="H31" s="68">
        <v>1600</v>
      </c>
      <c r="I31" s="68">
        <v>1600</v>
      </c>
      <c r="J31" s="31">
        <v>0</v>
      </c>
      <c r="K31" s="31">
        <v>0</v>
      </c>
      <c r="L31" s="31">
        <v>0</v>
      </c>
      <c r="M31" s="31">
        <v>0</v>
      </c>
      <c r="N31" s="31">
        <v>0</v>
      </c>
      <c r="O31" s="46">
        <v>0</v>
      </c>
      <c r="P31" s="3"/>
      <c r="Q31" s="3"/>
      <c r="R31" s="3"/>
      <c r="S31" s="3"/>
    </row>
    <row r="32" spans="1:19">
      <c r="A32" s="3"/>
      <c r="B32" s="3"/>
      <c r="C32" s="45">
        <v>2037</v>
      </c>
      <c r="D32" s="68">
        <v>593.20341140000005</v>
      </c>
      <c r="E32" s="68">
        <v>331.02868940000002</v>
      </c>
      <c r="F32" s="68">
        <v>331.02868940000002</v>
      </c>
      <c r="G32" s="68">
        <v>2869</v>
      </c>
      <c r="H32" s="68">
        <v>1600</v>
      </c>
      <c r="I32" s="68">
        <v>1600</v>
      </c>
      <c r="J32" s="31">
        <v>0</v>
      </c>
      <c r="K32" s="31">
        <v>0</v>
      </c>
      <c r="L32" s="31">
        <v>0</v>
      </c>
      <c r="M32" s="31">
        <v>0</v>
      </c>
      <c r="N32" s="31">
        <v>0</v>
      </c>
      <c r="O32" s="46">
        <v>0</v>
      </c>
      <c r="P32" s="3"/>
      <c r="Q32" s="3"/>
      <c r="R32" s="3"/>
      <c r="S32" s="3"/>
    </row>
    <row r="33" spans="1:19">
      <c r="A33" s="3"/>
      <c r="B33" s="3"/>
      <c r="C33" s="45">
        <v>2038</v>
      </c>
      <c r="D33" s="68">
        <v>592.36602870000002</v>
      </c>
      <c r="E33" s="68">
        <v>330.56139999999999</v>
      </c>
      <c r="F33" s="68">
        <v>330.56139999999999</v>
      </c>
      <c r="G33" s="68">
        <v>2869</v>
      </c>
      <c r="H33" s="68">
        <v>1600</v>
      </c>
      <c r="I33" s="68">
        <v>1600</v>
      </c>
      <c r="J33" s="31">
        <v>0</v>
      </c>
      <c r="K33" s="31">
        <v>0</v>
      </c>
      <c r="L33" s="31">
        <v>0</v>
      </c>
      <c r="M33" s="31">
        <v>0</v>
      </c>
      <c r="N33" s="31">
        <v>0</v>
      </c>
      <c r="O33" s="46">
        <v>0</v>
      </c>
      <c r="P33" s="3"/>
      <c r="Q33" s="3"/>
      <c r="R33" s="3"/>
      <c r="S33" s="3"/>
    </row>
    <row r="34" spans="1:19">
      <c r="A34" s="3"/>
      <c r="B34" s="3"/>
      <c r="C34" s="45">
        <v>2039</v>
      </c>
      <c r="D34" s="68">
        <v>591.52864609999995</v>
      </c>
      <c r="E34" s="68">
        <v>330.0941105</v>
      </c>
      <c r="F34" s="68">
        <v>330.0941105</v>
      </c>
      <c r="G34" s="68">
        <v>2869</v>
      </c>
      <c r="H34" s="68">
        <v>1600</v>
      </c>
      <c r="I34" s="68">
        <v>1600</v>
      </c>
      <c r="J34" s="31">
        <v>0</v>
      </c>
      <c r="K34" s="31">
        <v>0</v>
      </c>
      <c r="L34" s="31">
        <v>0</v>
      </c>
      <c r="M34" s="31">
        <v>0</v>
      </c>
      <c r="N34" s="31">
        <v>0</v>
      </c>
      <c r="O34" s="46">
        <v>0</v>
      </c>
      <c r="P34" s="3"/>
      <c r="Q34" s="3"/>
      <c r="R34" s="3"/>
      <c r="S34" s="3"/>
    </row>
    <row r="35" spans="1:19">
      <c r="A35" s="3"/>
      <c r="B35" s="3"/>
      <c r="C35" s="45">
        <v>2040</v>
      </c>
      <c r="D35" s="68">
        <v>590.69126249999999</v>
      </c>
      <c r="E35" s="68">
        <v>329.62682059999997</v>
      </c>
      <c r="F35" s="68">
        <v>329.62682059999997</v>
      </c>
      <c r="G35" s="68">
        <v>2869</v>
      </c>
      <c r="H35" s="68">
        <v>1600</v>
      </c>
      <c r="I35" s="68">
        <v>1600</v>
      </c>
      <c r="J35" s="31">
        <v>0</v>
      </c>
      <c r="K35" s="31">
        <v>0</v>
      </c>
      <c r="L35" s="31">
        <v>0</v>
      </c>
      <c r="M35" s="31">
        <v>0</v>
      </c>
      <c r="N35" s="31">
        <v>0</v>
      </c>
      <c r="O35" s="46">
        <v>0</v>
      </c>
      <c r="P35" s="3"/>
      <c r="Q35" s="3"/>
      <c r="R35" s="3"/>
      <c r="S35" s="3"/>
    </row>
    <row r="36" spans="1:19">
      <c r="A36" s="3"/>
      <c r="B36" s="3"/>
      <c r="C36" s="45">
        <v>2041</v>
      </c>
      <c r="D36" s="68">
        <v>585.65820880000001</v>
      </c>
      <c r="E36" s="68">
        <v>326.81819689999998</v>
      </c>
      <c r="F36" s="68">
        <v>326.81819689999998</v>
      </c>
      <c r="G36" s="68">
        <v>2869</v>
      </c>
      <c r="H36" s="68">
        <v>1600</v>
      </c>
      <c r="I36" s="68">
        <v>1600</v>
      </c>
      <c r="J36" s="31">
        <v>0</v>
      </c>
      <c r="K36" s="31">
        <v>0</v>
      </c>
      <c r="L36" s="31">
        <v>0</v>
      </c>
      <c r="M36" s="31">
        <v>0</v>
      </c>
      <c r="N36" s="31">
        <v>0</v>
      </c>
      <c r="O36" s="46">
        <v>0</v>
      </c>
      <c r="P36" s="3"/>
      <c r="Q36" s="3"/>
      <c r="R36" s="3"/>
      <c r="S36" s="3"/>
    </row>
    <row r="37" spans="1:19">
      <c r="A37" s="3"/>
      <c r="B37" s="3"/>
      <c r="C37" s="45">
        <v>2042</v>
      </c>
      <c r="D37" s="68">
        <v>580.62515410000003</v>
      </c>
      <c r="E37" s="68">
        <v>324.00957260000001</v>
      </c>
      <c r="F37" s="68">
        <v>324.00957260000001</v>
      </c>
      <c r="G37" s="68">
        <v>2869</v>
      </c>
      <c r="H37" s="68">
        <v>1600</v>
      </c>
      <c r="I37" s="68">
        <v>1600</v>
      </c>
      <c r="J37" s="31">
        <v>0</v>
      </c>
      <c r="K37" s="31">
        <v>0</v>
      </c>
      <c r="L37" s="31">
        <v>0</v>
      </c>
      <c r="M37" s="31">
        <v>0</v>
      </c>
      <c r="N37" s="31">
        <v>0</v>
      </c>
      <c r="O37" s="46">
        <v>0</v>
      </c>
      <c r="P37" s="3"/>
      <c r="Q37" s="3"/>
      <c r="R37" s="3"/>
      <c r="S37" s="3"/>
    </row>
    <row r="38" spans="1:19">
      <c r="A38" s="3"/>
      <c r="B38" s="3"/>
      <c r="C38" s="45">
        <v>2043</v>
      </c>
      <c r="D38" s="68">
        <v>575.59209950000002</v>
      </c>
      <c r="E38" s="68">
        <v>321.20094840000002</v>
      </c>
      <c r="F38" s="68">
        <v>321.20094840000002</v>
      </c>
      <c r="G38" s="68">
        <v>2869</v>
      </c>
      <c r="H38" s="68">
        <v>1600</v>
      </c>
      <c r="I38" s="68">
        <v>1600</v>
      </c>
      <c r="J38" s="31">
        <v>0</v>
      </c>
      <c r="K38" s="31">
        <v>0</v>
      </c>
      <c r="L38" s="31">
        <v>0</v>
      </c>
      <c r="M38" s="31">
        <v>0</v>
      </c>
      <c r="N38" s="31">
        <v>0</v>
      </c>
      <c r="O38" s="46">
        <v>0</v>
      </c>
      <c r="P38" s="3"/>
      <c r="Q38" s="3"/>
      <c r="R38" s="3"/>
      <c r="S38" s="3"/>
    </row>
    <row r="39" spans="1:19">
      <c r="A39" s="3"/>
      <c r="B39" s="3"/>
      <c r="C39" s="45">
        <v>2044</v>
      </c>
      <c r="D39" s="68">
        <v>570.55904580000004</v>
      </c>
      <c r="E39" s="68">
        <v>318.39232470000002</v>
      </c>
      <c r="F39" s="68">
        <v>318.39232470000002</v>
      </c>
      <c r="G39" s="68">
        <v>2869</v>
      </c>
      <c r="H39" s="68">
        <v>1600</v>
      </c>
      <c r="I39" s="68">
        <v>1600</v>
      </c>
      <c r="J39" s="31">
        <v>0</v>
      </c>
      <c r="K39" s="31">
        <v>0</v>
      </c>
      <c r="L39" s="31">
        <v>0</v>
      </c>
      <c r="M39" s="31">
        <v>0</v>
      </c>
      <c r="N39" s="31">
        <v>0</v>
      </c>
      <c r="O39" s="46">
        <v>0</v>
      </c>
      <c r="P39" s="3"/>
      <c r="Q39" s="3"/>
      <c r="R39" s="3"/>
      <c r="S39" s="3"/>
    </row>
    <row r="40" spans="1:19">
      <c r="A40" s="3"/>
      <c r="B40" s="3"/>
      <c r="C40" s="45">
        <v>2045</v>
      </c>
      <c r="D40" s="68">
        <v>565.52599120000002</v>
      </c>
      <c r="E40" s="68">
        <v>315.5837004</v>
      </c>
      <c r="F40" s="68">
        <v>315.5837004</v>
      </c>
      <c r="G40" s="68">
        <v>2869</v>
      </c>
      <c r="H40" s="68">
        <v>1600</v>
      </c>
      <c r="I40" s="68">
        <v>1600</v>
      </c>
      <c r="J40" s="31">
        <v>0</v>
      </c>
      <c r="K40" s="31">
        <v>0</v>
      </c>
      <c r="L40" s="31">
        <v>0</v>
      </c>
      <c r="M40" s="31">
        <v>0</v>
      </c>
      <c r="N40" s="31">
        <v>0</v>
      </c>
      <c r="O40" s="46">
        <v>0</v>
      </c>
      <c r="P40" s="3"/>
      <c r="Q40" s="3"/>
      <c r="R40" s="3"/>
      <c r="S40" s="3"/>
    </row>
    <row r="41" spans="1:19">
      <c r="A41" s="3"/>
      <c r="B41" s="3"/>
      <c r="C41" s="45">
        <v>2046</v>
      </c>
      <c r="D41" s="68">
        <v>560.86810749999995</v>
      </c>
      <c r="E41" s="68">
        <v>312.98443500000002</v>
      </c>
      <c r="F41" s="68">
        <v>312.98443500000002</v>
      </c>
      <c r="G41" s="68">
        <v>2869</v>
      </c>
      <c r="H41" s="68">
        <v>1600</v>
      </c>
      <c r="I41" s="68">
        <v>1600</v>
      </c>
      <c r="J41" s="31">
        <v>0</v>
      </c>
      <c r="K41" s="31">
        <v>0</v>
      </c>
      <c r="L41" s="31">
        <v>0</v>
      </c>
      <c r="M41" s="31">
        <v>0</v>
      </c>
      <c r="N41" s="31">
        <v>0</v>
      </c>
      <c r="O41" s="46">
        <v>0</v>
      </c>
      <c r="P41" s="3"/>
      <c r="Q41" s="3"/>
      <c r="R41" s="3"/>
      <c r="S41" s="3"/>
    </row>
    <row r="42" spans="1:19">
      <c r="A42" s="3"/>
      <c r="B42" s="3"/>
      <c r="C42" s="45">
        <v>2047</v>
      </c>
      <c r="D42" s="68">
        <v>556.21022289999996</v>
      </c>
      <c r="E42" s="68">
        <v>310.38516900000002</v>
      </c>
      <c r="F42" s="68">
        <v>310.38516900000002</v>
      </c>
      <c r="G42" s="68">
        <v>2869</v>
      </c>
      <c r="H42" s="68">
        <v>1600</v>
      </c>
      <c r="I42" s="68">
        <v>1600</v>
      </c>
      <c r="J42" s="31">
        <v>0</v>
      </c>
      <c r="K42" s="31">
        <v>0</v>
      </c>
      <c r="L42" s="31">
        <v>0</v>
      </c>
      <c r="M42" s="31">
        <v>0</v>
      </c>
      <c r="N42" s="31">
        <v>0</v>
      </c>
      <c r="O42" s="46">
        <v>0</v>
      </c>
      <c r="P42" s="3"/>
      <c r="Q42" s="3"/>
      <c r="R42" s="3"/>
      <c r="S42" s="3"/>
    </row>
    <row r="43" spans="1:19">
      <c r="A43" s="3"/>
      <c r="B43" s="3"/>
      <c r="C43" s="45">
        <v>2048</v>
      </c>
      <c r="D43" s="68">
        <v>551.55233929999997</v>
      </c>
      <c r="E43" s="68">
        <v>307.78590359999998</v>
      </c>
      <c r="F43" s="68">
        <v>307.78590359999998</v>
      </c>
      <c r="G43" s="68">
        <v>2869</v>
      </c>
      <c r="H43" s="68">
        <v>1600</v>
      </c>
      <c r="I43" s="68">
        <v>1600</v>
      </c>
      <c r="J43" s="31">
        <v>0</v>
      </c>
      <c r="K43" s="31">
        <v>0</v>
      </c>
      <c r="L43" s="31">
        <v>0</v>
      </c>
      <c r="M43" s="31">
        <v>0</v>
      </c>
      <c r="N43" s="31">
        <v>0</v>
      </c>
      <c r="O43" s="46">
        <v>0</v>
      </c>
      <c r="P43" s="3"/>
      <c r="Q43" s="3"/>
      <c r="R43" s="3"/>
      <c r="S43" s="3"/>
    </row>
    <row r="44" spans="1:19">
      <c r="A44" s="3"/>
      <c r="B44" s="3"/>
      <c r="C44" s="45">
        <v>2049</v>
      </c>
      <c r="D44" s="68">
        <v>546.89445469999998</v>
      </c>
      <c r="E44" s="68">
        <v>305.18663759999998</v>
      </c>
      <c r="F44" s="68">
        <v>305.18663759999998</v>
      </c>
      <c r="G44" s="68">
        <v>2869</v>
      </c>
      <c r="H44" s="68">
        <v>1600</v>
      </c>
      <c r="I44" s="68">
        <v>1600</v>
      </c>
      <c r="J44" s="31">
        <v>0</v>
      </c>
      <c r="K44" s="31">
        <v>0</v>
      </c>
      <c r="L44" s="31">
        <v>0</v>
      </c>
      <c r="M44" s="31">
        <v>0</v>
      </c>
      <c r="N44" s="31">
        <v>0</v>
      </c>
      <c r="O44" s="46">
        <v>0</v>
      </c>
      <c r="P44" s="3"/>
      <c r="Q44" s="3"/>
      <c r="R44" s="3"/>
      <c r="S44" s="3"/>
    </row>
    <row r="45" spans="1:19">
      <c r="A45" s="3"/>
      <c r="B45" s="3"/>
      <c r="C45" s="45">
        <v>2050</v>
      </c>
      <c r="D45" s="68">
        <v>542.23657100000003</v>
      </c>
      <c r="E45" s="68">
        <v>302.5873722</v>
      </c>
      <c r="F45" s="68">
        <v>302.5873722</v>
      </c>
      <c r="G45" s="68">
        <v>2869</v>
      </c>
      <c r="H45" s="68">
        <v>1600</v>
      </c>
      <c r="I45" s="68">
        <v>1600</v>
      </c>
      <c r="J45" s="31">
        <v>0</v>
      </c>
      <c r="K45" s="31">
        <v>0</v>
      </c>
      <c r="L45" s="31">
        <v>0</v>
      </c>
      <c r="M45" s="31">
        <v>0</v>
      </c>
      <c r="N45" s="31">
        <v>0</v>
      </c>
      <c r="O45" s="46">
        <v>0</v>
      </c>
      <c r="P45" s="3"/>
      <c r="Q45" s="3"/>
      <c r="R45" s="3"/>
      <c r="S45" s="3"/>
    </row>
    <row r="46" spans="1:19">
      <c r="A46" s="3"/>
      <c r="B46" s="3"/>
      <c r="C46" s="45">
        <v>2051</v>
      </c>
      <c r="D46" s="68">
        <v>542.23657100000003</v>
      </c>
      <c r="E46" s="68">
        <v>302.5873722</v>
      </c>
      <c r="F46" s="68">
        <v>302.5873722</v>
      </c>
      <c r="G46" s="68">
        <v>2869</v>
      </c>
      <c r="H46" s="68">
        <v>1600</v>
      </c>
      <c r="I46" s="68">
        <v>1600</v>
      </c>
      <c r="J46" s="31">
        <v>0</v>
      </c>
      <c r="K46" s="31">
        <v>0</v>
      </c>
      <c r="L46" s="31">
        <v>0</v>
      </c>
      <c r="M46" s="31">
        <v>0</v>
      </c>
      <c r="N46" s="31">
        <v>0</v>
      </c>
      <c r="O46" s="46">
        <v>0</v>
      </c>
      <c r="P46" s="3"/>
      <c r="Q46" s="3"/>
      <c r="R46" s="3"/>
      <c r="S46" s="3"/>
    </row>
    <row r="47" spans="1:19">
      <c r="A47" s="3"/>
      <c r="B47" s="3"/>
      <c r="C47" s="45">
        <v>2052</v>
      </c>
      <c r="D47" s="68">
        <v>542.23657100000003</v>
      </c>
      <c r="E47" s="68">
        <v>302.5873722</v>
      </c>
      <c r="F47" s="68">
        <v>302.5873722</v>
      </c>
      <c r="G47" s="68">
        <v>2869</v>
      </c>
      <c r="H47" s="68">
        <v>1600</v>
      </c>
      <c r="I47" s="68">
        <v>1600</v>
      </c>
      <c r="J47" s="31">
        <v>0</v>
      </c>
      <c r="K47" s="31">
        <v>0</v>
      </c>
      <c r="L47" s="31">
        <v>0</v>
      </c>
      <c r="M47" s="31">
        <v>0</v>
      </c>
      <c r="N47" s="31">
        <v>0</v>
      </c>
      <c r="O47" s="46">
        <v>0</v>
      </c>
      <c r="P47" s="3"/>
      <c r="Q47" s="3"/>
      <c r="R47" s="3"/>
      <c r="S47" s="3"/>
    </row>
    <row r="48" spans="1:19">
      <c r="A48" s="3"/>
      <c r="B48" s="3"/>
      <c r="C48" s="45">
        <v>2053</v>
      </c>
      <c r="D48" s="68">
        <v>542.23657100000003</v>
      </c>
      <c r="E48" s="68">
        <v>302.5873722</v>
      </c>
      <c r="F48" s="68">
        <v>302.5873722</v>
      </c>
      <c r="G48" s="68">
        <v>2869</v>
      </c>
      <c r="H48" s="68">
        <v>1600</v>
      </c>
      <c r="I48" s="68">
        <v>1600</v>
      </c>
      <c r="J48" s="31">
        <v>0</v>
      </c>
      <c r="K48" s="31">
        <v>0</v>
      </c>
      <c r="L48" s="31">
        <v>0</v>
      </c>
      <c r="M48" s="31">
        <v>0</v>
      </c>
      <c r="N48" s="31">
        <v>0</v>
      </c>
      <c r="O48" s="46">
        <v>0</v>
      </c>
      <c r="P48" s="3"/>
      <c r="Q48" s="3"/>
      <c r="R48" s="3"/>
      <c r="S48" s="3"/>
    </row>
    <row r="49" spans="1:19">
      <c r="A49" s="3"/>
      <c r="B49" s="3"/>
      <c r="C49" s="45">
        <v>2054</v>
      </c>
      <c r="D49" s="68">
        <v>542.23657100000003</v>
      </c>
      <c r="E49" s="68">
        <v>302.5873722</v>
      </c>
      <c r="F49" s="68">
        <v>302.5873722</v>
      </c>
      <c r="G49" s="68">
        <v>2869</v>
      </c>
      <c r="H49" s="68">
        <v>1600</v>
      </c>
      <c r="I49" s="68">
        <v>1600</v>
      </c>
      <c r="J49" s="31">
        <v>0</v>
      </c>
      <c r="K49" s="31">
        <v>0</v>
      </c>
      <c r="L49" s="31">
        <v>0</v>
      </c>
      <c r="M49" s="31">
        <v>0</v>
      </c>
      <c r="N49" s="31">
        <v>0</v>
      </c>
      <c r="O49" s="46">
        <v>0</v>
      </c>
      <c r="P49" s="3"/>
      <c r="Q49" s="3"/>
      <c r="R49" s="3"/>
      <c r="S49" s="3"/>
    </row>
    <row r="50" spans="1:19">
      <c r="A50" s="3"/>
      <c r="B50" s="3"/>
      <c r="C50" s="45">
        <v>2055</v>
      </c>
      <c r="D50" s="68">
        <v>542.23657100000003</v>
      </c>
      <c r="E50" s="68">
        <v>302.5873722</v>
      </c>
      <c r="F50" s="68">
        <v>302.5873722</v>
      </c>
      <c r="G50" s="68">
        <v>2869</v>
      </c>
      <c r="H50" s="68">
        <v>1600</v>
      </c>
      <c r="I50" s="68">
        <v>1600</v>
      </c>
      <c r="J50" s="31">
        <v>0</v>
      </c>
      <c r="K50" s="31">
        <v>0</v>
      </c>
      <c r="L50" s="31">
        <v>0</v>
      </c>
      <c r="M50" s="31">
        <v>0</v>
      </c>
      <c r="N50" s="31">
        <v>0</v>
      </c>
      <c r="O50" s="46">
        <v>0</v>
      </c>
      <c r="P50" s="3"/>
      <c r="Q50" s="3"/>
      <c r="R50" s="3"/>
      <c r="S50" s="3"/>
    </row>
    <row r="51" spans="1:19">
      <c r="A51" s="3"/>
      <c r="B51" s="3"/>
      <c r="C51" s="45">
        <v>2056</v>
      </c>
      <c r="D51" s="68">
        <v>542.23657100000003</v>
      </c>
      <c r="E51" s="68">
        <v>302.5873722</v>
      </c>
      <c r="F51" s="68">
        <v>302.5873722</v>
      </c>
      <c r="G51" s="68">
        <v>2869</v>
      </c>
      <c r="H51" s="68">
        <v>1600</v>
      </c>
      <c r="I51" s="68">
        <v>1600</v>
      </c>
      <c r="J51" s="31">
        <v>0</v>
      </c>
      <c r="K51" s="31">
        <v>0</v>
      </c>
      <c r="L51" s="31">
        <v>0</v>
      </c>
      <c r="M51" s="31">
        <v>0</v>
      </c>
      <c r="N51" s="31">
        <v>0</v>
      </c>
      <c r="O51" s="46">
        <v>0</v>
      </c>
      <c r="P51" s="3"/>
      <c r="Q51" s="3"/>
      <c r="R51" s="3"/>
      <c r="S51" s="3"/>
    </row>
    <row r="52" spans="1:19">
      <c r="A52" s="3"/>
      <c r="B52" s="3"/>
      <c r="C52" s="45">
        <v>2057</v>
      </c>
      <c r="D52" s="68">
        <v>542.23657100000003</v>
      </c>
      <c r="E52" s="68">
        <v>302.5873722</v>
      </c>
      <c r="F52" s="68">
        <v>302.5873722</v>
      </c>
      <c r="G52" s="68">
        <v>2869</v>
      </c>
      <c r="H52" s="68">
        <v>1600</v>
      </c>
      <c r="I52" s="68">
        <v>1600</v>
      </c>
      <c r="J52" s="31">
        <v>0</v>
      </c>
      <c r="K52" s="31">
        <v>0</v>
      </c>
      <c r="L52" s="31">
        <v>0</v>
      </c>
      <c r="M52" s="31">
        <v>0</v>
      </c>
      <c r="N52" s="31">
        <v>0</v>
      </c>
      <c r="O52" s="46">
        <v>0</v>
      </c>
      <c r="P52" s="3"/>
      <c r="Q52" s="3"/>
      <c r="R52" s="3"/>
      <c r="S52" s="3"/>
    </row>
    <row r="53" spans="1:19">
      <c r="A53" s="3"/>
      <c r="B53" s="3"/>
      <c r="C53" s="45">
        <v>2058</v>
      </c>
      <c r="D53" s="68">
        <v>542.23657100000003</v>
      </c>
      <c r="E53" s="68">
        <v>302.5873722</v>
      </c>
      <c r="F53" s="68">
        <v>302.5873722</v>
      </c>
      <c r="G53" s="68">
        <v>2869</v>
      </c>
      <c r="H53" s="68">
        <v>1600</v>
      </c>
      <c r="I53" s="68">
        <v>1600</v>
      </c>
      <c r="J53" s="31">
        <v>0</v>
      </c>
      <c r="K53" s="31">
        <v>0</v>
      </c>
      <c r="L53" s="31">
        <v>0</v>
      </c>
      <c r="M53" s="31">
        <v>0</v>
      </c>
      <c r="N53" s="31">
        <v>0</v>
      </c>
      <c r="O53" s="46">
        <v>0</v>
      </c>
      <c r="P53" s="3"/>
      <c r="Q53" s="3"/>
      <c r="R53" s="3"/>
      <c r="S53" s="3"/>
    </row>
    <row r="54" spans="1:19">
      <c r="A54" s="3"/>
      <c r="B54" s="3"/>
      <c r="C54" s="45">
        <v>2059</v>
      </c>
      <c r="D54" s="68">
        <v>542.23657100000003</v>
      </c>
      <c r="E54" s="68">
        <v>302.5873722</v>
      </c>
      <c r="F54" s="68">
        <v>302.5873722</v>
      </c>
      <c r="G54" s="68">
        <v>2869</v>
      </c>
      <c r="H54" s="68">
        <v>1600</v>
      </c>
      <c r="I54" s="68">
        <v>1600</v>
      </c>
      <c r="J54" s="31">
        <v>0</v>
      </c>
      <c r="K54" s="31">
        <v>0</v>
      </c>
      <c r="L54" s="31">
        <v>0</v>
      </c>
      <c r="M54" s="31">
        <v>0</v>
      </c>
      <c r="N54" s="31">
        <v>0</v>
      </c>
      <c r="O54" s="46">
        <v>0</v>
      </c>
      <c r="P54" s="3"/>
      <c r="Q54" s="3"/>
      <c r="R54" s="3"/>
      <c r="S54" s="3"/>
    </row>
    <row r="55" spans="1:19">
      <c r="A55" s="3"/>
      <c r="B55" s="3"/>
      <c r="C55" s="45">
        <v>2060</v>
      </c>
      <c r="D55" s="68">
        <v>542.23657100000003</v>
      </c>
      <c r="E55" s="68">
        <v>302.5873722</v>
      </c>
      <c r="F55" s="68">
        <v>302.5873722</v>
      </c>
      <c r="G55" s="68">
        <v>2869</v>
      </c>
      <c r="H55" s="68">
        <v>1600</v>
      </c>
      <c r="I55" s="68">
        <v>1600</v>
      </c>
      <c r="J55" s="31">
        <v>0</v>
      </c>
      <c r="K55" s="31">
        <v>0</v>
      </c>
      <c r="L55" s="31">
        <v>0</v>
      </c>
      <c r="M55" s="31">
        <v>0</v>
      </c>
      <c r="N55" s="31">
        <v>0</v>
      </c>
      <c r="O55" s="46">
        <v>0</v>
      </c>
      <c r="P55" s="3"/>
      <c r="Q55" s="3"/>
      <c r="R55" s="3"/>
      <c r="S55" s="3"/>
    </row>
    <row r="56" spans="1:19">
      <c r="A56" s="3"/>
      <c r="B56" s="3"/>
      <c r="C56" s="45">
        <v>2061</v>
      </c>
      <c r="D56" s="68">
        <v>542.23657100000003</v>
      </c>
      <c r="E56" s="68">
        <v>302.5873722</v>
      </c>
      <c r="F56" s="68">
        <v>302.5873722</v>
      </c>
      <c r="G56" s="68">
        <v>2869</v>
      </c>
      <c r="H56" s="68">
        <v>1600</v>
      </c>
      <c r="I56" s="68">
        <v>1600</v>
      </c>
      <c r="J56" s="31">
        <v>0</v>
      </c>
      <c r="K56" s="31">
        <v>0</v>
      </c>
      <c r="L56" s="31">
        <v>0</v>
      </c>
      <c r="M56" s="31">
        <v>0</v>
      </c>
      <c r="N56" s="31">
        <v>0</v>
      </c>
      <c r="O56" s="46">
        <v>0</v>
      </c>
      <c r="P56" s="3"/>
      <c r="Q56" s="3"/>
      <c r="R56" s="3"/>
      <c r="S56" s="3"/>
    </row>
    <row r="57" spans="1:19">
      <c r="A57" s="3"/>
      <c r="B57" s="3"/>
      <c r="C57" s="45">
        <v>2062</v>
      </c>
      <c r="D57" s="68">
        <v>542.23657100000003</v>
      </c>
      <c r="E57" s="68">
        <v>302.5873722</v>
      </c>
      <c r="F57" s="68">
        <v>302.5873722</v>
      </c>
      <c r="G57" s="68">
        <v>2869</v>
      </c>
      <c r="H57" s="68">
        <v>1600</v>
      </c>
      <c r="I57" s="68">
        <v>1600</v>
      </c>
      <c r="J57" s="31">
        <v>0</v>
      </c>
      <c r="K57" s="31">
        <v>0</v>
      </c>
      <c r="L57" s="31">
        <v>0</v>
      </c>
      <c r="M57" s="31">
        <v>0</v>
      </c>
      <c r="N57" s="31">
        <v>0</v>
      </c>
      <c r="O57" s="46">
        <v>0</v>
      </c>
      <c r="P57" s="3"/>
      <c r="Q57" s="3"/>
      <c r="R57" s="3"/>
      <c r="S57" s="3"/>
    </row>
    <row r="58" spans="1:19">
      <c r="A58" s="3"/>
      <c r="B58" s="3"/>
      <c r="C58" s="45">
        <v>2063</v>
      </c>
      <c r="D58" s="68">
        <v>542.23657100000003</v>
      </c>
      <c r="E58" s="68">
        <v>302.5873722</v>
      </c>
      <c r="F58" s="68">
        <v>302.5873722</v>
      </c>
      <c r="G58" s="68">
        <v>2869</v>
      </c>
      <c r="H58" s="68">
        <v>1600</v>
      </c>
      <c r="I58" s="68">
        <v>1600</v>
      </c>
      <c r="J58" s="31">
        <v>0</v>
      </c>
      <c r="K58" s="31">
        <v>0</v>
      </c>
      <c r="L58" s="31">
        <v>0</v>
      </c>
      <c r="M58" s="31">
        <v>0</v>
      </c>
      <c r="N58" s="31">
        <v>0</v>
      </c>
      <c r="O58" s="46">
        <v>0</v>
      </c>
      <c r="P58" s="3"/>
      <c r="Q58" s="3"/>
      <c r="R58" s="3"/>
      <c r="S58" s="3"/>
    </row>
    <row r="59" spans="1:19">
      <c r="A59" s="3"/>
      <c r="B59" s="3"/>
      <c r="C59" s="45">
        <v>2064</v>
      </c>
      <c r="D59" s="68">
        <v>542.23657100000003</v>
      </c>
      <c r="E59" s="68">
        <v>302.5873722</v>
      </c>
      <c r="F59" s="68">
        <v>302.5873722</v>
      </c>
      <c r="G59" s="68">
        <v>2869</v>
      </c>
      <c r="H59" s="68">
        <v>1600</v>
      </c>
      <c r="I59" s="68">
        <v>1600</v>
      </c>
      <c r="J59" s="31">
        <v>0</v>
      </c>
      <c r="K59" s="31">
        <v>0</v>
      </c>
      <c r="L59" s="31">
        <v>0</v>
      </c>
      <c r="M59" s="31">
        <v>0</v>
      </c>
      <c r="N59" s="31">
        <v>0</v>
      </c>
      <c r="O59" s="46">
        <v>0</v>
      </c>
      <c r="P59" s="3"/>
      <c r="Q59" s="3"/>
      <c r="R59" s="3"/>
      <c r="S59" s="3"/>
    </row>
    <row r="60" spans="1:19">
      <c r="A60" s="3"/>
      <c r="B60" s="3"/>
      <c r="C60" s="45">
        <v>2065</v>
      </c>
      <c r="D60" s="68">
        <v>542.23657100000003</v>
      </c>
      <c r="E60" s="68">
        <v>302.5873722</v>
      </c>
      <c r="F60" s="68">
        <v>302.5873722</v>
      </c>
      <c r="G60" s="68">
        <v>2869</v>
      </c>
      <c r="H60" s="68">
        <v>1600</v>
      </c>
      <c r="I60" s="68">
        <v>1600</v>
      </c>
      <c r="J60" s="31">
        <v>0</v>
      </c>
      <c r="K60" s="31">
        <v>0</v>
      </c>
      <c r="L60" s="31">
        <v>0</v>
      </c>
      <c r="M60" s="31">
        <v>0</v>
      </c>
      <c r="N60" s="31">
        <v>0</v>
      </c>
      <c r="O60" s="46">
        <v>0</v>
      </c>
      <c r="P60" s="3"/>
      <c r="Q60" s="3"/>
      <c r="R60" s="3"/>
      <c r="S60" s="3"/>
    </row>
    <row r="61" spans="1:19">
      <c r="A61" s="3"/>
      <c r="B61" s="3"/>
      <c r="C61" s="45">
        <v>2066</v>
      </c>
      <c r="D61" s="68">
        <v>542.23657100000003</v>
      </c>
      <c r="E61" s="68">
        <v>302.5873722</v>
      </c>
      <c r="F61" s="68">
        <v>302.5873722</v>
      </c>
      <c r="G61" s="68">
        <v>2869</v>
      </c>
      <c r="H61" s="68">
        <v>1600</v>
      </c>
      <c r="I61" s="68">
        <v>1600</v>
      </c>
      <c r="J61" s="31">
        <v>0</v>
      </c>
      <c r="K61" s="31">
        <v>0</v>
      </c>
      <c r="L61" s="31">
        <v>0</v>
      </c>
      <c r="M61" s="31">
        <v>0</v>
      </c>
      <c r="N61" s="31">
        <v>0</v>
      </c>
      <c r="O61" s="46">
        <v>0</v>
      </c>
      <c r="P61" s="3"/>
      <c r="Q61" s="3"/>
      <c r="R61" s="3"/>
      <c r="S61" s="3"/>
    </row>
    <row r="62" spans="1:19">
      <c r="A62" s="3"/>
      <c r="B62" s="3"/>
      <c r="C62" s="45">
        <v>2067</v>
      </c>
      <c r="D62" s="68">
        <v>542.23657100000003</v>
      </c>
      <c r="E62" s="68">
        <v>302.5873722</v>
      </c>
      <c r="F62" s="68">
        <v>302.5873722</v>
      </c>
      <c r="G62" s="68">
        <v>2869</v>
      </c>
      <c r="H62" s="68">
        <v>1600</v>
      </c>
      <c r="I62" s="68">
        <v>1600</v>
      </c>
      <c r="J62" s="31">
        <v>0</v>
      </c>
      <c r="K62" s="31">
        <v>0</v>
      </c>
      <c r="L62" s="31">
        <v>0</v>
      </c>
      <c r="M62" s="31">
        <v>0</v>
      </c>
      <c r="N62" s="31">
        <v>0</v>
      </c>
      <c r="O62" s="46">
        <v>0</v>
      </c>
      <c r="P62" s="3"/>
      <c r="Q62" s="3"/>
      <c r="R62" s="3"/>
      <c r="S62" s="3"/>
    </row>
    <row r="63" spans="1:19">
      <c r="A63" s="3"/>
      <c r="B63" s="3"/>
      <c r="C63" s="45">
        <v>2068</v>
      </c>
      <c r="D63" s="68">
        <v>542.23657100000003</v>
      </c>
      <c r="E63" s="68">
        <v>302.5873722</v>
      </c>
      <c r="F63" s="68">
        <v>302.5873722</v>
      </c>
      <c r="G63" s="68">
        <v>2869</v>
      </c>
      <c r="H63" s="68">
        <v>1600</v>
      </c>
      <c r="I63" s="68">
        <v>1600</v>
      </c>
      <c r="J63" s="31">
        <v>0</v>
      </c>
      <c r="K63" s="31">
        <v>0</v>
      </c>
      <c r="L63" s="31">
        <v>0</v>
      </c>
      <c r="M63" s="31">
        <v>0</v>
      </c>
      <c r="N63" s="31">
        <v>0</v>
      </c>
      <c r="O63" s="46">
        <v>0</v>
      </c>
      <c r="P63" s="3"/>
      <c r="Q63" s="3"/>
      <c r="R63" s="3"/>
      <c r="S63" s="3"/>
    </row>
    <row r="64" spans="1:19">
      <c r="A64" s="3"/>
      <c r="B64" s="3"/>
      <c r="C64" s="45">
        <v>2069</v>
      </c>
      <c r="D64" s="68">
        <v>542.23657100000003</v>
      </c>
      <c r="E64" s="68">
        <v>302.5873722</v>
      </c>
      <c r="F64" s="68">
        <v>302.5873722</v>
      </c>
      <c r="G64" s="68">
        <v>2869</v>
      </c>
      <c r="H64" s="68">
        <v>1600</v>
      </c>
      <c r="I64" s="68">
        <v>1600</v>
      </c>
      <c r="J64" s="31">
        <v>0</v>
      </c>
      <c r="K64" s="31">
        <v>0</v>
      </c>
      <c r="L64" s="31">
        <v>0</v>
      </c>
      <c r="M64" s="31">
        <v>0</v>
      </c>
      <c r="N64" s="31">
        <v>0</v>
      </c>
      <c r="O64" s="46">
        <v>0</v>
      </c>
      <c r="P64" s="3"/>
      <c r="Q64" s="3"/>
      <c r="R64" s="3"/>
      <c r="S64" s="3"/>
    </row>
    <row r="65" spans="1:19">
      <c r="A65" s="3"/>
      <c r="B65" s="3"/>
      <c r="C65" s="45">
        <v>2070</v>
      </c>
      <c r="D65" s="68">
        <v>542.23657100000003</v>
      </c>
      <c r="E65" s="68">
        <v>302.5873722</v>
      </c>
      <c r="F65" s="68">
        <v>302.5873722</v>
      </c>
      <c r="G65" s="68">
        <v>2869</v>
      </c>
      <c r="H65" s="68">
        <v>1600</v>
      </c>
      <c r="I65" s="68">
        <v>1600</v>
      </c>
      <c r="J65" s="31">
        <v>0</v>
      </c>
      <c r="K65" s="31">
        <v>0</v>
      </c>
      <c r="L65" s="31">
        <v>0</v>
      </c>
      <c r="M65" s="31">
        <v>0</v>
      </c>
      <c r="N65" s="31">
        <v>0</v>
      </c>
      <c r="O65" s="46">
        <v>0</v>
      </c>
      <c r="P65" s="3"/>
      <c r="Q65" s="3"/>
      <c r="R65" s="3"/>
      <c r="S65" s="3"/>
    </row>
    <row r="66" spans="1:19">
      <c r="A66" s="3"/>
      <c r="B66" s="3"/>
      <c r="C66" s="45">
        <v>2071</v>
      </c>
      <c r="D66" s="68">
        <v>542.23657100000003</v>
      </c>
      <c r="E66" s="68">
        <v>302.5873722</v>
      </c>
      <c r="F66" s="68">
        <v>302.5873722</v>
      </c>
      <c r="G66" s="68">
        <v>2869</v>
      </c>
      <c r="H66" s="68">
        <v>1600</v>
      </c>
      <c r="I66" s="68">
        <v>1600</v>
      </c>
      <c r="J66" s="31">
        <v>0</v>
      </c>
      <c r="K66" s="31">
        <v>0</v>
      </c>
      <c r="L66" s="31">
        <v>0</v>
      </c>
      <c r="M66" s="31">
        <v>0</v>
      </c>
      <c r="N66" s="31">
        <v>0</v>
      </c>
      <c r="O66" s="46">
        <v>0</v>
      </c>
      <c r="P66" s="3"/>
      <c r="Q66" s="3"/>
      <c r="R66" s="3"/>
      <c r="S66" s="3"/>
    </row>
    <row r="67" spans="1:19">
      <c r="A67" s="3"/>
      <c r="B67" s="3"/>
      <c r="C67" s="45">
        <v>2072</v>
      </c>
      <c r="D67" s="68">
        <v>542.23657100000003</v>
      </c>
      <c r="E67" s="68">
        <v>302.5873722</v>
      </c>
      <c r="F67" s="68">
        <v>302.5873722</v>
      </c>
      <c r="G67" s="68">
        <v>2869</v>
      </c>
      <c r="H67" s="68">
        <v>1600</v>
      </c>
      <c r="I67" s="68">
        <v>1600</v>
      </c>
      <c r="J67" s="31">
        <v>0</v>
      </c>
      <c r="K67" s="31">
        <v>0</v>
      </c>
      <c r="L67" s="31">
        <v>0</v>
      </c>
      <c r="M67" s="31">
        <v>0</v>
      </c>
      <c r="N67" s="31">
        <v>0</v>
      </c>
      <c r="O67" s="46">
        <v>0</v>
      </c>
      <c r="P67" s="3"/>
      <c r="Q67" s="3"/>
      <c r="R67" s="3"/>
      <c r="S67" s="3"/>
    </row>
    <row r="68" spans="1:19">
      <c r="A68" s="3"/>
      <c r="B68" s="3"/>
      <c r="C68" s="45">
        <v>2073</v>
      </c>
      <c r="D68" s="68">
        <v>542.23657100000003</v>
      </c>
      <c r="E68" s="68">
        <v>302.5873722</v>
      </c>
      <c r="F68" s="68">
        <v>302.5873722</v>
      </c>
      <c r="G68" s="68">
        <v>2869</v>
      </c>
      <c r="H68" s="68">
        <v>1600</v>
      </c>
      <c r="I68" s="68">
        <v>1600</v>
      </c>
      <c r="J68" s="31">
        <v>0</v>
      </c>
      <c r="K68" s="31">
        <v>0</v>
      </c>
      <c r="L68" s="31">
        <v>0</v>
      </c>
      <c r="M68" s="31">
        <v>0</v>
      </c>
      <c r="N68" s="31">
        <v>0</v>
      </c>
      <c r="O68" s="46">
        <v>0</v>
      </c>
      <c r="P68" s="3"/>
      <c r="Q68" s="3"/>
      <c r="R68" s="3"/>
      <c r="S68" s="3"/>
    </row>
    <row r="69" spans="1:19">
      <c r="A69" s="3"/>
      <c r="B69" s="3"/>
      <c r="C69" s="45">
        <v>2074</v>
      </c>
      <c r="D69" s="68">
        <v>542.23657100000003</v>
      </c>
      <c r="E69" s="68">
        <v>302.5873722</v>
      </c>
      <c r="F69" s="68">
        <v>302.5873722</v>
      </c>
      <c r="G69" s="68">
        <v>2869</v>
      </c>
      <c r="H69" s="68">
        <v>1600</v>
      </c>
      <c r="I69" s="68">
        <v>1600</v>
      </c>
      <c r="J69" s="31">
        <v>0</v>
      </c>
      <c r="K69" s="31">
        <v>0</v>
      </c>
      <c r="L69" s="31">
        <v>0</v>
      </c>
      <c r="M69" s="31">
        <v>0</v>
      </c>
      <c r="N69" s="31">
        <v>0</v>
      </c>
      <c r="O69" s="46">
        <v>0</v>
      </c>
      <c r="P69" s="3"/>
      <c r="Q69" s="3"/>
      <c r="R69" s="3"/>
      <c r="S69" s="3"/>
    </row>
    <row r="70" spans="1:19" ht="17" thickBot="1">
      <c r="A70" s="3"/>
      <c r="B70" s="3"/>
      <c r="C70" s="47">
        <v>2075</v>
      </c>
      <c r="D70" s="69">
        <v>542.23657100000003</v>
      </c>
      <c r="E70" s="69">
        <v>302.5873722</v>
      </c>
      <c r="F70" s="69">
        <v>302.5873722</v>
      </c>
      <c r="G70" s="69">
        <v>2869</v>
      </c>
      <c r="H70" s="69">
        <v>1600</v>
      </c>
      <c r="I70" s="69">
        <v>1600</v>
      </c>
      <c r="J70" s="48">
        <v>0</v>
      </c>
      <c r="K70" s="48">
        <v>0</v>
      </c>
      <c r="L70" s="48">
        <v>0</v>
      </c>
      <c r="M70" s="48">
        <v>0</v>
      </c>
      <c r="N70" s="48">
        <v>0</v>
      </c>
      <c r="O70" s="49">
        <v>0</v>
      </c>
      <c r="P70" s="3"/>
      <c r="Q70" s="3"/>
      <c r="R70" s="3"/>
      <c r="S70" s="3"/>
    </row>
    <row r="71" spans="1:19">
      <c r="A71" s="3"/>
      <c r="B71" s="3"/>
      <c r="C71" s="3"/>
      <c r="D71" s="3"/>
      <c r="E71" s="3"/>
      <c r="F71" s="3"/>
      <c r="G71" s="3"/>
      <c r="H71" s="3"/>
      <c r="I71" s="3"/>
      <c r="J71" s="3"/>
      <c r="K71" s="3"/>
      <c r="L71" s="3"/>
      <c r="M71" s="3"/>
      <c r="N71" s="3"/>
      <c r="O71" s="3"/>
      <c r="P71" s="3"/>
      <c r="Q71" s="3"/>
      <c r="R71" s="3"/>
      <c r="S71" s="3"/>
    </row>
    <row r="72" spans="1:19">
      <c r="B72" s="27"/>
    </row>
    <row r="73" spans="1:19">
      <c r="B73" s="27"/>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R42"/>
  <sheetViews>
    <sheetView tabSelected="1" workbookViewId="0">
      <selection activeCell="G41" sqref="G41"/>
    </sheetView>
  </sheetViews>
  <sheetFormatPr baseColWidth="10" defaultRowHeight="16"/>
  <cols>
    <col min="1" max="1" width="17.6640625" customWidth="1"/>
  </cols>
  <sheetData>
    <row r="1" spans="1:18" ht="28">
      <c r="A1" s="37" t="s">
        <v>55</v>
      </c>
      <c r="B1" s="3"/>
      <c r="C1" s="3"/>
      <c r="D1" s="3"/>
      <c r="E1" s="3"/>
      <c r="F1" s="3"/>
      <c r="G1" s="3"/>
      <c r="H1" s="3"/>
      <c r="I1" s="3"/>
      <c r="J1" s="3"/>
      <c r="K1" s="3"/>
      <c r="L1" s="3"/>
      <c r="M1" s="3"/>
      <c r="N1" s="3"/>
      <c r="O1" s="3"/>
      <c r="P1" s="3"/>
      <c r="Q1" s="3"/>
      <c r="R1" s="3"/>
    </row>
    <row r="2" spans="1:18">
      <c r="A2" s="3"/>
      <c r="B2" s="3"/>
      <c r="C2" s="3"/>
      <c r="D2" s="3"/>
      <c r="E2" s="3"/>
      <c r="F2" s="3"/>
      <c r="G2" s="3"/>
      <c r="H2" s="3"/>
      <c r="I2" s="3"/>
      <c r="J2" s="3"/>
      <c r="K2" s="3"/>
      <c r="L2" s="3"/>
      <c r="M2" s="3"/>
      <c r="N2" s="3"/>
      <c r="O2" s="3"/>
      <c r="P2" s="3"/>
      <c r="Q2" s="3"/>
      <c r="R2" s="3"/>
    </row>
    <row r="3" spans="1:18" ht="27" customHeight="1">
      <c r="A3" s="3"/>
      <c r="B3" s="32" t="s">
        <v>26</v>
      </c>
      <c r="C3" s="99" t="s">
        <v>51</v>
      </c>
      <c r="D3" s="99"/>
      <c r="E3" s="99"/>
      <c r="F3" s="100" t="s">
        <v>52</v>
      </c>
      <c r="G3" s="100"/>
      <c r="H3" s="100"/>
      <c r="I3" s="100" t="s">
        <v>53</v>
      </c>
      <c r="J3" s="100"/>
      <c r="K3" s="100"/>
      <c r="L3" s="100" t="s">
        <v>56</v>
      </c>
      <c r="M3" s="100"/>
      <c r="N3" s="100"/>
      <c r="O3" s="100" t="s">
        <v>57</v>
      </c>
      <c r="P3" s="100"/>
      <c r="Q3" s="100"/>
      <c r="R3" s="3"/>
    </row>
    <row r="4" spans="1:18" ht="30" thickBot="1">
      <c r="A4" s="3"/>
      <c r="B4" s="33"/>
      <c r="C4" s="33" t="s">
        <v>27</v>
      </c>
      <c r="D4" s="33" t="s">
        <v>28</v>
      </c>
      <c r="E4" s="33" t="s">
        <v>29</v>
      </c>
      <c r="F4" s="33" t="s">
        <v>27</v>
      </c>
      <c r="G4" s="33" t="s">
        <v>28</v>
      </c>
      <c r="H4" s="33" t="s">
        <v>29</v>
      </c>
      <c r="I4" s="33" t="s">
        <v>27</v>
      </c>
      <c r="J4" s="33" t="s">
        <v>28</v>
      </c>
      <c r="K4" s="33" t="s">
        <v>29</v>
      </c>
      <c r="L4" s="33" t="s">
        <v>27</v>
      </c>
      <c r="M4" s="33" t="s">
        <v>28</v>
      </c>
      <c r="N4" s="33" t="s">
        <v>29</v>
      </c>
      <c r="O4" s="33" t="s">
        <v>27</v>
      </c>
      <c r="P4" s="33" t="s">
        <v>28</v>
      </c>
      <c r="Q4" s="33" t="s">
        <v>29</v>
      </c>
      <c r="R4" s="3"/>
    </row>
    <row r="5" spans="1:18">
      <c r="A5" s="3"/>
      <c r="B5" s="50">
        <v>2014</v>
      </c>
      <c r="C5">
        <v>3284.9810950000001</v>
      </c>
      <c r="D5">
        <v>2699.0704730000002</v>
      </c>
      <c r="E5">
        <v>2699.0704730000002</v>
      </c>
      <c r="F5">
        <v>20</v>
      </c>
      <c r="G5">
        <v>15</v>
      </c>
      <c r="H5">
        <v>15</v>
      </c>
      <c r="I5" s="80">
        <v>0</v>
      </c>
      <c r="J5" s="80">
        <v>0</v>
      </c>
      <c r="K5" s="80">
        <v>0</v>
      </c>
      <c r="L5" s="81">
        <v>5.0000000000000001E-3</v>
      </c>
      <c r="M5" s="81">
        <v>5.0000000000000001E-3</v>
      </c>
      <c r="N5" s="81">
        <v>5.0000000000000001E-3</v>
      </c>
      <c r="O5" s="82">
        <v>13.942593690000001</v>
      </c>
      <c r="P5" s="82">
        <v>13.942593690000001</v>
      </c>
      <c r="Q5" s="83">
        <v>13.942593690000001</v>
      </c>
      <c r="R5" s="3"/>
    </row>
    <row r="6" spans="1:18">
      <c r="A6" s="3"/>
      <c r="B6" s="51">
        <v>2015</v>
      </c>
      <c r="C6">
        <v>4024.7745289999998</v>
      </c>
      <c r="D6">
        <v>2464.6802039999998</v>
      </c>
      <c r="E6">
        <v>2464.6802039999998</v>
      </c>
      <c r="F6">
        <v>24.29</v>
      </c>
      <c r="G6">
        <v>18.36025339</v>
      </c>
      <c r="H6">
        <v>18.36025339</v>
      </c>
      <c r="I6" s="84">
        <v>0</v>
      </c>
      <c r="J6" s="84">
        <v>0</v>
      </c>
      <c r="K6" s="84">
        <v>0</v>
      </c>
      <c r="L6" s="85">
        <f>L5</f>
        <v>5.0000000000000001E-3</v>
      </c>
      <c r="M6" s="85">
        <f t="shared" ref="M6:N21" si="0">M5</f>
        <v>5.0000000000000001E-3</v>
      </c>
      <c r="N6" s="85">
        <f t="shared" si="0"/>
        <v>5.0000000000000001E-3</v>
      </c>
      <c r="O6" s="86">
        <v>14.407346820000001</v>
      </c>
      <c r="P6" s="86">
        <v>14.407346820000001</v>
      </c>
      <c r="Q6" s="87">
        <v>14.407346820000001</v>
      </c>
      <c r="R6" s="3"/>
    </row>
    <row r="7" spans="1:18">
      <c r="A7" s="3"/>
      <c r="B7" s="51">
        <v>2016</v>
      </c>
      <c r="C7">
        <v>3782.0441729999998</v>
      </c>
      <c r="D7">
        <v>2622.5004789999998</v>
      </c>
      <c r="E7">
        <v>2622.5004789999998</v>
      </c>
      <c r="F7">
        <v>22.692265039999999</v>
      </c>
      <c r="G7">
        <v>17.935336199999998</v>
      </c>
      <c r="H7">
        <v>17.935336199999998</v>
      </c>
      <c r="I7" s="84">
        <v>0</v>
      </c>
      <c r="J7" s="84">
        <v>0</v>
      </c>
      <c r="K7" s="84">
        <v>0</v>
      </c>
      <c r="L7" s="85">
        <f t="shared" ref="L7:N22" si="1">L6</f>
        <v>5.0000000000000001E-3</v>
      </c>
      <c r="M7" s="85">
        <f t="shared" si="0"/>
        <v>5.0000000000000001E-3</v>
      </c>
      <c r="N7" s="85">
        <f t="shared" si="0"/>
        <v>5.0000000000000001E-3</v>
      </c>
      <c r="O7" s="86">
        <v>14.87209994</v>
      </c>
      <c r="P7" s="86">
        <v>14.87209994</v>
      </c>
      <c r="Q7" s="87">
        <v>14.87209994</v>
      </c>
      <c r="R7" s="3"/>
    </row>
    <row r="8" spans="1:18">
      <c r="A8" s="3"/>
      <c r="B8" s="51">
        <v>2017</v>
      </c>
      <c r="C8">
        <v>2897.382822</v>
      </c>
      <c r="D8">
        <v>1996.0509830000001</v>
      </c>
      <c r="E8">
        <v>1996.0509830000001</v>
      </c>
      <c r="F8">
        <v>17.384296930000001</v>
      </c>
      <c r="G8">
        <v>13.651034859999999</v>
      </c>
      <c r="H8">
        <v>13.651034859999999</v>
      </c>
      <c r="I8" s="84">
        <v>0</v>
      </c>
      <c r="J8" s="84">
        <v>0</v>
      </c>
      <c r="K8" s="84">
        <v>0</v>
      </c>
      <c r="L8" s="85">
        <f t="shared" si="1"/>
        <v>5.0000000000000001E-3</v>
      </c>
      <c r="M8" s="85">
        <f t="shared" si="0"/>
        <v>5.0000000000000001E-3</v>
      </c>
      <c r="N8" s="85">
        <f t="shared" si="0"/>
        <v>5.0000000000000001E-3</v>
      </c>
      <c r="O8" s="86">
        <v>14.87209994</v>
      </c>
      <c r="P8" s="86">
        <v>14.87209994</v>
      </c>
      <c r="Q8" s="87">
        <v>14.87209994</v>
      </c>
      <c r="R8" s="3"/>
    </row>
    <row r="9" spans="1:18">
      <c r="A9" s="3"/>
      <c r="B9" s="51">
        <v>2018</v>
      </c>
      <c r="C9">
        <v>2725.579913</v>
      </c>
      <c r="D9">
        <v>1840.6028530000001</v>
      </c>
      <c r="E9">
        <v>1840.6028530000001</v>
      </c>
      <c r="F9">
        <v>16.353479480000001</v>
      </c>
      <c r="G9">
        <v>13.28792181</v>
      </c>
      <c r="H9">
        <v>13.28792181</v>
      </c>
      <c r="I9" s="84">
        <v>0</v>
      </c>
      <c r="J9" s="84">
        <v>0</v>
      </c>
      <c r="K9" s="84">
        <v>0</v>
      </c>
      <c r="L9" s="85">
        <f t="shared" si="1"/>
        <v>5.0000000000000001E-3</v>
      </c>
      <c r="M9" s="85">
        <f t="shared" si="0"/>
        <v>5.0000000000000001E-3</v>
      </c>
      <c r="N9" s="85">
        <f t="shared" si="0"/>
        <v>5.0000000000000001E-3</v>
      </c>
      <c r="O9" s="86">
        <v>14.87209994</v>
      </c>
      <c r="P9" s="86">
        <v>14.87209994</v>
      </c>
      <c r="Q9" s="87">
        <v>14.87209994</v>
      </c>
      <c r="R9" s="3"/>
    </row>
    <row r="10" spans="1:18">
      <c r="A10" s="3"/>
      <c r="B10" s="51">
        <v>2019</v>
      </c>
      <c r="C10">
        <v>2586.7778800000001</v>
      </c>
      <c r="D10">
        <v>1739.1922279999999</v>
      </c>
      <c r="E10">
        <v>1739.1922279999999</v>
      </c>
      <c r="F10">
        <v>15.52066728</v>
      </c>
      <c r="G10">
        <v>12.524372400000001</v>
      </c>
      <c r="H10">
        <v>12.524372400000001</v>
      </c>
      <c r="I10" s="84">
        <v>0</v>
      </c>
      <c r="J10" s="84">
        <v>0</v>
      </c>
      <c r="K10" s="84">
        <v>0</v>
      </c>
      <c r="L10" s="85">
        <f t="shared" si="1"/>
        <v>5.0000000000000001E-3</v>
      </c>
      <c r="M10" s="85">
        <f t="shared" si="0"/>
        <v>5.0000000000000001E-3</v>
      </c>
      <c r="N10" s="85">
        <f t="shared" si="0"/>
        <v>5.0000000000000001E-3</v>
      </c>
      <c r="O10" s="86">
        <v>15.336853059999999</v>
      </c>
      <c r="P10" s="86">
        <v>15.336853059999999</v>
      </c>
      <c r="Q10" s="87">
        <v>15.336853059999999</v>
      </c>
      <c r="R10" s="3"/>
    </row>
    <row r="11" spans="1:18">
      <c r="A11" s="3"/>
      <c r="B11" s="51">
        <v>2020</v>
      </c>
      <c r="C11">
        <v>2305.8132220000002</v>
      </c>
      <c r="D11">
        <v>1627.6405400000001</v>
      </c>
      <c r="E11">
        <v>1627.6405400000001</v>
      </c>
      <c r="F11">
        <v>13.83487933</v>
      </c>
      <c r="G11">
        <v>11.55146805</v>
      </c>
      <c r="H11">
        <v>11.55146805</v>
      </c>
      <c r="I11" s="84">
        <v>0</v>
      </c>
      <c r="J11" s="84">
        <v>0</v>
      </c>
      <c r="K11" s="84">
        <v>0</v>
      </c>
      <c r="L11" s="85">
        <f t="shared" si="1"/>
        <v>5.0000000000000001E-3</v>
      </c>
      <c r="M11" s="85">
        <f t="shared" si="0"/>
        <v>5.0000000000000001E-3</v>
      </c>
      <c r="N11" s="85">
        <f t="shared" si="0"/>
        <v>5.0000000000000001E-3</v>
      </c>
      <c r="O11" s="86">
        <v>15.801606189999999</v>
      </c>
      <c r="P11" s="86">
        <v>15.801606189999999</v>
      </c>
      <c r="Q11" s="87">
        <v>15.801606189999999</v>
      </c>
      <c r="R11" s="3"/>
    </row>
    <row r="12" spans="1:18">
      <c r="A12" s="3"/>
      <c r="B12" s="51">
        <v>2021</v>
      </c>
      <c r="C12">
        <v>2115.788998</v>
      </c>
      <c r="D12">
        <v>1556.653102</v>
      </c>
      <c r="E12">
        <v>1556.653102</v>
      </c>
      <c r="F12">
        <v>12.69473399</v>
      </c>
      <c r="G12">
        <v>10.925983459999999</v>
      </c>
      <c r="H12">
        <v>10.925983459999999</v>
      </c>
      <c r="I12" s="84">
        <v>0</v>
      </c>
      <c r="J12" s="84">
        <v>0</v>
      </c>
      <c r="K12" s="84">
        <v>0</v>
      </c>
      <c r="L12" s="85">
        <f t="shared" si="1"/>
        <v>5.0000000000000001E-3</v>
      </c>
      <c r="M12" s="85">
        <f t="shared" si="0"/>
        <v>5.0000000000000001E-3</v>
      </c>
      <c r="N12" s="85">
        <f t="shared" si="0"/>
        <v>5.0000000000000001E-3</v>
      </c>
      <c r="O12" s="86">
        <v>15.801606189999999</v>
      </c>
      <c r="P12" s="86">
        <v>15.801606189999999</v>
      </c>
      <c r="Q12" s="87">
        <v>15.801606189999999</v>
      </c>
      <c r="R12" s="3"/>
    </row>
    <row r="13" spans="1:18">
      <c r="A13" s="3"/>
      <c r="B13" s="51">
        <v>2022</v>
      </c>
      <c r="C13">
        <v>2011.0739610000001</v>
      </c>
      <c r="D13">
        <v>1508.346352</v>
      </c>
      <c r="E13">
        <v>1508.346352</v>
      </c>
      <c r="F13">
        <v>12.306443760000001</v>
      </c>
      <c r="G13">
        <v>10.595612579999999</v>
      </c>
      <c r="H13">
        <v>10.595612579999999</v>
      </c>
      <c r="I13" s="84">
        <v>0</v>
      </c>
      <c r="J13" s="84">
        <v>0</v>
      </c>
      <c r="K13" s="84">
        <v>0</v>
      </c>
      <c r="L13" s="85">
        <f t="shared" si="1"/>
        <v>5.0000000000000001E-3</v>
      </c>
      <c r="M13" s="85">
        <f t="shared" si="0"/>
        <v>5.0000000000000001E-3</v>
      </c>
      <c r="N13" s="85">
        <f t="shared" si="0"/>
        <v>5.0000000000000001E-3</v>
      </c>
      <c r="O13" s="86">
        <v>15.801606189999999</v>
      </c>
      <c r="P13" s="86">
        <v>15.801606189999999</v>
      </c>
      <c r="Q13" s="87">
        <v>15.801606189999999</v>
      </c>
      <c r="R13" s="3"/>
    </row>
    <row r="14" spans="1:18">
      <c r="A14" s="3"/>
      <c r="B14" s="51">
        <v>2023</v>
      </c>
      <c r="C14">
        <v>1946.3589239999999</v>
      </c>
      <c r="D14">
        <v>1460.0396020000001</v>
      </c>
      <c r="E14">
        <v>1460.0396020000001</v>
      </c>
      <c r="F14">
        <v>11.91815354</v>
      </c>
      <c r="G14">
        <v>10.265241700000001</v>
      </c>
      <c r="H14">
        <v>10.265241700000001</v>
      </c>
      <c r="I14" s="84">
        <v>0</v>
      </c>
      <c r="J14" s="84">
        <v>0</v>
      </c>
      <c r="K14" s="84">
        <v>0</v>
      </c>
      <c r="L14" s="85">
        <f t="shared" si="1"/>
        <v>5.0000000000000001E-3</v>
      </c>
      <c r="M14" s="85">
        <f t="shared" si="0"/>
        <v>5.0000000000000001E-3</v>
      </c>
      <c r="N14" s="85">
        <f t="shared" si="0"/>
        <v>5.0000000000000001E-3</v>
      </c>
      <c r="O14" s="86">
        <v>16.266359309999999</v>
      </c>
      <c r="P14" s="86">
        <v>16.266359309999999</v>
      </c>
      <c r="Q14" s="87">
        <v>16.266359309999999</v>
      </c>
      <c r="R14" s="3"/>
    </row>
    <row r="15" spans="1:18">
      <c r="A15" s="3"/>
      <c r="B15" s="51">
        <v>2024</v>
      </c>
      <c r="C15">
        <v>1881.6438869999999</v>
      </c>
      <c r="D15">
        <v>1411.732853</v>
      </c>
      <c r="E15">
        <v>1411.732853</v>
      </c>
      <c r="F15">
        <v>11.52986332</v>
      </c>
      <c r="G15">
        <v>9.9348708129999999</v>
      </c>
      <c r="H15">
        <v>9.9348708129999999</v>
      </c>
      <c r="I15" s="84">
        <v>0</v>
      </c>
      <c r="J15" s="84">
        <v>0</v>
      </c>
      <c r="K15" s="84">
        <v>0</v>
      </c>
      <c r="L15" s="85">
        <f t="shared" si="1"/>
        <v>5.0000000000000001E-3</v>
      </c>
      <c r="M15" s="85">
        <f t="shared" si="0"/>
        <v>5.0000000000000001E-3</v>
      </c>
      <c r="N15" s="85">
        <f t="shared" si="0"/>
        <v>5.0000000000000001E-3</v>
      </c>
      <c r="O15" s="86">
        <v>16.73111243</v>
      </c>
      <c r="P15" s="86">
        <v>16.73111243</v>
      </c>
      <c r="Q15" s="87">
        <v>16.73111243</v>
      </c>
      <c r="R15" s="3"/>
    </row>
    <row r="16" spans="1:18">
      <c r="A16" s="3"/>
      <c r="B16" s="51">
        <v>2025</v>
      </c>
      <c r="C16">
        <v>1816.92885</v>
      </c>
      <c r="D16">
        <v>1363.426103</v>
      </c>
      <c r="E16">
        <v>1363.426103</v>
      </c>
      <c r="F16">
        <v>11.1415731</v>
      </c>
      <c r="G16">
        <v>9.6044999319999995</v>
      </c>
      <c r="H16">
        <v>9.6044999319999995</v>
      </c>
      <c r="I16" s="84">
        <v>0</v>
      </c>
      <c r="J16" s="84">
        <v>0</v>
      </c>
      <c r="K16" s="84">
        <v>0</v>
      </c>
      <c r="L16" s="85">
        <f t="shared" si="1"/>
        <v>5.0000000000000001E-3</v>
      </c>
      <c r="M16" s="85">
        <f t="shared" si="0"/>
        <v>5.0000000000000001E-3</v>
      </c>
      <c r="N16" s="85">
        <f t="shared" si="0"/>
        <v>5.0000000000000001E-3</v>
      </c>
      <c r="O16" s="86">
        <v>16.73111243</v>
      </c>
      <c r="P16" s="86">
        <v>16.73111243</v>
      </c>
      <c r="Q16" s="87">
        <v>16.73111243</v>
      </c>
      <c r="R16" s="3"/>
    </row>
    <row r="17" spans="1:18">
      <c r="A17" s="3"/>
      <c r="B17" s="51">
        <v>2026</v>
      </c>
      <c r="C17">
        <v>1752.2138130000001</v>
      </c>
      <c r="D17">
        <v>1315.119353</v>
      </c>
      <c r="E17">
        <v>1315.119353</v>
      </c>
      <c r="F17">
        <v>10.75328288</v>
      </c>
      <c r="G17">
        <v>9.2741290500000009</v>
      </c>
      <c r="H17">
        <v>9.2741290500000009</v>
      </c>
      <c r="I17" s="84">
        <v>0</v>
      </c>
      <c r="J17" s="84">
        <v>0</v>
      </c>
      <c r="K17" s="84">
        <v>0</v>
      </c>
      <c r="L17" s="85">
        <f t="shared" si="1"/>
        <v>5.0000000000000001E-3</v>
      </c>
      <c r="M17" s="85">
        <f t="shared" si="0"/>
        <v>5.0000000000000001E-3</v>
      </c>
      <c r="N17" s="85">
        <f t="shared" si="0"/>
        <v>5.0000000000000001E-3</v>
      </c>
      <c r="O17" s="86">
        <v>16.73111243</v>
      </c>
      <c r="P17" s="86">
        <v>16.73111243</v>
      </c>
      <c r="Q17" s="87">
        <v>16.73111243</v>
      </c>
      <c r="R17" s="3"/>
    </row>
    <row r="18" spans="1:18">
      <c r="A18" s="3"/>
      <c r="B18" s="51">
        <v>2027</v>
      </c>
      <c r="C18">
        <v>1687.498777</v>
      </c>
      <c r="D18">
        <v>1266.812604</v>
      </c>
      <c r="E18">
        <v>1266.812604</v>
      </c>
      <c r="F18">
        <v>10.36499266</v>
      </c>
      <c r="G18">
        <v>8.9437581680000005</v>
      </c>
      <c r="H18">
        <v>8.9437581680000005</v>
      </c>
      <c r="I18" s="84">
        <v>0</v>
      </c>
      <c r="J18" s="84">
        <v>0</v>
      </c>
      <c r="K18" s="84">
        <v>0</v>
      </c>
      <c r="L18" s="85">
        <f t="shared" si="1"/>
        <v>5.0000000000000001E-3</v>
      </c>
      <c r="M18" s="85">
        <f t="shared" si="0"/>
        <v>5.0000000000000001E-3</v>
      </c>
      <c r="N18" s="85">
        <f t="shared" si="0"/>
        <v>5.0000000000000001E-3</v>
      </c>
      <c r="O18" s="86">
        <v>17.195865560000001</v>
      </c>
      <c r="P18" s="86">
        <v>17.195865560000001</v>
      </c>
      <c r="Q18" s="87">
        <v>17.195865560000001</v>
      </c>
      <c r="R18" s="3"/>
    </row>
    <row r="19" spans="1:18">
      <c r="A19" s="3"/>
      <c r="B19" s="51">
        <v>2028</v>
      </c>
      <c r="C19">
        <v>1622.7837400000001</v>
      </c>
      <c r="D19">
        <v>1218.505854</v>
      </c>
      <c r="E19">
        <v>1218.505854</v>
      </c>
      <c r="F19">
        <v>9.9767024390000003</v>
      </c>
      <c r="G19">
        <v>8.613387286</v>
      </c>
      <c r="H19">
        <v>8.613387286</v>
      </c>
      <c r="I19" s="84">
        <v>0</v>
      </c>
      <c r="J19" s="84">
        <v>0</v>
      </c>
      <c r="K19" s="84">
        <v>0</v>
      </c>
      <c r="L19" s="85">
        <f t="shared" si="1"/>
        <v>5.0000000000000001E-3</v>
      </c>
      <c r="M19" s="85">
        <f t="shared" si="0"/>
        <v>5.0000000000000001E-3</v>
      </c>
      <c r="N19" s="85">
        <f t="shared" si="0"/>
        <v>5.0000000000000001E-3</v>
      </c>
      <c r="O19" s="86">
        <v>17.660618679999999</v>
      </c>
      <c r="P19" s="86">
        <v>17.660618679999999</v>
      </c>
      <c r="Q19" s="87">
        <v>17.660618679999999</v>
      </c>
      <c r="R19" s="3"/>
    </row>
    <row r="20" spans="1:18">
      <c r="A20" s="3"/>
      <c r="B20" s="51">
        <v>2029</v>
      </c>
      <c r="C20">
        <v>1558.0687029999999</v>
      </c>
      <c r="D20">
        <v>1170.199104</v>
      </c>
      <c r="E20">
        <v>1170.199104</v>
      </c>
      <c r="F20">
        <v>9.5884122180000002</v>
      </c>
      <c r="G20">
        <v>8.2830164039999996</v>
      </c>
      <c r="H20">
        <v>8.2830164039999996</v>
      </c>
      <c r="I20" s="84">
        <v>0</v>
      </c>
      <c r="J20" s="84">
        <v>0</v>
      </c>
      <c r="K20" s="84">
        <v>0</v>
      </c>
      <c r="L20" s="85">
        <f t="shared" si="1"/>
        <v>5.0000000000000001E-3</v>
      </c>
      <c r="M20" s="85">
        <f t="shared" si="0"/>
        <v>5.0000000000000001E-3</v>
      </c>
      <c r="N20" s="85">
        <f t="shared" si="0"/>
        <v>5.0000000000000001E-3</v>
      </c>
      <c r="O20" s="86">
        <v>17.660618679999999</v>
      </c>
      <c r="P20" s="86">
        <v>17.660618679999999</v>
      </c>
      <c r="Q20" s="87">
        <v>17.660618679999999</v>
      </c>
      <c r="R20" s="3"/>
    </row>
    <row r="21" spans="1:18">
      <c r="A21" s="3"/>
      <c r="B21" s="51">
        <v>2030</v>
      </c>
      <c r="C21">
        <v>1493.353666</v>
      </c>
      <c r="D21">
        <v>1121.892355</v>
      </c>
      <c r="E21">
        <v>1121.892355</v>
      </c>
      <c r="F21">
        <v>9.2001219980000002</v>
      </c>
      <c r="G21">
        <v>7.9526455220000001</v>
      </c>
      <c r="H21">
        <v>7.9526455220000001</v>
      </c>
      <c r="I21" s="84">
        <v>0</v>
      </c>
      <c r="J21" s="84">
        <v>0</v>
      </c>
      <c r="K21" s="84">
        <v>0</v>
      </c>
      <c r="L21" s="85">
        <f t="shared" si="1"/>
        <v>5.0000000000000001E-3</v>
      </c>
      <c r="M21" s="85">
        <f t="shared" si="0"/>
        <v>5.0000000000000001E-3</v>
      </c>
      <c r="N21" s="85">
        <f t="shared" si="0"/>
        <v>5.0000000000000001E-3</v>
      </c>
      <c r="O21" s="86">
        <v>17.660618679999999</v>
      </c>
      <c r="P21" s="86">
        <v>17.660618679999999</v>
      </c>
      <c r="Q21" s="87">
        <v>17.660618679999999</v>
      </c>
      <c r="R21" s="3"/>
    </row>
    <row r="22" spans="1:18">
      <c r="A22" s="3"/>
      <c r="B22" s="51">
        <v>2031</v>
      </c>
      <c r="C22">
        <v>1468.0183</v>
      </c>
      <c r="D22">
        <v>1111.321138</v>
      </c>
      <c r="E22">
        <v>1111.321138</v>
      </c>
      <c r="F22">
        <v>9.0481097980000005</v>
      </c>
      <c r="G22">
        <v>7.880348745</v>
      </c>
      <c r="H22">
        <v>7.880348745</v>
      </c>
      <c r="I22" s="84">
        <v>0</v>
      </c>
      <c r="J22" s="84">
        <v>0</v>
      </c>
      <c r="K22" s="84">
        <v>0</v>
      </c>
      <c r="L22" s="85">
        <f t="shared" si="1"/>
        <v>5.0000000000000001E-3</v>
      </c>
      <c r="M22" s="85">
        <f t="shared" si="1"/>
        <v>5.0000000000000001E-3</v>
      </c>
      <c r="N22" s="85">
        <f t="shared" si="1"/>
        <v>5.0000000000000001E-3</v>
      </c>
      <c r="O22" s="86">
        <v>18.1253718</v>
      </c>
      <c r="P22" s="86">
        <v>18.1253718</v>
      </c>
      <c r="Q22" s="87">
        <v>18.1253718</v>
      </c>
      <c r="R22" s="3"/>
    </row>
    <row r="23" spans="1:18">
      <c r="A23" s="3"/>
      <c r="B23" s="51">
        <v>2032</v>
      </c>
      <c r="C23">
        <v>1442.682933</v>
      </c>
      <c r="D23">
        <v>1100.74992</v>
      </c>
      <c r="E23">
        <v>1100.74992</v>
      </c>
      <c r="F23">
        <v>8.8960975980000008</v>
      </c>
      <c r="G23">
        <v>7.8080519669999999</v>
      </c>
      <c r="H23">
        <v>7.8080519669999999</v>
      </c>
      <c r="I23" s="84">
        <v>0</v>
      </c>
      <c r="J23" s="84">
        <v>0</v>
      </c>
      <c r="K23" s="84">
        <v>0</v>
      </c>
      <c r="L23" s="85">
        <f t="shared" ref="L23:N38" si="2">L22</f>
        <v>5.0000000000000001E-3</v>
      </c>
      <c r="M23" s="85">
        <f t="shared" si="2"/>
        <v>5.0000000000000001E-3</v>
      </c>
      <c r="N23" s="85">
        <f t="shared" si="2"/>
        <v>5.0000000000000001E-3</v>
      </c>
      <c r="O23" s="86">
        <v>18.590124930000002</v>
      </c>
      <c r="P23" s="86">
        <v>18.590124930000002</v>
      </c>
      <c r="Q23" s="87">
        <v>18.590124930000002</v>
      </c>
      <c r="R23" s="3"/>
    </row>
    <row r="24" spans="1:18">
      <c r="A24" s="3"/>
      <c r="B24" s="51">
        <v>2033</v>
      </c>
      <c r="C24">
        <v>1417.3475659999999</v>
      </c>
      <c r="D24">
        <v>1090.178703</v>
      </c>
      <c r="E24">
        <v>1090.178703</v>
      </c>
      <c r="F24">
        <v>8.7440853979999993</v>
      </c>
      <c r="G24">
        <v>7.7357551899999999</v>
      </c>
      <c r="H24">
        <v>7.7357551899999999</v>
      </c>
      <c r="I24" s="84">
        <v>0</v>
      </c>
      <c r="J24" s="84">
        <v>0</v>
      </c>
      <c r="K24" s="84">
        <v>0</v>
      </c>
      <c r="L24" s="85">
        <f t="shared" si="2"/>
        <v>5.0000000000000001E-3</v>
      </c>
      <c r="M24" s="85">
        <f t="shared" si="2"/>
        <v>5.0000000000000001E-3</v>
      </c>
      <c r="N24" s="85">
        <f t="shared" si="2"/>
        <v>5.0000000000000001E-3</v>
      </c>
      <c r="O24" s="86">
        <v>18.590124930000002</v>
      </c>
      <c r="P24" s="86">
        <v>18.590124930000002</v>
      </c>
      <c r="Q24" s="87">
        <v>18.590124930000002</v>
      </c>
      <c r="R24" s="3"/>
    </row>
    <row r="25" spans="1:18">
      <c r="A25" s="3"/>
      <c r="B25" s="51">
        <v>2034</v>
      </c>
      <c r="C25">
        <v>1392.0121999999999</v>
      </c>
      <c r="D25">
        <v>1079.6074860000001</v>
      </c>
      <c r="E25">
        <v>1079.6074860000001</v>
      </c>
      <c r="F25">
        <v>8.5920731989999997</v>
      </c>
      <c r="G25">
        <v>7.6634584119999998</v>
      </c>
      <c r="H25">
        <v>7.6634584119999998</v>
      </c>
      <c r="I25" s="84">
        <v>0</v>
      </c>
      <c r="J25" s="84">
        <v>0</v>
      </c>
      <c r="K25" s="84">
        <v>0</v>
      </c>
      <c r="L25" s="85">
        <f t="shared" si="2"/>
        <v>5.0000000000000001E-3</v>
      </c>
      <c r="M25" s="85">
        <f t="shared" si="2"/>
        <v>5.0000000000000001E-3</v>
      </c>
      <c r="N25" s="85">
        <f t="shared" si="2"/>
        <v>5.0000000000000001E-3</v>
      </c>
      <c r="O25" s="86">
        <v>18.590124930000002</v>
      </c>
      <c r="P25" s="86">
        <v>18.590124930000002</v>
      </c>
      <c r="Q25" s="87">
        <v>18.590124930000002</v>
      </c>
      <c r="R25" s="3"/>
    </row>
    <row r="26" spans="1:18">
      <c r="A26" s="3"/>
      <c r="B26" s="51">
        <v>2035</v>
      </c>
      <c r="C26">
        <v>1366.676833</v>
      </c>
      <c r="D26">
        <v>1069.0362689999999</v>
      </c>
      <c r="E26">
        <v>1069.0362689999999</v>
      </c>
      <c r="F26">
        <v>8.440060999</v>
      </c>
      <c r="G26">
        <v>7.5911616349999997</v>
      </c>
      <c r="H26">
        <v>7.5911616349999997</v>
      </c>
      <c r="I26" s="84">
        <v>0</v>
      </c>
      <c r="J26" s="84">
        <v>0</v>
      </c>
      <c r="K26" s="84">
        <v>0</v>
      </c>
      <c r="L26" s="85">
        <f t="shared" si="2"/>
        <v>5.0000000000000001E-3</v>
      </c>
      <c r="M26" s="85">
        <f t="shared" si="2"/>
        <v>5.0000000000000001E-3</v>
      </c>
      <c r="N26" s="85">
        <f t="shared" si="2"/>
        <v>5.0000000000000001E-3</v>
      </c>
      <c r="O26" s="86">
        <v>19.054878049999999</v>
      </c>
      <c r="P26" s="86">
        <v>19.054878049999999</v>
      </c>
      <c r="Q26" s="87">
        <v>19.054878049999999</v>
      </c>
      <c r="R26" s="3"/>
    </row>
    <row r="27" spans="1:18">
      <c r="A27" s="3"/>
      <c r="B27" s="51">
        <v>2036</v>
      </c>
      <c r="C27">
        <v>1341.341467</v>
      </c>
      <c r="D27">
        <v>1058.465052</v>
      </c>
      <c r="E27">
        <v>1058.465052</v>
      </c>
      <c r="F27">
        <v>8.2880487990000002</v>
      </c>
      <c r="G27">
        <v>7.5188648569999996</v>
      </c>
      <c r="H27">
        <v>7.5188648569999996</v>
      </c>
      <c r="I27" s="84">
        <v>0</v>
      </c>
      <c r="J27" s="84">
        <v>0</v>
      </c>
      <c r="K27" s="84">
        <v>0</v>
      </c>
      <c r="L27" s="85">
        <f t="shared" si="2"/>
        <v>5.0000000000000001E-3</v>
      </c>
      <c r="M27" s="85">
        <f t="shared" si="2"/>
        <v>5.0000000000000001E-3</v>
      </c>
      <c r="N27" s="85">
        <f t="shared" si="2"/>
        <v>5.0000000000000001E-3</v>
      </c>
      <c r="O27" s="86">
        <v>19.51963117</v>
      </c>
      <c r="P27" s="86">
        <v>19.51963117</v>
      </c>
      <c r="Q27" s="87">
        <v>19.51963117</v>
      </c>
      <c r="R27" s="3"/>
    </row>
    <row r="28" spans="1:18">
      <c r="A28" s="3"/>
      <c r="B28" s="51">
        <v>2037</v>
      </c>
      <c r="C28">
        <v>1316.0061000000001</v>
      </c>
      <c r="D28">
        <v>1047.8938350000001</v>
      </c>
      <c r="E28">
        <v>1047.8938350000001</v>
      </c>
      <c r="F28">
        <v>8.1360365990000005</v>
      </c>
      <c r="G28">
        <v>7.4465680799999996</v>
      </c>
      <c r="H28">
        <v>7.4465680799999996</v>
      </c>
      <c r="I28" s="84">
        <v>0</v>
      </c>
      <c r="J28" s="84">
        <v>0</v>
      </c>
      <c r="K28" s="84">
        <v>0</v>
      </c>
      <c r="L28" s="85">
        <f t="shared" si="2"/>
        <v>5.0000000000000001E-3</v>
      </c>
      <c r="M28" s="85">
        <f t="shared" si="2"/>
        <v>5.0000000000000001E-3</v>
      </c>
      <c r="N28" s="85">
        <f t="shared" si="2"/>
        <v>5.0000000000000001E-3</v>
      </c>
      <c r="O28" s="86">
        <v>19.51963117</v>
      </c>
      <c r="P28" s="86">
        <v>19.51963117</v>
      </c>
      <c r="Q28" s="87">
        <v>19.51963117</v>
      </c>
      <c r="R28" s="3"/>
    </row>
    <row r="29" spans="1:18">
      <c r="A29" s="3"/>
      <c r="B29" s="51">
        <v>2038</v>
      </c>
      <c r="C29">
        <v>1290.6707329999999</v>
      </c>
      <c r="D29">
        <v>1037.3226179999999</v>
      </c>
      <c r="E29">
        <v>1037.3226179999999</v>
      </c>
      <c r="F29">
        <v>7.9840244</v>
      </c>
      <c r="G29">
        <v>7.3742713030000004</v>
      </c>
      <c r="H29">
        <v>7.3742713030000004</v>
      </c>
      <c r="I29" s="84">
        <v>0</v>
      </c>
      <c r="J29" s="84">
        <v>0</v>
      </c>
      <c r="K29" s="84">
        <v>0</v>
      </c>
      <c r="L29" s="85">
        <f t="shared" si="2"/>
        <v>5.0000000000000001E-3</v>
      </c>
      <c r="M29" s="85">
        <f t="shared" si="2"/>
        <v>5.0000000000000001E-3</v>
      </c>
      <c r="N29" s="85">
        <f t="shared" si="2"/>
        <v>5.0000000000000001E-3</v>
      </c>
      <c r="O29" s="86">
        <v>19.51963117</v>
      </c>
      <c r="P29" s="86">
        <v>19.51963117</v>
      </c>
      <c r="Q29" s="87">
        <v>19.51963117</v>
      </c>
      <c r="R29" s="3"/>
    </row>
    <row r="30" spans="1:18">
      <c r="A30" s="3"/>
      <c r="B30" s="51">
        <v>2039</v>
      </c>
      <c r="C30">
        <v>1265.3353669999999</v>
      </c>
      <c r="D30">
        <v>1026.7514000000001</v>
      </c>
      <c r="E30">
        <v>1026.7514000000001</v>
      </c>
      <c r="F30">
        <v>7.8320122000000003</v>
      </c>
      <c r="G30">
        <v>7.3019745250000003</v>
      </c>
      <c r="H30">
        <v>7.3019745250000003</v>
      </c>
      <c r="I30" s="84">
        <v>0</v>
      </c>
      <c r="J30" s="84">
        <v>0</v>
      </c>
      <c r="K30" s="84">
        <v>0</v>
      </c>
      <c r="L30" s="85">
        <f t="shared" si="2"/>
        <v>5.0000000000000001E-3</v>
      </c>
      <c r="M30" s="85">
        <f t="shared" si="2"/>
        <v>5.0000000000000001E-3</v>
      </c>
      <c r="N30" s="85">
        <f t="shared" si="2"/>
        <v>5.0000000000000001E-3</v>
      </c>
      <c r="O30" s="86">
        <v>19.984384299999999</v>
      </c>
      <c r="P30" s="86">
        <v>19.984384299999999</v>
      </c>
      <c r="Q30" s="87">
        <v>19.984384299999999</v>
      </c>
      <c r="R30" s="3"/>
    </row>
    <row r="31" spans="1:18">
      <c r="A31" s="3"/>
      <c r="B31" s="51">
        <v>2040</v>
      </c>
      <c r="C31">
        <v>1240</v>
      </c>
      <c r="D31">
        <v>1016.1801830000001</v>
      </c>
      <c r="E31">
        <v>1016.1801830000001</v>
      </c>
      <c r="F31">
        <v>7.68</v>
      </c>
      <c r="G31">
        <v>7.2296777480000003</v>
      </c>
      <c r="H31">
        <v>7.2296777480000003</v>
      </c>
      <c r="I31" s="84">
        <v>0</v>
      </c>
      <c r="J31" s="84">
        <v>0</v>
      </c>
      <c r="K31" s="84">
        <v>0</v>
      </c>
      <c r="L31" s="85">
        <f t="shared" si="2"/>
        <v>5.0000000000000001E-3</v>
      </c>
      <c r="M31" s="85">
        <f t="shared" si="2"/>
        <v>5.0000000000000001E-3</v>
      </c>
      <c r="N31" s="85">
        <f t="shared" si="2"/>
        <v>5.0000000000000001E-3</v>
      </c>
      <c r="O31" s="86">
        <v>20.44913742</v>
      </c>
      <c r="P31" s="86">
        <v>20.44913742</v>
      </c>
      <c r="Q31" s="87">
        <v>20.44913742</v>
      </c>
      <c r="R31" s="3"/>
    </row>
    <row r="32" spans="1:18">
      <c r="A32" s="3"/>
      <c r="B32" s="51">
        <v>2041</v>
      </c>
      <c r="C32">
        <v>1230</v>
      </c>
      <c r="D32">
        <v>1010.894575</v>
      </c>
      <c r="E32">
        <v>1010.894575</v>
      </c>
      <c r="F32">
        <v>7.62</v>
      </c>
      <c r="G32">
        <v>7.1935293590000002</v>
      </c>
      <c r="H32">
        <v>7.1935293590000002</v>
      </c>
      <c r="I32" s="84">
        <v>0</v>
      </c>
      <c r="J32" s="84">
        <v>0</v>
      </c>
      <c r="K32" s="84">
        <v>0</v>
      </c>
      <c r="L32" s="85">
        <f t="shared" si="2"/>
        <v>5.0000000000000001E-3</v>
      </c>
      <c r="M32" s="85">
        <f t="shared" si="2"/>
        <v>5.0000000000000001E-3</v>
      </c>
      <c r="N32" s="85">
        <f t="shared" si="2"/>
        <v>5.0000000000000001E-3</v>
      </c>
      <c r="O32" s="86">
        <v>20.44913742</v>
      </c>
      <c r="P32" s="86">
        <v>20.44913742</v>
      </c>
      <c r="Q32" s="87">
        <v>20.44913742</v>
      </c>
      <c r="R32" s="3"/>
    </row>
    <row r="33" spans="1:18">
      <c r="A33" s="3"/>
      <c r="B33" s="51">
        <v>2042</v>
      </c>
      <c r="C33">
        <v>1220</v>
      </c>
      <c r="D33">
        <v>1005.608966</v>
      </c>
      <c r="E33">
        <v>1005.608966</v>
      </c>
      <c r="F33">
        <v>7.56</v>
      </c>
      <c r="G33">
        <v>7.1573809700000002</v>
      </c>
      <c r="H33">
        <v>7.1573809700000002</v>
      </c>
      <c r="I33" s="84">
        <v>0</v>
      </c>
      <c r="J33" s="84">
        <v>0</v>
      </c>
      <c r="K33" s="84">
        <v>0</v>
      </c>
      <c r="L33" s="85">
        <f>L32</f>
        <v>5.0000000000000001E-3</v>
      </c>
      <c r="M33" s="85">
        <f t="shared" si="2"/>
        <v>5.0000000000000001E-3</v>
      </c>
      <c r="N33" s="85">
        <f t="shared" si="2"/>
        <v>5.0000000000000001E-3</v>
      </c>
      <c r="O33" s="86">
        <v>20.44913742</v>
      </c>
      <c r="P33" s="86">
        <v>20.44913742</v>
      </c>
      <c r="Q33" s="87">
        <v>20.44913742</v>
      </c>
      <c r="R33" s="3"/>
    </row>
    <row r="34" spans="1:18">
      <c r="A34" s="3"/>
      <c r="B34" s="51">
        <v>2043</v>
      </c>
      <c r="C34">
        <v>1210</v>
      </c>
      <c r="D34">
        <v>1000.323358</v>
      </c>
      <c r="E34">
        <v>1000.323358</v>
      </c>
      <c r="F34">
        <v>7.5</v>
      </c>
      <c r="G34">
        <v>7.1212325810000001</v>
      </c>
      <c r="H34">
        <v>7.1212325810000001</v>
      </c>
      <c r="I34" s="84">
        <v>0</v>
      </c>
      <c r="J34" s="84">
        <v>0</v>
      </c>
      <c r="K34" s="84">
        <v>0</v>
      </c>
      <c r="L34" s="85">
        <f t="shared" ref="L34:N40" si="3">L33</f>
        <v>5.0000000000000001E-3</v>
      </c>
      <c r="M34" s="85">
        <f t="shared" si="2"/>
        <v>5.0000000000000001E-3</v>
      </c>
      <c r="N34" s="85">
        <f t="shared" si="2"/>
        <v>5.0000000000000001E-3</v>
      </c>
      <c r="O34" s="86">
        <v>20.44913742</v>
      </c>
      <c r="P34" s="86">
        <v>20.44913742</v>
      </c>
      <c r="Q34" s="87">
        <v>20.44913742</v>
      </c>
      <c r="R34" s="3"/>
    </row>
    <row r="35" spans="1:18">
      <c r="A35" s="3"/>
      <c r="B35" s="51">
        <v>2044</v>
      </c>
      <c r="C35">
        <v>1200</v>
      </c>
      <c r="D35">
        <v>995.03774899999996</v>
      </c>
      <c r="E35">
        <v>995.03774899999996</v>
      </c>
      <c r="F35">
        <v>7.44</v>
      </c>
      <c r="G35">
        <v>7.0850841930000001</v>
      </c>
      <c r="H35">
        <v>7.0850841930000001</v>
      </c>
      <c r="I35" s="84">
        <v>0</v>
      </c>
      <c r="J35" s="84">
        <v>0</v>
      </c>
      <c r="K35" s="84">
        <v>0</v>
      </c>
      <c r="L35" s="85">
        <f t="shared" si="3"/>
        <v>5.0000000000000001E-3</v>
      </c>
      <c r="M35" s="85">
        <f t="shared" si="2"/>
        <v>5.0000000000000001E-3</v>
      </c>
      <c r="N35" s="85">
        <f t="shared" si="2"/>
        <v>5.0000000000000001E-3</v>
      </c>
      <c r="O35" s="86">
        <v>20.44913742</v>
      </c>
      <c r="P35" s="86">
        <v>20.44913742</v>
      </c>
      <c r="Q35" s="87">
        <v>20.44913742</v>
      </c>
      <c r="R35" s="3"/>
    </row>
    <row r="36" spans="1:18">
      <c r="A36" s="3"/>
      <c r="B36" s="51">
        <v>2045</v>
      </c>
      <c r="C36">
        <v>1190</v>
      </c>
      <c r="D36">
        <v>989.75214040000003</v>
      </c>
      <c r="E36">
        <v>989.75214040000003</v>
      </c>
      <c r="F36">
        <v>7.38</v>
      </c>
      <c r="G36">
        <v>7.0489358040000001</v>
      </c>
      <c r="H36">
        <v>7.0489358040000001</v>
      </c>
      <c r="I36" s="84">
        <v>0</v>
      </c>
      <c r="J36" s="84">
        <v>0</v>
      </c>
      <c r="K36" s="84">
        <v>0</v>
      </c>
      <c r="L36" s="85">
        <f t="shared" si="3"/>
        <v>5.0000000000000001E-3</v>
      </c>
      <c r="M36" s="85">
        <f t="shared" si="2"/>
        <v>5.0000000000000001E-3</v>
      </c>
      <c r="N36" s="85">
        <f t="shared" si="2"/>
        <v>5.0000000000000001E-3</v>
      </c>
      <c r="O36" s="86">
        <v>20.44913742</v>
      </c>
      <c r="P36" s="86">
        <v>20.44913742</v>
      </c>
      <c r="Q36" s="87">
        <v>20.44913742</v>
      </c>
      <c r="R36" s="3"/>
    </row>
    <row r="37" spans="1:18">
      <c r="A37" s="3"/>
      <c r="B37" s="51">
        <v>2046</v>
      </c>
      <c r="C37">
        <v>1180</v>
      </c>
      <c r="D37">
        <v>984.46653179999998</v>
      </c>
      <c r="E37">
        <v>984.46653179999998</v>
      </c>
      <c r="F37">
        <v>7.32</v>
      </c>
      <c r="G37">
        <v>7.012787415</v>
      </c>
      <c r="H37">
        <v>7.012787415</v>
      </c>
      <c r="I37" s="84">
        <v>0</v>
      </c>
      <c r="J37" s="84">
        <v>0</v>
      </c>
      <c r="K37" s="84">
        <v>0</v>
      </c>
      <c r="L37" s="85">
        <f t="shared" si="3"/>
        <v>5.0000000000000001E-3</v>
      </c>
      <c r="M37" s="85">
        <f t="shared" si="2"/>
        <v>5.0000000000000001E-3</v>
      </c>
      <c r="N37" s="85">
        <f t="shared" si="2"/>
        <v>5.0000000000000001E-3</v>
      </c>
      <c r="O37" s="86">
        <v>20.44913742</v>
      </c>
      <c r="P37" s="86">
        <v>20.44913742</v>
      </c>
      <c r="Q37" s="87">
        <v>20.44913742</v>
      </c>
      <c r="R37" s="3"/>
    </row>
    <row r="38" spans="1:18">
      <c r="A38" s="3"/>
      <c r="B38" s="51">
        <v>2047</v>
      </c>
      <c r="C38">
        <v>1170</v>
      </c>
      <c r="D38">
        <v>979.18092320000005</v>
      </c>
      <c r="E38">
        <v>979.18092320000005</v>
      </c>
      <c r="F38">
        <v>7.26</v>
      </c>
      <c r="G38">
        <v>6.976639026</v>
      </c>
      <c r="H38">
        <v>6.976639026</v>
      </c>
      <c r="I38" s="84">
        <v>0</v>
      </c>
      <c r="J38" s="84">
        <v>0</v>
      </c>
      <c r="K38" s="84">
        <v>0</v>
      </c>
      <c r="L38" s="85">
        <f t="shared" si="3"/>
        <v>5.0000000000000001E-3</v>
      </c>
      <c r="M38" s="85">
        <f t="shared" si="2"/>
        <v>5.0000000000000001E-3</v>
      </c>
      <c r="N38" s="85">
        <f t="shared" si="2"/>
        <v>5.0000000000000001E-3</v>
      </c>
      <c r="O38" s="86">
        <v>20.44913742</v>
      </c>
      <c r="P38" s="86">
        <v>20.44913742</v>
      </c>
      <c r="Q38" s="87">
        <v>20.44913742</v>
      </c>
      <c r="R38" s="3"/>
    </row>
    <row r="39" spans="1:18">
      <c r="A39" s="3"/>
      <c r="B39" s="51">
        <v>2048</v>
      </c>
      <c r="C39">
        <v>1160</v>
      </c>
      <c r="D39">
        <v>973.89531469999997</v>
      </c>
      <c r="E39">
        <v>973.89531469999997</v>
      </c>
      <c r="F39">
        <v>7.2</v>
      </c>
      <c r="G39">
        <v>6.940490638</v>
      </c>
      <c r="H39">
        <v>6.940490638</v>
      </c>
      <c r="I39" s="84">
        <v>0</v>
      </c>
      <c r="J39" s="84">
        <v>0</v>
      </c>
      <c r="K39" s="84">
        <v>0</v>
      </c>
      <c r="L39" s="85">
        <f t="shared" si="3"/>
        <v>5.0000000000000001E-3</v>
      </c>
      <c r="M39" s="85">
        <f t="shared" si="3"/>
        <v>5.0000000000000001E-3</v>
      </c>
      <c r="N39" s="85">
        <f t="shared" si="3"/>
        <v>5.0000000000000001E-3</v>
      </c>
      <c r="O39" s="86">
        <v>20.44913742</v>
      </c>
      <c r="P39" s="86">
        <v>20.44913742</v>
      </c>
      <c r="Q39" s="87">
        <v>20.44913742</v>
      </c>
      <c r="R39" s="3"/>
    </row>
    <row r="40" spans="1:18">
      <c r="A40" s="3"/>
      <c r="B40" s="51">
        <v>2049</v>
      </c>
      <c r="C40">
        <v>1150</v>
      </c>
      <c r="D40">
        <v>968.60970610000004</v>
      </c>
      <c r="E40">
        <v>968.60970610000004</v>
      </c>
      <c r="F40">
        <v>7.14</v>
      </c>
      <c r="G40">
        <v>6.9043422489999999</v>
      </c>
      <c r="H40">
        <v>6.9043422489999999</v>
      </c>
      <c r="I40" s="84">
        <v>0</v>
      </c>
      <c r="J40" s="84">
        <v>0</v>
      </c>
      <c r="K40" s="84">
        <v>0</v>
      </c>
      <c r="L40" s="85">
        <f t="shared" si="3"/>
        <v>5.0000000000000001E-3</v>
      </c>
      <c r="M40" s="85">
        <f t="shared" si="3"/>
        <v>5.0000000000000001E-3</v>
      </c>
      <c r="N40" s="85">
        <f t="shared" si="3"/>
        <v>5.0000000000000001E-3</v>
      </c>
      <c r="O40" s="86">
        <v>20.44913742</v>
      </c>
      <c r="P40" s="86">
        <v>20.44913742</v>
      </c>
      <c r="Q40" s="87">
        <v>20.44913742</v>
      </c>
      <c r="R40" s="3"/>
    </row>
    <row r="41" spans="1:18" ht="17" thickBot="1">
      <c r="A41" s="3"/>
      <c r="B41" s="52">
        <v>2050</v>
      </c>
      <c r="C41">
        <v>1140</v>
      </c>
      <c r="D41">
        <v>963.32409749999999</v>
      </c>
      <c r="E41">
        <v>963.32409749999999</v>
      </c>
      <c r="F41">
        <v>7.08</v>
      </c>
      <c r="G41">
        <v>6.8681938599999999</v>
      </c>
      <c r="H41">
        <v>6.8681938599999999</v>
      </c>
      <c r="I41" s="88">
        <v>0</v>
      </c>
      <c r="J41" s="88">
        <v>0</v>
      </c>
      <c r="K41" s="88">
        <v>0</v>
      </c>
      <c r="L41" s="89">
        <v>5.0000000000000001E-3</v>
      </c>
      <c r="M41" s="89">
        <v>5.0000000000000001E-3</v>
      </c>
      <c r="N41" s="89">
        <v>5.0000000000000001E-3</v>
      </c>
      <c r="O41" s="90">
        <v>20.44913742</v>
      </c>
      <c r="P41" s="90">
        <v>20.44913742</v>
      </c>
      <c r="Q41" s="91">
        <v>20.44913742</v>
      </c>
      <c r="R41" s="3"/>
    </row>
    <row r="42" spans="1:18">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dataValidations count="1">
    <dataValidation type="decimal" operator="greaterThanOrEqual" allowBlank="1" showInputMessage="1" showErrorMessage="1" sqref="C5:C40 D5:E41" xr:uid="{95BA25C5-5EF0-6942-9359-CB190EA6C57D}">
      <formula1>0</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Main</vt:lpstr>
      <vt:lpstr>Sheet1</vt:lpstr>
      <vt:lpstr>Market Projections</vt:lpstr>
      <vt:lpstr>Financing</vt:lpstr>
      <vt:lpstr>Storage</vt:lpstr>
      <vt:lpstr>Solar</vt:lpstr>
      <vt:lpstr>annual_inflation_main</vt:lpstr>
      <vt:lpstr>depreciation_schedule</vt:lpstr>
      <vt:lpstr>financial_trajectories</vt:lpstr>
      <vt:lpstr>market_projections</vt:lpstr>
      <vt:lpstr>pv_trajectories</vt:lpstr>
      <vt:lpstr>scenario_options_main</vt:lpstr>
      <vt:lpstr>storage_options</vt:lpstr>
      <vt:lpstr>storage_trajectories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Koebrich, Sam</cp:lastModifiedBy>
  <dcterms:created xsi:type="dcterms:W3CDTF">2018-11-07T17:39:41Z</dcterms:created>
  <dcterms:modified xsi:type="dcterms:W3CDTF">2020-07-23T20:02:38Z</dcterms:modified>
</cp:coreProperties>
</file>